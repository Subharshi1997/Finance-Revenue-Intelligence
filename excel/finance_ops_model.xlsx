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Raw Transaction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Invoice Validation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Collections" sheetId="8" state="visible" r:id="rId8"/>
    <sheet xmlns:r="http://schemas.openxmlformats.org/officeDocument/2006/relationships" name="Revenue Reconciliation" sheetId="9" state="visible" r:id="rId9"/>
    <sheet xmlns:r="http://schemas.openxmlformats.org/officeDocument/2006/relationships" name="Monthly M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  <color rgb="001F3864"/>
      <sz val="18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Merchants" displayName="tblMerchants" ref="A3:P43" headerRowCount="1">
  <autoFilter ref="A3:P43"/>
  <tableColumns count="16">
    <tableColumn id="1" name="merchant_id"/>
    <tableColumn id="2" name="merchant_name"/>
    <tableColumn id="3" name="industry"/>
    <tableColumn id="4" name="merchant_segment"/>
    <tableColumn id="5" name="city"/>
    <tableColumn id="6" name="state"/>
    <tableColumn id="7" name="country"/>
    <tableColumn id="8" name="onboarding_date"/>
    <tableColumn id="9" name="account_manager"/>
    <tableColumn id="10" name="pricing_plan"/>
    <tableColumn id="11" name="contract_start_date"/>
    <tableColumn id="12" name="contract_end_date"/>
    <tableColumn id="13" name="agreed_fee_percent"/>
    <tableColumn id="14" name="monthly_subscription_fee"/>
    <tableColumn id="15" name="payment_terms_days"/>
    <tableColumn id="16" name="merchant_statu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Transactions" displayName="tblTransactions" ref="A3:N2503" headerRowCount="1">
  <autoFilter ref="A3:N2503"/>
  <tableColumns count="14">
    <tableColumn id="1" name="transaction_id"/>
    <tableColumn id="2" name="merchant_id"/>
    <tableColumn id="3" name="transaction_date"/>
    <tableColumn id="4" name="order_id"/>
    <tableColumn id="5" name="transaction_amount"/>
    <tableColumn id="6" name="transaction_fee_percent"/>
    <tableColumn id="7" name="expected_platform_fee"/>
    <tableColumn id="8" name="payment_method"/>
    <tableColumn id="9" name="payment_status"/>
    <tableColumn id="10" name="order_status"/>
    <tableColumn id="11" name="refund_amount"/>
    <tableColumn id="12" name="discount_amount"/>
    <tableColumn id="13" name="currency"/>
    <tableColumn id="14" name="created_timestamp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Invoices" displayName="tblInvoices" ref="A3:R898" headerRowCount="1">
  <autoFilter ref="A3:R898"/>
  <tableColumns count="18">
    <tableColumn id="1" name="invoice_id"/>
    <tableColumn id="2" name="merchant_id"/>
    <tableColumn id="3" name="billing_period_start"/>
    <tableColumn id="4" name="billing_period_end"/>
    <tableColumn id="5" name="invoice_date"/>
    <tableColumn id="6" name="due_date"/>
    <tableColumn id="7" name="subtotal"/>
    <tableColumn id="8" name="discount"/>
    <tableColumn id="9" name="taxable_amount"/>
    <tableColumn id="10" name="tax_rate"/>
    <tableColumn id="11" name="tax_amount"/>
    <tableColumn id="12" name="total_invoice_amount"/>
    <tableColumn id="13" name="currency"/>
    <tableColumn id="14" name="invoice_status"/>
    <tableColumn id="15" name="payment_status"/>
    <tableColumn id="16" name="expected_fee"/>
    <tableColumn id="17" name="billed_fee"/>
    <tableColumn id="18" name="invoice_error_flag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blPayments" displayName="tblPayments" ref="A3:J883" headerRowCount="1">
  <autoFilter ref="A3:J883"/>
  <tableColumns count="10">
    <tableColumn id="1" name="payment_id"/>
    <tableColumn id="2" name="invoice_id"/>
    <tableColumn id="3" name="merchant_id"/>
    <tableColumn id="4" name="payment_date"/>
    <tableColumn id="5" name="payment_amount"/>
    <tableColumn id="6" name="payment_method"/>
    <tableColumn id="7" name="payment_reference"/>
    <tableColumn id="8" name="payment_status"/>
    <tableColumn id="9" name="bank_reference"/>
    <tableColumn id="10" name="settlement_date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InvoiceValidation" displayName="tblInvoiceValidation" ref="A3:I898" headerRowCount="1">
  <autoFilter ref="A3:I898"/>
  <tableColumns count="9">
    <tableColumn id="1" name="invoice_id"/>
    <tableColumn id="2" name="merchant_id"/>
    <tableColumn id="3" name="merchant_name"/>
    <tableColumn id="4" name="expected_fee"/>
    <tableColumn id="5" name="billed_fee"/>
    <tableColumn id="6" name="revenue_difference"/>
    <tableColumn id="7" name="variance_percent"/>
    <tableColumn id="8" name="billing_status"/>
    <tableColumn id="9" name="review_status"/>
  </tableColumns>
  <tableStyleInfo name="TableStyleMedium2" showRowStripes="1"/>
</table>
</file>

<file path=xl/tables/table6.xml><?xml version="1.0" encoding="utf-8"?>
<table xmlns="http://schemas.openxmlformats.org/spreadsheetml/2006/main" id="6" name="tblARAging" displayName="tblARAging" ref="A4:I899" headerRowCount="1">
  <autoFilter ref="A4:I899"/>
  <tableColumns count="9">
    <tableColumn id="1" name="invoice_id"/>
    <tableColumn id="2" name="merchant_id"/>
    <tableColumn id="3" name="merchant_name"/>
    <tableColumn id="4" name="due_date"/>
    <tableColumn id="5" name="total_invoice_amount"/>
    <tableColumn id="6" name="total_paid"/>
    <tableColumn id="7" name="outstanding_amount"/>
    <tableColumn id="8" name="days_overdue"/>
    <tableColumn id="9" name="aging_bucket"/>
  </tableColumns>
  <tableStyleInfo name="TableStyleMedium2" showRowStripes="1"/>
</table>
</file>

<file path=xl/tables/table7.xml><?xml version="1.0" encoding="utf-8"?>
<table xmlns="http://schemas.openxmlformats.org/spreadsheetml/2006/main" id="7" name="tblCollectionActivity" displayName="tblCollectionActivity" ref="A3:K562" headerRowCount="1">
  <autoFilter ref="A3:K562"/>
  <tableColumns count="11">
    <tableColumn id="1" name="collection_id"/>
    <tableColumn id="2" name="merchant_id"/>
    <tableColumn id="3" name="invoice_id"/>
    <tableColumn id="4" name="activity_date"/>
    <tableColumn id="5" name="activity_type"/>
    <tableColumn id="6" name="contact_channel"/>
    <tableColumn id="7" name="collector"/>
    <tableColumn id="8" name="outcome"/>
    <tableColumn id="9" name="promised_payment_date"/>
    <tableColumn id="10" name="promised_amount"/>
    <tableColumn id="11" name="notes"/>
  </tableColumns>
  <tableStyleInfo name="TableStyleMedium2" showFirstColumn="0" showRowStripes="1"/>
</table>
</file>

<file path=xl/tables/table8.xml><?xml version="1.0" encoding="utf-8"?>
<table xmlns="http://schemas.openxmlformats.org/spreadsheetml/2006/main" id="8" name="tblReconciliation" displayName="tblReconciliation" ref="A3:F898" headerRowCount="1">
  <autoFilter ref="A3:F898"/>
  <tableColumns count="6">
    <tableColumn id="1" name="invoice_id"/>
    <tableColumn id="2" name="merchant_id"/>
    <tableColumn id="3" name="total_invoice_amount"/>
    <tableColumn id="4" name="total_paid"/>
    <tableColumn id="5" name="variance"/>
    <tableColumn id="6" name="reconciliation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Finance Operations KPI Dashboard</t>
        </is>
      </c>
    </row>
    <row r="2">
      <c r="A2" s="2" t="inlineStr">
        <is>
          <t>Sample workbook (40 stratified merchants) - live formulas, recalculates if source sheets change</t>
        </is>
      </c>
    </row>
    <row r="4">
      <c r="A4" s="3" t="inlineStr">
        <is>
          <t>Total Expected Revenue</t>
        </is>
      </c>
      <c r="B4" s="4">
        <f>SUM(tblInvoices[expected_fee])</f>
        <v/>
      </c>
    </row>
    <row r="5">
      <c r="A5" s="3" t="inlineStr">
        <is>
          <t>Total Billed Revenue</t>
        </is>
      </c>
      <c r="B5" s="4">
        <f>SUM(tblInvoices[billed_fee])</f>
        <v/>
      </c>
    </row>
    <row r="6">
      <c r="A6" s="3" t="inlineStr">
        <is>
          <t>Billing Accuracy %</t>
        </is>
      </c>
      <c r="B6" s="4">
        <f>ROUND(100*COUNTIF('Invoice Validation'!H4:H1000,"Correct")/COUNTA(tblInvoices[invoice_id]),2)</f>
        <v/>
      </c>
    </row>
    <row r="7">
      <c r="A7" s="3" t="inlineStr">
        <is>
          <t>Total Collected (Payments, Success)</t>
        </is>
      </c>
      <c r="B7" s="4">
        <f>SUMIFS(tblPayments[payment_amount],tblPayments[payment_status],"Success")</f>
        <v/>
      </c>
    </row>
    <row r="8">
      <c r="A8" s="3" t="inlineStr">
        <is>
          <t>Revenue Realization %</t>
        </is>
      </c>
      <c r="B8" s="4">
        <f>ROUND(100*B7/B5,2)</f>
        <v/>
      </c>
    </row>
    <row r="9">
      <c r="A9" s="3" t="inlineStr">
        <is>
          <t>Total Outstanding AR</t>
        </is>
      </c>
      <c r="B9" s="4">
        <f>SUM('AR Aging'!G5:G1000)</f>
        <v/>
      </c>
    </row>
    <row r="10">
      <c r="A10" s="3" t="inlineStr">
        <is>
          <t>Invoices Analyzed</t>
        </is>
      </c>
      <c r="B10" s="4">
        <f>COUNTA(tblInvoices[invoice_id])</f>
        <v/>
      </c>
    </row>
    <row r="11">
      <c r="A11" s="3" t="inlineStr">
        <is>
          <t>Payments Analyzed</t>
        </is>
      </c>
      <c r="B11" s="4">
        <f>COUNTA(tblPayments[payment_id])</f>
        <v/>
      </c>
    </row>
    <row r="12">
      <c r="A12" s="3" t="inlineStr">
        <is>
          <t>Merchants in Sample</t>
        </is>
      </c>
      <c r="B12" s="4">
        <f>COUNTA(tblMerchants[merchant_id])</f>
        <v/>
      </c>
    </row>
    <row r="14">
      <c r="A14" s="5" t="inlineStr">
        <is>
          <t>See other sheets for full detail: Invoices, Payments, Invoice Validation, AR Aging, Collections, Revenue Reconciliation, Monthly MIS.</t>
        </is>
      </c>
    </row>
  </sheetData>
  <mergeCells count="1"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5" customWidth="1" min="3" max="3"/>
    <col width="12" customWidth="1" min="4" max="4"/>
    <col width="12" customWidth="1" min="5" max="5"/>
    <col width="15" customWidth="1" min="6" max="6"/>
    <col width="11" customWidth="1" min="7" max="7"/>
    <col width="12" customWidth="1" min="8" max="8"/>
    <col width="17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6" t="inlineStr">
        <is>
          <t>Merchant Reference (lookup source for XLOOKUP formulas on other sheets)</t>
        </is>
      </c>
    </row>
    <row r="3">
      <c r="A3" s="7" t="inlineStr">
        <is>
          <t>merchant_id</t>
        </is>
      </c>
      <c r="B3" s="7" t="inlineStr">
        <is>
          <t>merchant_name</t>
        </is>
      </c>
      <c r="C3" s="7" t="inlineStr">
        <is>
          <t>industry</t>
        </is>
      </c>
      <c r="D3" s="7" t="inlineStr">
        <is>
          <t>merchant_segment</t>
        </is>
      </c>
      <c r="E3" s="7" t="inlineStr">
        <is>
          <t>city</t>
        </is>
      </c>
      <c r="F3" s="7" t="inlineStr">
        <is>
          <t>state</t>
        </is>
      </c>
      <c r="G3" s="7" t="inlineStr">
        <is>
          <t>country</t>
        </is>
      </c>
      <c r="H3" s="7" t="inlineStr">
        <is>
          <t>onboarding_date</t>
        </is>
      </c>
      <c r="I3" s="7" t="inlineStr">
        <is>
          <t>account_manager</t>
        </is>
      </c>
      <c r="J3" s="7" t="inlineStr">
        <is>
          <t>pricing_plan</t>
        </is>
      </c>
      <c r="K3" s="7" t="inlineStr">
        <is>
          <t>contract_start_date</t>
        </is>
      </c>
      <c r="L3" s="7" t="inlineStr">
        <is>
          <t>contract_end_date</t>
        </is>
      </c>
      <c r="M3" s="7" t="inlineStr">
        <is>
          <t>agreed_fee_percent</t>
        </is>
      </c>
      <c r="N3" s="7" t="inlineStr">
        <is>
          <t>monthly_subscription_fee</t>
        </is>
      </c>
      <c r="O3" s="7" t="inlineStr">
        <is>
          <t>payment_terms_days</t>
        </is>
      </c>
      <c r="P3" s="7" t="inlineStr">
        <is>
          <t>merchant_status</t>
        </is>
      </c>
    </row>
    <row r="4">
      <c r="A4" t="inlineStr">
        <is>
          <t>MER00048</t>
        </is>
      </c>
      <c r="B4" t="inlineStr">
        <is>
          <t>Martin, Rose and Obrien</t>
        </is>
      </c>
      <c r="C4" t="inlineStr">
        <is>
          <t>Sports &amp; Fitness</t>
        </is>
      </c>
      <c r="D4" t="inlineStr">
        <is>
          <t>Long-tail</t>
        </is>
      </c>
      <c r="E4" t="inlineStr">
        <is>
          <t>Surat</t>
        </is>
      </c>
      <c r="F4" t="inlineStr">
        <is>
          <t>Gujarat</t>
        </is>
      </c>
      <c r="G4" t="inlineStr">
        <is>
          <t>India</t>
        </is>
      </c>
      <c r="H4" s="8" t="n">
        <v>45535</v>
      </c>
      <c r="I4" t="inlineStr">
        <is>
          <t>Pooja Agarwal</t>
        </is>
      </c>
      <c r="J4" t="inlineStr">
        <is>
          <t>Standard</t>
        </is>
      </c>
      <c r="K4" s="8" t="n">
        <v>45535</v>
      </c>
      <c r="L4" s="8" t="n"/>
      <c r="M4" t="n">
        <v>3.41</v>
      </c>
      <c r="N4" t="n">
        <v>0</v>
      </c>
      <c r="O4" t="n">
        <v>15</v>
      </c>
      <c r="P4" t="inlineStr">
        <is>
          <t>Active</t>
        </is>
      </c>
    </row>
    <row r="5">
      <c r="A5" t="inlineStr">
        <is>
          <t>MER00055</t>
        </is>
      </c>
      <c r="B5" t="inlineStr">
        <is>
          <t>Jones Inc</t>
        </is>
      </c>
      <c r="C5" t="inlineStr">
        <is>
          <t>Jewellery &amp; Accessories</t>
        </is>
      </c>
      <c r="D5" t="inlineStr">
        <is>
          <t>SMB</t>
        </is>
      </c>
      <c r="E5" t="inlineStr">
        <is>
          <t>Nagpur</t>
        </is>
      </c>
      <c r="F5" t="inlineStr">
        <is>
          <t>Maharashtra</t>
        </is>
      </c>
      <c r="G5" t="inlineStr">
        <is>
          <t>India</t>
        </is>
      </c>
      <c r="H5" s="8" t="n">
        <v>45523</v>
      </c>
      <c r="I5" t="inlineStr">
        <is>
          <t>Priya Nair</t>
        </is>
      </c>
      <c r="J5" t="inlineStr">
        <is>
          <t>Standard</t>
        </is>
      </c>
      <c r="K5" s="8" t="n">
        <v>45523</v>
      </c>
      <c r="L5" s="8" t="n"/>
      <c r="M5" t="n">
        <v>2.69</v>
      </c>
      <c r="N5" t="n">
        <v>0</v>
      </c>
      <c r="O5" t="n">
        <v>30</v>
      </c>
      <c r="P5" t="inlineStr">
        <is>
          <t>Active</t>
        </is>
      </c>
    </row>
    <row r="6">
      <c r="A6" t="inlineStr">
        <is>
          <t>MER00074</t>
        </is>
      </c>
      <c r="B6" t="inlineStr">
        <is>
          <t>Stanley, Tucker and Lee</t>
        </is>
      </c>
      <c r="C6" t="inlineStr">
        <is>
          <t>Electronics</t>
        </is>
      </c>
      <c r="D6" t="inlineStr">
        <is>
          <t>Mid-Market</t>
        </is>
      </c>
      <c r="E6" t="inlineStr">
        <is>
          <t>Chandigarh</t>
        </is>
      </c>
      <c r="F6" t="inlineStr">
        <is>
          <t>Chandigarh</t>
        </is>
      </c>
      <c r="G6" t="inlineStr">
        <is>
          <t>India</t>
        </is>
      </c>
      <c r="H6" s="8" t="n">
        <v>45537</v>
      </c>
      <c r="I6" t="inlineStr">
        <is>
          <t>Tanvi Shah</t>
        </is>
      </c>
      <c r="J6" t="inlineStr">
        <is>
          <t>Custom</t>
        </is>
      </c>
      <c r="K6" s="8" t="n">
        <v>45537</v>
      </c>
      <c r="L6" s="8" t="n"/>
      <c r="M6" t="n">
        <v>1.92</v>
      </c>
      <c r="N6" t="n">
        <v>9999</v>
      </c>
      <c r="O6" t="n">
        <v>45</v>
      </c>
      <c r="P6" t="inlineStr">
        <is>
          <t>Active</t>
        </is>
      </c>
    </row>
    <row r="7">
      <c r="A7" t="inlineStr">
        <is>
          <t>MER00077</t>
        </is>
      </c>
      <c r="B7" t="inlineStr">
        <is>
          <t>Woods, Calhoun and Schmidt</t>
        </is>
      </c>
      <c r="C7" t="inlineStr">
        <is>
          <t>Fashion &amp; Apparel</t>
        </is>
      </c>
      <c r="D7" t="inlineStr">
        <is>
          <t>SMB</t>
        </is>
      </c>
      <c r="E7" t="inlineStr">
        <is>
          <t>Nagpur</t>
        </is>
      </c>
      <c r="F7" t="inlineStr">
        <is>
          <t>Maharashtra</t>
        </is>
      </c>
      <c r="G7" t="inlineStr">
        <is>
          <t>India</t>
        </is>
      </c>
      <c r="H7" s="8" t="n">
        <v>45522</v>
      </c>
      <c r="I7" t="inlineStr">
        <is>
          <t>Divya Menon</t>
        </is>
      </c>
      <c r="J7" t="inlineStr">
        <is>
          <t>Enterprise</t>
        </is>
      </c>
      <c r="K7" s="8" t="n">
        <v>45522</v>
      </c>
      <c r="L7" s="8" t="n"/>
      <c r="M7" t="n">
        <v>2.22</v>
      </c>
      <c r="N7" t="n">
        <v>4999</v>
      </c>
      <c r="O7" t="n">
        <v>15</v>
      </c>
      <c r="P7" t="inlineStr">
        <is>
          <t>Active</t>
        </is>
      </c>
    </row>
    <row r="8">
      <c r="A8" t="inlineStr">
        <is>
          <t>MER00139</t>
        </is>
      </c>
      <c r="B8" t="inlineStr">
        <is>
          <t>Harvey, Davis and Crane</t>
        </is>
      </c>
      <c r="C8" t="inlineStr">
        <is>
          <t>Health &amp; Wellness</t>
        </is>
      </c>
      <c r="D8" t="inlineStr">
        <is>
          <t>Enterprise</t>
        </is>
      </c>
      <c r="E8" t="inlineStr">
        <is>
          <t>Pune</t>
        </is>
      </c>
      <c r="F8" t="inlineStr">
        <is>
          <t>Maharashtra</t>
        </is>
      </c>
      <c r="G8" t="inlineStr">
        <is>
          <t>India</t>
        </is>
      </c>
      <c r="H8" s="8" t="n">
        <v>45525</v>
      </c>
      <c r="I8" t="inlineStr">
        <is>
          <t>Aditya Bose</t>
        </is>
      </c>
      <c r="J8" t="inlineStr">
        <is>
          <t>Enterprise</t>
        </is>
      </c>
      <c r="K8" s="8" t="n">
        <v>45525</v>
      </c>
      <c r="L8" s="8" t="n"/>
      <c r="M8" t="n">
        <v>2</v>
      </c>
      <c r="N8" t="n">
        <v>4999</v>
      </c>
      <c r="O8" t="n">
        <v>60</v>
      </c>
      <c r="P8" t="inlineStr">
        <is>
          <t>Active</t>
        </is>
      </c>
    </row>
    <row r="9">
      <c r="A9" t="inlineStr">
        <is>
          <t>MER00140</t>
        </is>
      </c>
      <c r="B9" t="inlineStr">
        <is>
          <t>Chambers and Sons</t>
        </is>
      </c>
      <c r="C9" t="inlineStr">
        <is>
          <t>Home &amp; Living</t>
        </is>
      </c>
      <c r="D9" t="inlineStr">
        <is>
          <t>SMB</t>
        </is>
      </c>
      <c r="E9" t="inlineStr">
        <is>
          <t>Gurugram</t>
        </is>
      </c>
      <c r="F9" t="inlineStr">
        <is>
          <t>Haryana</t>
        </is>
      </c>
      <c r="G9" t="inlineStr">
        <is>
          <t>India</t>
        </is>
      </c>
      <c r="H9" s="8" t="n">
        <v>45511</v>
      </c>
      <c r="I9" t="inlineStr">
        <is>
          <t>Arjun Reddy</t>
        </is>
      </c>
      <c r="J9" t="inlineStr">
        <is>
          <t>Standard</t>
        </is>
      </c>
      <c r="K9" s="8" t="n">
        <v>45511</v>
      </c>
      <c r="L9" s="8" t="n"/>
      <c r="M9" t="n">
        <v>2.57</v>
      </c>
      <c r="N9" t="n">
        <v>0</v>
      </c>
      <c r="O9" t="n">
        <v>15</v>
      </c>
      <c r="P9" t="inlineStr">
        <is>
          <t>Active</t>
        </is>
      </c>
    </row>
    <row r="10">
      <c r="A10" t="inlineStr">
        <is>
          <t>MER00156</t>
        </is>
      </c>
      <c r="B10" t="inlineStr">
        <is>
          <t>Hill Inc</t>
        </is>
      </c>
      <c r="C10" t="inlineStr">
        <is>
          <t>Health &amp; Wellness</t>
        </is>
      </c>
      <c r="D10" t="inlineStr">
        <is>
          <t>Long-tail</t>
        </is>
      </c>
      <c r="E10" t="inlineStr">
        <is>
          <t>Noida</t>
        </is>
      </c>
      <c r="F10" t="inlineStr">
        <is>
          <t>Uttar Pradesh</t>
        </is>
      </c>
      <c r="G10" t="inlineStr">
        <is>
          <t>India</t>
        </is>
      </c>
      <c r="H10" s="8" t="n">
        <v>45685</v>
      </c>
      <c r="I10" t="inlineStr">
        <is>
          <t>Divya Menon</t>
        </is>
      </c>
      <c r="J10" t="inlineStr">
        <is>
          <t>Standard</t>
        </is>
      </c>
      <c r="K10" s="8" t="n">
        <v>45685</v>
      </c>
      <c r="L10" s="8" t="n"/>
      <c r="M10" t="n">
        <v>3.25</v>
      </c>
      <c r="N10" t="n">
        <v>0</v>
      </c>
      <c r="O10" t="n">
        <v>30</v>
      </c>
      <c r="P10" t="inlineStr">
        <is>
          <t>Active</t>
        </is>
      </c>
    </row>
    <row r="11">
      <c r="A11" t="inlineStr">
        <is>
          <t>MER00184</t>
        </is>
      </c>
      <c r="B11" t="inlineStr">
        <is>
          <t>Higgins, Strickland and Martin</t>
        </is>
      </c>
      <c r="C11" t="inlineStr">
        <is>
          <t>Beauty &amp; Personal Care</t>
        </is>
      </c>
      <c r="D11" t="inlineStr">
        <is>
          <t>Mid-Market</t>
        </is>
      </c>
      <c r="E11" t="inlineStr">
        <is>
          <t>Kochi</t>
        </is>
      </c>
      <c r="F11" t="inlineStr">
        <is>
          <t>Kerala</t>
        </is>
      </c>
      <c r="G11" t="inlineStr">
        <is>
          <t>India</t>
        </is>
      </c>
      <c r="H11" s="8" t="n">
        <v>45518</v>
      </c>
      <c r="I11" t="inlineStr">
        <is>
          <t>Karan Malhotra</t>
        </is>
      </c>
      <c r="J11" t="inlineStr">
        <is>
          <t>Standard</t>
        </is>
      </c>
      <c r="K11" s="8" t="n">
        <v>45518</v>
      </c>
      <c r="L11" s="8" t="n">
        <v>45887</v>
      </c>
      <c r="M11" t="n">
        <v>2.13</v>
      </c>
      <c r="N11" t="n">
        <v>0</v>
      </c>
      <c r="O11" t="n">
        <v>30</v>
      </c>
      <c r="P11" t="inlineStr">
        <is>
          <t>Churned</t>
        </is>
      </c>
    </row>
    <row r="12">
      <c r="A12" t="inlineStr">
        <is>
          <t>MER00189</t>
        </is>
      </c>
      <c r="B12" t="inlineStr">
        <is>
          <t>Garcia LLC</t>
        </is>
      </c>
      <c r="C12" t="inlineStr">
        <is>
          <t>Health &amp; Wellness</t>
        </is>
      </c>
      <c r="D12" t="inlineStr">
        <is>
          <t>Long-tail</t>
        </is>
      </c>
      <c r="E12" t="inlineStr">
        <is>
          <t>Nagpur</t>
        </is>
      </c>
      <c r="F12" t="inlineStr">
        <is>
          <t>Maharashtra</t>
        </is>
      </c>
      <c r="G12" t="inlineStr">
        <is>
          <t>India</t>
        </is>
      </c>
      <c r="H12" s="8" t="n">
        <v>45515</v>
      </c>
      <c r="I12" t="inlineStr">
        <is>
          <t>Arjun Reddy</t>
        </is>
      </c>
      <c r="J12" t="inlineStr">
        <is>
          <t>Standard</t>
        </is>
      </c>
      <c r="K12" s="8" t="n">
        <v>45515</v>
      </c>
      <c r="L12" s="8" t="n"/>
      <c r="M12" t="n">
        <v>2.69</v>
      </c>
      <c r="N12" t="n">
        <v>0</v>
      </c>
      <c r="O12" t="n">
        <v>15</v>
      </c>
      <c r="P12" t="inlineStr">
        <is>
          <t>Active</t>
        </is>
      </c>
    </row>
    <row r="13">
      <c r="A13" t="inlineStr">
        <is>
          <t>MER00203</t>
        </is>
      </c>
      <c r="B13" t="inlineStr">
        <is>
          <t>Peterson-Beard</t>
        </is>
      </c>
      <c r="C13" t="inlineStr">
        <is>
          <t>Electronics</t>
        </is>
      </c>
      <c r="D13" t="inlineStr">
        <is>
          <t>SMB</t>
        </is>
      </c>
      <c r="E13" t="inlineStr">
        <is>
          <t>Coimbatore</t>
        </is>
      </c>
      <c r="F13" t="inlineStr">
        <is>
          <t>Tamil Nadu</t>
        </is>
      </c>
      <c r="G13" t="inlineStr">
        <is>
          <t>India</t>
        </is>
      </c>
      <c r="H13" s="8" t="n">
        <v>45521</v>
      </c>
      <c r="I13" t="inlineStr">
        <is>
          <t>Pooja Agarwal</t>
        </is>
      </c>
      <c r="J13" t="inlineStr">
        <is>
          <t>Growth</t>
        </is>
      </c>
      <c r="K13" s="8" t="n">
        <v>45521</v>
      </c>
      <c r="L13" s="8" t="n"/>
      <c r="M13" t="n">
        <v>2.69</v>
      </c>
      <c r="N13" t="n">
        <v>999</v>
      </c>
      <c r="O13" t="n">
        <v>30</v>
      </c>
      <c r="P13" t="inlineStr">
        <is>
          <t>Active</t>
        </is>
      </c>
    </row>
    <row r="14">
      <c r="A14" t="inlineStr">
        <is>
          <t>MER00346</t>
        </is>
      </c>
      <c r="B14" t="inlineStr">
        <is>
          <t>Zhang PLC</t>
        </is>
      </c>
      <c r="C14" t="inlineStr">
        <is>
          <t>Fashion &amp; Apparel</t>
        </is>
      </c>
      <c r="D14" t="inlineStr">
        <is>
          <t>Long-tail</t>
        </is>
      </c>
      <c r="E14" t="inlineStr">
        <is>
          <t>Gurugram</t>
        </is>
      </c>
      <c r="F14" t="inlineStr">
        <is>
          <t>Haryana</t>
        </is>
      </c>
      <c r="G14" t="inlineStr">
        <is>
          <t>India</t>
        </is>
      </c>
      <c r="H14" s="8" t="n">
        <v>45539</v>
      </c>
      <c r="I14" t="inlineStr">
        <is>
          <t>Kabir Chatterjee</t>
        </is>
      </c>
      <c r="J14" t="inlineStr">
        <is>
          <t>Growth</t>
        </is>
      </c>
      <c r="K14" s="8" t="n">
        <v>45539</v>
      </c>
      <c r="L14" s="8" t="n"/>
      <c r="M14" t="n">
        <v>3.34</v>
      </c>
      <c r="N14" t="n">
        <v>999</v>
      </c>
      <c r="O14" t="n">
        <v>15</v>
      </c>
      <c r="P14" t="inlineStr">
        <is>
          <t>Active</t>
        </is>
      </c>
    </row>
    <row r="15">
      <c r="A15" t="inlineStr">
        <is>
          <t>MER00347</t>
        </is>
      </c>
      <c r="B15" t="inlineStr">
        <is>
          <t>Jones PLC</t>
        </is>
      </c>
      <c r="C15" t="inlineStr">
        <is>
          <t>Jewellery &amp; Accessories</t>
        </is>
      </c>
      <c r="D15" t="inlineStr">
        <is>
          <t>SMB</t>
        </is>
      </c>
      <c r="E15" t="inlineStr">
        <is>
          <t>Noida</t>
        </is>
      </c>
      <c r="F15" t="inlineStr">
        <is>
          <t>Uttar Pradesh</t>
        </is>
      </c>
      <c r="G15" t="inlineStr">
        <is>
          <t>India</t>
        </is>
      </c>
      <c r="H15" s="8" t="n">
        <v>46172</v>
      </c>
      <c r="I15" t="inlineStr">
        <is>
          <t>Arjun Reddy</t>
        </is>
      </c>
      <c r="J15" t="inlineStr">
        <is>
          <t>Growth</t>
        </is>
      </c>
      <c r="K15" s="8" t="n">
        <v>46172</v>
      </c>
      <c r="L15" s="8" t="n"/>
      <c r="M15" t="n">
        <v>2.4</v>
      </c>
      <c r="N15" t="n">
        <v>999</v>
      </c>
      <c r="O15" t="n">
        <v>30</v>
      </c>
      <c r="P15" t="inlineStr">
        <is>
          <t>Active</t>
        </is>
      </c>
    </row>
    <row r="16">
      <c r="A16" t="inlineStr">
        <is>
          <t>MER00355</t>
        </is>
      </c>
      <c r="B16" t="inlineStr">
        <is>
          <t>Fisher, Wilson and Brown</t>
        </is>
      </c>
      <c r="C16" t="inlineStr">
        <is>
          <t>Home &amp; Living</t>
        </is>
      </c>
      <c r="D16" t="inlineStr">
        <is>
          <t>Long-tail</t>
        </is>
      </c>
      <c r="E16" t="inlineStr">
        <is>
          <t>Noida</t>
        </is>
      </c>
      <c r="F16" t="inlineStr">
        <is>
          <t>Uttar Pradesh</t>
        </is>
      </c>
      <c r="G16" t="inlineStr">
        <is>
          <t>India</t>
        </is>
      </c>
      <c r="H16" s="8" t="n">
        <v>45526</v>
      </c>
      <c r="I16" t="inlineStr">
        <is>
          <t>Meera Pillai</t>
        </is>
      </c>
      <c r="J16" t="inlineStr">
        <is>
          <t>Standard</t>
        </is>
      </c>
      <c r="K16" s="8" t="n">
        <v>45526</v>
      </c>
      <c r="L16" s="8" t="n"/>
      <c r="M16" t="n">
        <v>2.51</v>
      </c>
      <c r="N16" t="n">
        <v>0</v>
      </c>
      <c r="O16" t="n">
        <v>15</v>
      </c>
      <c r="P16" t="inlineStr">
        <is>
          <t>Active</t>
        </is>
      </c>
    </row>
    <row r="17">
      <c r="A17" t="inlineStr">
        <is>
          <t>MER00381</t>
        </is>
      </c>
      <c r="B17" t="inlineStr">
        <is>
          <t>Richardson, Farmer and Andrews</t>
        </is>
      </c>
      <c r="C17" t="inlineStr">
        <is>
          <t>Food &amp; Beverage</t>
        </is>
      </c>
      <c r="D17" t="inlineStr">
        <is>
          <t>SMB</t>
        </is>
      </c>
      <c r="E17" t="inlineStr">
        <is>
          <t>Gurugram</t>
        </is>
      </c>
      <c r="F17" t="inlineStr">
        <is>
          <t>Haryana</t>
        </is>
      </c>
      <c r="G17" t="inlineStr">
        <is>
          <t>India</t>
        </is>
      </c>
      <c r="H17" s="8" t="n">
        <v>45527</v>
      </c>
      <c r="I17" t="inlineStr">
        <is>
          <t>Sneha Iyer</t>
        </is>
      </c>
      <c r="J17" t="inlineStr">
        <is>
          <t>Growth</t>
        </is>
      </c>
      <c r="K17" s="8" t="n">
        <v>45527</v>
      </c>
      <c r="L17" s="8" t="n"/>
      <c r="M17" t="n">
        <v>2.71</v>
      </c>
      <c r="N17" t="n">
        <v>999</v>
      </c>
      <c r="O17" t="n">
        <v>15</v>
      </c>
      <c r="P17" t="inlineStr">
        <is>
          <t>Active</t>
        </is>
      </c>
    </row>
    <row r="18">
      <c r="A18" t="inlineStr">
        <is>
          <t>MER00386</t>
        </is>
      </c>
      <c r="B18" t="inlineStr">
        <is>
          <t>Kane PLC</t>
        </is>
      </c>
      <c r="C18" t="inlineStr">
        <is>
          <t>Sports &amp; Fitness</t>
        </is>
      </c>
      <c r="D18" t="inlineStr">
        <is>
          <t>SMB</t>
        </is>
      </c>
      <c r="E18" t="inlineStr">
        <is>
          <t>Ahmedabad</t>
        </is>
      </c>
      <c r="F18" t="inlineStr">
        <is>
          <t>Gujarat</t>
        </is>
      </c>
      <c r="G18" t="inlineStr">
        <is>
          <t>India</t>
        </is>
      </c>
      <c r="H18" s="8" t="n">
        <v>45792</v>
      </c>
      <c r="I18" t="inlineStr">
        <is>
          <t>Priya Nair</t>
        </is>
      </c>
      <c r="J18" t="inlineStr">
        <is>
          <t>Growth</t>
        </is>
      </c>
      <c r="K18" s="8" t="n">
        <v>45792</v>
      </c>
      <c r="L18" s="8" t="n"/>
      <c r="M18" t="n">
        <v>2.35</v>
      </c>
      <c r="N18" t="n">
        <v>999</v>
      </c>
      <c r="O18" t="n">
        <v>15</v>
      </c>
      <c r="P18" t="inlineStr">
        <is>
          <t>Active</t>
        </is>
      </c>
    </row>
    <row r="19">
      <c r="A19" t="inlineStr">
        <is>
          <t>MER00436</t>
        </is>
      </c>
      <c r="B19" t="inlineStr">
        <is>
          <t>Cox LLC</t>
        </is>
      </c>
      <c r="C19" t="inlineStr">
        <is>
          <t>Home &amp; Living</t>
        </is>
      </c>
      <c r="D19" t="inlineStr">
        <is>
          <t>Enterprise</t>
        </is>
      </c>
      <c r="E19" t="inlineStr">
        <is>
          <t>Chandigarh</t>
        </is>
      </c>
      <c r="F19" t="inlineStr">
        <is>
          <t>Chandigarh</t>
        </is>
      </c>
      <c r="G19" t="inlineStr">
        <is>
          <t>India</t>
        </is>
      </c>
      <c r="H19" s="8" t="n">
        <v>45535</v>
      </c>
      <c r="I19" t="inlineStr">
        <is>
          <t>Ananya Sharma</t>
        </is>
      </c>
      <c r="J19" t="inlineStr">
        <is>
          <t>Custom</t>
        </is>
      </c>
      <c r="K19" s="8" t="n">
        <v>45535</v>
      </c>
      <c r="L19" s="8" t="n"/>
      <c r="M19" t="n">
        <v>1.96</v>
      </c>
      <c r="N19" t="n">
        <v>9999</v>
      </c>
      <c r="O19" t="n">
        <v>45</v>
      </c>
      <c r="P19" t="inlineStr">
        <is>
          <t>Active</t>
        </is>
      </c>
    </row>
    <row r="20">
      <c r="A20" t="inlineStr">
        <is>
          <t>MER00457</t>
        </is>
      </c>
      <c r="B20" t="inlineStr">
        <is>
          <t>Bishop-Goodwin</t>
        </is>
      </c>
      <c r="C20" t="inlineStr">
        <is>
          <t>Electronics</t>
        </is>
      </c>
      <c r="D20" t="inlineStr">
        <is>
          <t>Long-tail</t>
        </is>
      </c>
      <c r="E20" t="inlineStr">
        <is>
          <t>Chennai</t>
        </is>
      </c>
      <c r="F20" t="inlineStr">
        <is>
          <t>Tamil Nadu</t>
        </is>
      </c>
      <c r="G20" t="inlineStr">
        <is>
          <t>India</t>
        </is>
      </c>
      <c r="H20" s="8" t="n">
        <v>45518</v>
      </c>
      <c r="I20" t="inlineStr">
        <is>
          <t>Divya Menon</t>
        </is>
      </c>
      <c r="J20" t="inlineStr">
        <is>
          <t>Growth</t>
        </is>
      </c>
      <c r="K20" s="8" t="n">
        <v>45518</v>
      </c>
      <c r="L20" s="8" t="n"/>
      <c r="M20" t="n">
        <v>3.11</v>
      </c>
      <c r="N20" t="n">
        <v>999</v>
      </c>
      <c r="O20" t="n">
        <v>15</v>
      </c>
      <c r="P20" t="inlineStr">
        <is>
          <t>Active</t>
        </is>
      </c>
    </row>
    <row r="21">
      <c r="A21" t="inlineStr">
        <is>
          <t>MER00480</t>
        </is>
      </c>
      <c r="B21" t="inlineStr">
        <is>
          <t>Barnes PLC</t>
        </is>
      </c>
      <c r="C21" t="inlineStr">
        <is>
          <t>Electronics</t>
        </is>
      </c>
      <c r="D21" t="inlineStr">
        <is>
          <t>SMB</t>
        </is>
      </c>
      <c r="E21" t="inlineStr">
        <is>
          <t>Nagpur</t>
        </is>
      </c>
      <c r="F21" t="inlineStr">
        <is>
          <t>Maharashtra</t>
        </is>
      </c>
      <c r="G21" t="inlineStr">
        <is>
          <t>India</t>
        </is>
      </c>
      <c r="H21" s="8" t="n">
        <v>45511</v>
      </c>
      <c r="I21" t="inlineStr">
        <is>
          <t>Priya Nair</t>
        </is>
      </c>
      <c r="J21" t="inlineStr">
        <is>
          <t>Standard</t>
        </is>
      </c>
      <c r="K21" s="8" t="n">
        <v>45511</v>
      </c>
      <c r="L21" s="8" t="n"/>
      <c r="M21" t="n">
        <v>2.61</v>
      </c>
      <c r="N21" t="n">
        <v>0</v>
      </c>
      <c r="O21" t="n">
        <v>30</v>
      </c>
      <c r="P21" t="inlineStr">
        <is>
          <t>Active</t>
        </is>
      </c>
    </row>
    <row r="22">
      <c r="A22" t="inlineStr">
        <is>
          <t>MER00484</t>
        </is>
      </c>
      <c r="B22" t="inlineStr">
        <is>
          <t>Mendez and Sons</t>
        </is>
      </c>
      <c r="C22" t="inlineStr">
        <is>
          <t>Sports &amp; Fitness</t>
        </is>
      </c>
      <c r="D22" t="inlineStr">
        <is>
          <t>Long-tail</t>
        </is>
      </c>
      <c r="E22" t="inlineStr">
        <is>
          <t>Surat</t>
        </is>
      </c>
      <c r="F22" t="inlineStr">
        <is>
          <t>Gujarat</t>
        </is>
      </c>
      <c r="G22" t="inlineStr">
        <is>
          <t>India</t>
        </is>
      </c>
      <c r="H22" s="8" t="n">
        <v>45529</v>
      </c>
      <c r="I22" t="inlineStr">
        <is>
          <t>Siddharth Joshi</t>
        </is>
      </c>
      <c r="J22" t="inlineStr">
        <is>
          <t>Standard</t>
        </is>
      </c>
      <c r="K22" s="8" t="n">
        <v>45529</v>
      </c>
      <c r="L22" s="8" t="n"/>
      <c r="M22" t="n">
        <v>3.21</v>
      </c>
      <c r="N22" t="n">
        <v>0</v>
      </c>
      <c r="O22" t="n">
        <v>30</v>
      </c>
      <c r="P22" t="inlineStr">
        <is>
          <t>Active</t>
        </is>
      </c>
    </row>
    <row r="23">
      <c r="A23" t="inlineStr">
        <is>
          <t>MER00502</t>
        </is>
      </c>
      <c r="B23" t="inlineStr">
        <is>
          <t>Paul-Kline</t>
        </is>
      </c>
      <c r="C23" t="inlineStr">
        <is>
          <t>Food &amp; Beverage</t>
        </is>
      </c>
      <c r="D23" t="inlineStr">
        <is>
          <t>SMB</t>
        </is>
      </c>
      <c r="E23" t="inlineStr">
        <is>
          <t>Surat</t>
        </is>
      </c>
      <c r="F23" t="inlineStr">
        <is>
          <t>Gujarat</t>
        </is>
      </c>
      <c r="G23" t="inlineStr">
        <is>
          <t>India</t>
        </is>
      </c>
      <c r="H23" s="8" t="n">
        <v>45528</v>
      </c>
      <c r="I23" t="inlineStr">
        <is>
          <t>Priya Nair</t>
        </is>
      </c>
      <c r="J23" t="inlineStr">
        <is>
          <t>Growth</t>
        </is>
      </c>
      <c r="K23" s="8" t="n">
        <v>45528</v>
      </c>
      <c r="L23" s="8" t="n"/>
      <c r="M23" t="n">
        <v>2.7</v>
      </c>
      <c r="N23" t="n">
        <v>999</v>
      </c>
      <c r="O23" t="n">
        <v>15</v>
      </c>
      <c r="P23" t="inlineStr">
        <is>
          <t>Active</t>
        </is>
      </c>
    </row>
    <row r="24">
      <c r="A24" t="inlineStr">
        <is>
          <t>MER00523</t>
        </is>
      </c>
      <c r="B24" t="inlineStr">
        <is>
          <t>Green LLC</t>
        </is>
      </c>
      <c r="C24" t="inlineStr">
        <is>
          <t>Food &amp; Beverage</t>
        </is>
      </c>
      <c r="D24" t="inlineStr">
        <is>
          <t>Mid-Market</t>
        </is>
      </c>
      <c r="E24" t="inlineStr">
        <is>
          <t>Lucknow</t>
        </is>
      </c>
      <c r="F24" t="inlineStr">
        <is>
          <t>Uttar Pradesh</t>
        </is>
      </c>
      <c r="G24" t="inlineStr">
        <is>
          <t>India</t>
        </is>
      </c>
      <c r="H24" s="8" t="n">
        <v>45507</v>
      </c>
      <c r="I24" t="inlineStr">
        <is>
          <t>Arjun Reddy</t>
        </is>
      </c>
      <c r="J24" t="inlineStr">
        <is>
          <t>Growth</t>
        </is>
      </c>
      <c r="K24" s="8" t="n">
        <v>45507</v>
      </c>
      <c r="L24" s="8" t="n"/>
      <c r="M24" t="n">
        <v>2.05</v>
      </c>
      <c r="N24" t="n">
        <v>999</v>
      </c>
      <c r="O24" t="n">
        <v>30</v>
      </c>
      <c r="P24" t="inlineStr">
        <is>
          <t>Active</t>
        </is>
      </c>
    </row>
    <row r="25">
      <c r="A25" t="inlineStr">
        <is>
          <t>MER00530</t>
        </is>
      </c>
      <c r="B25" t="inlineStr">
        <is>
          <t>Mckinney, Graves and Thompson</t>
        </is>
      </c>
      <c r="C25" t="inlineStr">
        <is>
          <t>Sports &amp; Fitness</t>
        </is>
      </c>
      <c r="D25" t="inlineStr">
        <is>
          <t>Long-tail</t>
        </is>
      </c>
      <c r="E25" t="inlineStr">
        <is>
          <t>Hyderabad</t>
        </is>
      </c>
      <c r="F25" t="inlineStr">
        <is>
          <t>Telangana</t>
        </is>
      </c>
      <c r="G25" t="inlineStr">
        <is>
          <t>India</t>
        </is>
      </c>
      <c r="H25" s="8" t="n">
        <v>45509</v>
      </c>
      <c r="I25" t="inlineStr">
        <is>
          <t>Neha Kulkarni</t>
        </is>
      </c>
      <c r="J25" t="inlineStr">
        <is>
          <t>Standard</t>
        </is>
      </c>
      <c r="K25" s="8" t="n">
        <v>45509</v>
      </c>
      <c r="L25" s="8" t="n"/>
      <c r="M25" t="n">
        <v>3.06</v>
      </c>
      <c r="N25" t="n">
        <v>0</v>
      </c>
      <c r="O25" t="n">
        <v>15</v>
      </c>
      <c r="P25" t="inlineStr">
        <is>
          <t>Active</t>
        </is>
      </c>
    </row>
    <row r="26">
      <c r="A26" t="inlineStr">
        <is>
          <t>MER00549</t>
        </is>
      </c>
      <c r="B26" t="inlineStr">
        <is>
          <t>Morgan, Bradshaw and Williams</t>
        </is>
      </c>
      <c r="C26" t="inlineStr">
        <is>
          <t>Home &amp; Living</t>
        </is>
      </c>
      <c r="D26" t="inlineStr">
        <is>
          <t>Enterprise</t>
        </is>
      </c>
      <c r="E26" t="inlineStr">
        <is>
          <t>Lucknow</t>
        </is>
      </c>
      <c r="F26" t="inlineStr">
        <is>
          <t>Uttar Pradesh</t>
        </is>
      </c>
      <c r="G26" t="inlineStr">
        <is>
          <t>India</t>
        </is>
      </c>
      <c r="H26" s="8" t="n">
        <v>45510</v>
      </c>
      <c r="I26" t="inlineStr">
        <is>
          <t>Divya Menon</t>
        </is>
      </c>
      <c r="J26" t="inlineStr">
        <is>
          <t>Enterprise</t>
        </is>
      </c>
      <c r="K26" s="8" t="n">
        <v>45510</v>
      </c>
      <c r="L26" s="8" t="n"/>
      <c r="M26" t="n">
        <v>1.94</v>
      </c>
      <c r="N26" t="n">
        <v>4999</v>
      </c>
      <c r="O26" t="n">
        <v>45</v>
      </c>
      <c r="P26" t="inlineStr">
        <is>
          <t>Active</t>
        </is>
      </c>
    </row>
    <row r="27">
      <c r="A27" t="inlineStr">
        <is>
          <t>MER00572</t>
        </is>
      </c>
      <c r="B27" t="inlineStr">
        <is>
          <t>Smith, Rodriguez and Anderson</t>
        </is>
      </c>
      <c r="C27" t="inlineStr">
        <is>
          <t>Electronics</t>
        </is>
      </c>
      <c r="D27" t="inlineStr">
        <is>
          <t>SMB</t>
        </is>
      </c>
      <c r="E27" t="inlineStr">
        <is>
          <t>Chandigarh</t>
        </is>
      </c>
      <c r="F27" t="inlineStr">
        <is>
          <t>Chandigarh</t>
        </is>
      </c>
      <c r="G27" t="inlineStr">
        <is>
          <t>India</t>
        </is>
      </c>
      <c r="H27" s="8" t="n">
        <v>45515</v>
      </c>
      <c r="I27" t="inlineStr">
        <is>
          <t>Siddharth Joshi</t>
        </is>
      </c>
      <c r="J27" t="inlineStr">
        <is>
          <t>Standard</t>
        </is>
      </c>
      <c r="K27" s="8" t="n">
        <v>45515</v>
      </c>
      <c r="L27" s="8" t="n"/>
      <c r="M27" t="n">
        <v>2.75</v>
      </c>
      <c r="N27" t="n">
        <v>0</v>
      </c>
      <c r="O27" t="n">
        <v>30</v>
      </c>
      <c r="P27" t="inlineStr">
        <is>
          <t>Suspended</t>
        </is>
      </c>
    </row>
    <row r="28">
      <c r="A28" t="inlineStr">
        <is>
          <t>MER00649</t>
        </is>
      </c>
      <c r="B28" t="inlineStr">
        <is>
          <t>Zhang, Brooks and Miles</t>
        </is>
      </c>
      <c r="C28" t="inlineStr">
        <is>
          <t>Beauty &amp; Personal Care</t>
        </is>
      </c>
      <c r="D28" t="inlineStr">
        <is>
          <t>Enterprise</t>
        </is>
      </c>
      <c r="E28" t="inlineStr">
        <is>
          <t>Lucknow</t>
        </is>
      </c>
      <c r="F28" t="inlineStr">
        <is>
          <t>Uttar Pradesh</t>
        </is>
      </c>
      <c r="G28" t="inlineStr">
        <is>
          <t>India</t>
        </is>
      </c>
      <c r="H28" s="8" t="n">
        <v>45534</v>
      </c>
      <c r="I28" t="inlineStr">
        <is>
          <t>Siddharth Joshi</t>
        </is>
      </c>
      <c r="J28" t="inlineStr">
        <is>
          <t>Custom</t>
        </is>
      </c>
      <c r="K28" s="8" t="n">
        <v>45534</v>
      </c>
      <c r="L28" s="8" t="n"/>
      <c r="M28" t="n">
        <v>1.53</v>
      </c>
      <c r="N28" t="n">
        <v>9999</v>
      </c>
      <c r="O28" t="n">
        <v>60</v>
      </c>
      <c r="P28" t="inlineStr">
        <is>
          <t>Active</t>
        </is>
      </c>
    </row>
    <row r="29">
      <c r="A29" t="inlineStr">
        <is>
          <t>MER00658</t>
        </is>
      </c>
      <c r="B29" t="inlineStr">
        <is>
          <t>Chavez PLC</t>
        </is>
      </c>
      <c r="C29" t="inlineStr">
        <is>
          <t>Jewellery &amp; Accessories</t>
        </is>
      </c>
      <c r="D29" t="inlineStr">
        <is>
          <t>Long-tail</t>
        </is>
      </c>
      <c r="E29" t="inlineStr">
        <is>
          <t>Hyderabad</t>
        </is>
      </c>
      <c r="F29" t="inlineStr">
        <is>
          <t>Telangana</t>
        </is>
      </c>
      <c r="G29" t="inlineStr">
        <is>
          <t>India</t>
        </is>
      </c>
      <c r="H29" s="8" t="n">
        <v>45530</v>
      </c>
      <c r="I29" t="inlineStr">
        <is>
          <t>Neha Kulkarni</t>
        </is>
      </c>
      <c r="J29" t="inlineStr">
        <is>
          <t>Standard</t>
        </is>
      </c>
      <c r="K29" s="8" t="n">
        <v>45530</v>
      </c>
      <c r="L29" s="8" t="n"/>
      <c r="M29" t="n">
        <v>2.54</v>
      </c>
      <c r="N29" t="n">
        <v>0</v>
      </c>
      <c r="O29" t="n">
        <v>15</v>
      </c>
      <c r="P29" t="inlineStr">
        <is>
          <t>Active</t>
        </is>
      </c>
    </row>
    <row r="30">
      <c r="A30" t="inlineStr">
        <is>
          <t>MER00662</t>
        </is>
      </c>
      <c r="B30" t="inlineStr">
        <is>
          <t>Robinson, Jones and Henderson</t>
        </is>
      </c>
      <c r="C30" t="inlineStr">
        <is>
          <t>Health &amp; Wellness</t>
        </is>
      </c>
      <c r="D30" t="inlineStr">
        <is>
          <t>Mid-Market</t>
        </is>
      </c>
      <c r="E30" t="inlineStr">
        <is>
          <t>Nagpur</t>
        </is>
      </c>
      <c r="F30" t="inlineStr">
        <is>
          <t>Maharashtra</t>
        </is>
      </c>
      <c r="G30" t="inlineStr">
        <is>
          <t>India</t>
        </is>
      </c>
      <c r="H30" s="8" t="n">
        <v>45510</v>
      </c>
      <c r="I30" t="inlineStr">
        <is>
          <t>Neha Kulkarni</t>
        </is>
      </c>
      <c r="J30" t="inlineStr">
        <is>
          <t>Growth</t>
        </is>
      </c>
      <c r="K30" s="8" t="n">
        <v>45510</v>
      </c>
      <c r="L30" s="8" t="n"/>
      <c r="M30" t="n">
        <v>1.9</v>
      </c>
      <c r="N30" t="n">
        <v>999</v>
      </c>
      <c r="O30" t="n">
        <v>45</v>
      </c>
      <c r="P30" t="inlineStr">
        <is>
          <t>Active</t>
        </is>
      </c>
    </row>
    <row r="31">
      <c r="A31" t="inlineStr">
        <is>
          <t>MER00707</t>
        </is>
      </c>
      <c r="B31" t="inlineStr">
        <is>
          <t>Howard, Green and Hunt</t>
        </is>
      </c>
      <c r="C31" t="inlineStr">
        <is>
          <t>Electronics</t>
        </is>
      </c>
      <c r="D31" t="inlineStr">
        <is>
          <t>SMB</t>
        </is>
      </c>
      <c r="E31" t="inlineStr">
        <is>
          <t>Hyderabad</t>
        </is>
      </c>
      <c r="F31" t="inlineStr">
        <is>
          <t>Telangana</t>
        </is>
      </c>
      <c r="G31" t="inlineStr">
        <is>
          <t>India</t>
        </is>
      </c>
      <c r="H31" s="8" t="n">
        <v>45514</v>
      </c>
      <c r="I31" t="inlineStr">
        <is>
          <t>Rohan Mehta</t>
        </is>
      </c>
      <c r="J31" t="inlineStr">
        <is>
          <t>Enterprise</t>
        </is>
      </c>
      <c r="K31" s="8" t="n">
        <v>45514</v>
      </c>
      <c r="L31" s="8" t="n"/>
      <c r="M31" t="n">
        <v>2.23</v>
      </c>
      <c r="N31" t="n">
        <v>4999</v>
      </c>
      <c r="O31" t="n">
        <v>30</v>
      </c>
      <c r="P31" t="inlineStr">
        <is>
          <t>Active</t>
        </is>
      </c>
    </row>
    <row r="32">
      <c r="A32" t="inlineStr">
        <is>
          <t>MER00708</t>
        </is>
      </c>
      <c r="B32" t="inlineStr">
        <is>
          <t>Owens-Lang</t>
        </is>
      </c>
      <c r="C32" t="inlineStr">
        <is>
          <t>Food &amp; Beverage</t>
        </is>
      </c>
      <c r="D32" t="inlineStr">
        <is>
          <t>Long-tail</t>
        </is>
      </c>
      <c r="E32" t="inlineStr">
        <is>
          <t>Gurugram</t>
        </is>
      </c>
      <c r="F32" t="inlineStr">
        <is>
          <t>Haryana</t>
        </is>
      </c>
      <c r="G32" t="inlineStr">
        <is>
          <t>India</t>
        </is>
      </c>
      <c r="H32" s="8" t="n">
        <v>45505</v>
      </c>
      <c r="I32" t="inlineStr">
        <is>
          <t>Tanvi Shah</t>
        </is>
      </c>
      <c r="J32" t="inlineStr">
        <is>
          <t>Standard</t>
        </is>
      </c>
      <c r="K32" s="8" t="n">
        <v>45505</v>
      </c>
      <c r="L32" s="8" t="n"/>
      <c r="M32" t="n">
        <v>3.23</v>
      </c>
      <c r="N32" t="n">
        <v>0</v>
      </c>
      <c r="O32" t="n">
        <v>30</v>
      </c>
      <c r="P32" t="inlineStr">
        <is>
          <t>Active</t>
        </is>
      </c>
    </row>
    <row r="33">
      <c r="A33" t="inlineStr">
        <is>
          <t>MER00709</t>
        </is>
      </c>
      <c r="B33" t="inlineStr">
        <is>
          <t>Harrison, Franco and Rocha</t>
        </is>
      </c>
      <c r="C33" t="inlineStr">
        <is>
          <t>Health &amp; Wellness</t>
        </is>
      </c>
      <c r="D33" t="inlineStr">
        <is>
          <t>Long-tail</t>
        </is>
      </c>
      <c r="E33" t="inlineStr">
        <is>
          <t>Noida</t>
        </is>
      </c>
      <c r="F33" t="inlineStr">
        <is>
          <t>Uttar Pradesh</t>
        </is>
      </c>
      <c r="G33" t="inlineStr">
        <is>
          <t>India</t>
        </is>
      </c>
      <c r="H33" s="8" t="n">
        <v>45518</v>
      </c>
      <c r="I33" t="inlineStr">
        <is>
          <t>Divya Menon</t>
        </is>
      </c>
      <c r="J33" t="inlineStr">
        <is>
          <t>Standard</t>
        </is>
      </c>
      <c r="K33" s="8" t="n">
        <v>45518</v>
      </c>
      <c r="L33" s="8" t="n"/>
      <c r="M33" t="n">
        <v>3.5</v>
      </c>
      <c r="N33" t="n">
        <v>0</v>
      </c>
      <c r="O33" t="n">
        <v>15</v>
      </c>
      <c r="P33" t="inlineStr">
        <is>
          <t>Active</t>
        </is>
      </c>
    </row>
    <row r="34">
      <c r="A34" t="inlineStr">
        <is>
          <t>MER00711</t>
        </is>
      </c>
      <c r="B34" t="inlineStr">
        <is>
          <t>Figueroa Inc</t>
        </is>
      </c>
      <c r="C34" t="inlineStr">
        <is>
          <t>Jewellery &amp; Accessories</t>
        </is>
      </c>
      <c r="D34" t="inlineStr">
        <is>
          <t>Mid-Market</t>
        </is>
      </c>
      <c r="E34" t="inlineStr">
        <is>
          <t>Bengaluru</t>
        </is>
      </c>
      <c r="F34" t="inlineStr">
        <is>
          <t>Karnataka</t>
        </is>
      </c>
      <c r="G34" t="inlineStr">
        <is>
          <t>India</t>
        </is>
      </c>
      <c r="H34" s="8" t="n">
        <v>45514</v>
      </c>
      <c r="I34" t="inlineStr">
        <is>
          <t>Kabir Chatterjee</t>
        </is>
      </c>
      <c r="J34" t="inlineStr">
        <is>
          <t>Standard</t>
        </is>
      </c>
      <c r="K34" s="8" t="n">
        <v>45514</v>
      </c>
      <c r="L34" s="8" t="n"/>
      <c r="M34" t="n">
        <v>1.93</v>
      </c>
      <c r="N34" t="n">
        <v>0</v>
      </c>
      <c r="O34" t="n">
        <v>30</v>
      </c>
      <c r="P34" t="inlineStr">
        <is>
          <t>Active</t>
        </is>
      </c>
    </row>
    <row r="35">
      <c r="A35" t="inlineStr">
        <is>
          <t>MER00712</t>
        </is>
      </c>
      <c r="B35" t="inlineStr">
        <is>
          <t>Tran-Silva</t>
        </is>
      </c>
      <c r="C35" t="inlineStr">
        <is>
          <t>Jewellery &amp; Accessories</t>
        </is>
      </c>
      <c r="D35" t="inlineStr">
        <is>
          <t>Mid-Market</t>
        </is>
      </c>
      <c r="E35" t="inlineStr">
        <is>
          <t>Coimbatore</t>
        </is>
      </c>
      <c r="F35" t="inlineStr">
        <is>
          <t>Tamil Nadu</t>
        </is>
      </c>
      <c r="G35" t="inlineStr">
        <is>
          <t>India</t>
        </is>
      </c>
      <c r="H35" s="8" t="n">
        <v>45530</v>
      </c>
      <c r="I35" t="inlineStr">
        <is>
          <t>Neha Kulkarni</t>
        </is>
      </c>
      <c r="J35" t="inlineStr">
        <is>
          <t>Custom</t>
        </is>
      </c>
      <c r="K35" s="8" t="n">
        <v>45530</v>
      </c>
      <c r="L35" s="8" t="n"/>
      <c r="M35" t="n">
        <v>2.2</v>
      </c>
      <c r="N35" t="n">
        <v>9999</v>
      </c>
      <c r="O35" t="n">
        <v>30</v>
      </c>
      <c r="P35" t="inlineStr">
        <is>
          <t>Active</t>
        </is>
      </c>
    </row>
    <row r="36">
      <c r="A36" t="inlineStr">
        <is>
          <t>MER00716</t>
        </is>
      </c>
      <c r="B36" t="inlineStr">
        <is>
          <t>Levy-May</t>
        </is>
      </c>
      <c r="C36" t="inlineStr">
        <is>
          <t>Health &amp; Wellness</t>
        </is>
      </c>
      <c r="D36" t="inlineStr">
        <is>
          <t>Long-tail</t>
        </is>
      </c>
      <c r="E36" t="inlineStr">
        <is>
          <t>Noida</t>
        </is>
      </c>
      <c r="F36" t="inlineStr">
        <is>
          <t>Uttar Pradesh</t>
        </is>
      </c>
      <c r="G36" t="inlineStr">
        <is>
          <t>India</t>
        </is>
      </c>
      <c r="H36" s="8" t="n">
        <v>45537</v>
      </c>
      <c r="I36" t="inlineStr">
        <is>
          <t>Tanvi Shah</t>
        </is>
      </c>
      <c r="J36" t="inlineStr">
        <is>
          <t>Standard</t>
        </is>
      </c>
      <c r="K36" s="8" t="n">
        <v>45537</v>
      </c>
      <c r="L36" s="8" t="n"/>
      <c r="M36" t="n">
        <v>3.32</v>
      </c>
      <c r="N36" t="n">
        <v>0</v>
      </c>
      <c r="O36" t="n">
        <v>15</v>
      </c>
      <c r="P36" t="inlineStr">
        <is>
          <t>Active</t>
        </is>
      </c>
    </row>
    <row r="37">
      <c r="A37" t="inlineStr">
        <is>
          <t>MER00726</t>
        </is>
      </c>
      <c r="B37" t="inlineStr">
        <is>
          <t>Williamson Ltd</t>
        </is>
      </c>
      <c r="C37" t="inlineStr">
        <is>
          <t>Beauty &amp; Personal Care</t>
        </is>
      </c>
      <c r="D37" t="inlineStr">
        <is>
          <t>Long-tail</t>
        </is>
      </c>
      <c r="E37" t="inlineStr">
        <is>
          <t>Indore</t>
        </is>
      </c>
      <c r="F37" t="inlineStr">
        <is>
          <t>Madhya Pradesh</t>
        </is>
      </c>
      <c r="G37" t="inlineStr">
        <is>
          <t>India</t>
        </is>
      </c>
      <c r="H37" s="8" t="n">
        <v>45505</v>
      </c>
      <c r="I37" t="inlineStr">
        <is>
          <t>Priya Nair</t>
        </is>
      </c>
      <c r="J37" t="inlineStr">
        <is>
          <t>Standard</t>
        </is>
      </c>
      <c r="K37" s="8" t="n">
        <v>45505</v>
      </c>
      <c r="L37" s="8" t="n"/>
      <c r="M37" t="n">
        <v>3.24</v>
      </c>
      <c r="N37" t="n">
        <v>0</v>
      </c>
      <c r="O37" t="n">
        <v>30</v>
      </c>
      <c r="P37" t="inlineStr">
        <is>
          <t>Active</t>
        </is>
      </c>
    </row>
    <row r="38">
      <c r="A38" t="inlineStr">
        <is>
          <t>MER00728</t>
        </is>
      </c>
      <c r="B38" t="inlineStr">
        <is>
          <t>Arnold, Smith and Moreno</t>
        </is>
      </c>
      <c r="C38" t="inlineStr">
        <is>
          <t>Beauty &amp; Personal Care</t>
        </is>
      </c>
      <c r="D38" t="inlineStr">
        <is>
          <t>Mid-Market</t>
        </is>
      </c>
      <c r="E38" t="inlineStr">
        <is>
          <t>Bengaluru</t>
        </is>
      </c>
      <c r="F38" t="inlineStr">
        <is>
          <t>Karnataka</t>
        </is>
      </c>
      <c r="G38" t="inlineStr">
        <is>
          <t>India</t>
        </is>
      </c>
      <c r="H38" s="8" t="n">
        <v>45513</v>
      </c>
      <c r="I38" t="inlineStr">
        <is>
          <t>Ananya Sharma</t>
        </is>
      </c>
      <c r="J38" t="inlineStr">
        <is>
          <t>Growth</t>
        </is>
      </c>
      <c r="K38" s="8" t="n">
        <v>45513</v>
      </c>
      <c r="L38" s="8" t="n"/>
      <c r="M38" t="n">
        <v>2.28</v>
      </c>
      <c r="N38" t="n">
        <v>999</v>
      </c>
      <c r="O38" t="n">
        <v>45</v>
      </c>
      <c r="P38" t="inlineStr">
        <is>
          <t>Active</t>
        </is>
      </c>
    </row>
    <row r="39">
      <c r="A39" t="inlineStr">
        <is>
          <t>MER00764</t>
        </is>
      </c>
      <c r="B39" t="inlineStr">
        <is>
          <t>Ward-Nelson</t>
        </is>
      </c>
      <c r="C39" t="inlineStr">
        <is>
          <t>Fashion &amp; Apparel</t>
        </is>
      </c>
      <c r="D39" t="inlineStr">
        <is>
          <t>SMB</t>
        </is>
      </c>
      <c r="E39" t="inlineStr">
        <is>
          <t>Bengaluru</t>
        </is>
      </c>
      <c r="F39" t="inlineStr">
        <is>
          <t>Karnataka</t>
        </is>
      </c>
      <c r="G39" t="inlineStr">
        <is>
          <t>India</t>
        </is>
      </c>
      <c r="H39" s="8" t="n">
        <v>45522</v>
      </c>
      <c r="I39" t="inlineStr">
        <is>
          <t>Ananya Sharma</t>
        </is>
      </c>
      <c r="J39" t="inlineStr">
        <is>
          <t>Standard</t>
        </is>
      </c>
      <c r="K39" s="8" t="n">
        <v>45522</v>
      </c>
      <c r="L39" s="8" t="n"/>
      <c r="M39" t="n">
        <v>2.38</v>
      </c>
      <c r="N39" t="n">
        <v>0</v>
      </c>
      <c r="O39" t="n">
        <v>30</v>
      </c>
      <c r="P39" t="inlineStr">
        <is>
          <t>Active</t>
        </is>
      </c>
    </row>
    <row r="40">
      <c r="A40" t="inlineStr">
        <is>
          <t>MER00856</t>
        </is>
      </c>
      <c r="B40" t="inlineStr">
        <is>
          <t>Werner-Carter</t>
        </is>
      </c>
      <c r="C40" t="inlineStr">
        <is>
          <t>Beauty &amp; Personal Care</t>
        </is>
      </c>
      <c r="D40" t="inlineStr">
        <is>
          <t>SMB</t>
        </is>
      </c>
      <c r="E40" t="inlineStr">
        <is>
          <t>Chandigarh</t>
        </is>
      </c>
      <c r="F40" t="inlineStr">
        <is>
          <t>Chandigarh</t>
        </is>
      </c>
      <c r="G40" t="inlineStr">
        <is>
          <t>India</t>
        </is>
      </c>
      <c r="H40" s="8" t="n">
        <v>45524</v>
      </c>
      <c r="I40" t="inlineStr">
        <is>
          <t>Siddharth Joshi</t>
        </is>
      </c>
      <c r="J40" t="inlineStr">
        <is>
          <t>Enterprise</t>
        </is>
      </c>
      <c r="K40" s="8" t="n">
        <v>45524</v>
      </c>
      <c r="L40" s="8" t="n"/>
      <c r="M40" t="n">
        <v>2.31</v>
      </c>
      <c r="N40" t="n">
        <v>4999</v>
      </c>
      <c r="O40" t="n">
        <v>30</v>
      </c>
      <c r="P40" t="inlineStr">
        <is>
          <t>Active</t>
        </is>
      </c>
    </row>
    <row r="41">
      <c r="A41" t="inlineStr">
        <is>
          <t>MER00861</t>
        </is>
      </c>
      <c r="B41" t="inlineStr">
        <is>
          <t>Morris, Wright and Bridges</t>
        </is>
      </c>
      <c r="C41" t="inlineStr">
        <is>
          <t>Jewellery &amp; Accessories</t>
        </is>
      </c>
      <c r="D41" t="inlineStr">
        <is>
          <t>SMB</t>
        </is>
      </c>
      <c r="E41" t="inlineStr">
        <is>
          <t>Ahmedabad</t>
        </is>
      </c>
      <c r="F41" t="inlineStr">
        <is>
          <t>Gujarat</t>
        </is>
      </c>
      <c r="G41" t="inlineStr">
        <is>
          <t>India</t>
        </is>
      </c>
      <c r="H41" s="8" t="n">
        <v>45518</v>
      </c>
      <c r="I41" t="inlineStr">
        <is>
          <t>Neha Kulkarni</t>
        </is>
      </c>
      <c r="J41" t="inlineStr">
        <is>
          <t>Standard</t>
        </is>
      </c>
      <c r="K41" s="8" t="n">
        <v>45518</v>
      </c>
      <c r="L41" s="8" t="n"/>
      <c r="M41" t="n">
        <v>2.4</v>
      </c>
      <c r="N41" t="n">
        <v>0</v>
      </c>
      <c r="O41" t="n">
        <v>15</v>
      </c>
      <c r="P41" t="inlineStr">
        <is>
          <t>Active</t>
        </is>
      </c>
    </row>
    <row r="42">
      <c r="A42" t="inlineStr">
        <is>
          <t>MER00870</t>
        </is>
      </c>
      <c r="B42" t="inlineStr">
        <is>
          <t>Donaldson and Sons</t>
        </is>
      </c>
      <c r="C42" t="inlineStr">
        <is>
          <t>Sports &amp; Fitness</t>
        </is>
      </c>
      <c r="D42" t="inlineStr">
        <is>
          <t>Long-tail</t>
        </is>
      </c>
      <c r="E42" t="inlineStr">
        <is>
          <t>Noida</t>
        </is>
      </c>
      <c r="F42" t="inlineStr">
        <is>
          <t>Uttar Pradesh</t>
        </is>
      </c>
      <c r="G42" t="inlineStr">
        <is>
          <t>India</t>
        </is>
      </c>
      <c r="H42" s="8" t="n">
        <v>45537</v>
      </c>
      <c r="I42" t="inlineStr">
        <is>
          <t>Aditya Bose</t>
        </is>
      </c>
      <c r="J42" t="inlineStr">
        <is>
          <t>Growth</t>
        </is>
      </c>
      <c r="K42" s="8" t="n">
        <v>45537</v>
      </c>
      <c r="L42" s="8" t="n"/>
      <c r="M42" t="n">
        <v>2.86</v>
      </c>
      <c r="N42" t="n">
        <v>999</v>
      </c>
      <c r="O42" t="n">
        <v>30</v>
      </c>
      <c r="P42" t="inlineStr">
        <is>
          <t>Active</t>
        </is>
      </c>
    </row>
    <row r="43">
      <c r="A43" t="inlineStr">
        <is>
          <t>MER00902</t>
        </is>
      </c>
      <c r="B43" t="inlineStr">
        <is>
          <t>Griffith, Mitchell and Pugh</t>
        </is>
      </c>
      <c r="C43" t="inlineStr">
        <is>
          <t>Fashion &amp; Apparel</t>
        </is>
      </c>
      <c r="D43" t="inlineStr">
        <is>
          <t>Mid-Market</t>
        </is>
      </c>
      <c r="E43" t="inlineStr">
        <is>
          <t>Chandigarh</t>
        </is>
      </c>
      <c r="F43" t="inlineStr">
        <is>
          <t>Chandigarh</t>
        </is>
      </c>
      <c r="G43" t="inlineStr">
        <is>
          <t>India</t>
        </is>
      </c>
      <c r="H43" s="8" t="n">
        <v>45529</v>
      </c>
      <c r="I43" t="inlineStr">
        <is>
          <t>Pooja Agarwal</t>
        </is>
      </c>
      <c r="J43" t="inlineStr">
        <is>
          <t>Growth</t>
        </is>
      </c>
      <c r="K43" s="8" t="n">
        <v>45529</v>
      </c>
      <c r="L43" s="8" t="n"/>
      <c r="M43" t="n">
        <v>1.86</v>
      </c>
      <c r="N43" t="n">
        <v>999</v>
      </c>
      <c r="O43" t="n">
        <v>30</v>
      </c>
      <c r="P43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1" customWidth="1" min="14" max="14"/>
  </cols>
  <sheetData>
    <row r="1">
      <c r="A1" s="6" t="inlineStr">
        <is>
          <t>Raw Transactions (sampled: 2,500 of the full dataset for these merchants)</t>
        </is>
      </c>
    </row>
    <row r="3">
      <c r="A3" s="7" t="inlineStr">
        <is>
          <t>transaction_id</t>
        </is>
      </c>
      <c r="B3" s="7" t="inlineStr">
        <is>
          <t>merchant_id</t>
        </is>
      </c>
      <c r="C3" s="7" t="inlineStr">
        <is>
          <t>transaction_date</t>
        </is>
      </c>
      <c r="D3" s="7" t="inlineStr">
        <is>
          <t>order_id</t>
        </is>
      </c>
      <c r="E3" s="7" t="inlineStr">
        <is>
          <t>transaction_amount</t>
        </is>
      </c>
      <c r="F3" s="7" t="inlineStr">
        <is>
          <t>transaction_fee_percent</t>
        </is>
      </c>
      <c r="G3" s="7" t="inlineStr">
        <is>
          <t>expected_platform_fee</t>
        </is>
      </c>
      <c r="H3" s="7" t="inlineStr">
        <is>
          <t>payment_method</t>
        </is>
      </c>
      <c r="I3" s="7" t="inlineStr">
        <is>
          <t>payment_status</t>
        </is>
      </c>
      <c r="J3" s="7" t="inlineStr">
        <is>
          <t>order_status</t>
        </is>
      </c>
      <c r="K3" s="7" t="inlineStr">
        <is>
          <t>refund_amount</t>
        </is>
      </c>
      <c r="L3" s="7" t="inlineStr">
        <is>
          <t>discount_amount</t>
        </is>
      </c>
      <c r="M3" s="7" t="inlineStr">
        <is>
          <t>currency</t>
        </is>
      </c>
      <c r="N3" s="7" t="inlineStr">
        <is>
          <t>created_timestamp</t>
        </is>
      </c>
    </row>
    <row r="4">
      <c r="A4" t="inlineStr">
        <is>
          <t>TXN00005842</t>
        </is>
      </c>
      <c r="B4" t="inlineStr">
        <is>
          <t>MER00048</t>
        </is>
      </c>
      <c r="C4" s="8" t="n">
        <v>45529</v>
      </c>
      <c r="D4" t="inlineStr">
        <is>
          <t>ORD00005842</t>
        </is>
      </c>
      <c r="E4" t="n">
        <v>1086.34</v>
      </c>
      <c r="F4" t="n">
        <v>2.5</v>
      </c>
      <c r="G4" t="n">
        <v>27.16</v>
      </c>
      <c r="H4" t="inlineStr">
        <is>
          <t>NetBanking</t>
        </is>
      </c>
      <c r="I4" t="inlineStr">
        <is>
          <t>Success</t>
        </is>
      </c>
      <c r="J4" t="inlineStr">
        <is>
          <t>Delivered</t>
        </is>
      </c>
      <c r="K4" t="n">
        <v>0</v>
      </c>
      <c r="L4" t="n">
        <v>0</v>
      </c>
      <c r="M4" t="inlineStr">
        <is>
          <t>INR</t>
        </is>
      </c>
      <c r="N4" t="inlineStr">
        <is>
          <t>2024-08-25 11:40:02</t>
        </is>
      </c>
    </row>
    <row r="5">
      <c r="A5" t="inlineStr">
        <is>
          <t>TXN00012021</t>
        </is>
      </c>
      <c r="B5" t="inlineStr">
        <is>
          <t>MER00048</t>
        </is>
      </c>
      <c r="C5" s="8" t="n">
        <v>45551</v>
      </c>
      <c r="D5" t="inlineStr">
        <is>
          <t>ORD00012021</t>
        </is>
      </c>
      <c r="E5" t="n">
        <v>813.8099999999999</v>
      </c>
      <c r="F5" t="n">
        <v>3.41</v>
      </c>
      <c r="G5" t="n">
        <v>27.75</v>
      </c>
      <c r="H5" t="inlineStr">
        <is>
          <t>UPI</t>
        </is>
      </c>
      <c r="I5" t="inlineStr">
        <is>
          <t>Success</t>
        </is>
      </c>
      <c r="J5" t="inlineStr">
        <is>
          <t>Delivered</t>
        </is>
      </c>
      <c r="K5" t="n">
        <v>0</v>
      </c>
      <c r="L5" t="n">
        <v>0</v>
      </c>
      <c r="M5" t="inlineStr">
        <is>
          <t>INR</t>
        </is>
      </c>
      <c r="N5" t="inlineStr">
        <is>
          <t>2024-09-16 16:50:30</t>
        </is>
      </c>
    </row>
    <row r="6">
      <c r="A6" t="inlineStr">
        <is>
          <t>TXN00027065</t>
        </is>
      </c>
      <c r="B6" t="inlineStr">
        <is>
          <t>MER00048</t>
        </is>
      </c>
      <c r="C6" s="8" t="n">
        <v>45594</v>
      </c>
      <c r="D6" t="inlineStr">
        <is>
          <t>ORD00027065</t>
        </is>
      </c>
      <c r="E6" t="n">
        <v>1613.07</v>
      </c>
      <c r="F6" t="n">
        <v>3.41</v>
      </c>
      <c r="G6" t="n">
        <v>55.01</v>
      </c>
      <c r="H6" t="inlineStr">
        <is>
          <t>Card</t>
        </is>
      </c>
      <c r="I6" t="inlineStr">
        <is>
          <t>Success</t>
        </is>
      </c>
      <c r="J6" t="inlineStr">
        <is>
          <t>Returned</t>
        </is>
      </c>
      <c r="K6" t="n">
        <v>880.9299999999999</v>
      </c>
      <c r="L6" t="n">
        <v>0</v>
      </c>
      <c r="M6" t="inlineStr">
        <is>
          <t>INR</t>
        </is>
      </c>
      <c r="N6" t="inlineStr">
        <is>
          <t>2024-10-29 04:27:47</t>
        </is>
      </c>
    </row>
    <row r="7">
      <c r="A7" t="inlineStr">
        <is>
          <t>TXN00030133</t>
        </is>
      </c>
      <c r="B7" t="inlineStr">
        <is>
          <t>MER00048</t>
        </is>
      </c>
      <c r="C7" s="8" t="n">
        <v>45601</v>
      </c>
      <c r="D7" t="inlineStr">
        <is>
          <t>ORD00030133</t>
        </is>
      </c>
      <c r="E7" t="n">
        <v>3904.39</v>
      </c>
      <c r="F7" t="n">
        <v>3.41</v>
      </c>
      <c r="G7" t="n">
        <v>133.14</v>
      </c>
      <c r="H7" t="inlineStr">
        <is>
          <t>UPI</t>
        </is>
      </c>
      <c r="I7" t="inlineStr">
        <is>
          <t>Success</t>
        </is>
      </c>
      <c r="J7" t="inlineStr">
        <is>
          <t>Delivered</t>
        </is>
      </c>
      <c r="K7" t="n">
        <v>0</v>
      </c>
      <c r="L7" t="n">
        <v>0</v>
      </c>
      <c r="M7" t="inlineStr">
        <is>
          <t>INR</t>
        </is>
      </c>
      <c r="N7" t="inlineStr">
        <is>
          <t>2024-11-05 14:31:54</t>
        </is>
      </c>
    </row>
    <row r="8">
      <c r="A8" t="inlineStr">
        <is>
          <t>TXN00069246</t>
        </is>
      </c>
      <c r="B8" t="inlineStr">
        <is>
          <t>MER00048</t>
        </is>
      </c>
      <c r="C8" s="8" t="n">
        <v>45707</v>
      </c>
      <c r="D8" t="inlineStr">
        <is>
          <t>ORD00069246</t>
        </is>
      </c>
      <c r="E8" t="n">
        <v>2134.51</v>
      </c>
      <c r="F8" t="n">
        <v>3.41</v>
      </c>
      <c r="G8" t="n">
        <v>72.79000000000001</v>
      </c>
      <c r="H8" t="inlineStr">
        <is>
          <t>UPI</t>
        </is>
      </c>
      <c r="I8" t="inlineStr">
        <is>
          <t>Pending</t>
        </is>
      </c>
      <c r="J8" t="inlineStr">
        <is>
          <t>Processing</t>
        </is>
      </c>
      <c r="K8" t="n">
        <v>0</v>
      </c>
      <c r="L8" t="n">
        <v>205.69</v>
      </c>
      <c r="M8" t="inlineStr">
        <is>
          <t>INR</t>
        </is>
      </c>
      <c r="N8" t="inlineStr">
        <is>
          <t>2025-02-19 20:19:36</t>
        </is>
      </c>
    </row>
    <row r="9">
      <c r="A9" t="inlineStr">
        <is>
          <t>TXN00074371</t>
        </is>
      </c>
      <c r="B9" t="inlineStr">
        <is>
          <t>MER00048</t>
        </is>
      </c>
      <c r="C9" s="8" t="n">
        <v>45723</v>
      </c>
      <c r="D9" t="inlineStr">
        <is>
          <t>ORD00074371</t>
        </is>
      </c>
      <c r="E9" t="n">
        <v>1437.74</v>
      </c>
      <c r="F9" t="n">
        <v>3.41</v>
      </c>
      <c r="G9" t="n">
        <v>49.03</v>
      </c>
      <c r="H9" t="inlineStr">
        <is>
          <t>Card</t>
        </is>
      </c>
      <c r="I9" t="inlineStr">
        <is>
          <t>Success</t>
        </is>
      </c>
      <c r="J9" t="inlineStr">
        <is>
          <t>Delivered</t>
        </is>
      </c>
      <c r="K9" t="n">
        <v>0</v>
      </c>
      <c r="L9" t="n">
        <v>0</v>
      </c>
      <c r="M9" t="inlineStr">
        <is>
          <t>INR</t>
        </is>
      </c>
      <c r="N9" t="inlineStr">
        <is>
          <t>2025-03-07 21:16:56</t>
        </is>
      </c>
    </row>
    <row r="10">
      <c r="A10" t="inlineStr">
        <is>
          <t>TXN00093558</t>
        </is>
      </c>
      <c r="B10" t="inlineStr">
        <is>
          <t>MER00048</t>
        </is>
      </c>
      <c r="C10" s="8" t="n">
        <v>45782</v>
      </c>
      <c r="D10" t="inlineStr">
        <is>
          <t>ORD00093558</t>
        </is>
      </c>
      <c r="E10" t="n">
        <v>1275.62</v>
      </c>
      <c r="F10" t="n">
        <v>3.41</v>
      </c>
      <c r="G10" t="n">
        <v>43.5</v>
      </c>
      <c r="H10" t="inlineStr">
        <is>
          <t>UPI</t>
        </is>
      </c>
      <c r="I10" t="inlineStr">
        <is>
          <t>Success</t>
        </is>
      </c>
      <c r="J10" t="inlineStr">
        <is>
          <t>Cancelled</t>
        </is>
      </c>
      <c r="K10" t="n">
        <v>1269.78</v>
      </c>
      <c r="L10" t="n">
        <v>0</v>
      </c>
      <c r="M10" t="inlineStr">
        <is>
          <t>INR</t>
        </is>
      </c>
      <c r="N10" t="inlineStr">
        <is>
          <t>2025-05-05 23:19:04</t>
        </is>
      </c>
    </row>
    <row r="11">
      <c r="A11" t="inlineStr">
        <is>
          <t>TXN00098341</t>
        </is>
      </c>
      <c r="B11" t="inlineStr">
        <is>
          <t>MER00048</t>
        </is>
      </c>
      <c r="C11" s="8" t="n">
        <v>45797</v>
      </c>
      <c r="D11" t="inlineStr">
        <is>
          <t>ORD00098341</t>
        </is>
      </c>
      <c r="E11" t="n">
        <v>2331.89</v>
      </c>
      <c r="F11" t="n">
        <v>3.41</v>
      </c>
      <c r="G11" t="n">
        <v>79.52</v>
      </c>
      <c r="H11" t="inlineStr">
        <is>
          <t>UPI</t>
        </is>
      </c>
      <c r="I11" t="inlineStr">
        <is>
          <t>Success</t>
        </is>
      </c>
      <c r="J11" t="inlineStr">
        <is>
          <t>Returned</t>
        </is>
      </c>
      <c r="K11" t="n">
        <v>1784.53</v>
      </c>
      <c r="L11" t="n">
        <v>378.59</v>
      </c>
      <c r="M11" t="inlineStr">
        <is>
          <t>INR</t>
        </is>
      </c>
      <c r="N11" t="inlineStr">
        <is>
          <t>2025-05-20 03:19:12</t>
        </is>
      </c>
    </row>
    <row r="12">
      <c r="A12" t="inlineStr">
        <is>
          <t>TXN00130791</t>
        </is>
      </c>
      <c r="B12" t="inlineStr">
        <is>
          <t>MER00048</t>
        </is>
      </c>
      <c r="C12" s="8" t="n">
        <v>45894</v>
      </c>
      <c r="D12" t="inlineStr">
        <is>
          <t>ORD00130791</t>
        </is>
      </c>
      <c r="E12" t="n">
        <v>2316.69</v>
      </c>
      <c r="F12" t="n">
        <v>3.41</v>
      </c>
      <c r="G12" t="n">
        <v>79</v>
      </c>
      <c r="H12" t="inlineStr">
        <is>
          <t>UPI</t>
        </is>
      </c>
      <c r="I12" t="inlineStr">
        <is>
          <t>Success</t>
        </is>
      </c>
      <c r="J12" t="inlineStr">
        <is>
          <t>Delivered</t>
        </is>
      </c>
      <c r="K12" t="n">
        <v>0</v>
      </c>
      <c r="L12" t="n">
        <v>0</v>
      </c>
      <c r="M12" t="inlineStr">
        <is>
          <t>INR</t>
        </is>
      </c>
      <c r="N12" t="inlineStr">
        <is>
          <t>2025-08-25 10:21:02</t>
        </is>
      </c>
    </row>
    <row r="13">
      <c r="A13" t="inlineStr">
        <is>
          <t>TXN00136801</t>
        </is>
      </c>
      <c r="B13" t="inlineStr">
        <is>
          <t>MER00048</t>
        </is>
      </c>
      <c r="C13" s="8" t="n">
        <v>45911</v>
      </c>
      <c r="D13" t="inlineStr">
        <is>
          <t>ORD00136801</t>
        </is>
      </c>
      <c r="E13" t="n">
        <v>2035.75</v>
      </c>
      <c r="F13" t="n">
        <v>3.41</v>
      </c>
      <c r="G13" t="n">
        <v>69.42</v>
      </c>
      <c r="H13" t="inlineStr">
        <is>
          <t>Card</t>
        </is>
      </c>
      <c r="I13" t="inlineStr">
        <is>
          <t>Success</t>
        </is>
      </c>
      <c r="J13" t="inlineStr">
        <is>
          <t>Delivered</t>
        </is>
      </c>
      <c r="K13" t="n">
        <v>0</v>
      </c>
      <c r="L13" t="n">
        <v>0</v>
      </c>
      <c r="M13" t="inlineStr">
        <is>
          <t>INR</t>
        </is>
      </c>
      <c r="N13" t="inlineStr">
        <is>
          <t>2025-09-11 22:27:17</t>
        </is>
      </c>
    </row>
    <row r="14">
      <c r="A14" t="inlineStr">
        <is>
          <t>TXN00188216</t>
        </is>
      </c>
      <c r="B14" t="inlineStr">
        <is>
          <t>MER00048</t>
        </is>
      </c>
      <c r="C14" s="8" t="n">
        <v>46027</v>
      </c>
      <c r="D14" t="inlineStr">
        <is>
          <t>ORD00188216</t>
        </is>
      </c>
      <c r="E14" t="n">
        <v>622.62</v>
      </c>
      <c r="F14" t="n">
        <v>3.41</v>
      </c>
      <c r="G14" t="n">
        <v>21.23</v>
      </c>
      <c r="H14" t="inlineStr">
        <is>
          <t>Card</t>
        </is>
      </c>
      <c r="I14" t="inlineStr">
        <is>
          <t>Success</t>
        </is>
      </c>
      <c r="J14" t="inlineStr">
        <is>
          <t>Delivered</t>
        </is>
      </c>
      <c r="K14" t="n">
        <v>0</v>
      </c>
      <c r="L14" t="n">
        <v>0</v>
      </c>
      <c r="M14" t="inlineStr">
        <is>
          <t>INR</t>
        </is>
      </c>
      <c r="N14" t="inlineStr">
        <is>
          <t>2026-01-05 16:55:59</t>
        </is>
      </c>
    </row>
    <row r="15">
      <c r="A15" t="inlineStr">
        <is>
          <t>TXN00206757</t>
        </is>
      </c>
      <c r="B15" t="inlineStr">
        <is>
          <t>MER00048</t>
        </is>
      </c>
      <c r="C15" s="8" t="n">
        <v>46069</v>
      </c>
      <c r="D15" t="inlineStr">
        <is>
          <t>ORD00206757</t>
        </is>
      </c>
      <c r="E15" t="n">
        <v>844.84</v>
      </c>
      <c r="F15" t="n">
        <v>3.41</v>
      </c>
      <c r="G15" t="n">
        <v>28.81</v>
      </c>
      <c r="H15" t="inlineStr">
        <is>
          <t>Card</t>
        </is>
      </c>
      <c r="I15" t="inlineStr">
        <is>
          <t>Success</t>
        </is>
      </c>
      <c r="J15" t="inlineStr">
        <is>
          <t>Delivered</t>
        </is>
      </c>
      <c r="K15" t="n">
        <v>0</v>
      </c>
      <c r="L15" t="n">
        <v>0</v>
      </c>
      <c r="M15" t="inlineStr">
        <is>
          <t>INR</t>
        </is>
      </c>
      <c r="N15" t="inlineStr">
        <is>
          <t>2026-02-16 22:10:23</t>
        </is>
      </c>
    </row>
    <row r="16">
      <c r="A16" t="inlineStr">
        <is>
          <t>TXN00221074</t>
        </is>
      </c>
      <c r="B16" t="inlineStr">
        <is>
          <t>MER00048</t>
        </is>
      </c>
      <c r="C16" s="8" t="n">
        <v>46107</v>
      </c>
      <c r="D16" t="inlineStr">
        <is>
          <t>ORD00221074</t>
        </is>
      </c>
      <c r="E16" t="n">
        <v>1576.01</v>
      </c>
      <c r="F16" t="n">
        <v>3.41</v>
      </c>
      <c r="G16" t="n">
        <v>53.74</v>
      </c>
      <c r="H16" t="inlineStr">
        <is>
          <t>COD</t>
        </is>
      </c>
      <c r="I16" t="inlineStr">
        <is>
          <t>Success</t>
        </is>
      </c>
      <c r="J16" t="inlineStr">
        <is>
          <t>Delivered</t>
        </is>
      </c>
      <c r="K16" t="n">
        <v>0</v>
      </c>
      <c r="L16" t="n">
        <v>178.82</v>
      </c>
      <c r="M16" t="inlineStr">
        <is>
          <t>INR</t>
        </is>
      </c>
      <c r="N16" t="inlineStr">
        <is>
          <t>2026-03-26 22:08:10</t>
        </is>
      </c>
    </row>
    <row r="17">
      <c r="A17" t="inlineStr">
        <is>
          <t>TXN00238485</t>
        </is>
      </c>
      <c r="B17" t="inlineStr">
        <is>
          <t>MER00048</t>
        </is>
      </c>
      <c r="C17" s="8" t="n">
        <v>46153</v>
      </c>
      <c r="D17" t="inlineStr">
        <is>
          <t>ORD00238485</t>
        </is>
      </c>
      <c r="E17" t="n">
        <v>2647.45</v>
      </c>
      <c r="F17" t="n">
        <v>3.41</v>
      </c>
      <c r="G17" t="n">
        <v>90.28</v>
      </c>
      <c r="H17" t="inlineStr">
        <is>
          <t>Card</t>
        </is>
      </c>
      <c r="I17" t="inlineStr">
        <is>
          <t>Success</t>
        </is>
      </c>
      <c r="J17" t="inlineStr">
        <is>
          <t>Returned</t>
        </is>
      </c>
      <c r="K17" t="n">
        <v>2647.45</v>
      </c>
      <c r="L17" t="n">
        <v>0</v>
      </c>
      <c r="M17" t="inlineStr">
        <is>
          <t>INR</t>
        </is>
      </c>
      <c r="N17" t="inlineStr">
        <is>
          <t>2026-05-11 02:29:14</t>
        </is>
      </c>
    </row>
    <row r="18">
      <c r="A18" t="inlineStr">
        <is>
          <t>TXN00242262</t>
        </is>
      </c>
      <c r="B18" t="inlineStr">
        <is>
          <t>MER00048</t>
        </is>
      </c>
      <c r="C18" s="8" t="n">
        <v>46163</v>
      </c>
      <c r="D18" t="inlineStr">
        <is>
          <t>ORD00242262</t>
        </is>
      </c>
      <c r="E18" t="n">
        <v>584.01</v>
      </c>
      <c r="F18" t="n">
        <v>3.41</v>
      </c>
      <c r="G18" t="n">
        <v>19.91</v>
      </c>
      <c r="H18" t="inlineStr">
        <is>
          <t>Card</t>
        </is>
      </c>
      <c r="I18" t="inlineStr">
        <is>
          <t>Success</t>
        </is>
      </c>
      <c r="J18" t="inlineStr">
        <is>
          <t>Delivered</t>
        </is>
      </c>
      <c r="K18" t="n">
        <v>0</v>
      </c>
      <c r="L18" t="n">
        <v>0</v>
      </c>
      <c r="M18" t="inlineStr">
        <is>
          <t>INR</t>
        </is>
      </c>
      <c r="N18" t="inlineStr">
        <is>
          <t>2026-05-21 21:25:14</t>
        </is>
      </c>
    </row>
    <row r="19">
      <c r="A19" t="inlineStr">
        <is>
          <t>TXN00000237</t>
        </is>
      </c>
      <c r="B19" t="inlineStr">
        <is>
          <t>MER00055</t>
        </is>
      </c>
      <c r="C19" s="8" t="n">
        <v>45506</v>
      </c>
      <c r="D19" t="inlineStr">
        <is>
          <t>ORD00000237</t>
        </is>
      </c>
      <c r="E19" t="n">
        <v>3010.7</v>
      </c>
      <c r="F19" t="n">
        <v>2.5</v>
      </c>
      <c r="G19" t="n">
        <v>75.27</v>
      </c>
      <c r="H19" t="inlineStr">
        <is>
          <t>Card</t>
        </is>
      </c>
      <c r="I19" t="inlineStr">
        <is>
          <t>Success</t>
        </is>
      </c>
      <c r="J19" t="inlineStr">
        <is>
          <t>Delivered</t>
        </is>
      </c>
      <c r="K19" t="n">
        <v>0</v>
      </c>
      <c r="L19" t="n">
        <v>0</v>
      </c>
      <c r="M19" t="inlineStr">
        <is>
          <t>INR</t>
        </is>
      </c>
      <c r="N19" t="inlineStr">
        <is>
          <t>2024-08-02 01:22:02</t>
        </is>
      </c>
    </row>
    <row r="20">
      <c r="A20" t="inlineStr">
        <is>
          <t>TXN00010421</t>
        </is>
      </c>
      <c r="B20" t="inlineStr">
        <is>
          <t>MER00055</t>
        </is>
      </c>
      <c r="C20" s="8" t="n">
        <v>45546</v>
      </c>
      <c r="D20" t="inlineStr">
        <is>
          <t>ORD00010421</t>
        </is>
      </c>
      <c r="E20" t="n">
        <v>5197.04</v>
      </c>
      <c r="F20" t="n">
        <v>2.69</v>
      </c>
      <c r="G20" t="n">
        <v>139.8</v>
      </c>
      <c r="H20" t="inlineStr">
        <is>
          <t>Card</t>
        </is>
      </c>
      <c r="I20" t="inlineStr">
        <is>
          <t>Success</t>
        </is>
      </c>
      <c r="J20" t="inlineStr">
        <is>
          <t>Delivered</t>
        </is>
      </c>
      <c r="K20" t="n">
        <v>0</v>
      </c>
      <c r="L20" t="n">
        <v>0</v>
      </c>
      <c r="M20" t="inlineStr">
        <is>
          <t>INR</t>
        </is>
      </c>
      <c r="N20" t="inlineStr">
        <is>
          <t>2024-09-11 12:46:09</t>
        </is>
      </c>
    </row>
    <row r="21">
      <c r="A21" t="inlineStr">
        <is>
          <t>TXN00014177</t>
        </is>
      </c>
      <c r="B21" t="inlineStr">
        <is>
          <t>MER00055</t>
        </is>
      </c>
      <c r="C21" s="8" t="n">
        <v>45559</v>
      </c>
      <c r="D21" t="inlineStr">
        <is>
          <t>ORD00014177</t>
        </is>
      </c>
      <c r="E21" t="n">
        <v>3375.65</v>
      </c>
      <c r="F21" t="n">
        <v>2.69</v>
      </c>
      <c r="G21" t="n">
        <v>90.8</v>
      </c>
      <c r="H21" t="inlineStr">
        <is>
          <t>UPI</t>
        </is>
      </c>
      <c r="I21" t="inlineStr">
        <is>
          <t>Success</t>
        </is>
      </c>
      <c r="J21" t="inlineStr">
        <is>
          <t>Delivered</t>
        </is>
      </c>
      <c r="K21" t="n">
        <v>0</v>
      </c>
      <c r="L21" t="n">
        <v>0</v>
      </c>
      <c r="M21" t="inlineStr">
        <is>
          <t>INR</t>
        </is>
      </c>
      <c r="N21" t="inlineStr">
        <is>
          <t>2024-09-24 18:21:26</t>
        </is>
      </c>
    </row>
    <row r="22">
      <c r="A22" t="inlineStr">
        <is>
          <t>TXN00021523</t>
        </is>
      </c>
      <c r="B22" t="inlineStr">
        <is>
          <t>MER00055</t>
        </is>
      </c>
      <c r="C22" s="8" t="n">
        <v>45579</v>
      </c>
      <c r="D22" t="inlineStr">
        <is>
          <t>ORD00021523</t>
        </is>
      </c>
      <c r="E22" t="n">
        <v>4196.86</v>
      </c>
      <c r="F22" t="n">
        <v>2.69</v>
      </c>
      <c r="G22" t="n">
        <v>112.9</v>
      </c>
      <c r="H22" t="inlineStr">
        <is>
          <t>UPI</t>
        </is>
      </c>
      <c r="I22" t="inlineStr">
        <is>
          <t>Success</t>
        </is>
      </c>
      <c r="J22" t="inlineStr">
        <is>
          <t>Delivered</t>
        </is>
      </c>
      <c r="K22" t="n">
        <v>0</v>
      </c>
      <c r="L22" t="n">
        <v>0</v>
      </c>
      <c r="M22" t="inlineStr">
        <is>
          <t>INR</t>
        </is>
      </c>
      <c r="N22" t="inlineStr">
        <is>
          <t>2024-10-14 02:20:32</t>
        </is>
      </c>
    </row>
    <row r="23">
      <c r="A23" t="inlineStr">
        <is>
          <t>TXN00081300</t>
        </is>
      </c>
      <c r="B23" t="inlineStr">
        <is>
          <t>MER00055</t>
        </is>
      </c>
      <c r="C23" s="8" t="n">
        <v>45745</v>
      </c>
      <c r="D23" t="inlineStr">
        <is>
          <t>ORD00081300</t>
        </is>
      </c>
      <c r="E23" t="n">
        <v>3869.54</v>
      </c>
      <c r="F23" t="n">
        <v>2.69</v>
      </c>
      <c r="G23" t="n">
        <v>104.09</v>
      </c>
      <c r="H23" t="inlineStr">
        <is>
          <t>UPI</t>
        </is>
      </c>
      <c r="I23" t="inlineStr">
        <is>
          <t>Failed</t>
        </is>
      </c>
      <c r="J23" t="inlineStr">
        <is>
          <t>Processing</t>
        </is>
      </c>
      <c r="K23" t="n">
        <v>0</v>
      </c>
      <c r="L23" t="n">
        <v>0</v>
      </c>
      <c r="M23" t="inlineStr">
        <is>
          <t>INR</t>
        </is>
      </c>
      <c r="N23" t="inlineStr">
        <is>
          <t>2025-03-29 16:09:19</t>
        </is>
      </c>
    </row>
    <row r="24">
      <c r="A24" t="inlineStr">
        <is>
          <t>TXN00085778</t>
        </is>
      </c>
      <c r="B24" t="inlineStr">
        <is>
          <t>MER00055</t>
        </is>
      </c>
      <c r="C24" s="8" t="n">
        <v>45758</v>
      </c>
      <c r="D24" t="inlineStr">
        <is>
          <t>ORD00085778</t>
        </is>
      </c>
      <c r="E24" t="n">
        <v>3420.55</v>
      </c>
      <c r="F24" t="n">
        <v>2.69</v>
      </c>
      <c r="G24" t="n">
        <v>92.01000000000001</v>
      </c>
      <c r="H24" t="inlineStr">
        <is>
          <t>Card</t>
        </is>
      </c>
      <c r="I24" t="inlineStr">
        <is>
          <t>Success</t>
        </is>
      </c>
      <c r="J24" t="inlineStr">
        <is>
          <t>Delivered</t>
        </is>
      </c>
      <c r="K24" t="n">
        <v>0</v>
      </c>
      <c r="L24" t="n">
        <v>0</v>
      </c>
      <c r="M24" t="inlineStr">
        <is>
          <t>INR</t>
        </is>
      </c>
      <c r="N24" t="inlineStr">
        <is>
          <t>2025-04-11 04:05:15</t>
        </is>
      </c>
    </row>
    <row r="25">
      <c r="A25" t="inlineStr">
        <is>
          <t>TXN00096037</t>
        </is>
      </c>
      <c r="B25" t="inlineStr">
        <is>
          <t>MER00055</t>
        </is>
      </c>
      <c r="C25" s="8" t="n">
        <v>45790</v>
      </c>
      <c r="D25" t="inlineStr">
        <is>
          <t>ORD00096037</t>
        </is>
      </c>
      <c r="E25" t="n">
        <v>2168.89</v>
      </c>
      <c r="F25" t="n">
        <v>2.69</v>
      </c>
      <c r="G25" t="n">
        <v>58.34</v>
      </c>
      <c r="H25" t="inlineStr">
        <is>
          <t>UPI</t>
        </is>
      </c>
      <c r="I25" t="inlineStr">
        <is>
          <t>Success</t>
        </is>
      </c>
      <c r="J25" t="inlineStr">
        <is>
          <t>Processing</t>
        </is>
      </c>
      <c r="K25" t="n">
        <v>0</v>
      </c>
      <c r="L25" t="n">
        <v>0</v>
      </c>
      <c r="M25" t="inlineStr">
        <is>
          <t>INR</t>
        </is>
      </c>
      <c r="N25" t="inlineStr">
        <is>
          <t>2025-05-13 12:50:07</t>
        </is>
      </c>
    </row>
    <row r="26">
      <c r="A26" t="inlineStr">
        <is>
          <t>TXN00120250</t>
        </is>
      </c>
      <c r="B26" t="inlineStr">
        <is>
          <t>MER00055</t>
        </is>
      </c>
      <c r="C26" s="8" t="n">
        <v>45862</v>
      </c>
      <c r="D26" t="inlineStr">
        <is>
          <t>ORD00120250</t>
        </is>
      </c>
      <c r="E26" t="n">
        <v>3906.49</v>
      </c>
      <c r="F26" t="n">
        <v>2.69</v>
      </c>
      <c r="G26" t="n">
        <v>105.08</v>
      </c>
      <c r="H26" t="inlineStr">
        <is>
          <t>Card</t>
        </is>
      </c>
      <c r="I26" t="inlineStr">
        <is>
          <t>Success</t>
        </is>
      </c>
      <c r="J26" t="inlineStr">
        <is>
          <t>Returned</t>
        </is>
      </c>
      <c r="K26" t="n">
        <v>3906.49</v>
      </c>
      <c r="L26" t="n">
        <v>655.37</v>
      </c>
      <c r="M26" t="inlineStr">
        <is>
          <t>INR</t>
        </is>
      </c>
      <c r="N26" t="inlineStr">
        <is>
          <t>2025-07-24 12:49:15</t>
        </is>
      </c>
    </row>
    <row r="27">
      <c r="A27" t="inlineStr">
        <is>
          <t>TXN00132566</t>
        </is>
      </c>
      <c r="B27" t="inlineStr">
        <is>
          <t>MER00055</t>
        </is>
      </c>
      <c r="C27" s="8" t="n">
        <v>45899</v>
      </c>
      <c r="D27" t="inlineStr">
        <is>
          <t>ORD00132566</t>
        </is>
      </c>
      <c r="E27" t="n">
        <v>4459.95</v>
      </c>
      <c r="F27" t="n">
        <v>2.69</v>
      </c>
      <c r="G27" t="n">
        <v>119.97</v>
      </c>
      <c r="H27" t="inlineStr">
        <is>
          <t>UPI</t>
        </is>
      </c>
      <c r="I27" t="inlineStr">
        <is>
          <t>Success</t>
        </is>
      </c>
      <c r="J27" t="inlineStr">
        <is>
          <t>Delivered</t>
        </is>
      </c>
      <c r="K27" t="n">
        <v>0</v>
      </c>
      <c r="L27" t="n">
        <v>0</v>
      </c>
      <c r="M27" t="inlineStr">
        <is>
          <t>INR</t>
        </is>
      </c>
      <c r="N27" t="inlineStr">
        <is>
          <t>2025-08-30 00:05:27</t>
        </is>
      </c>
    </row>
    <row r="28">
      <c r="A28" t="inlineStr">
        <is>
          <t>TXN00140523</t>
        </is>
      </c>
      <c r="B28" t="inlineStr">
        <is>
          <t>MER00055</t>
        </is>
      </c>
      <c r="C28" s="8" t="n">
        <v>45922</v>
      </c>
      <c r="D28" t="inlineStr">
        <is>
          <t>ORD00140523</t>
        </is>
      </c>
      <c r="E28" t="n">
        <v>1887.1</v>
      </c>
      <c r="F28" t="n">
        <v>2.69</v>
      </c>
      <c r="G28" t="n">
        <v>50.76</v>
      </c>
      <c r="H28" t="inlineStr">
        <is>
          <t>COD</t>
        </is>
      </c>
      <c r="I28" t="inlineStr">
        <is>
          <t>Success</t>
        </is>
      </c>
      <c r="J28" t="inlineStr">
        <is>
          <t>Delivered</t>
        </is>
      </c>
      <c r="K28" t="n">
        <v>0</v>
      </c>
      <c r="L28" t="n">
        <v>0</v>
      </c>
      <c r="M28" t="inlineStr">
        <is>
          <t>INR</t>
        </is>
      </c>
      <c r="N28" t="inlineStr">
        <is>
          <t>2025-09-22 06:42:12</t>
        </is>
      </c>
    </row>
    <row r="29">
      <c r="A29" t="inlineStr">
        <is>
          <t>TXN00142355</t>
        </is>
      </c>
      <c r="B29" t="inlineStr">
        <is>
          <t>MER00055</t>
        </is>
      </c>
      <c r="C29" s="8" t="n">
        <v>45927</v>
      </c>
      <c r="D29" t="inlineStr">
        <is>
          <t>ORD00142355</t>
        </is>
      </c>
      <c r="E29" t="n">
        <v>2394.18</v>
      </c>
      <c r="F29" t="n">
        <v>2.69</v>
      </c>
      <c r="G29" t="n">
        <v>64.40000000000001</v>
      </c>
      <c r="H29" t="inlineStr">
        <is>
          <t>NetBanking</t>
        </is>
      </c>
      <c r="I29" t="inlineStr">
        <is>
          <t>Success</t>
        </is>
      </c>
      <c r="J29" t="inlineStr">
        <is>
          <t>Delivered</t>
        </is>
      </c>
      <c r="K29" t="n">
        <v>0</v>
      </c>
      <c r="L29" t="n">
        <v>0</v>
      </c>
      <c r="M29" t="inlineStr">
        <is>
          <t>INR</t>
        </is>
      </c>
      <c r="N29" t="inlineStr">
        <is>
          <t>2025-09-27 01:25:33</t>
        </is>
      </c>
    </row>
    <row r="30">
      <c r="A30" t="inlineStr">
        <is>
          <t>TXN00152542</t>
        </is>
      </c>
      <c r="B30" t="inlineStr">
        <is>
          <t>MER00055</t>
        </is>
      </c>
      <c r="C30" s="8" t="n">
        <v>45950</v>
      </c>
      <c r="D30" t="inlineStr">
        <is>
          <t>ORD00152542</t>
        </is>
      </c>
      <c r="E30" t="n">
        <v>8496.18</v>
      </c>
      <c r="F30" t="n">
        <v>3</v>
      </c>
      <c r="G30" t="n">
        <v>228.55</v>
      </c>
      <c r="H30" t="inlineStr">
        <is>
          <t>NetBanking</t>
        </is>
      </c>
      <c r="I30" t="inlineStr">
        <is>
          <t>Success</t>
        </is>
      </c>
      <c r="J30" t="inlineStr">
        <is>
          <t>Delivered</t>
        </is>
      </c>
      <c r="K30" t="n">
        <v>0</v>
      </c>
      <c r="L30" t="n">
        <v>920.36</v>
      </c>
      <c r="M30" t="inlineStr">
        <is>
          <t>INR</t>
        </is>
      </c>
      <c r="N30" t="inlineStr">
        <is>
          <t>2025-10-20 03:37:01</t>
        </is>
      </c>
    </row>
    <row r="31">
      <c r="A31" t="inlineStr">
        <is>
          <t>TXN00152577</t>
        </is>
      </c>
      <c r="B31" t="inlineStr">
        <is>
          <t>MER00055</t>
        </is>
      </c>
      <c r="C31" s="8" t="n">
        <v>45950</v>
      </c>
      <c r="D31" t="inlineStr">
        <is>
          <t>ORD00152577</t>
        </is>
      </c>
      <c r="E31" t="n">
        <v>2010.18</v>
      </c>
      <c r="F31" t="n">
        <v>2.69</v>
      </c>
      <c r="G31" t="n">
        <v>54.07</v>
      </c>
      <c r="H31" t="inlineStr">
        <is>
          <t>UPI</t>
        </is>
      </c>
      <c r="I31" t="inlineStr">
        <is>
          <t>Success</t>
        </is>
      </c>
      <c r="J31" t="inlineStr">
        <is>
          <t>Delivered</t>
        </is>
      </c>
      <c r="K31" t="n">
        <v>0</v>
      </c>
      <c r="L31" t="n">
        <v>159.94</v>
      </c>
      <c r="M31" t="inlineStr">
        <is>
          <t>INR</t>
        </is>
      </c>
      <c r="N31" t="inlineStr">
        <is>
          <t>2025-10-20 00:02:04</t>
        </is>
      </c>
    </row>
    <row r="32">
      <c r="A32" t="inlineStr">
        <is>
          <t>TXN00156102</t>
        </is>
      </c>
      <c r="B32" t="inlineStr">
        <is>
          <t>MER00055</t>
        </is>
      </c>
      <c r="C32" s="8" t="n">
        <v>45957</v>
      </c>
      <c r="D32" t="inlineStr">
        <is>
          <t>ORD00156102</t>
        </is>
      </c>
      <c r="E32" t="n">
        <v>544.29</v>
      </c>
      <c r="F32" t="n">
        <v>2.69</v>
      </c>
      <c r="G32" t="n">
        <v>14.64</v>
      </c>
      <c r="H32" t="inlineStr">
        <is>
          <t>Card</t>
        </is>
      </c>
      <c r="I32" t="inlineStr">
        <is>
          <t>Failed</t>
        </is>
      </c>
      <c r="J32" t="inlineStr">
        <is>
          <t>Cancelled</t>
        </is>
      </c>
      <c r="K32" t="n">
        <v>0</v>
      </c>
      <c r="L32" t="n">
        <v>0</v>
      </c>
      <c r="M32" t="inlineStr">
        <is>
          <t>INR</t>
        </is>
      </c>
      <c r="N32" t="inlineStr">
        <is>
          <t>2025-10-27 00:20:25</t>
        </is>
      </c>
    </row>
    <row r="33">
      <c r="A33" t="inlineStr">
        <is>
          <t>TXN00163815</t>
        </is>
      </c>
      <c r="B33" t="inlineStr">
        <is>
          <t>MER00055</t>
        </is>
      </c>
      <c r="C33" s="8" t="n">
        <v>45972</v>
      </c>
      <c r="D33" t="inlineStr">
        <is>
          <t>ORD00163815</t>
        </is>
      </c>
      <c r="E33" t="n">
        <v>3004.52</v>
      </c>
      <c r="F33" t="n">
        <v>2.27</v>
      </c>
      <c r="G33" t="n">
        <v>80.81999999999999</v>
      </c>
      <c r="H33" t="inlineStr">
        <is>
          <t>UPI</t>
        </is>
      </c>
      <c r="I33" t="inlineStr">
        <is>
          <t>Success</t>
        </is>
      </c>
      <c r="J33" t="inlineStr">
        <is>
          <t>Returned</t>
        </is>
      </c>
      <c r="K33" t="n">
        <v>3004.52</v>
      </c>
      <c r="L33" t="n">
        <v>0</v>
      </c>
      <c r="M33" t="inlineStr">
        <is>
          <t>INR</t>
        </is>
      </c>
      <c r="N33" t="inlineStr">
        <is>
          <t>2025-11-11 22:50:50</t>
        </is>
      </c>
    </row>
    <row r="34">
      <c r="A34" t="inlineStr">
        <is>
          <t>TXN00169033</t>
        </is>
      </c>
      <c r="B34" t="inlineStr">
        <is>
          <t>MER00055</t>
        </is>
      </c>
      <c r="C34" s="8" t="n">
        <v>45981</v>
      </c>
      <c r="D34" t="inlineStr">
        <is>
          <t>ORD00169033</t>
        </is>
      </c>
      <c r="E34" t="n">
        <v>3185.72</v>
      </c>
      <c r="F34" t="n">
        <v>2.69</v>
      </c>
      <c r="G34" t="n">
        <v>85.7</v>
      </c>
      <c r="H34" t="inlineStr">
        <is>
          <t>COD</t>
        </is>
      </c>
      <c r="I34" t="inlineStr">
        <is>
          <t>Success</t>
        </is>
      </c>
      <c r="J34" t="inlineStr">
        <is>
          <t>Delivered</t>
        </is>
      </c>
      <c r="K34" t="n">
        <v>0</v>
      </c>
      <c r="L34" t="n">
        <v>0</v>
      </c>
      <c r="M34" t="inlineStr">
        <is>
          <t>INR</t>
        </is>
      </c>
      <c r="N34" t="inlineStr">
        <is>
          <t>2025-11-20 02:46:50</t>
        </is>
      </c>
    </row>
    <row r="35">
      <c r="A35" t="inlineStr">
        <is>
          <t>TXN00180027</t>
        </is>
      </c>
      <c r="B35" t="inlineStr">
        <is>
          <t>MER00055</t>
        </is>
      </c>
      <c r="C35" s="8" t="n">
        <v>46006</v>
      </c>
      <c r="D35" t="inlineStr">
        <is>
          <t>ORD00180027</t>
        </is>
      </c>
      <c r="E35" t="n">
        <v>10529.09</v>
      </c>
      <c r="F35" t="n">
        <v>2.69</v>
      </c>
      <c r="G35" t="n">
        <v>283.23</v>
      </c>
      <c r="H35" t="inlineStr">
        <is>
          <t>UPI</t>
        </is>
      </c>
      <c r="I35" t="inlineStr">
        <is>
          <t>Success</t>
        </is>
      </c>
      <c r="J35" t="inlineStr">
        <is>
          <t>Delivered</t>
        </is>
      </c>
      <c r="K35" t="n">
        <v>0</v>
      </c>
      <c r="L35" t="n">
        <v>0</v>
      </c>
      <c r="M35" t="inlineStr">
        <is>
          <t>INR</t>
        </is>
      </c>
      <c r="N35" t="inlineStr">
        <is>
          <t>2025-12-15 13:48:27</t>
        </is>
      </c>
    </row>
    <row r="36">
      <c r="A36" t="inlineStr">
        <is>
          <t>TXN00181450</t>
        </is>
      </c>
      <c r="B36" t="inlineStr">
        <is>
          <t>MER00055</t>
        </is>
      </c>
      <c r="C36" s="8" t="n">
        <v>46010</v>
      </c>
      <c r="D36" t="inlineStr">
        <is>
          <t>ORD00181450</t>
        </is>
      </c>
      <c r="E36" t="n">
        <v>4959.47</v>
      </c>
      <c r="F36" t="n">
        <v>2.69</v>
      </c>
      <c r="G36" t="n">
        <v>133.41</v>
      </c>
      <c r="H36" t="inlineStr">
        <is>
          <t>Wallet</t>
        </is>
      </c>
      <c r="I36" t="inlineStr">
        <is>
          <t>Success</t>
        </is>
      </c>
      <c r="J36" t="inlineStr">
        <is>
          <t>Delivered</t>
        </is>
      </c>
      <c r="K36" t="n">
        <v>0</v>
      </c>
      <c r="L36" t="n">
        <v>0</v>
      </c>
      <c r="M36" t="inlineStr">
        <is>
          <t>INR</t>
        </is>
      </c>
      <c r="N36" t="inlineStr">
        <is>
          <t>2025-12-19 12:56:51</t>
        </is>
      </c>
    </row>
    <row r="37">
      <c r="A37" t="inlineStr">
        <is>
          <t>TXN00183553</t>
        </is>
      </c>
      <c r="B37" t="inlineStr">
        <is>
          <t>MER00055</t>
        </is>
      </c>
      <c r="C37" s="8" t="n">
        <v>46015</v>
      </c>
      <c r="D37" t="inlineStr">
        <is>
          <t>ORD00183553</t>
        </is>
      </c>
      <c r="E37" t="n">
        <v>5359.89</v>
      </c>
      <c r="F37" t="n">
        <v>2.69</v>
      </c>
      <c r="G37" t="n">
        <v>144.18</v>
      </c>
      <c r="H37" t="inlineStr">
        <is>
          <t>UPI</t>
        </is>
      </c>
      <c r="I37" t="inlineStr">
        <is>
          <t>Failed</t>
        </is>
      </c>
      <c r="J37" t="inlineStr">
        <is>
          <t>Cancelled</t>
        </is>
      </c>
      <c r="K37" t="n">
        <v>0</v>
      </c>
      <c r="L37" t="n">
        <v>0</v>
      </c>
      <c r="M37" t="inlineStr">
        <is>
          <t>INR</t>
        </is>
      </c>
      <c r="N37" t="inlineStr">
        <is>
          <t>2025-12-24 00:57:00</t>
        </is>
      </c>
    </row>
    <row r="38">
      <c r="A38" t="inlineStr">
        <is>
          <t>TXN00218200</t>
        </is>
      </c>
      <c r="B38" t="inlineStr">
        <is>
          <t>MER00055</t>
        </is>
      </c>
      <c r="C38" s="8" t="n">
        <v>46099</v>
      </c>
      <c r="D38" t="inlineStr">
        <is>
          <t>ORD00218200</t>
        </is>
      </c>
      <c r="E38" t="n">
        <v>7223.32</v>
      </c>
      <c r="F38" t="n">
        <v>2.69</v>
      </c>
      <c r="G38" t="n">
        <v>194.31</v>
      </c>
      <c r="H38" t="inlineStr">
        <is>
          <t>UPI</t>
        </is>
      </c>
      <c r="I38" t="inlineStr">
        <is>
          <t>Success</t>
        </is>
      </c>
      <c r="J38" t="inlineStr">
        <is>
          <t>Delivered</t>
        </is>
      </c>
      <c r="K38" t="n">
        <v>0</v>
      </c>
      <c r="L38" t="n">
        <v>0</v>
      </c>
      <c r="M38" t="inlineStr">
        <is>
          <t>INR</t>
        </is>
      </c>
      <c r="N38" t="inlineStr">
        <is>
          <t>2026-03-18 20:36:13</t>
        </is>
      </c>
    </row>
    <row r="39">
      <c r="A39" t="inlineStr">
        <is>
          <t>TXN00225647</t>
        </is>
      </c>
      <c r="B39" t="inlineStr">
        <is>
          <t>MER00055</t>
        </is>
      </c>
      <c r="C39" s="8" t="n">
        <v>46119</v>
      </c>
      <c r="D39" t="inlineStr">
        <is>
          <t>ORD00225647</t>
        </is>
      </c>
      <c r="E39" t="n">
        <v>4763.18</v>
      </c>
      <c r="F39" t="n">
        <v>2.69</v>
      </c>
      <c r="G39" t="n">
        <v>128.13</v>
      </c>
      <c r="H39" t="inlineStr">
        <is>
          <t>UPI</t>
        </is>
      </c>
      <c r="I39" t="inlineStr">
        <is>
          <t>Success</t>
        </is>
      </c>
      <c r="J39" t="inlineStr">
        <is>
          <t>Cancelled</t>
        </is>
      </c>
      <c r="K39" t="n">
        <v>4508.73</v>
      </c>
      <c r="L39" t="n">
        <v>0</v>
      </c>
      <c r="M39" t="inlineStr">
        <is>
          <t>INR</t>
        </is>
      </c>
      <c r="N39" t="inlineStr">
        <is>
          <t>2026-04-07 21:24:57</t>
        </is>
      </c>
    </row>
    <row r="40">
      <c r="A40" t="inlineStr">
        <is>
          <t>TXN00229276</t>
        </is>
      </c>
      <c r="B40" t="inlineStr">
        <is>
          <t>MER00055</t>
        </is>
      </c>
      <c r="C40" s="8" t="n">
        <v>46129</v>
      </c>
      <c r="D40" t="inlineStr">
        <is>
          <t>ORD00229276</t>
        </is>
      </c>
      <c r="E40" t="n">
        <v>2137.02</v>
      </c>
      <c r="F40" t="n">
        <v>2.69</v>
      </c>
      <c r="G40" t="n">
        <v>57.49</v>
      </c>
      <c r="H40" t="inlineStr">
        <is>
          <t>Card</t>
        </is>
      </c>
      <c r="I40" t="inlineStr">
        <is>
          <t>Success</t>
        </is>
      </c>
      <c r="J40" t="inlineStr">
        <is>
          <t>Delivered</t>
        </is>
      </c>
      <c r="K40" t="n">
        <v>0</v>
      </c>
      <c r="L40" t="n">
        <v>0</v>
      </c>
      <c r="M40" t="inlineStr">
        <is>
          <t>INR</t>
        </is>
      </c>
      <c r="N40" t="inlineStr">
        <is>
          <t>2026-04-17 07:52:52</t>
        </is>
      </c>
    </row>
    <row r="41">
      <c r="A41" t="inlineStr">
        <is>
          <t>TXN00249672</t>
        </is>
      </c>
      <c r="B41" t="inlineStr">
        <is>
          <t>MER00055</t>
        </is>
      </c>
      <c r="C41" s="8" t="n">
        <v>46182</v>
      </c>
      <c r="D41" t="inlineStr">
        <is>
          <t>ORD00249672</t>
        </is>
      </c>
      <c r="E41" t="n">
        <v>7531.03</v>
      </c>
      <c r="F41" t="n">
        <v>2.69</v>
      </c>
      <c r="G41" t="n">
        <v>202.58</v>
      </c>
      <c r="H41" t="inlineStr">
        <is>
          <t>UPI</t>
        </is>
      </c>
      <c r="I41" t="inlineStr">
        <is>
          <t>Success</t>
        </is>
      </c>
      <c r="J41" t="inlineStr">
        <is>
          <t>Delivered</t>
        </is>
      </c>
      <c r="K41" t="n">
        <v>0</v>
      </c>
      <c r="L41" t="n">
        <v>0</v>
      </c>
      <c r="M41" t="inlineStr">
        <is>
          <t>INR</t>
        </is>
      </c>
      <c r="N41" t="inlineStr">
        <is>
          <t>2026-06-09 16:01:11</t>
        </is>
      </c>
    </row>
    <row r="42">
      <c r="A42" t="inlineStr">
        <is>
          <t>TXN00255672</t>
        </is>
      </c>
      <c r="B42" t="inlineStr">
        <is>
          <t>MER00055</t>
        </is>
      </c>
      <c r="C42" s="8" t="n">
        <v>46197</v>
      </c>
      <c r="D42" t="inlineStr">
        <is>
          <t>ORD00255672</t>
        </is>
      </c>
      <c r="E42" t="n">
        <v>7015.71</v>
      </c>
      <c r="F42" t="n">
        <v>2.69</v>
      </c>
      <c r="G42" t="n">
        <v>188.72</v>
      </c>
      <c r="H42" t="inlineStr">
        <is>
          <t>UPI</t>
        </is>
      </c>
      <c r="I42" t="inlineStr">
        <is>
          <t>Success</t>
        </is>
      </c>
      <c r="J42" t="inlineStr">
        <is>
          <t>Delivered</t>
        </is>
      </c>
      <c r="K42" t="n">
        <v>0</v>
      </c>
      <c r="L42" t="n">
        <v>0</v>
      </c>
      <c r="M42" t="inlineStr">
        <is>
          <t>INR</t>
        </is>
      </c>
      <c r="N42" t="inlineStr">
        <is>
          <t>2026-06-24 23:57:01</t>
        </is>
      </c>
    </row>
    <row r="43">
      <c r="A43" t="inlineStr">
        <is>
          <t>TXN00262657</t>
        </is>
      </c>
      <c r="B43" t="inlineStr">
        <is>
          <t>MER00055</t>
        </is>
      </c>
      <c r="C43" s="8" t="n">
        <v>46215</v>
      </c>
      <c r="D43" t="inlineStr">
        <is>
          <t>ORD00262657</t>
        </is>
      </c>
      <c r="E43" t="n">
        <v>6463.26</v>
      </c>
      <c r="F43" t="n">
        <v>2.69</v>
      </c>
      <c r="G43" t="n">
        <v>173.86</v>
      </c>
      <c r="H43" t="inlineStr">
        <is>
          <t>Wallet</t>
        </is>
      </c>
      <c r="I43" t="inlineStr">
        <is>
          <t>Success</t>
        </is>
      </c>
      <c r="J43" t="inlineStr">
        <is>
          <t>Delivered</t>
        </is>
      </c>
      <c r="K43" t="n">
        <v>0</v>
      </c>
      <c r="L43" t="n">
        <v>0</v>
      </c>
      <c r="M43" t="inlineStr">
        <is>
          <t>INR</t>
        </is>
      </c>
      <c r="N43" t="inlineStr">
        <is>
          <t>2026-07-12 14:12:30</t>
        </is>
      </c>
    </row>
    <row r="44">
      <c r="A44" t="inlineStr">
        <is>
          <t>TXN00266424</t>
        </is>
      </c>
      <c r="B44" t="inlineStr">
        <is>
          <t>MER00055</t>
        </is>
      </c>
      <c r="C44" s="8" t="n">
        <v>46224</v>
      </c>
      <c r="D44" t="inlineStr">
        <is>
          <t>ORD00266424</t>
        </is>
      </c>
      <c r="E44" t="n">
        <v>2187.42</v>
      </c>
      <c r="F44" t="n">
        <v>2.69</v>
      </c>
      <c r="G44" t="n">
        <v>58.84</v>
      </c>
      <c r="H44" t="inlineStr">
        <is>
          <t>UPI</t>
        </is>
      </c>
      <c r="I44" t="inlineStr">
        <is>
          <t>Success</t>
        </is>
      </c>
      <c r="J44" t="inlineStr">
        <is>
          <t>Delivered</t>
        </is>
      </c>
      <c r="K44" t="n">
        <v>0</v>
      </c>
      <c r="L44" t="n">
        <v>0</v>
      </c>
      <c r="M44" t="inlineStr">
        <is>
          <t>INR</t>
        </is>
      </c>
      <c r="N44" t="inlineStr">
        <is>
          <t>2026-07-21 08:45:03</t>
        </is>
      </c>
    </row>
    <row r="45">
      <c r="A45" t="inlineStr">
        <is>
          <t>TXN00269683</t>
        </is>
      </c>
      <c r="B45" t="inlineStr">
        <is>
          <t>MER00055</t>
        </is>
      </c>
      <c r="C45" s="8" t="n">
        <v>46232</v>
      </c>
      <c r="D45" t="inlineStr">
        <is>
          <t>ORD00269683</t>
        </is>
      </c>
      <c r="E45" t="n">
        <v>2051.18</v>
      </c>
      <c r="F45" t="n">
        <v>2.69</v>
      </c>
      <c r="G45" t="n">
        <v>55.18</v>
      </c>
      <c r="H45" t="inlineStr">
        <is>
          <t>UPI</t>
        </is>
      </c>
      <c r="I45" t="inlineStr">
        <is>
          <t>Success</t>
        </is>
      </c>
      <c r="J45" t="inlineStr">
        <is>
          <t>Delivered</t>
        </is>
      </c>
      <c r="K45" t="n">
        <v>0</v>
      </c>
      <c r="L45" t="n">
        <v>140.89</v>
      </c>
      <c r="M45" t="inlineStr">
        <is>
          <t>INR</t>
        </is>
      </c>
      <c r="N45" t="inlineStr">
        <is>
          <t>2026-07-29 20:05:37</t>
        </is>
      </c>
    </row>
    <row r="46">
      <c r="A46" t="inlineStr">
        <is>
          <t>TXN00007868</t>
        </is>
      </c>
      <c r="B46" t="inlineStr">
        <is>
          <t>MER00074</t>
        </is>
      </c>
      <c r="C46" s="8" t="n">
        <v>45537</v>
      </c>
      <c r="D46" t="inlineStr">
        <is>
          <t>ORD00007868</t>
        </is>
      </c>
      <c r="E46" t="n">
        <v>8520.450000000001</v>
      </c>
      <c r="F46" t="n">
        <v>1.92</v>
      </c>
      <c r="G46" t="n">
        <v>163.59</v>
      </c>
      <c r="H46" t="inlineStr">
        <is>
          <t>UPI</t>
        </is>
      </c>
      <c r="I46" t="inlineStr">
        <is>
          <t>Success</t>
        </is>
      </c>
      <c r="J46" t="inlineStr">
        <is>
          <t>Processing</t>
        </is>
      </c>
      <c r="K46" t="n">
        <v>0</v>
      </c>
      <c r="L46" t="n">
        <v>0</v>
      </c>
      <c r="M46" t="inlineStr">
        <is>
          <t>INR</t>
        </is>
      </c>
      <c r="N46" t="inlineStr">
        <is>
          <t>2024-09-02 04:37:56</t>
        </is>
      </c>
    </row>
    <row r="47">
      <c r="A47" t="inlineStr">
        <is>
          <t>TXN00043098</t>
        </is>
      </c>
      <c r="B47" t="inlineStr">
        <is>
          <t>MER00074</t>
        </is>
      </c>
      <c r="C47" s="8" t="n">
        <v>45631</v>
      </c>
      <c r="D47" t="inlineStr">
        <is>
          <t>ORD00043098</t>
        </is>
      </c>
      <c r="E47" t="n">
        <v>6974.43</v>
      </c>
      <c r="F47" t="n">
        <v>1.92</v>
      </c>
      <c r="G47" t="n">
        <v>133.91</v>
      </c>
      <c r="H47" t="inlineStr">
        <is>
          <t>UPI</t>
        </is>
      </c>
      <c r="I47" t="inlineStr">
        <is>
          <t>Success</t>
        </is>
      </c>
      <c r="J47" t="inlineStr">
        <is>
          <t>Delivered</t>
        </is>
      </c>
      <c r="K47" t="n">
        <v>0</v>
      </c>
      <c r="L47" t="n">
        <v>0</v>
      </c>
      <c r="M47" t="inlineStr">
        <is>
          <t>INR</t>
        </is>
      </c>
      <c r="N47" t="inlineStr">
        <is>
          <t>2024-12-05 03:34:40</t>
        </is>
      </c>
    </row>
    <row r="48">
      <c r="A48" t="inlineStr">
        <is>
          <t>TXN00046864</t>
        </is>
      </c>
      <c r="B48" t="inlineStr">
        <is>
          <t>MER00074</t>
        </is>
      </c>
      <c r="C48" s="8" t="n">
        <v>45643</v>
      </c>
      <c r="D48" t="inlineStr">
        <is>
          <t>ORD00046864</t>
        </is>
      </c>
      <c r="E48" t="n">
        <v>11648.83</v>
      </c>
      <c r="F48" t="n">
        <v>1.92</v>
      </c>
      <c r="G48" t="n">
        <v>223.66</v>
      </c>
      <c r="H48" t="inlineStr">
        <is>
          <t>Card</t>
        </is>
      </c>
      <c r="I48" t="inlineStr">
        <is>
          <t>Success</t>
        </is>
      </c>
      <c r="J48" t="inlineStr">
        <is>
          <t>Delivered</t>
        </is>
      </c>
      <c r="K48" t="n">
        <v>0</v>
      </c>
      <c r="L48" t="n">
        <v>0</v>
      </c>
      <c r="M48" t="inlineStr">
        <is>
          <t>INR</t>
        </is>
      </c>
      <c r="N48" t="inlineStr">
        <is>
          <t>2024-12-17 21:50:25</t>
        </is>
      </c>
    </row>
    <row r="49">
      <c r="A49" t="inlineStr">
        <is>
          <t>TXN00051183</t>
        </is>
      </c>
      <c r="B49" t="inlineStr">
        <is>
          <t>MER00074</t>
        </is>
      </c>
      <c r="C49" s="8" t="n">
        <v>45657</v>
      </c>
      <c r="D49" t="inlineStr">
        <is>
          <t>ORD00051183</t>
        </is>
      </c>
      <c r="E49" t="n">
        <v>4608.01</v>
      </c>
      <c r="F49" t="n">
        <v>1.92</v>
      </c>
      <c r="G49" t="n">
        <v>88.47</v>
      </c>
      <c r="H49" t="inlineStr">
        <is>
          <t>UPI</t>
        </is>
      </c>
      <c r="I49" t="inlineStr">
        <is>
          <t>Success</t>
        </is>
      </c>
      <c r="J49" t="inlineStr">
        <is>
          <t>Delivered</t>
        </is>
      </c>
      <c r="K49" t="n">
        <v>0</v>
      </c>
      <c r="L49" t="n">
        <v>0</v>
      </c>
      <c r="M49" t="inlineStr">
        <is>
          <t>INR</t>
        </is>
      </c>
      <c r="N49" t="inlineStr">
        <is>
          <t>2024-12-31 08:20:22</t>
        </is>
      </c>
    </row>
    <row r="50">
      <c r="A50" t="inlineStr">
        <is>
          <t>TXN00070049</t>
        </is>
      </c>
      <c r="B50" t="inlineStr">
        <is>
          <t>MER00074</t>
        </is>
      </c>
      <c r="C50" s="8" t="n">
        <v>45710</v>
      </c>
      <c r="D50" t="inlineStr">
        <is>
          <t>ORD00070049</t>
        </is>
      </c>
      <c r="E50" t="n">
        <v>6954.95</v>
      </c>
      <c r="F50" t="n">
        <v>1.57</v>
      </c>
      <c r="G50" t="n">
        <v>133.54</v>
      </c>
      <c r="H50" t="inlineStr">
        <is>
          <t>UPI</t>
        </is>
      </c>
      <c r="I50" t="inlineStr">
        <is>
          <t>Success</t>
        </is>
      </c>
      <c r="J50" t="inlineStr">
        <is>
          <t>Delivered</t>
        </is>
      </c>
      <c r="K50" t="n">
        <v>0</v>
      </c>
      <c r="L50" t="n">
        <v>0</v>
      </c>
      <c r="M50" t="inlineStr">
        <is>
          <t>INR</t>
        </is>
      </c>
      <c r="N50" t="inlineStr">
        <is>
          <t>2025-02-22 00:09:32</t>
        </is>
      </c>
    </row>
    <row r="51">
      <c r="A51" t="inlineStr">
        <is>
          <t>TXN00074788</t>
        </is>
      </c>
      <c r="B51" t="inlineStr">
        <is>
          <t>MER00074</t>
        </is>
      </c>
      <c r="C51" s="8" t="n">
        <v>45724</v>
      </c>
      <c r="D51" t="inlineStr">
        <is>
          <t>ORD00074788</t>
        </is>
      </c>
      <c r="E51" t="n">
        <v>4921.24</v>
      </c>
      <c r="F51" t="n">
        <v>1.92</v>
      </c>
      <c r="G51" t="n">
        <v>94.48999999999999</v>
      </c>
      <c r="H51" t="inlineStr">
        <is>
          <t>Card</t>
        </is>
      </c>
      <c r="I51" t="inlineStr">
        <is>
          <t>Success</t>
        </is>
      </c>
      <c r="J51" t="inlineStr">
        <is>
          <t>Processing</t>
        </is>
      </c>
      <c r="K51" t="n">
        <v>0</v>
      </c>
      <c r="L51" t="n">
        <v>0</v>
      </c>
      <c r="M51" t="inlineStr">
        <is>
          <t>INR</t>
        </is>
      </c>
      <c r="N51" t="inlineStr">
        <is>
          <t>2025-03-08 14:49:31</t>
        </is>
      </c>
    </row>
    <row r="52">
      <c r="A52" t="inlineStr">
        <is>
          <t>TXN00075166</t>
        </is>
      </c>
      <c r="B52" t="inlineStr">
        <is>
          <t>MER00074</t>
        </is>
      </c>
      <c r="C52" s="8" t="n">
        <v>45725</v>
      </c>
      <c r="D52" t="inlineStr">
        <is>
          <t>ORD00075166</t>
        </is>
      </c>
      <c r="E52" t="n">
        <v>8228.66</v>
      </c>
      <c r="F52" t="n">
        <v>1.43</v>
      </c>
      <c r="G52" t="n">
        <v>157.99</v>
      </c>
      <c r="H52" t="inlineStr">
        <is>
          <t>Card</t>
        </is>
      </c>
      <c r="I52" t="inlineStr">
        <is>
          <t>Success</t>
        </is>
      </c>
      <c r="J52" t="inlineStr">
        <is>
          <t>Processing</t>
        </is>
      </c>
      <c r="K52" t="n">
        <v>0</v>
      </c>
      <c r="L52" t="n">
        <v>0</v>
      </c>
      <c r="M52" t="inlineStr">
        <is>
          <t>INR</t>
        </is>
      </c>
      <c r="N52" t="inlineStr">
        <is>
          <t>2025-03-09 16:55:11</t>
        </is>
      </c>
    </row>
    <row r="53">
      <c r="A53" t="inlineStr">
        <is>
          <t>TXN00087094</t>
        </is>
      </c>
      <c r="B53" t="inlineStr">
        <is>
          <t>MER00074</t>
        </is>
      </c>
      <c r="C53" s="8" t="n">
        <v>45762</v>
      </c>
      <c r="D53" t="inlineStr">
        <is>
          <t>ORD00087094</t>
        </is>
      </c>
      <c r="E53" t="n">
        <v>7648.56</v>
      </c>
      <c r="F53" t="n">
        <v>1.92</v>
      </c>
      <c r="G53" t="n">
        <v>146.85</v>
      </c>
      <c r="H53" t="inlineStr">
        <is>
          <t>UPI</t>
        </is>
      </c>
      <c r="I53" t="inlineStr">
        <is>
          <t>Success</t>
        </is>
      </c>
      <c r="J53" t="inlineStr">
        <is>
          <t>Returned</t>
        </is>
      </c>
      <c r="K53" t="n">
        <v>7648.56</v>
      </c>
      <c r="L53" t="n">
        <v>0</v>
      </c>
      <c r="M53" t="inlineStr">
        <is>
          <t>INR</t>
        </is>
      </c>
      <c r="N53" t="inlineStr">
        <is>
          <t>2025-04-15 01:54:57</t>
        </is>
      </c>
    </row>
    <row r="54">
      <c r="A54" t="inlineStr">
        <is>
          <t>TXN00094989</t>
        </is>
      </c>
      <c r="B54" t="inlineStr">
        <is>
          <t>MER00074</t>
        </is>
      </c>
      <c r="C54" s="8" t="n">
        <v>45786</v>
      </c>
      <c r="D54" t="inlineStr">
        <is>
          <t>ORD00094989</t>
        </is>
      </c>
      <c r="E54" t="n">
        <v>4732.1</v>
      </c>
      <c r="F54" t="n">
        <v>1.92</v>
      </c>
      <c r="G54" t="n">
        <v>90.86</v>
      </c>
      <c r="H54" t="inlineStr">
        <is>
          <t>NetBanking</t>
        </is>
      </c>
      <c r="I54" t="inlineStr">
        <is>
          <t>Success</t>
        </is>
      </c>
      <c r="J54" t="inlineStr">
        <is>
          <t>Returned</t>
        </is>
      </c>
      <c r="K54" t="n">
        <v>4732.1</v>
      </c>
      <c r="L54" t="n">
        <v>0</v>
      </c>
      <c r="M54" t="inlineStr">
        <is>
          <t>INR</t>
        </is>
      </c>
      <c r="N54" t="inlineStr">
        <is>
          <t>2025-05-09 10:29:51</t>
        </is>
      </c>
    </row>
    <row r="55">
      <c r="A55" t="inlineStr">
        <is>
          <t>TXN00110677</t>
        </is>
      </c>
      <c r="B55" t="inlineStr">
        <is>
          <t>MER00074</t>
        </is>
      </c>
      <c r="C55" s="8" t="n">
        <v>45833</v>
      </c>
      <c r="D55" t="inlineStr">
        <is>
          <t>ORD00110677</t>
        </is>
      </c>
      <c r="E55" t="n">
        <v>11604.74</v>
      </c>
      <c r="F55" t="n">
        <v>1.92</v>
      </c>
      <c r="G55" t="n">
        <v>222.81</v>
      </c>
      <c r="H55" t="inlineStr">
        <is>
          <t>UPI</t>
        </is>
      </c>
      <c r="I55" t="inlineStr">
        <is>
          <t>Success</t>
        </is>
      </c>
      <c r="J55" t="inlineStr">
        <is>
          <t>Delivered</t>
        </is>
      </c>
      <c r="K55" t="n">
        <v>0</v>
      </c>
      <c r="L55" t="n">
        <v>0</v>
      </c>
      <c r="M55" t="inlineStr">
        <is>
          <t>INR</t>
        </is>
      </c>
      <c r="N55" t="inlineStr">
        <is>
          <t>2025-06-25 22:29:38</t>
        </is>
      </c>
    </row>
    <row r="56">
      <c r="A56" t="inlineStr">
        <is>
          <t>TXN00120802</t>
        </is>
      </c>
      <c r="B56" t="inlineStr">
        <is>
          <t>MER00074</t>
        </is>
      </c>
      <c r="C56" s="8" t="n">
        <v>45864</v>
      </c>
      <c r="D56" t="inlineStr">
        <is>
          <t>ORD00120802</t>
        </is>
      </c>
      <c r="E56" t="n">
        <v>1887.03</v>
      </c>
      <c r="F56" t="n">
        <v>1.92</v>
      </c>
      <c r="G56" t="n">
        <v>36.23</v>
      </c>
      <c r="H56" t="inlineStr">
        <is>
          <t>NetBanking</t>
        </is>
      </c>
      <c r="I56" t="inlineStr">
        <is>
          <t>Success</t>
        </is>
      </c>
      <c r="J56" t="inlineStr">
        <is>
          <t>Cancelled</t>
        </is>
      </c>
      <c r="K56" t="n">
        <v>1879.4</v>
      </c>
      <c r="L56" t="n">
        <v>0</v>
      </c>
      <c r="M56" t="inlineStr">
        <is>
          <t>INR</t>
        </is>
      </c>
      <c r="N56" t="inlineStr">
        <is>
          <t>2025-07-26 09:04:54</t>
        </is>
      </c>
    </row>
    <row r="57">
      <c r="A57" t="inlineStr">
        <is>
          <t>TXN00122161</t>
        </is>
      </c>
      <c r="B57" t="inlineStr">
        <is>
          <t>MER00074</t>
        </is>
      </c>
      <c r="C57" s="8" t="n">
        <v>45868</v>
      </c>
      <c r="D57" t="inlineStr">
        <is>
          <t>ORD00122161</t>
        </is>
      </c>
      <c r="E57" t="n">
        <v>15098.4</v>
      </c>
      <c r="F57" t="n">
        <v>1.92</v>
      </c>
      <c r="G57" t="n">
        <v>289.89</v>
      </c>
      <c r="H57" t="inlineStr">
        <is>
          <t>UPI</t>
        </is>
      </c>
      <c r="I57" t="inlineStr">
        <is>
          <t>Success</t>
        </is>
      </c>
      <c r="J57" t="inlineStr">
        <is>
          <t>Returned</t>
        </is>
      </c>
      <c r="K57" t="n">
        <v>10628.27</v>
      </c>
      <c r="L57" t="n">
        <v>0</v>
      </c>
      <c r="M57" t="inlineStr">
        <is>
          <t>INR</t>
        </is>
      </c>
      <c r="N57" t="inlineStr">
        <is>
          <t>2025-07-30 03:36:27</t>
        </is>
      </c>
    </row>
    <row r="58">
      <c r="A58" t="inlineStr">
        <is>
          <t>TXN00127960</t>
        </is>
      </c>
      <c r="B58" t="inlineStr">
        <is>
          <t>MER00074</t>
        </is>
      </c>
      <c r="C58" s="8" t="n">
        <v>45885</v>
      </c>
      <c r="D58" t="inlineStr">
        <is>
          <t>ORD00127960</t>
        </is>
      </c>
      <c r="E58" t="n">
        <v>2021.88</v>
      </c>
      <c r="F58" t="n">
        <v>1.92</v>
      </c>
      <c r="G58" t="n">
        <v>38.82</v>
      </c>
      <c r="H58" t="inlineStr">
        <is>
          <t>UPI</t>
        </is>
      </c>
      <c r="I58" t="inlineStr">
        <is>
          <t>Pending</t>
        </is>
      </c>
      <c r="J58" t="inlineStr">
        <is>
          <t>Processing</t>
        </is>
      </c>
      <c r="K58" t="n">
        <v>0</v>
      </c>
      <c r="L58" t="n">
        <v>0</v>
      </c>
      <c r="M58" t="inlineStr">
        <is>
          <t>INR</t>
        </is>
      </c>
      <c r="N58" t="inlineStr">
        <is>
          <t>2025-08-16 08:45:08</t>
        </is>
      </c>
    </row>
    <row r="59">
      <c r="A59" t="inlineStr">
        <is>
          <t>TXN00129181</t>
        </is>
      </c>
      <c r="B59" t="inlineStr">
        <is>
          <t>MER00074</t>
        </is>
      </c>
      <c r="C59" s="8" t="n">
        <v>45889</v>
      </c>
      <c r="D59" t="inlineStr">
        <is>
          <t>ORD00129181</t>
        </is>
      </c>
      <c r="E59" t="n">
        <v>2009.63</v>
      </c>
      <c r="F59" t="n">
        <v>1.92</v>
      </c>
      <c r="G59" t="n">
        <v>38.58</v>
      </c>
      <c r="H59" t="inlineStr">
        <is>
          <t>NetBanking</t>
        </is>
      </c>
      <c r="I59" t="inlineStr">
        <is>
          <t>Pending</t>
        </is>
      </c>
      <c r="J59" t="inlineStr">
        <is>
          <t>Processing</t>
        </is>
      </c>
      <c r="K59" t="n">
        <v>0</v>
      </c>
      <c r="L59" t="n">
        <v>0</v>
      </c>
      <c r="M59" t="inlineStr">
        <is>
          <t>INR</t>
        </is>
      </c>
      <c r="N59" t="inlineStr">
        <is>
          <t>2025-08-20 18:36:17</t>
        </is>
      </c>
    </row>
    <row r="60">
      <c r="A60" t="inlineStr">
        <is>
          <t>TXN00131422</t>
        </is>
      </c>
      <c r="B60" t="inlineStr">
        <is>
          <t>MER00074</t>
        </is>
      </c>
      <c r="C60" s="8" t="n">
        <v>45896</v>
      </c>
      <c r="D60" t="inlineStr">
        <is>
          <t>ORD00131422</t>
        </is>
      </c>
      <c r="E60" t="n">
        <v>4151.21</v>
      </c>
      <c r="F60" t="n">
        <v>1.92</v>
      </c>
      <c r="G60" t="n">
        <v>79.7</v>
      </c>
      <c r="H60" t="inlineStr">
        <is>
          <t>UPI</t>
        </is>
      </c>
      <c r="I60" t="inlineStr">
        <is>
          <t>Success</t>
        </is>
      </c>
      <c r="J60" t="inlineStr">
        <is>
          <t>Delivered</t>
        </is>
      </c>
      <c r="K60" t="n">
        <v>0</v>
      </c>
      <c r="L60" t="n">
        <v>0</v>
      </c>
      <c r="M60" t="inlineStr">
        <is>
          <t>INR</t>
        </is>
      </c>
      <c r="N60" t="inlineStr">
        <is>
          <t>2025-08-27 19:40:03</t>
        </is>
      </c>
    </row>
    <row r="61">
      <c r="A61" t="inlineStr">
        <is>
          <t>TXN00142003</t>
        </is>
      </c>
      <c r="B61" t="inlineStr">
        <is>
          <t>MER00074</t>
        </is>
      </c>
      <c r="C61" s="8" t="n">
        <v>45926</v>
      </c>
      <c r="D61" t="inlineStr">
        <is>
          <t>ORD00142003</t>
        </is>
      </c>
      <c r="E61" t="n">
        <v>7127.16</v>
      </c>
      <c r="F61" t="n">
        <v>1.92</v>
      </c>
      <c r="G61" t="n">
        <v>136.84</v>
      </c>
      <c r="H61" t="inlineStr">
        <is>
          <t>Card</t>
        </is>
      </c>
      <c r="I61" t="inlineStr">
        <is>
          <t>Success</t>
        </is>
      </c>
      <c r="J61" t="inlineStr">
        <is>
          <t>Delivered</t>
        </is>
      </c>
      <c r="K61" t="n">
        <v>0</v>
      </c>
      <c r="L61" t="n">
        <v>0</v>
      </c>
      <c r="M61" t="inlineStr">
        <is>
          <t>INR</t>
        </is>
      </c>
      <c r="N61" t="inlineStr">
        <is>
          <t>2025-09-26 17:09:33</t>
        </is>
      </c>
    </row>
    <row r="62">
      <c r="A62" t="inlineStr">
        <is>
          <t>TXN00149243</t>
        </is>
      </c>
      <c r="B62" t="inlineStr">
        <is>
          <t>MER00074</t>
        </is>
      </c>
      <c r="C62" s="8" t="n">
        <v>45943</v>
      </c>
      <c r="D62" t="inlineStr">
        <is>
          <t>ORD00149243</t>
        </is>
      </c>
      <c r="E62" t="n">
        <v>5848.27</v>
      </c>
      <c r="F62" t="n">
        <v>1.92</v>
      </c>
      <c r="G62" t="n">
        <v>112.29</v>
      </c>
      <c r="H62" t="inlineStr">
        <is>
          <t>UPI</t>
        </is>
      </c>
      <c r="I62" t="inlineStr">
        <is>
          <t>Success</t>
        </is>
      </c>
      <c r="J62" t="inlineStr">
        <is>
          <t>Delivered</t>
        </is>
      </c>
      <c r="K62" t="n">
        <v>0</v>
      </c>
      <c r="L62" t="n">
        <v>0</v>
      </c>
      <c r="M62" t="inlineStr">
        <is>
          <t>INR</t>
        </is>
      </c>
      <c r="N62" t="inlineStr">
        <is>
          <t>2025-10-13 23:54:41</t>
        </is>
      </c>
    </row>
    <row r="63">
      <c r="A63" t="inlineStr">
        <is>
          <t>TXN00150427</t>
        </is>
      </c>
      <c r="B63" t="inlineStr">
        <is>
          <t>MER00074</t>
        </is>
      </c>
      <c r="C63" s="8" t="n">
        <v>45945</v>
      </c>
      <c r="D63" t="inlineStr">
        <is>
          <t>ORD00150427</t>
        </is>
      </c>
      <c r="E63" t="n">
        <v>7663.25</v>
      </c>
      <c r="F63" t="n">
        <v>2.66</v>
      </c>
      <c r="G63" t="n">
        <v>147.13</v>
      </c>
      <c r="H63" t="inlineStr">
        <is>
          <t>COD</t>
        </is>
      </c>
      <c r="I63" t="inlineStr">
        <is>
          <t>Success</t>
        </is>
      </c>
      <c r="J63" t="inlineStr">
        <is>
          <t>Delivered</t>
        </is>
      </c>
      <c r="K63" t="n">
        <v>0</v>
      </c>
      <c r="L63" t="n">
        <v>0</v>
      </c>
      <c r="M63" t="inlineStr">
        <is>
          <t>INR</t>
        </is>
      </c>
      <c r="N63" t="inlineStr">
        <is>
          <t>2025-10-15 07:51:59</t>
        </is>
      </c>
    </row>
    <row r="64">
      <c r="A64" t="inlineStr">
        <is>
          <t>TXN00152073</t>
        </is>
      </c>
      <c r="B64" t="inlineStr">
        <is>
          <t>MER00074</t>
        </is>
      </c>
      <c r="C64" s="8" t="n">
        <v>45949</v>
      </c>
      <c r="D64" t="inlineStr">
        <is>
          <t>ORD00152073</t>
        </is>
      </c>
      <c r="E64" t="n">
        <v>5710.32</v>
      </c>
      <c r="F64" t="n">
        <v>1.92</v>
      </c>
      <c r="G64" t="n">
        <v>109.64</v>
      </c>
      <c r="H64" t="inlineStr">
        <is>
          <t>COD</t>
        </is>
      </c>
      <c r="I64" t="inlineStr">
        <is>
          <t>Success</t>
        </is>
      </c>
      <c r="J64" t="inlineStr">
        <is>
          <t>Delivered</t>
        </is>
      </c>
      <c r="K64" t="n">
        <v>0</v>
      </c>
      <c r="L64" t="n">
        <v>0</v>
      </c>
      <c r="M64" t="inlineStr">
        <is>
          <t>INR</t>
        </is>
      </c>
      <c r="N64" t="inlineStr">
        <is>
          <t>2025-10-19 05:19:05</t>
        </is>
      </c>
    </row>
    <row r="65">
      <c r="A65" t="inlineStr">
        <is>
          <t>TXN00156183</t>
        </is>
      </c>
      <c r="B65" t="inlineStr">
        <is>
          <t>MER00074</t>
        </is>
      </c>
      <c r="C65" s="8" t="n">
        <v>45958</v>
      </c>
      <c r="D65" t="inlineStr">
        <is>
          <t>ORD00156183</t>
        </is>
      </c>
      <c r="E65" t="n">
        <v>10763.58</v>
      </c>
      <c r="F65" t="n">
        <v>1.92</v>
      </c>
      <c r="G65" t="n">
        <v>206.66</v>
      </c>
      <c r="H65" t="inlineStr">
        <is>
          <t>UPI</t>
        </is>
      </c>
      <c r="I65" t="inlineStr">
        <is>
          <t>Success</t>
        </is>
      </c>
      <c r="J65" t="inlineStr">
        <is>
          <t>Delivered</t>
        </is>
      </c>
      <c r="K65" t="n">
        <v>0</v>
      </c>
      <c r="L65" t="n">
        <v>0</v>
      </c>
      <c r="M65" t="inlineStr">
        <is>
          <t>INR</t>
        </is>
      </c>
      <c r="N65" t="inlineStr">
        <is>
          <t>2025-10-28 01:34:44</t>
        </is>
      </c>
    </row>
    <row r="66">
      <c r="A66" t="inlineStr">
        <is>
          <t>TXN00163085</t>
        </is>
      </c>
      <c r="B66" t="inlineStr">
        <is>
          <t>MER00074</t>
        </is>
      </c>
      <c r="C66" s="8" t="n">
        <v>45971</v>
      </c>
      <c r="D66" t="inlineStr">
        <is>
          <t>ORD00163085</t>
        </is>
      </c>
      <c r="E66" t="n">
        <v>14746.58</v>
      </c>
      <c r="F66" t="n">
        <v>1.92</v>
      </c>
      <c r="G66" t="n">
        <v>283.13</v>
      </c>
      <c r="H66" t="inlineStr">
        <is>
          <t>UPI</t>
        </is>
      </c>
      <c r="I66" t="inlineStr">
        <is>
          <t>Success</t>
        </is>
      </c>
      <c r="J66" t="inlineStr">
        <is>
          <t>Delivered</t>
        </is>
      </c>
      <c r="K66" t="n">
        <v>0</v>
      </c>
      <c r="L66" t="n">
        <v>769.63</v>
      </c>
      <c r="M66" t="inlineStr">
        <is>
          <t>INR</t>
        </is>
      </c>
      <c r="N66" t="inlineStr">
        <is>
          <t>2025-11-10 14:06:15</t>
        </is>
      </c>
    </row>
    <row r="67">
      <c r="A67" t="inlineStr">
        <is>
          <t>TXN00169397</t>
        </is>
      </c>
      <c r="B67" t="inlineStr">
        <is>
          <t>MER00074</t>
        </is>
      </c>
      <c r="C67" s="8" t="n">
        <v>45982</v>
      </c>
      <c r="D67" t="inlineStr">
        <is>
          <t>ORD00169397</t>
        </is>
      </c>
      <c r="E67" t="n">
        <v>13224.33</v>
      </c>
      <c r="F67" t="n">
        <v>1.92</v>
      </c>
      <c r="G67" t="n">
        <v>253.91</v>
      </c>
      <c r="H67" t="inlineStr">
        <is>
          <t>UPI</t>
        </is>
      </c>
      <c r="I67" t="inlineStr">
        <is>
          <t>Success</t>
        </is>
      </c>
      <c r="J67" t="inlineStr">
        <is>
          <t>Delivered</t>
        </is>
      </c>
      <c r="K67" t="n">
        <v>0</v>
      </c>
      <c r="L67" t="n">
        <v>0</v>
      </c>
      <c r="M67" t="inlineStr">
        <is>
          <t>INR</t>
        </is>
      </c>
      <c r="N67" t="inlineStr">
        <is>
          <t>2025-11-21 16:59:04</t>
        </is>
      </c>
    </row>
    <row r="68">
      <c r="A68" t="inlineStr">
        <is>
          <t>TXN00170510</t>
        </is>
      </c>
      <c r="B68" t="inlineStr">
        <is>
          <t>MER00074</t>
        </is>
      </c>
      <c r="C68" s="8" t="n">
        <v>45984</v>
      </c>
      <c r="D68" t="inlineStr">
        <is>
          <t>ORD00170510</t>
        </is>
      </c>
      <c r="E68" t="n">
        <v>7230.06</v>
      </c>
      <c r="F68" t="n">
        <v>1.92</v>
      </c>
      <c r="G68" t="n">
        <v>138.82</v>
      </c>
      <c r="H68" t="inlineStr">
        <is>
          <t>UPI</t>
        </is>
      </c>
      <c r="I68" t="inlineStr">
        <is>
          <t>Success</t>
        </is>
      </c>
      <c r="J68" t="inlineStr">
        <is>
          <t>Delivered</t>
        </is>
      </c>
      <c r="K68" t="n">
        <v>0</v>
      </c>
      <c r="L68" t="n">
        <v>0</v>
      </c>
      <c r="M68" t="inlineStr">
        <is>
          <t>INR</t>
        </is>
      </c>
      <c r="N68" t="inlineStr">
        <is>
          <t>2025-11-23 01:00:31</t>
        </is>
      </c>
    </row>
    <row r="69">
      <c r="A69" t="inlineStr">
        <is>
          <t>TXN00178006</t>
        </is>
      </c>
      <c r="B69" t="inlineStr">
        <is>
          <t>MER00074</t>
        </is>
      </c>
      <c r="C69" s="8" t="n">
        <v>46000</v>
      </c>
      <c r="D69" t="inlineStr">
        <is>
          <t>ORD00178006</t>
        </is>
      </c>
      <c r="E69" t="n">
        <v>5328.36</v>
      </c>
      <c r="F69" t="n">
        <v>1.92</v>
      </c>
      <c r="G69" t="n">
        <v>102.3</v>
      </c>
      <c r="H69" t="inlineStr">
        <is>
          <t>UPI</t>
        </is>
      </c>
      <c r="I69" t="inlineStr">
        <is>
          <t>Success</t>
        </is>
      </c>
      <c r="J69" t="inlineStr">
        <is>
          <t>Returned</t>
        </is>
      </c>
      <c r="K69" t="n">
        <v>5328.36</v>
      </c>
      <c r="L69" t="n">
        <v>0</v>
      </c>
      <c r="M69" t="inlineStr">
        <is>
          <t>INR</t>
        </is>
      </c>
      <c r="N69" t="inlineStr">
        <is>
          <t>2025-12-09 19:26:50</t>
        </is>
      </c>
    </row>
    <row r="70">
      <c r="A70" t="inlineStr">
        <is>
          <t>TXN00192759</t>
        </is>
      </c>
      <c r="B70" t="inlineStr">
        <is>
          <t>MER00074</t>
        </is>
      </c>
      <c r="C70" s="8" t="n">
        <v>46037</v>
      </c>
      <c r="D70" t="inlineStr">
        <is>
          <t>ORD00192759</t>
        </is>
      </c>
      <c r="E70" t="n">
        <v>5553.2</v>
      </c>
      <c r="F70" t="n">
        <v>1.92</v>
      </c>
      <c r="G70" t="n">
        <v>106.62</v>
      </c>
      <c r="H70" t="inlineStr">
        <is>
          <t>Card</t>
        </is>
      </c>
      <c r="I70" t="inlineStr">
        <is>
          <t>Success</t>
        </is>
      </c>
      <c r="J70" t="inlineStr">
        <is>
          <t>Delivered</t>
        </is>
      </c>
      <c r="K70" t="n">
        <v>0</v>
      </c>
      <c r="L70" t="n">
        <v>0</v>
      </c>
      <c r="M70" t="inlineStr">
        <is>
          <t>INR</t>
        </is>
      </c>
      <c r="N70" t="inlineStr">
        <is>
          <t>2026-01-15 05:41:16</t>
        </is>
      </c>
    </row>
    <row r="71">
      <c r="A71" t="inlineStr">
        <is>
          <t>TXN00194655</t>
        </is>
      </c>
      <c r="B71" t="inlineStr">
        <is>
          <t>MER00074</t>
        </is>
      </c>
      <c r="C71" s="8" t="n">
        <v>46041</v>
      </c>
      <c r="D71" t="inlineStr">
        <is>
          <t>ORD00194655</t>
        </is>
      </c>
      <c r="E71" t="n">
        <v>2589.51</v>
      </c>
      <c r="F71" t="n">
        <v>1.92</v>
      </c>
      <c r="G71" t="n">
        <v>49.72</v>
      </c>
      <c r="H71" t="inlineStr">
        <is>
          <t>UPI</t>
        </is>
      </c>
      <c r="I71" t="inlineStr">
        <is>
          <t>Success</t>
        </is>
      </c>
      <c r="J71" t="inlineStr">
        <is>
          <t>Delivered</t>
        </is>
      </c>
      <c r="K71" t="n">
        <v>0</v>
      </c>
      <c r="L71" t="n">
        <v>0</v>
      </c>
      <c r="M71" t="inlineStr">
        <is>
          <t>INR</t>
        </is>
      </c>
      <c r="N71" t="inlineStr">
        <is>
          <t>2026-01-19 18:13:56</t>
        </is>
      </c>
    </row>
    <row r="72">
      <c r="A72" t="inlineStr">
        <is>
          <t>TXN00195446</t>
        </is>
      </c>
      <c r="B72" t="inlineStr">
        <is>
          <t>MER00074</t>
        </is>
      </c>
      <c r="C72" s="8" t="n">
        <v>46043</v>
      </c>
      <c r="D72" t="inlineStr">
        <is>
          <t>ORD00195446</t>
        </is>
      </c>
      <c r="E72" t="n">
        <v>3822.19</v>
      </c>
      <c r="F72" t="n">
        <v>1.92</v>
      </c>
      <c r="G72" t="n">
        <v>73.39</v>
      </c>
      <c r="H72" t="inlineStr">
        <is>
          <t>UPI</t>
        </is>
      </c>
      <c r="I72" t="inlineStr">
        <is>
          <t>Success</t>
        </is>
      </c>
      <c r="J72" t="inlineStr">
        <is>
          <t>Delivered</t>
        </is>
      </c>
      <c r="K72" t="n">
        <v>0</v>
      </c>
      <c r="L72" t="n">
        <v>0</v>
      </c>
      <c r="M72" t="inlineStr">
        <is>
          <t>INR</t>
        </is>
      </c>
      <c r="N72" t="inlineStr">
        <is>
          <t>2026-01-21 00:07:59</t>
        </is>
      </c>
    </row>
    <row r="73">
      <c r="A73" t="inlineStr">
        <is>
          <t>TXN00199070</t>
        </is>
      </c>
      <c r="B73" t="inlineStr">
        <is>
          <t>MER00074</t>
        </is>
      </c>
      <c r="C73" s="8" t="n">
        <v>46051</v>
      </c>
      <c r="D73" t="inlineStr">
        <is>
          <t>ORD00199070</t>
        </is>
      </c>
      <c r="E73" t="n">
        <v>6284.1</v>
      </c>
      <c r="F73" t="n">
        <v>1.92</v>
      </c>
      <c r="G73" t="n">
        <v>120.65</v>
      </c>
      <c r="H73" t="inlineStr">
        <is>
          <t>UPI</t>
        </is>
      </c>
      <c r="I73" t="inlineStr">
        <is>
          <t>Success</t>
        </is>
      </c>
      <c r="J73" t="inlineStr">
        <is>
          <t>Delivered</t>
        </is>
      </c>
      <c r="K73" t="n">
        <v>0</v>
      </c>
      <c r="L73" t="n">
        <v>0</v>
      </c>
      <c r="M73" t="inlineStr">
        <is>
          <t>INR</t>
        </is>
      </c>
      <c r="N73" t="inlineStr">
        <is>
          <t>2026-01-29 14:59:22</t>
        </is>
      </c>
    </row>
    <row r="74">
      <c r="A74" t="inlineStr">
        <is>
          <t>TXN00205583</t>
        </is>
      </c>
      <c r="B74" t="inlineStr">
        <is>
          <t>MER00074</t>
        </is>
      </c>
      <c r="C74" s="8" t="n">
        <v>46066</v>
      </c>
      <c r="D74" t="inlineStr">
        <is>
          <t>ORD00205583</t>
        </is>
      </c>
      <c r="E74" t="n">
        <v>10695.57</v>
      </c>
      <c r="F74" t="n">
        <v>1.92</v>
      </c>
      <c r="G74" t="n">
        <v>205.35</v>
      </c>
      <c r="H74" t="inlineStr">
        <is>
          <t>NetBanking</t>
        </is>
      </c>
      <c r="I74" t="inlineStr">
        <is>
          <t>Success</t>
        </is>
      </c>
      <c r="J74" t="inlineStr">
        <is>
          <t>Delivered</t>
        </is>
      </c>
      <c r="K74" t="n">
        <v>0</v>
      </c>
      <c r="L74" t="n">
        <v>0</v>
      </c>
      <c r="M74" t="inlineStr">
        <is>
          <t>INR</t>
        </is>
      </c>
      <c r="N74" t="inlineStr">
        <is>
          <t>2026-02-13 22:16:19</t>
        </is>
      </c>
    </row>
    <row r="75">
      <c r="A75" t="inlineStr">
        <is>
          <t>TXN00210231</t>
        </is>
      </c>
      <c r="B75" t="inlineStr">
        <is>
          <t>MER00074</t>
        </is>
      </c>
      <c r="C75" s="8" t="n">
        <v>46078</v>
      </c>
      <c r="D75" t="inlineStr">
        <is>
          <t>ORD00210231</t>
        </is>
      </c>
      <c r="E75" t="n">
        <v>7464.6</v>
      </c>
      <c r="F75" t="n">
        <v>1.92</v>
      </c>
      <c r="G75" t="n">
        <v>143.32</v>
      </c>
      <c r="H75" t="inlineStr">
        <is>
          <t>UPI</t>
        </is>
      </c>
      <c r="I75" t="inlineStr">
        <is>
          <t>Failed</t>
        </is>
      </c>
      <c r="J75" t="inlineStr">
        <is>
          <t>Cancelled</t>
        </is>
      </c>
      <c r="K75" t="n">
        <v>0</v>
      </c>
      <c r="L75" t="n">
        <v>0</v>
      </c>
      <c r="M75" t="inlineStr">
        <is>
          <t>INR</t>
        </is>
      </c>
      <c r="N75" t="inlineStr">
        <is>
          <t>2026-02-25 18:02:32</t>
        </is>
      </c>
    </row>
    <row r="76">
      <c r="A76" t="inlineStr">
        <is>
          <t>TXN00211535</t>
        </is>
      </c>
      <c r="B76" t="inlineStr">
        <is>
          <t>MER00074</t>
        </is>
      </c>
      <c r="C76" s="8" t="n">
        <v>46081</v>
      </c>
      <c r="D76" t="inlineStr">
        <is>
          <t>ORD00211535</t>
        </is>
      </c>
      <c r="E76" t="n">
        <v>3051.83</v>
      </c>
      <c r="F76" t="n">
        <v>1.92</v>
      </c>
      <c r="G76" t="n">
        <v>58.6</v>
      </c>
      <c r="H76" t="inlineStr">
        <is>
          <t>Card</t>
        </is>
      </c>
      <c r="I76" t="inlineStr">
        <is>
          <t>Success</t>
        </is>
      </c>
      <c r="J76" t="inlineStr">
        <is>
          <t>Delivered</t>
        </is>
      </c>
      <c r="K76" t="n">
        <v>0</v>
      </c>
      <c r="L76" t="n">
        <v>0</v>
      </c>
      <c r="M76" t="inlineStr">
        <is>
          <t>INR</t>
        </is>
      </c>
      <c r="N76" t="inlineStr">
        <is>
          <t>2026-02-28 19:51:05</t>
        </is>
      </c>
    </row>
    <row r="77">
      <c r="A77" t="inlineStr">
        <is>
          <t>TXN00213589</t>
        </is>
      </c>
      <c r="B77" t="inlineStr">
        <is>
          <t>MER00074</t>
        </is>
      </c>
      <c r="C77" s="8" t="n">
        <v>46087</v>
      </c>
      <c r="D77" t="inlineStr">
        <is>
          <t>ORD00213589</t>
        </is>
      </c>
      <c r="E77" t="n">
        <v>12484.79</v>
      </c>
      <c r="F77" t="n">
        <v>1.92</v>
      </c>
      <c r="G77" t="n">
        <v>239.71</v>
      </c>
      <c r="H77" t="inlineStr">
        <is>
          <t>COD</t>
        </is>
      </c>
      <c r="I77" t="inlineStr">
        <is>
          <t>Success</t>
        </is>
      </c>
      <c r="J77" t="inlineStr">
        <is>
          <t>Delivered</t>
        </is>
      </c>
      <c r="K77" t="n">
        <v>0</v>
      </c>
      <c r="L77" t="n">
        <v>1300.29</v>
      </c>
      <c r="M77" t="inlineStr">
        <is>
          <t>INR</t>
        </is>
      </c>
      <c r="N77" t="inlineStr">
        <is>
          <t>2026-03-06 18:02:58</t>
        </is>
      </c>
    </row>
    <row r="78">
      <c r="A78" t="inlineStr">
        <is>
          <t>TXN00216945</t>
        </is>
      </c>
      <c r="B78" t="inlineStr">
        <is>
          <t>MER00074</t>
        </is>
      </c>
      <c r="C78" s="8" t="n">
        <v>46096</v>
      </c>
      <c r="D78" t="inlineStr">
        <is>
          <t>ORD00216945</t>
        </is>
      </c>
      <c r="E78" t="n">
        <v>3278.29</v>
      </c>
      <c r="F78" t="n">
        <v>1.92</v>
      </c>
      <c r="G78" t="n">
        <v>62.94</v>
      </c>
      <c r="H78" t="inlineStr">
        <is>
          <t>UPI</t>
        </is>
      </c>
      <c r="I78" t="inlineStr">
        <is>
          <t>Success</t>
        </is>
      </c>
      <c r="J78" t="inlineStr">
        <is>
          <t>Delivered</t>
        </is>
      </c>
      <c r="K78" t="n">
        <v>0</v>
      </c>
      <c r="L78" t="n">
        <v>0</v>
      </c>
      <c r="M78" t="inlineStr">
        <is>
          <t>INR</t>
        </is>
      </c>
      <c r="N78" t="inlineStr">
        <is>
          <t>2026-03-15 20:10:03</t>
        </is>
      </c>
    </row>
    <row r="79">
      <c r="A79" t="inlineStr">
        <is>
          <t>TXN00218618</t>
        </is>
      </c>
      <c r="B79" t="inlineStr">
        <is>
          <t>MER00074</t>
        </is>
      </c>
      <c r="C79" s="8" t="n">
        <v>46100</v>
      </c>
      <c r="D79" t="inlineStr">
        <is>
          <t>ORD00218618</t>
        </is>
      </c>
      <c r="E79" t="n">
        <v>2152.44</v>
      </c>
      <c r="F79" t="n">
        <v>1.92</v>
      </c>
      <c r="G79" t="n">
        <v>41.33</v>
      </c>
      <c r="H79" t="inlineStr">
        <is>
          <t>UPI</t>
        </is>
      </c>
      <c r="I79" t="inlineStr">
        <is>
          <t>Success</t>
        </is>
      </c>
      <c r="J79" t="inlineStr">
        <is>
          <t>Delivered</t>
        </is>
      </c>
      <c r="K79" t="n">
        <v>0</v>
      </c>
      <c r="L79" t="n">
        <v>0</v>
      </c>
      <c r="M79" t="inlineStr">
        <is>
          <t>INR</t>
        </is>
      </c>
      <c r="N79" t="inlineStr">
        <is>
          <t>2026-03-19 16:18:48</t>
        </is>
      </c>
    </row>
    <row r="80">
      <c r="A80" t="inlineStr">
        <is>
          <t>TXN00220037</t>
        </is>
      </c>
      <c r="B80" t="inlineStr">
        <is>
          <t>MER00074</t>
        </is>
      </c>
      <c r="C80" s="8" t="n">
        <v>46104</v>
      </c>
      <c r="D80" t="inlineStr">
        <is>
          <t>ORD00220037</t>
        </is>
      </c>
      <c r="E80" t="n">
        <v>3959.62</v>
      </c>
      <c r="F80" t="n">
        <v>1.92</v>
      </c>
      <c r="G80" t="n">
        <v>76.02</v>
      </c>
      <c r="H80" t="inlineStr">
        <is>
          <t>Card</t>
        </is>
      </c>
      <c r="I80" t="inlineStr">
        <is>
          <t>Success</t>
        </is>
      </c>
      <c r="J80" t="inlineStr">
        <is>
          <t>Delivered</t>
        </is>
      </c>
      <c r="K80" t="n">
        <v>0</v>
      </c>
      <c r="L80" t="n">
        <v>0</v>
      </c>
      <c r="M80" t="inlineStr">
        <is>
          <t>INR</t>
        </is>
      </c>
      <c r="N80" t="inlineStr">
        <is>
          <t>2026-03-23 06:37:46</t>
        </is>
      </c>
    </row>
    <row r="81">
      <c r="A81" t="inlineStr">
        <is>
          <t>TXN00226281</t>
        </is>
      </c>
      <c r="B81" t="inlineStr">
        <is>
          <t>MER00074</t>
        </is>
      </c>
      <c r="C81" s="8" t="n">
        <v>46121</v>
      </c>
      <c r="D81" t="inlineStr">
        <is>
          <t>ORD00226281</t>
        </is>
      </c>
      <c r="E81" t="n">
        <v>5355.02</v>
      </c>
      <c r="F81" t="n">
        <v>1.92</v>
      </c>
      <c r="G81" t="n">
        <v>102.82</v>
      </c>
      <c r="H81" t="inlineStr">
        <is>
          <t>NetBanking</t>
        </is>
      </c>
      <c r="I81" t="inlineStr">
        <is>
          <t>Success</t>
        </is>
      </c>
      <c r="J81" t="inlineStr">
        <is>
          <t>Delivered</t>
        </is>
      </c>
      <c r="K81" t="n">
        <v>0</v>
      </c>
      <c r="L81" t="n">
        <v>0</v>
      </c>
      <c r="M81" t="inlineStr">
        <is>
          <t>INR</t>
        </is>
      </c>
      <c r="N81" t="inlineStr">
        <is>
          <t>2026-04-09 03:40:04</t>
        </is>
      </c>
    </row>
    <row r="82">
      <c r="A82" t="inlineStr">
        <is>
          <t>TXN00255342</t>
        </is>
      </c>
      <c r="B82" t="inlineStr">
        <is>
          <t>MER00074</t>
        </is>
      </c>
      <c r="C82" s="8" t="n">
        <v>46196</v>
      </c>
      <c r="D82" t="inlineStr">
        <is>
          <t>ORD00255342</t>
        </is>
      </c>
      <c r="E82" t="n">
        <v>2524.3</v>
      </c>
      <c r="F82" t="n">
        <v>1.92</v>
      </c>
      <c r="G82" t="n">
        <v>48.47</v>
      </c>
      <c r="H82" t="inlineStr">
        <is>
          <t>UPI</t>
        </is>
      </c>
      <c r="I82" t="inlineStr">
        <is>
          <t>Success</t>
        </is>
      </c>
      <c r="J82" t="inlineStr">
        <is>
          <t>Delivered</t>
        </is>
      </c>
      <c r="K82" t="n">
        <v>0</v>
      </c>
      <c r="L82" t="n">
        <v>0</v>
      </c>
      <c r="M82" t="inlineStr">
        <is>
          <t>INR</t>
        </is>
      </c>
      <c r="N82" t="inlineStr">
        <is>
          <t>2026-06-23 16:30:40</t>
        </is>
      </c>
    </row>
    <row r="83">
      <c r="A83" t="inlineStr">
        <is>
          <t>TXN00256867</t>
        </is>
      </c>
      <c r="B83" t="inlineStr">
        <is>
          <t>MER00074</t>
        </is>
      </c>
      <c r="C83" s="8" t="n">
        <v>46200</v>
      </c>
      <c r="D83" t="inlineStr">
        <is>
          <t>ORD00256867</t>
        </is>
      </c>
      <c r="E83" t="n">
        <v>13683.92</v>
      </c>
      <c r="F83" t="n">
        <v>1.92</v>
      </c>
      <c r="G83" t="n">
        <v>262.73</v>
      </c>
      <c r="H83" t="inlineStr">
        <is>
          <t>NetBanking</t>
        </is>
      </c>
      <c r="I83" t="inlineStr">
        <is>
          <t>Success</t>
        </is>
      </c>
      <c r="J83" t="inlineStr">
        <is>
          <t>Cancelled</t>
        </is>
      </c>
      <c r="K83" t="n">
        <v>12194.16</v>
      </c>
      <c r="L83" t="n">
        <v>0</v>
      </c>
      <c r="M83" t="inlineStr">
        <is>
          <t>INR</t>
        </is>
      </c>
      <c r="N83" t="inlineStr">
        <is>
          <t>2026-06-27 01:15:41</t>
        </is>
      </c>
    </row>
    <row r="84">
      <c r="A84" t="inlineStr">
        <is>
          <t>TXN00262937</t>
        </is>
      </c>
      <c r="B84" t="inlineStr">
        <is>
          <t>MER00074</t>
        </is>
      </c>
      <c r="C84" s="8" t="n">
        <v>46215</v>
      </c>
      <c r="D84" t="inlineStr">
        <is>
          <t>ORD00262937</t>
        </is>
      </c>
      <c r="E84" t="n">
        <v>9009.49</v>
      </c>
      <c r="F84" t="n">
        <v>1.92</v>
      </c>
      <c r="G84" t="n">
        <v>172.98</v>
      </c>
      <c r="H84" t="inlineStr">
        <is>
          <t>UPI</t>
        </is>
      </c>
      <c r="I84" t="inlineStr">
        <is>
          <t>Failed</t>
        </is>
      </c>
      <c r="J84" t="inlineStr">
        <is>
          <t>Cancelled</t>
        </is>
      </c>
      <c r="K84" t="n">
        <v>0</v>
      </c>
      <c r="L84" t="n">
        <v>0</v>
      </c>
      <c r="M84" t="inlineStr">
        <is>
          <t>INR</t>
        </is>
      </c>
      <c r="N84" t="inlineStr">
        <is>
          <t>2026-07-12 01:40:56</t>
        </is>
      </c>
    </row>
    <row r="85">
      <c r="A85" t="inlineStr">
        <is>
          <t>TXN00266619</t>
        </is>
      </c>
      <c r="B85" t="inlineStr">
        <is>
          <t>MER00074</t>
        </is>
      </c>
      <c r="C85" s="8" t="n">
        <v>46225</v>
      </c>
      <c r="D85" t="inlineStr">
        <is>
          <t>ORD00266619</t>
        </is>
      </c>
      <c r="E85" t="n">
        <v>15704.9</v>
      </c>
      <c r="F85" t="n">
        <v>1.92</v>
      </c>
      <c r="G85" t="n">
        <v>301.53</v>
      </c>
      <c r="H85" t="inlineStr">
        <is>
          <t>UPI</t>
        </is>
      </c>
      <c r="I85" t="inlineStr">
        <is>
          <t>Success</t>
        </is>
      </c>
      <c r="J85" t="inlineStr">
        <is>
          <t>Delivered</t>
        </is>
      </c>
      <c r="K85" t="n">
        <v>0</v>
      </c>
      <c r="L85" t="n">
        <v>0</v>
      </c>
      <c r="M85" t="inlineStr">
        <is>
          <t>INR</t>
        </is>
      </c>
      <c r="N85" t="inlineStr">
        <is>
          <t>2026-07-22 21:16:45</t>
        </is>
      </c>
    </row>
    <row r="86">
      <c r="A86" t="inlineStr">
        <is>
          <t>TXN00266952</t>
        </is>
      </c>
      <c r="B86" t="inlineStr">
        <is>
          <t>MER00074</t>
        </is>
      </c>
      <c r="C86" s="8" t="n">
        <v>46226</v>
      </c>
      <c r="D86" t="inlineStr">
        <is>
          <t>ORD00266952</t>
        </is>
      </c>
      <c r="E86" t="n">
        <v>4496.74</v>
      </c>
      <c r="F86" t="n">
        <v>1.92</v>
      </c>
      <c r="G86" t="n">
        <v>86.34</v>
      </c>
      <c r="H86" t="inlineStr">
        <is>
          <t>Wallet</t>
        </is>
      </c>
      <c r="I86" t="inlineStr">
        <is>
          <t>Success</t>
        </is>
      </c>
      <c r="J86" t="inlineStr">
        <is>
          <t>Delivered</t>
        </is>
      </c>
      <c r="K86" t="n">
        <v>0</v>
      </c>
      <c r="L86" t="n">
        <v>0</v>
      </c>
      <c r="M86" t="inlineStr">
        <is>
          <t>INR</t>
        </is>
      </c>
      <c r="N86" t="inlineStr">
        <is>
          <t>2026-07-23 09:41:22</t>
        </is>
      </c>
    </row>
    <row r="87">
      <c r="A87" t="inlineStr">
        <is>
          <t>TXN00017140</t>
        </is>
      </c>
      <c r="B87" t="inlineStr">
        <is>
          <t>MER00077</t>
        </is>
      </c>
      <c r="C87" s="8" t="n">
        <v>45568</v>
      </c>
      <c r="D87" t="inlineStr">
        <is>
          <t>ORD00017140</t>
        </is>
      </c>
      <c r="E87" t="n">
        <v>1117.43</v>
      </c>
      <c r="F87" t="n">
        <v>2.22</v>
      </c>
      <c r="G87" t="n">
        <v>24.81</v>
      </c>
      <c r="H87" t="inlineStr">
        <is>
          <t>UPI</t>
        </is>
      </c>
      <c r="I87" t="inlineStr">
        <is>
          <t>Success</t>
        </is>
      </c>
      <c r="J87" t="inlineStr">
        <is>
          <t>Delivered</t>
        </is>
      </c>
      <c r="K87" t="n">
        <v>0</v>
      </c>
      <c r="L87" t="n">
        <v>0</v>
      </c>
      <c r="M87" t="inlineStr">
        <is>
          <t>INR</t>
        </is>
      </c>
      <c r="N87" t="inlineStr">
        <is>
          <t>2024-10-03 06:25:44</t>
        </is>
      </c>
    </row>
    <row r="88">
      <c r="A88" t="inlineStr">
        <is>
          <t>TXN00024784</t>
        </is>
      </c>
      <c r="B88" t="inlineStr">
        <is>
          <t>MER00077</t>
        </is>
      </c>
      <c r="C88" s="8" t="n">
        <v>45588</v>
      </c>
      <c r="D88" t="inlineStr">
        <is>
          <t>ORD00024784</t>
        </is>
      </c>
      <c r="E88" t="n">
        <v>757.7</v>
      </c>
      <c r="F88" t="n">
        <v>2.22</v>
      </c>
      <c r="G88" t="n">
        <v>16.82</v>
      </c>
      <c r="H88" t="inlineStr">
        <is>
          <t>Card</t>
        </is>
      </c>
      <c r="I88" t="inlineStr">
        <is>
          <t>Success</t>
        </is>
      </c>
      <c r="J88" t="inlineStr">
        <is>
          <t>Cancelled</t>
        </is>
      </c>
      <c r="K88" t="n">
        <v>699.5700000000001</v>
      </c>
      <c r="L88" t="n">
        <v>50.39</v>
      </c>
      <c r="M88" t="inlineStr">
        <is>
          <t>INR</t>
        </is>
      </c>
      <c r="N88" t="inlineStr">
        <is>
          <t>2024-10-23 18:47:34</t>
        </is>
      </c>
    </row>
    <row r="89">
      <c r="A89" t="inlineStr">
        <is>
          <t>TXN00027913</t>
        </is>
      </c>
      <c r="B89" t="inlineStr">
        <is>
          <t>MER00077</t>
        </is>
      </c>
      <c r="C89" s="8" t="n">
        <v>45596</v>
      </c>
      <c r="D89" t="inlineStr">
        <is>
          <t>ORD00027913</t>
        </is>
      </c>
      <c r="E89" t="n">
        <v>1689.6</v>
      </c>
      <c r="F89" t="n">
        <v>2.22</v>
      </c>
      <c r="G89" t="n">
        <v>37.51</v>
      </c>
      <c r="H89" t="inlineStr">
        <is>
          <t>Card</t>
        </is>
      </c>
      <c r="I89" t="inlineStr">
        <is>
          <t>Success</t>
        </is>
      </c>
      <c r="J89" t="inlineStr">
        <is>
          <t>Delivered</t>
        </is>
      </c>
      <c r="K89" t="n">
        <v>0</v>
      </c>
      <c r="L89" t="n">
        <v>0</v>
      </c>
      <c r="M89" t="inlineStr">
        <is>
          <t>INR</t>
        </is>
      </c>
      <c r="N89" t="inlineStr">
        <is>
          <t>2024-10-31 12:42:50</t>
        </is>
      </c>
    </row>
    <row r="90">
      <c r="A90" t="inlineStr">
        <is>
          <t>TXN00039244</t>
        </is>
      </c>
      <c r="B90" t="inlineStr">
        <is>
          <t>MER00077</t>
        </is>
      </c>
      <c r="C90" s="8" t="n">
        <v>45621</v>
      </c>
      <c r="D90" t="inlineStr">
        <is>
          <t>ORD00039244</t>
        </is>
      </c>
      <c r="E90" t="n">
        <v>1098.33</v>
      </c>
      <c r="F90" t="n">
        <v>2.22</v>
      </c>
      <c r="G90" t="n">
        <v>24.38</v>
      </c>
      <c r="H90" t="inlineStr">
        <is>
          <t>UPI</t>
        </is>
      </c>
      <c r="I90" t="inlineStr">
        <is>
          <t>Unknown</t>
        </is>
      </c>
      <c r="J90" t="inlineStr">
        <is>
          <t>Processing</t>
        </is>
      </c>
      <c r="K90" t="n">
        <v>0</v>
      </c>
      <c r="L90" t="n">
        <v>0</v>
      </c>
      <c r="M90" t="inlineStr">
        <is>
          <t>INR</t>
        </is>
      </c>
      <c r="N90" t="inlineStr">
        <is>
          <t>2024-11-25 09:49:50</t>
        </is>
      </c>
    </row>
    <row r="91">
      <c r="A91" t="inlineStr">
        <is>
          <t>TXN00065757</t>
        </is>
      </c>
      <c r="B91" t="inlineStr">
        <is>
          <t>MER00077</t>
        </is>
      </c>
      <c r="C91" s="8" t="n">
        <v>45697</v>
      </c>
      <c r="D91" t="inlineStr">
        <is>
          <t>ORD00065757</t>
        </is>
      </c>
      <c r="E91" t="n">
        <v>479.13</v>
      </c>
      <c r="F91" t="n">
        <v>2.22</v>
      </c>
      <c r="G91" t="n">
        <v>10.64</v>
      </c>
      <c r="H91" t="inlineStr">
        <is>
          <t>UPI</t>
        </is>
      </c>
      <c r="I91" t="inlineStr">
        <is>
          <t>Success</t>
        </is>
      </c>
      <c r="J91" t="inlineStr">
        <is>
          <t>Delivered</t>
        </is>
      </c>
      <c r="K91" t="n">
        <v>0</v>
      </c>
      <c r="L91" t="n">
        <v>41.54</v>
      </c>
      <c r="M91" t="inlineStr">
        <is>
          <t>INR</t>
        </is>
      </c>
      <c r="N91" t="inlineStr">
        <is>
          <t>2025-02-09 18:42:59</t>
        </is>
      </c>
    </row>
    <row r="92">
      <c r="A92" t="inlineStr">
        <is>
          <t>TXN00073855</t>
        </is>
      </c>
      <c r="B92" t="inlineStr">
        <is>
          <t>MER00077</t>
        </is>
      </c>
      <c r="C92" s="8" t="n">
        <v>45721</v>
      </c>
      <c r="D92" t="inlineStr">
        <is>
          <t>ORD00073855</t>
        </is>
      </c>
      <c r="E92" t="n">
        <v>1220.08</v>
      </c>
      <c r="F92" t="n">
        <v>2.22</v>
      </c>
      <c r="G92" t="n">
        <v>27.09</v>
      </c>
      <c r="H92" t="inlineStr">
        <is>
          <t>NetBanking</t>
        </is>
      </c>
      <c r="I92" t="inlineStr">
        <is>
          <t>Success</t>
        </is>
      </c>
      <c r="J92" t="inlineStr">
        <is>
          <t>Delivered</t>
        </is>
      </c>
      <c r="K92" t="n">
        <v>0</v>
      </c>
      <c r="L92" t="n">
        <v>0</v>
      </c>
      <c r="M92" t="inlineStr">
        <is>
          <t>INR</t>
        </is>
      </c>
      <c r="N92" t="inlineStr">
        <is>
          <t>2025-03-05 17:11:25</t>
        </is>
      </c>
    </row>
    <row r="93">
      <c r="A93" t="inlineStr">
        <is>
          <t>TXN00083648</t>
        </is>
      </c>
      <c r="B93" t="inlineStr">
        <is>
          <t>MER00077</t>
        </is>
      </c>
      <c r="C93" s="8" t="n">
        <v>45752</v>
      </c>
      <c r="D93" t="inlineStr">
        <is>
          <t>ORD00083648</t>
        </is>
      </c>
      <c r="E93" t="n">
        <v>2307.53</v>
      </c>
      <c r="F93" t="n">
        <v>2.22</v>
      </c>
      <c r="G93" t="n">
        <v>51.23</v>
      </c>
      <c r="H93" t="inlineStr">
        <is>
          <t>UPI</t>
        </is>
      </c>
      <c r="I93" t="inlineStr">
        <is>
          <t>Success</t>
        </is>
      </c>
      <c r="J93" t="inlineStr">
        <is>
          <t>Delivered</t>
        </is>
      </c>
      <c r="K93" t="n">
        <v>0</v>
      </c>
      <c r="L93" t="n">
        <v>0</v>
      </c>
      <c r="M93" t="inlineStr">
        <is>
          <t>INR</t>
        </is>
      </c>
      <c r="N93" t="inlineStr">
        <is>
          <t>2025-04-05 05:03:08</t>
        </is>
      </c>
    </row>
    <row r="94">
      <c r="A94" t="inlineStr">
        <is>
          <t>TXN00088574</t>
        </is>
      </c>
      <c r="B94" t="inlineStr">
        <is>
          <t>MER00077</t>
        </is>
      </c>
      <c r="C94" s="8" t="n">
        <v>45767</v>
      </c>
      <c r="D94" t="inlineStr">
        <is>
          <t>ORD00088574</t>
        </is>
      </c>
      <c r="E94" t="n">
        <v>2678.5</v>
      </c>
      <c r="F94" t="n">
        <v>2.22</v>
      </c>
      <c r="G94" t="n">
        <v>59.46</v>
      </c>
      <c r="H94" t="inlineStr">
        <is>
          <t>UPI</t>
        </is>
      </c>
      <c r="I94" t="inlineStr">
        <is>
          <t>Failed</t>
        </is>
      </c>
      <c r="J94" t="inlineStr">
        <is>
          <t>Cancelled</t>
        </is>
      </c>
      <c r="K94" t="n">
        <v>0</v>
      </c>
      <c r="L94" t="n">
        <v>0</v>
      </c>
      <c r="M94" t="inlineStr">
        <is>
          <t>INR</t>
        </is>
      </c>
      <c r="N94" t="inlineStr">
        <is>
          <t>2025-04-20 07:30:22</t>
        </is>
      </c>
    </row>
    <row r="95">
      <c r="A95" t="inlineStr">
        <is>
          <t>TXN00098377</t>
        </is>
      </c>
      <c r="B95" t="inlineStr">
        <is>
          <t>MER00077</t>
        </is>
      </c>
      <c r="C95" s="8" t="n">
        <v>45797</v>
      </c>
      <c r="D95" t="inlineStr">
        <is>
          <t>ORD00098377</t>
        </is>
      </c>
      <c r="E95" t="n">
        <v>1848.08</v>
      </c>
      <c r="F95" t="n">
        <v>2.22</v>
      </c>
      <c r="G95" t="n">
        <v>41.03</v>
      </c>
      <c r="H95" t="inlineStr">
        <is>
          <t>Card</t>
        </is>
      </c>
      <c r="I95" t="inlineStr">
        <is>
          <t>Success</t>
        </is>
      </c>
      <c r="J95" t="inlineStr">
        <is>
          <t>Delivered</t>
        </is>
      </c>
      <c r="K95" t="n">
        <v>0</v>
      </c>
      <c r="L95" t="n">
        <v>0</v>
      </c>
      <c r="M95" t="inlineStr">
        <is>
          <t>INR</t>
        </is>
      </c>
      <c r="N95" t="inlineStr">
        <is>
          <t>2025-05-20 12:36:32</t>
        </is>
      </c>
    </row>
    <row r="96">
      <c r="A96" t="inlineStr">
        <is>
          <t>TXN00101504</t>
        </is>
      </c>
      <c r="B96" t="inlineStr">
        <is>
          <t>MER00077</t>
        </is>
      </c>
      <c r="C96" s="8" t="n">
        <v>45806</v>
      </c>
      <c r="D96" t="inlineStr">
        <is>
          <t>ORD00101504</t>
        </is>
      </c>
      <c r="E96" t="n">
        <v>1361.18</v>
      </c>
      <c r="F96" t="n">
        <v>2.22</v>
      </c>
      <c r="G96" t="n">
        <v>30.22</v>
      </c>
      <c r="H96" t="inlineStr">
        <is>
          <t>Card</t>
        </is>
      </c>
      <c r="I96" t="inlineStr">
        <is>
          <t>Success</t>
        </is>
      </c>
      <c r="J96" t="inlineStr">
        <is>
          <t>Delivered</t>
        </is>
      </c>
      <c r="K96" t="n">
        <v>0</v>
      </c>
      <c r="L96" t="n">
        <v>0</v>
      </c>
      <c r="M96" t="inlineStr">
        <is>
          <t>INR</t>
        </is>
      </c>
      <c r="N96" t="inlineStr">
        <is>
          <t>2025-05-29 12:21:54</t>
        </is>
      </c>
    </row>
    <row r="97">
      <c r="A97" t="inlineStr">
        <is>
          <t>TXN00115646</t>
        </is>
      </c>
      <c r="B97" t="inlineStr">
        <is>
          <t>MER00077</t>
        </is>
      </c>
      <c r="C97" s="8" t="n">
        <v>45848</v>
      </c>
      <c r="D97" t="inlineStr">
        <is>
          <t>ORD00115646</t>
        </is>
      </c>
      <c r="E97" t="n">
        <v>3939.17</v>
      </c>
      <c r="F97" t="n">
        <v>2.22</v>
      </c>
      <c r="G97" t="n">
        <v>87.45</v>
      </c>
      <c r="H97" t="inlineStr">
        <is>
          <t>Card</t>
        </is>
      </c>
      <c r="I97" t="inlineStr">
        <is>
          <t>Success</t>
        </is>
      </c>
      <c r="J97" t="inlineStr">
        <is>
          <t>Delivered</t>
        </is>
      </c>
      <c r="K97" t="n">
        <v>0</v>
      </c>
      <c r="L97" t="n">
        <v>0</v>
      </c>
      <c r="M97" t="inlineStr">
        <is>
          <t>INR</t>
        </is>
      </c>
      <c r="N97" t="inlineStr">
        <is>
          <t>2025-07-10 05:53:34</t>
        </is>
      </c>
    </row>
    <row r="98">
      <c r="A98" t="inlineStr">
        <is>
          <t>TXN00119451</t>
        </is>
      </c>
      <c r="B98" t="inlineStr">
        <is>
          <t>MER00077</t>
        </is>
      </c>
      <c r="C98" s="8" t="n">
        <v>45860</v>
      </c>
      <c r="D98" t="inlineStr">
        <is>
          <t>ORD00119451</t>
        </is>
      </c>
      <c r="E98" t="n">
        <v>1691.61</v>
      </c>
      <c r="F98" t="n">
        <v>2.22</v>
      </c>
      <c r="G98" t="n">
        <v>37.55</v>
      </c>
      <c r="H98" t="inlineStr">
        <is>
          <t>UPI</t>
        </is>
      </c>
      <c r="I98" t="inlineStr">
        <is>
          <t>Success</t>
        </is>
      </c>
      <c r="J98" t="inlineStr">
        <is>
          <t>Delivered</t>
        </is>
      </c>
      <c r="K98" t="n">
        <v>0</v>
      </c>
      <c r="L98" t="n">
        <v>0</v>
      </c>
      <c r="M98" t="inlineStr">
        <is>
          <t>INR</t>
        </is>
      </c>
      <c r="N98" t="inlineStr">
        <is>
          <t>2025-07-22 23:25:03</t>
        </is>
      </c>
    </row>
    <row r="99">
      <c r="A99" t="inlineStr">
        <is>
          <t>TXN00122026</t>
        </is>
      </c>
      <c r="B99" t="inlineStr">
        <is>
          <t>MER00077</t>
        </is>
      </c>
      <c r="C99" s="8" t="n">
        <v>45868</v>
      </c>
      <c r="D99" t="inlineStr">
        <is>
          <t>ORD00122026</t>
        </is>
      </c>
      <c r="E99" t="n">
        <v>802.84</v>
      </c>
      <c r="F99" t="n">
        <v>2.22</v>
      </c>
      <c r="G99" t="n">
        <v>17.82</v>
      </c>
      <c r="H99" t="inlineStr">
        <is>
          <t>UPI</t>
        </is>
      </c>
      <c r="I99" t="inlineStr">
        <is>
          <t>Success</t>
        </is>
      </c>
      <c r="J99" t="inlineStr">
        <is>
          <t>Cancelled</t>
        </is>
      </c>
      <c r="K99" t="n">
        <v>727.8099999999999</v>
      </c>
      <c r="L99" t="n">
        <v>0</v>
      </c>
      <c r="M99" t="inlineStr">
        <is>
          <t>INR</t>
        </is>
      </c>
      <c r="N99" t="inlineStr">
        <is>
          <t>2025-07-30 15:23:58</t>
        </is>
      </c>
    </row>
    <row r="100">
      <c r="A100" t="inlineStr">
        <is>
          <t>TXN00122568</t>
        </is>
      </c>
      <c r="B100" t="inlineStr">
        <is>
          <t>MER00077</t>
        </is>
      </c>
      <c r="C100" s="8" t="n">
        <v>45869</v>
      </c>
      <c r="D100" t="inlineStr">
        <is>
          <t>ORD00122568</t>
        </is>
      </c>
      <c r="E100" t="n">
        <v>1743.18</v>
      </c>
      <c r="F100" t="n">
        <v>2.22</v>
      </c>
      <c r="G100" t="n">
        <v>38.7</v>
      </c>
      <c r="H100" t="inlineStr">
        <is>
          <t>Card</t>
        </is>
      </c>
      <c r="I100" t="inlineStr">
        <is>
          <t>Success</t>
        </is>
      </c>
      <c r="J100" t="inlineStr">
        <is>
          <t>Delivered</t>
        </is>
      </c>
      <c r="K100" t="n">
        <v>0</v>
      </c>
      <c r="L100" t="n">
        <v>0</v>
      </c>
      <c r="M100" t="inlineStr">
        <is>
          <t>INR</t>
        </is>
      </c>
      <c r="N100" t="inlineStr">
        <is>
          <t>2025-07-31 21:16:53</t>
        </is>
      </c>
    </row>
    <row r="101">
      <c r="A101" t="inlineStr">
        <is>
          <t>TXN00122971</t>
        </is>
      </c>
      <c r="B101" t="inlineStr">
        <is>
          <t>MER00077</t>
        </is>
      </c>
      <c r="C101" s="8" t="n">
        <v>45870</v>
      </c>
      <c r="D101" t="inlineStr">
        <is>
          <t>ORD00122971</t>
        </is>
      </c>
      <c r="E101" t="n">
        <v>2198.73</v>
      </c>
      <c r="F101" t="n">
        <v>2.22</v>
      </c>
      <c r="G101" t="n">
        <v>48.81</v>
      </c>
      <c r="H101" t="inlineStr">
        <is>
          <t>Wallet</t>
        </is>
      </c>
      <c r="I101" t="inlineStr">
        <is>
          <t>Success</t>
        </is>
      </c>
      <c r="J101" t="inlineStr">
        <is>
          <t>Returned</t>
        </is>
      </c>
      <c r="K101" t="n">
        <v>2198.73</v>
      </c>
      <c r="L101" t="n">
        <v>0</v>
      </c>
      <c r="M101" t="inlineStr">
        <is>
          <t>INR</t>
        </is>
      </c>
      <c r="N101" t="inlineStr">
        <is>
          <t>2025-08-01 22:34:51</t>
        </is>
      </c>
    </row>
    <row r="102">
      <c r="A102" t="inlineStr">
        <is>
          <t>TXN00154901</t>
        </is>
      </c>
      <c r="B102" t="inlineStr">
        <is>
          <t>MER00077</t>
        </is>
      </c>
      <c r="C102" s="8" t="n">
        <v>45955</v>
      </c>
      <c r="D102" t="inlineStr">
        <is>
          <t>ORD00154901</t>
        </is>
      </c>
      <c r="E102" t="n">
        <v>1434.76</v>
      </c>
      <c r="F102" t="n">
        <v>2.22</v>
      </c>
      <c r="G102" t="n">
        <v>31.85</v>
      </c>
      <c r="H102" t="inlineStr">
        <is>
          <t>NetBanking</t>
        </is>
      </c>
      <c r="I102" t="inlineStr">
        <is>
          <t>Success</t>
        </is>
      </c>
      <c r="J102" t="inlineStr">
        <is>
          <t>Delivered</t>
        </is>
      </c>
      <c r="K102" t="n">
        <v>0</v>
      </c>
      <c r="L102" t="n">
        <v>0</v>
      </c>
      <c r="M102" t="inlineStr">
        <is>
          <t>INR</t>
        </is>
      </c>
      <c r="N102" t="inlineStr">
        <is>
          <t>2025-10-25 12:04:10</t>
        </is>
      </c>
    </row>
    <row r="103">
      <c r="A103" t="inlineStr">
        <is>
          <t>TXN00156964</t>
        </is>
      </c>
      <c r="B103" t="inlineStr">
        <is>
          <t>MER00077</t>
        </is>
      </c>
      <c r="C103" s="8" t="n">
        <v>45959</v>
      </c>
      <c r="D103" t="inlineStr">
        <is>
          <t>ORD00156964</t>
        </is>
      </c>
      <c r="E103" t="n">
        <v>935.97</v>
      </c>
      <c r="F103" t="n">
        <v>2.22</v>
      </c>
      <c r="G103" t="n">
        <v>20.78</v>
      </c>
      <c r="H103" t="inlineStr">
        <is>
          <t>Card</t>
        </is>
      </c>
      <c r="I103" t="inlineStr">
        <is>
          <t>Success</t>
        </is>
      </c>
      <c r="J103" t="inlineStr">
        <is>
          <t>Delivered</t>
        </is>
      </c>
      <c r="K103" t="n">
        <v>0</v>
      </c>
      <c r="L103" t="n">
        <v>0</v>
      </c>
      <c r="M103" t="inlineStr">
        <is>
          <t>INR</t>
        </is>
      </c>
      <c r="N103" t="inlineStr">
        <is>
          <t>2025-10-29 03:38:50</t>
        </is>
      </c>
    </row>
    <row r="104">
      <c r="A104" t="inlineStr">
        <is>
          <t>TXN00166150</t>
        </is>
      </c>
      <c r="B104" t="inlineStr">
        <is>
          <t>MER00077</t>
        </is>
      </c>
      <c r="C104" s="8" t="n">
        <v>45976</v>
      </c>
      <c r="D104" t="inlineStr">
        <is>
          <t>ORD00166150</t>
        </is>
      </c>
      <c r="E104" t="n">
        <v>2892.37</v>
      </c>
      <c r="F104" t="n">
        <v>2.22</v>
      </c>
      <c r="G104" t="n">
        <v>64.20999999999999</v>
      </c>
      <c r="H104" t="inlineStr">
        <is>
          <t>UPI</t>
        </is>
      </c>
      <c r="I104" t="inlineStr">
        <is>
          <t>Success</t>
        </is>
      </c>
      <c r="J104" t="inlineStr">
        <is>
          <t>Delivered</t>
        </is>
      </c>
      <c r="K104" t="n">
        <v>0</v>
      </c>
      <c r="L104" t="n">
        <v>0</v>
      </c>
      <c r="M104" t="inlineStr">
        <is>
          <t>INR</t>
        </is>
      </c>
      <c r="N104" t="inlineStr">
        <is>
          <t>2025-11-15 08:52:11</t>
        </is>
      </c>
    </row>
    <row r="105">
      <c r="A105" t="inlineStr">
        <is>
          <t>TXN00167311</t>
        </is>
      </c>
      <c r="B105" t="inlineStr">
        <is>
          <t>MER00077</t>
        </is>
      </c>
      <c r="C105" s="8" t="n">
        <v>45978</v>
      </c>
      <c r="D105" t="inlineStr">
        <is>
          <t>ORD00167311</t>
        </is>
      </c>
      <c r="E105" t="n">
        <v>768.58</v>
      </c>
      <c r="F105" t="n">
        <v>2.22</v>
      </c>
      <c r="G105" t="n">
        <v>17.06</v>
      </c>
      <c r="H105" t="inlineStr">
        <is>
          <t>UPI</t>
        </is>
      </c>
      <c r="I105" t="inlineStr">
        <is>
          <t>Success</t>
        </is>
      </c>
      <c r="J105" t="inlineStr">
        <is>
          <t>Delivered</t>
        </is>
      </c>
      <c r="K105" t="n">
        <v>0</v>
      </c>
      <c r="L105" t="n">
        <v>0</v>
      </c>
      <c r="M105" t="inlineStr">
        <is>
          <t>INR</t>
        </is>
      </c>
      <c r="N105" t="inlineStr">
        <is>
          <t>2025-11-17 15:53:44</t>
        </is>
      </c>
    </row>
    <row r="106">
      <c r="A106" t="inlineStr">
        <is>
          <t>TXN00173069</t>
        </is>
      </c>
      <c r="B106" t="inlineStr">
        <is>
          <t>MER00077</t>
        </is>
      </c>
      <c r="C106" s="8" t="n">
        <v>45989</v>
      </c>
      <c r="D106" t="inlineStr">
        <is>
          <t>ORD00173069</t>
        </is>
      </c>
      <c r="E106" t="n">
        <v>367.73</v>
      </c>
      <c r="F106" t="n">
        <v>2.22</v>
      </c>
      <c r="G106" t="n">
        <v>8.16</v>
      </c>
      <c r="H106" t="inlineStr">
        <is>
          <t>NetBanking</t>
        </is>
      </c>
      <c r="I106" t="inlineStr">
        <is>
          <t>Success</t>
        </is>
      </c>
      <c r="J106" t="inlineStr">
        <is>
          <t>Delivered</t>
        </is>
      </c>
      <c r="K106" t="n">
        <v>0</v>
      </c>
      <c r="L106" t="n">
        <v>30.67</v>
      </c>
      <c r="M106" t="inlineStr">
        <is>
          <t>INR</t>
        </is>
      </c>
      <c r="N106" t="inlineStr">
        <is>
          <t>2025-11-28 05:03:43</t>
        </is>
      </c>
    </row>
    <row r="107">
      <c r="A107" t="inlineStr">
        <is>
          <t>TXN00173934</t>
        </is>
      </c>
      <c r="B107" t="inlineStr">
        <is>
          <t>MER00077</t>
        </is>
      </c>
      <c r="C107" s="8" t="n">
        <v>45990</v>
      </c>
      <c r="D107" t="inlineStr">
        <is>
          <t>ORD00173934</t>
        </is>
      </c>
      <c r="E107" t="n">
        <v>1094.25</v>
      </c>
      <c r="F107" t="n">
        <v>2.22</v>
      </c>
      <c r="G107" t="n">
        <v>24.29</v>
      </c>
      <c r="H107" t="inlineStr">
        <is>
          <t>NetBanking</t>
        </is>
      </c>
      <c r="I107" t="inlineStr">
        <is>
          <t>Failed</t>
        </is>
      </c>
      <c r="J107" t="inlineStr">
        <is>
          <t>Cancelled</t>
        </is>
      </c>
      <c r="K107" t="n">
        <v>0</v>
      </c>
      <c r="L107" t="n">
        <v>0</v>
      </c>
      <c r="M107" t="inlineStr">
        <is>
          <t>INR</t>
        </is>
      </c>
      <c r="N107" t="inlineStr">
        <is>
          <t>2025-11-29 16:43:23</t>
        </is>
      </c>
    </row>
    <row r="108">
      <c r="A108" t="inlineStr">
        <is>
          <t>TXN00181856</t>
        </is>
      </c>
      <c r="B108" t="inlineStr">
        <is>
          <t>MER00077</t>
        </is>
      </c>
      <c r="C108" s="8" t="n">
        <v>46011</v>
      </c>
      <c r="D108" t="inlineStr">
        <is>
          <t>ORD00181856</t>
        </is>
      </c>
      <c r="E108" t="n">
        <v>929.41</v>
      </c>
      <c r="F108" t="n">
        <v>2.22</v>
      </c>
      <c r="G108" t="n">
        <v>20.63</v>
      </c>
      <c r="H108" t="inlineStr">
        <is>
          <t>UPI</t>
        </is>
      </c>
      <c r="I108" t="inlineStr">
        <is>
          <t>Success</t>
        </is>
      </c>
      <c r="J108" t="inlineStr">
        <is>
          <t>Delivered</t>
        </is>
      </c>
      <c r="K108" t="n">
        <v>0</v>
      </c>
      <c r="L108" t="n">
        <v>0</v>
      </c>
      <c r="M108" t="inlineStr">
        <is>
          <t>INR</t>
        </is>
      </c>
      <c r="N108" t="inlineStr">
        <is>
          <t>2025-12-20 08:31:48</t>
        </is>
      </c>
    </row>
    <row r="109">
      <c r="A109" t="inlineStr">
        <is>
          <t>TXN00187447</t>
        </is>
      </c>
      <c r="B109" t="inlineStr">
        <is>
          <t>MER00077</t>
        </is>
      </c>
      <c r="C109" s="8" t="n">
        <v>46025</v>
      </c>
      <c r="D109" t="inlineStr">
        <is>
          <t>ORD00187447</t>
        </is>
      </c>
      <c r="E109" t="n">
        <v>2111.95</v>
      </c>
      <c r="F109" t="n">
        <v>2.22</v>
      </c>
      <c r="G109" t="n">
        <v>46.89</v>
      </c>
      <c r="H109" t="inlineStr">
        <is>
          <t>UPI</t>
        </is>
      </c>
      <c r="I109" t="inlineStr">
        <is>
          <t>Success</t>
        </is>
      </c>
      <c r="J109" t="inlineStr">
        <is>
          <t>Delivered</t>
        </is>
      </c>
      <c r="K109" t="n">
        <v>0</v>
      </c>
      <c r="L109" t="n">
        <v>320.73</v>
      </c>
      <c r="M109" t="inlineStr">
        <is>
          <t>INR</t>
        </is>
      </c>
      <c r="N109" t="inlineStr">
        <is>
          <t>2026-01-03 15:27:53</t>
        </is>
      </c>
    </row>
    <row r="110">
      <c r="A110" t="inlineStr">
        <is>
          <t>TXN00190621</t>
        </is>
      </c>
      <c r="B110" t="inlineStr">
        <is>
          <t>MER00077</t>
        </is>
      </c>
      <c r="C110" s="8" t="n">
        <v>46032</v>
      </c>
      <c r="D110" t="inlineStr">
        <is>
          <t>ORD00190621</t>
        </is>
      </c>
      <c r="E110" t="n">
        <v>1269.05</v>
      </c>
      <c r="F110" t="n">
        <v>2.22</v>
      </c>
      <c r="G110" t="n">
        <v>28.17</v>
      </c>
      <c r="H110" t="inlineStr">
        <is>
          <t>COD</t>
        </is>
      </c>
      <c r="I110" t="inlineStr">
        <is>
          <t>Success</t>
        </is>
      </c>
      <c r="J110" t="inlineStr">
        <is>
          <t>Delivered</t>
        </is>
      </c>
      <c r="K110" t="n">
        <v>0</v>
      </c>
      <c r="L110" t="n">
        <v>0</v>
      </c>
      <c r="M110" t="inlineStr">
        <is>
          <t>INR</t>
        </is>
      </c>
      <c r="N110" t="inlineStr">
        <is>
          <t>2026-01-10 19:11:45</t>
        </is>
      </c>
    </row>
    <row r="111">
      <c r="A111" t="inlineStr">
        <is>
          <t>TXN00193666</t>
        </is>
      </c>
      <c r="B111" t="inlineStr">
        <is>
          <t>MER00077</t>
        </is>
      </c>
      <c r="C111" s="8" t="n">
        <v>46039</v>
      </c>
      <c r="D111" t="inlineStr">
        <is>
          <t>ORD00193666</t>
        </is>
      </c>
      <c r="E111" t="n">
        <v>1983.62</v>
      </c>
      <c r="F111" t="n">
        <v>2.22</v>
      </c>
      <c r="G111" t="n">
        <v>44.04</v>
      </c>
      <c r="H111" t="inlineStr">
        <is>
          <t>UPI</t>
        </is>
      </c>
      <c r="I111" t="inlineStr">
        <is>
          <t>Success</t>
        </is>
      </c>
      <c r="J111" t="inlineStr">
        <is>
          <t>Delivered</t>
        </is>
      </c>
      <c r="K111" t="n">
        <v>0</v>
      </c>
      <c r="L111" t="n">
        <v>0</v>
      </c>
      <c r="M111" t="inlineStr">
        <is>
          <t>INR</t>
        </is>
      </c>
      <c r="N111" t="inlineStr">
        <is>
          <t>2026-01-17 05:43:32</t>
        </is>
      </c>
    </row>
    <row r="112">
      <c r="A112" t="inlineStr">
        <is>
          <t>TXN00194910</t>
        </is>
      </c>
      <c r="B112" t="inlineStr">
        <is>
          <t>MER00077</t>
        </is>
      </c>
      <c r="C112" s="8" t="n">
        <v>46041</v>
      </c>
      <c r="D112" t="inlineStr">
        <is>
          <t>ORD00194910</t>
        </is>
      </c>
      <c r="E112" t="n">
        <v>1602.22</v>
      </c>
      <c r="F112" t="n">
        <v>2.22</v>
      </c>
      <c r="G112" t="n">
        <v>35.57</v>
      </c>
      <c r="H112" t="inlineStr">
        <is>
          <t>UPI</t>
        </is>
      </c>
      <c r="I112" t="inlineStr">
        <is>
          <t>Success</t>
        </is>
      </c>
      <c r="J112" t="inlineStr">
        <is>
          <t>Delivered</t>
        </is>
      </c>
      <c r="K112" t="n">
        <v>0</v>
      </c>
      <c r="L112" t="n">
        <v>0</v>
      </c>
      <c r="M112" t="inlineStr">
        <is>
          <t>INR</t>
        </is>
      </c>
      <c r="N112" t="inlineStr">
        <is>
          <t>2026-01-19 08:21:19</t>
        </is>
      </c>
    </row>
    <row r="113">
      <c r="A113" t="inlineStr">
        <is>
          <t>TXN00211524</t>
        </is>
      </c>
      <c r="B113" t="inlineStr">
        <is>
          <t>MER00077</t>
        </is>
      </c>
      <c r="C113" s="8" t="n">
        <v>46081</v>
      </c>
      <c r="D113" t="inlineStr">
        <is>
          <t>ORD00211524</t>
        </is>
      </c>
      <c r="E113" t="n">
        <v>1031.16</v>
      </c>
      <c r="F113" t="n">
        <v>2.22</v>
      </c>
      <c r="G113" t="n">
        <v>22.89</v>
      </c>
      <c r="H113" t="inlineStr">
        <is>
          <t>Card</t>
        </is>
      </c>
      <c r="I113" t="inlineStr">
        <is>
          <t>Success</t>
        </is>
      </c>
      <c r="J113" t="inlineStr">
        <is>
          <t>Delivered</t>
        </is>
      </c>
      <c r="K113" t="n">
        <v>0</v>
      </c>
      <c r="L113" t="n">
        <v>107.06</v>
      </c>
      <c r="M113" t="inlineStr">
        <is>
          <t>INR</t>
        </is>
      </c>
      <c r="N113" t="inlineStr">
        <is>
          <t>2026-02-28 12:41:33</t>
        </is>
      </c>
    </row>
    <row r="114">
      <c r="A114" t="inlineStr">
        <is>
          <t>TXN00223217</t>
        </is>
      </c>
      <c r="B114" t="inlineStr">
        <is>
          <t>MER00077</t>
        </is>
      </c>
      <c r="C114" s="8" t="n">
        <v>46113</v>
      </c>
      <c r="D114" t="inlineStr">
        <is>
          <t>ORD00223217</t>
        </is>
      </c>
      <c r="E114" t="n">
        <v>2599.32</v>
      </c>
      <c r="F114" t="n">
        <v>2.22</v>
      </c>
      <c r="G114" t="n">
        <v>57.7</v>
      </c>
      <c r="H114" t="inlineStr">
        <is>
          <t>Wallet</t>
        </is>
      </c>
      <c r="I114" t="inlineStr">
        <is>
          <t>Success</t>
        </is>
      </c>
      <c r="J114" t="inlineStr">
        <is>
          <t>Delivered</t>
        </is>
      </c>
      <c r="K114" t="n">
        <v>0</v>
      </c>
      <c r="L114" t="n">
        <v>0</v>
      </c>
      <c r="M114" t="inlineStr">
        <is>
          <t>INR</t>
        </is>
      </c>
      <c r="N114" t="inlineStr">
        <is>
          <t>2026-04-01 10:45:55</t>
        </is>
      </c>
    </row>
    <row r="115">
      <c r="A115" t="inlineStr">
        <is>
          <t>TXN00225778</t>
        </is>
      </c>
      <c r="B115" t="inlineStr">
        <is>
          <t>MER00077</t>
        </is>
      </c>
      <c r="C115" s="8" t="n">
        <v>46120</v>
      </c>
      <c r="D115" t="inlineStr">
        <is>
          <t>ORD00225778</t>
        </is>
      </c>
      <c r="E115" t="n">
        <v>1984.06</v>
      </c>
      <c r="F115" t="n">
        <v>2.22</v>
      </c>
      <c r="G115" t="n">
        <v>44.05</v>
      </c>
      <c r="H115" t="inlineStr">
        <is>
          <t>Card</t>
        </is>
      </c>
      <c r="I115" t="inlineStr">
        <is>
          <t>Success</t>
        </is>
      </c>
      <c r="J115" t="inlineStr">
        <is>
          <t>Delivered</t>
        </is>
      </c>
      <c r="K115" t="n">
        <v>0</v>
      </c>
      <c r="L115" t="n">
        <v>0</v>
      </c>
      <c r="M115" t="inlineStr">
        <is>
          <t>INR</t>
        </is>
      </c>
      <c r="N115" t="inlineStr">
        <is>
          <t>2026-04-08 14:44:15</t>
        </is>
      </c>
    </row>
    <row r="116">
      <c r="A116" t="inlineStr">
        <is>
          <t>TXN00246721</t>
        </is>
      </c>
      <c r="B116" t="inlineStr">
        <is>
          <t>MER00077</t>
        </is>
      </c>
      <c r="C116" s="8" t="n">
        <v>46175</v>
      </c>
      <c r="D116" t="inlineStr">
        <is>
          <t>ORD00246721</t>
        </is>
      </c>
      <c r="E116" t="n">
        <v>1716.39</v>
      </c>
      <c r="F116" t="n">
        <v>2.22</v>
      </c>
      <c r="G116" t="n">
        <v>38.1</v>
      </c>
      <c r="H116" t="inlineStr">
        <is>
          <t>Wallet</t>
        </is>
      </c>
      <c r="I116" t="inlineStr">
        <is>
          <t>Success</t>
        </is>
      </c>
      <c r="J116" t="inlineStr">
        <is>
          <t>Delivered</t>
        </is>
      </c>
      <c r="K116" t="n">
        <v>0</v>
      </c>
      <c r="L116" t="n">
        <v>0</v>
      </c>
      <c r="M116" t="inlineStr">
        <is>
          <t>INR</t>
        </is>
      </c>
      <c r="N116" t="inlineStr">
        <is>
          <t>2026-06-02 05:13:16</t>
        </is>
      </c>
    </row>
    <row r="117">
      <c r="A117" t="inlineStr">
        <is>
          <t>TXN00250725</t>
        </is>
      </c>
      <c r="B117" t="inlineStr">
        <is>
          <t>MER00077</t>
        </is>
      </c>
      <c r="C117" s="8" t="n">
        <v>46184</v>
      </c>
      <c r="D117" t="inlineStr">
        <is>
          <t>ORD00250725</t>
        </is>
      </c>
      <c r="E117" t="n">
        <v>1939.12</v>
      </c>
      <c r="F117" t="n">
        <v>2.22</v>
      </c>
      <c r="G117" t="n">
        <v>43.05</v>
      </c>
      <c r="H117" t="inlineStr">
        <is>
          <t>Card</t>
        </is>
      </c>
      <c r="I117" t="inlineStr">
        <is>
          <t>Success</t>
        </is>
      </c>
      <c r="J117" t="inlineStr">
        <is>
          <t>Delivered</t>
        </is>
      </c>
      <c r="K117" t="n">
        <v>0</v>
      </c>
      <c r="L117" t="n">
        <v>0</v>
      </c>
      <c r="M117" t="inlineStr">
        <is>
          <t>INR</t>
        </is>
      </c>
      <c r="N117" t="inlineStr">
        <is>
          <t>2026-06-11 13:15:09</t>
        </is>
      </c>
    </row>
    <row r="118">
      <c r="A118" t="inlineStr">
        <is>
          <t>TXN00256777</t>
        </is>
      </c>
      <c r="B118" t="inlineStr">
        <is>
          <t>MER00077</t>
        </is>
      </c>
      <c r="C118" s="8" t="n">
        <v>46199</v>
      </c>
      <c r="D118" t="inlineStr">
        <is>
          <t>ORD00256777</t>
        </is>
      </c>
      <c r="E118" t="n">
        <v>1276.84</v>
      </c>
      <c r="F118" t="n">
        <v>2.22</v>
      </c>
      <c r="G118" t="n">
        <v>28.35</v>
      </c>
      <c r="H118" t="inlineStr">
        <is>
          <t>UPI</t>
        </is>
      </c>
      <c r="I118" t="inlineStr">
        <is>
          <t>Success</t>
        </is>
      </c>
      <c r="J118" t="inlineStr">
        <is>
          <t>Delivered</t>
        </is>
      </c>
      <c r="K118" t="n">
        <v>0</v>
      </c>
      <c r="L118" t="n">
        <v>0</v>
      </c>
      <c r="M118" t="inlineStr">
        <is>
          <t>INR</t>
        </is>
      </c>
      <c r="N118" t="inlineStr">
        <is>
          <t>2026-06-26 06:02:02</t>
        </is>
      </c>
    </row>
    <row r="119">
      <c r="A119" t="inlineStr">
        <is>
          <t>TXN00261709</t>
        </is>
      </c>
      <c r="B119" t="inlineStr">
        <is>
          <t>MER00077</t>
        </is>
      </c>
      <c r="C119" s="8" t="n">
        <v>46212</v>
      </c>
      <c r="D119" t="inlineStr">
        <is>
          <t>ORD00261709</t>
        </is>
      </c>
      <c r="E119" t="n">
        <v>905.37</v>
      </c>
      <c r="F119" t="n">
        <v>2.22</v>
      </c>
      <c r="G119" t="n">
        <v>20.1</v>
      </c>
      <c r="H119" t="inlineStr">
        <is>
          <t>Wallet</t>
        </is>
      </c>
      <c r="I119" t="inlineStr">
        <is>
          <t>Success</t>
        </is>
      </c>
      <c r="J119" t="inlineStr">
        <is>
          <t>Delivered</t>
        </is>
      </c>
      <c r="K119" t="n">
        <v>0</v>
      </c>
      <c r="L119" t="n">
        <v>0</v>
      </c>
      <c r="M119" t="inlineStr">
        <is>
          <t>INR</t>
        </is>
      </c>
      <c r="N119" t="inlineStr">
        <is>
          <t>2026-07-09 05:06:58</t>
        </is>
      </c>
    </row>
    <row r="120">
      <c r="A120" t="inlineStr">
        <is>
          <t>TXN00003541</t>
        </is>
      </c>
      <c r="B120" t="inlineStr">
        <is>
          <t>MER00139</t>
        </is>
      </c>
      <c r="C120" s="8" t="n">
        <v>45519</v>
      </c>
      <c r="D120" t="inlineStr">
        <is>
          <t>ORD00003541</t>
        </is>
      </c>
      <c r="E120" t="n">
        <v>662.64</v>
      </c>
      <c r="F120" t="n">
        <v>2.5</v>
      </c>
      <c r="G120" t="n">
        <v>16.57</v>
      </c>
      <c r="H120" t="inlineStr">
        <is>
          <t>UPI</t>
        </is>
      </c>
      <c r="I120" t="inlineStr">
        <is>
          <t>Success</t>
        </is>
      </c>
      <c r="J120" t="inlineStr">
        <is>
          <t>Delivered</t>
        </is>
      </c>
      <c r="K120" t="n">
        <v>0</v>
      </c>
      <c r="L120" t="n">
        <v>0</v>
      </c>
      <c r="M120" t="inlineStr">
        <is>
          <t>INR</t>
        </is>
      </c>
      <c r="N120" t="inlineStr">
        <is>
          <t>2024-08-15 03:54:45</t>
        </is>
      </c>
    </row>
    <row r="121">
      <c r="A121" t="inlineStr">
        <is>
          <t>TXN00004209</t>
        </is>
      </c>
      <c r="B121" t="inlineStr">
        <is>
          <t>MER00139</t>
        </is>
      </c>
      <c r="C121" s="8" t="n">
        <v>45522</v>
      </c>
      <c r="D121" t="inlineStr">
        <is>
          <t>ORD00004209</t>
        </is>
      </c>
      <c r="E121" t="n">
        <v>3421.5</v>
      </c>
      <c r="F121" t="n">
        <v>2.5</v>
      </c>
      <c r="G121" t="n">
        <v>85.54000000000001</v>
      </c>
      <c r="H121" t="inlineStr">
        <is>
          <t>COD</t>
        </is>
      </c>
      <c r="I121" t="inlineStr">
        <is>
          <t>Failed</t>
        </is>
      </c>
      <c r="J121" t="inlineStr">
        <is>
          <t>Cancelled</t>
        </is>
      </c>
      <c r="K121" t="n">
        <v>0</v>
      </c>
      <c r="L121" t="n">
        <v>0</v>
      </c>
      <c r="M121" t="inlineStr">
        <is>
          <t>INR</t>
        </is>
      </c>
      <c r="N121" t="inlineStr">
        <is>
          <t>2024-08-18 02:04:45</t>
        </is>
      </c>
    </row>
    <row r="122">
      <c r="A122" t="inlineStr">
        <is>
          <t>TXN00005557</t>
        </is>
      </c>
      <c r="B122" t="inlineStr">
        <is>
          <t>MER00139</t>
        </is>
      </c>
      <c r="C122" s="8" t="n">
        <v>45528</v>
      </c>
      <c r="D122" t="inlineStr">
        <is>
          <t>ORD00005557</t>
        </is>
      </c>
      <c r="E122" t="n">
        <v>984.4</v>
      </c>
      <c r="F122" t="n">
        <v>2</v>
      </c>
      <c r="G122" t="n">
        <v>19.69</v>
      </c>
      <c r="H122" t="inlineStr">
        <is>
          <t>UPI</t>
        </is>
      </c>
      <c r="I122" t="inlineStr">
        <is>
          <t>Success</t>
        </is>
      </c>
      <c r="J122" t="inlineStr">
        <is>
          <t>Delivered</t>
        </is>
      </c>
      <c r="K122" t="n">
        <v>0</v>
      </c>
      <c r="L122" t="n">
        <v>0</v>
      </c>
      <c r="M122" t="inlineStr">
        <is>
          <t>INR</t>
        </is>
      </c>
      <c r="N122" t="inlineStr">
        <is>
          <t>2024-08-24 08:46:53</t>
        </is>
      </c>
    </row>
    <row r="123">
      <c r="A123" t="inlineStr">
        <is>
          <t>TXN00006388</t>
        </is>
      </c>
      <c r="B123" t="inlineStr">
        <is>
          <t>MER00139</t>
        </is>
      </c>
      <c r="C123" s="8" t="n">
        <v>45531</v>
      </c>
      <c r="D123" t="inlineStr">
        <is>
          <t>ORD00006388</t>
        </is>
      </c>
      <c r="E123" t="n">
        <v>969.95</v>
      </c>
      <c r="F123" t="n">
        <v>2</v>
      </c>
      <c r="G123" t="n">
        <v>19.4</v>
      </c>
      <c r="H123" t="inlineStr">
        <is>
          <t>UPI</t>
        </is>
      </c>
      <c r="I123" t="inlineStr">
        <is>
          <t>Success</t>
        </is>
      </c>
      <c r="J123" t="inlineStr">
        <is>
          <t>Delivered</t>
        </is>
      </c>
      <c r="K123" t="n">
        <v>0</v>
      </c>
      <c r="L123" t="n">
        <v>129.26</v>
      </c>
      <c r="M123" t="inlineStr">
        <is>
          <t>INR</t>
        </is>
      </c>
      <c r="N123" t="inlineStr">
        <is>
          <t>2024-08-27 19:43:41</t>
        </is>
      </c>
    </row>
    <row r="124">
      <c r="A124" t="inlineStr">
        <is>
          <t>TXN00006723</t>
        </is>
      </c>
      <c r="B124" t="inlineStr">
        <is>
          <t>MER00139</t>
        </is>
      </c>
      <c r="C124" s="8" t="n">
        <v>45532</v>
      </c>
      <c r="D124" t="inlineStr">
        <is>
          <t>ORD00006723</t>
        </is>
      </c>
      <c r="E124" t="n">
        <v>908.96</v>
      </c>
      <c r="F124" t="n">
        <v>2</v>
      </c>
      <c r="G124" t="n">
        <v>18.18</v>
      </c>
      <c r="H124" t="inlineStr">
        <is>
          <t>UPI</t>
        </is>
      </c>
      <c r="I124" t="inlineStr">
        <is>
          <t>Success</t>
        </is>
      </c>
      <c r="J124" t="inlineStr">
        <is>
          <t>Delivered</t>
        </is>
      </c>
      <c r="K124" t="n">
        <v>0</v>
      </c>
      <c r="L124" t="n">
        <v>0</v>
      </c>
      <c r="M124" t="inlineStr">
        <is>
          <t>INR</t>
        </is>
      </c>
      <c r="N124" t="inlineStr">
        <is>
          <t>2024-08-28 01:01:40</t>
        </is>
      </c>
    </row>
    <row r="125">
      <c r="A125" t="inlineStr">
        <is>
          <t>TXN00008744</t>
        </is>
      </c>
      <c r="B125" t="inlineStr">
        <is>
          <t>MER00139</t>
        </is>
      </c>
      <c r="C125" s="8" t="n">
        <v>45540</v>
      </c>
      <c r="D125" t="inlineStr">
        <is>
          <t>ORD00008744</t>
        </is>
      </c>
      <c r="E125" t="n">
        <v>1278.93</v>
      </c>
      <c r="F125" t="n">
        <v>2</v>
      </c>
      <c r="G125" t="n">
        <v>25.58</v>
      </c>
      <c r="H125" t="inlineStr">
        <is>
          <t>NetBanking</t>
        </is>
      </c>
      <c r="I125" t="inlineStr">
        <is>
          <t>Success</t>
        </is>
      </c>
      <c r="J125" t="inlineStr">
        <is>
          <t>Delivered</t>
        </is>
      </c>
      <c r="K125" t="n">
        <v>0</v>
      </c>
      <c r="L125" t="n">
        <v>68.98999999999999</v>
      </c>
      <c r="M125" t="inlineStr">
        <is>
          <t>INR</t>
        </is>
      </c>
      <c r="N125" t="inlineStr">
        <is>
          <t>2024-09-05 20:04:18</t>
        </is>
      </c>
    </row>
    <row r="126">
      <c r="A126" t="inlineStr">
        <is>
          <t>TXN00010354</t>
        </is>
      </c>
      <c r="B126" t="inlineStr">
        <is>
          <t>MER00139</t>
        </is>
      </c>
      <c r="C126" s="8" t="n">
        <v>45545</v>
      </c>
      <c r="D126" t="inlineStr">
        <is>
          <t>ORD00010354</t>
        </is>
      </c>
      <c r="E126" t="n">
        <v>4016.59</v>
      </c>
      <c r="F126" t="n">
        <v>2</v>
      </c>
      <c r="G126" t="n">
        <v>80.33</v>
      </c>
      <c r="H126" t="inlineStr">
        <is>
          <t>Card</t>
        </is>
      </c>
      <c r="I126" t="inlineStr">
        <is>
          <t>Success</t>
        </is>
      </c>
      <c r="J126" t="inlineStr">
        <is>
          <t>Delivered</t>
        </is>
      </c>
      <c r="K126" t="n">
        <v>0</v>
      </c>
      <c r="L126" t="n">
        <v>648.6900000000001</v>
      </c>
      <c r="M126" t="inlineStr">
        <is>
          <t>INR</t>
        </is>
      </c>
      <c r="N126" t="inlineStr">
        <is>
          <t>2024-09-10 06:42:49</t>
        </is>
      </c>
    </row>
    <row r="127">
      <c r="A127" t="inlineStr">
        <is>
          <t>TXN00010741</t>
        </is>
      </c>
      <c r="B127" t="inlineStr">
        <is>
          <t>MER00139</t>
        </is>
      </c>
      <c r="C127" s="8" t="n">
        <v>45547</v>
      </c>
      <c r="D127" t="inlineStr">
        <is>
          <t>ORD00010741</t>
        </is>
      </c>
      <c r="E127" t="n">
        <v>2810.74</v>
      </c>
      <c r="F127" t="n">
        <v>2</v>
      </c>
      <c r="G127" t="n">
        <v>56.21</v>
      </c>
      <c r="H127" t="inlineStr">
        <is>
          <t>COD</t>
        </is>
      </c>
      <c r="I127" t="inlineStr">
        <is>
          <t>Success</t>
        </is>
      </c>
      <c r="J127" t="inlineStr">
        <is>
          <t>Delivered</t>
        </is>
      </c>
      <c r="K127" t="n">
        <v>0</v>
      </c>
      <c r="L127" t="n">
        <v>0</v>
      </c>
      <c r="M127" t="inlineStr">
        <is>
          <t>INR</t>
        </is>
      </c>
      <c r="N127" t="inlineStr">
        <is>
          <t>2024-09-12 05:02:46</t>
        </is>
      </c>
    </row>
    <row r="128">
      <c r="A128" t="inlineStr">
        <is>
          <t>TXN00014363</t>
        </is>
      </c>
      <c r="B128" t="inlineStr">
        <is>
          <t>MER00139</t>
        </is>
      </c>
      <c r="C128" s="8" t="n">
        <v>45560</v>
      </c>
      <c r="D128" t="inlineStr">
        <is>
          <t>ORD00014363</t>
        </is>
      </c>
      <c r="E128" t="n">
        <v>1222.98</v>
      </c>
      <c r="F128" t="n">
        <v>2</v>
      </c>
      <c r="G128" t="n">
        <v>24.46</v>
      </c>
      <c r="H128" t="inlineStr">
        <is>
          <t>UPI</t>
        </is>
      </c>
      <c r="I128" t="inlineStr">
        <is>
          <t>Failed</t>
        </is>
      </c>
      <c r="J128" t="inlineStr">
        <is>
          <t>Cancelled</t>
        </is>
      </c>
      <c r="K128" t="n">
        <v>0</v>
      </c>
      <c r="L128" t="n">
        <v>0</v>
      </c>
      <c r="M128" t="inlineStr">
        <is>
          <t>INR</t>
        </is>
      </c>
      <c r="N128" t="inlineStr">
        <is>
          <t>2024-09-25 02:40:32</t>
        </is>
      </c>
    </row>
    <row r="129">
      <c r="A129" t="inlineStr">
        <is>
          <t>TXN00016035</t>
        </is>
      </c>
      <c r="B129" t="inlineStr">
        <is>
          <t>MER00139</t>
        </is>
      </c>
      <c r="C129" s="8" t="n">
        <v>45565</v>
      </c>
      <c r="D129" t="inlineStr">
        <is>
          <t>ORD00016035</t>
        </is>
      </c>
      <c r="E129" t="n">
        <v>957.83</v>
      </c>
      <c r="F129" t="n">
        <v>2</v>
      </c>
      <c r="G129" t="n">
        <v>19.16</v>
      </c>
      <c r="H129" t="inlineStr">
        <is>
          <t>UPI</t>
        </is>
      </c>
      <c r="I129" t="inlineStr">
        <is>
          <t>Success</t>
        </is>
      </c>
      <c r="J129" t="inlineStr">
        <is>
          <t>Cancelled</t>
        </is>
      </c>
      <c r="K129" t="n">
        <v>940.37</v>
      </c>
      <c r="L129" t="n">
        <v>0</v>
      </c>
      <c r="M129" t="inlineStr">
        <is>
          <t>INR</t>
        </is>
      </c>
      <c r="N129" t="inlineStr">
        <is>
          <t>2024-09-30 18:33:13</t>
        </is>
      </c>
    </row>
    <row r="130">
      <c r="A130" t="inlineStr">
        <is>
          <t>TXN00016235</t>
        </is>
      </c>
      <c r="B130" t="inlineStr">
        <is>
          <t>MER00139</t>
        </is>
      </c>
      <c r="C130" s="8" t="n">
        <v>45566</v>
      </c>
      <c r="D130" t="inlineStr">
        <is>
          <t>ORD00016235</t>
        </is>
      </c>
      <c r="E130" t="n">
        <v>1789.23</v>
      </c>
      <c r="F130" t="n">
        <v>2</v>
      </c>
      <c r="G130" t="n">
        <v>35.78</v>
      </c>
      <c r="H130" t="inlineStr">
        <is>
          <t>UPI</t>
        </is>
      </c>
      <c r="I130" t="inlineStr">
        <is>
          <t>Success</t>
        </is>
      </c>
      <c r="J130" t="inlineStr">
        <is>
          <t>Delivered</t>
        </is>
      </c>
      <c r="K130" t="n">
        <v>0</v>
      </c>
      <c r="L130" t="n">
        <v>149.72</v>
      </c>
      <c r="M130" t="inlineStr">
        <is>
          <t>INR</t>
        </is>
      </c>
      <c r="N130" t="inlineStr">
        <is>
          <t>2024-10-01 22:01:23</t>
        </is>
      </c>
    </row>
    <row r="131">
      <c r="A131" t="inlineStr">
        <is>
          <t>TXN00017456</t>
        </is>
      </c>
      <c r="B131" t="inlineStr">
        <is>
          <t>MER00139</t>
        </is>
      </c>
      <c r="C131" s="8" t="n">
        <v>45569</v>
      </c>
      <c r="D131" t="inlineStr">
        <is>
          <t>ORD00017456</t>
        </is>
      </c>
      <c r="E131" t="n">
        <v>1915.08</v>
      </c>
      <c r="F131" t="n">
        <v>2.22</v>
      </c>
      <c r="G131" t="n">
        <v>42.51</v>
      </c>
      <c r="H131" t="inlineStr">
        <is>
          <t>UPI</t>
        </is>
      </c>
      <c r="I131" t="inlineStr">
        <is>
          <t>Success</t>
        </is>
      </c>
      <c r="J131" t="inlineStr">
        <is>
          <t>Delivered</t>
        </is>
      </c>
      <c r="K131" t="n">
        <v>0</v>
      </c>
      <c r="L131" t="n">
        <v>0</v>
      </c>
      <c r="M131" t="inlineStr">
        <is>
          <t>INR</t>
        </is>
      </c>
      <c r="N131" t="inlineStr">
        <is>
          <t>2024-10-04 09:37:20</t>
        </is>
      </c>
    </row>
    <row r="132">
      <c r="A132" t="inlineStr">
        <is>
          <t>TXN00017811</t>
        </is>
      </c>
      <c r="B132" t="inlineStr">
        <is>
          <t>MER00139</t>
        </is>
      </c>
      <c r="C132" s="8" t="n">
        <v>45570</v>
      </c>
      <c r="D132" t="inlineStr">
        <is>
          <t>ORD00017811</t>
        </is>
      </c>
      <c r="E132" t="n">
        <v>935.13</v>
      </c>
      <c r="F132" t="n">
        <v>2.22</v>
      </c>
      <c r="G132" t="n">
        <v>20.76</v>
      </c>
      <c r="H132" t="inlineStr">
        <is>
          <t>UPI</t>
        </is>
      </c>
      <c r="I132" t="inlineStr">
        <is>
          <t>Success</t>
        </is>
      </c>
      <c r="J132" t="inlineStr">
        <is>
          <t>Returned</t>
        </is>
      </c>
      <c r="K132" t="n">
        <v>682.29</v>
      </c>
      <c r="L132" t="n">
        <v>0</v>
      </c>
      <c r="M132" t="inlineStr">
        <is>
          <t>INR</t>
        </is>
      </c>
      <c r="N132" t="inlineStr">
        <is>
          <t>2024-10-05 01:02:54</t>
        </is>
      </c>
    </row>
    <row r="133">
      <c r="A133" t="inlineStr">
        <is>
          <t>TXN00017910</t>
        </is>
      </c>
      <c r="B133" t="inlineStr">
        <is>
          <t>MER00139</t>
        </is>
      </c>
      <c r="C133" s="8" t="n">
        <v>45570</v>
      </c>
      <c r="D133" t="inlineStr">
        <is>
          <t>ORD00017910</t>
        </is>
      </c>
      <c r="E133" t="n">
        <v>1987.19</v>
      </c>
      <c r="F133" t="n">
        <v>2.22</v>
      </c>
      <c r="G133" t="n">
        <v>44.12</v>
      </c>
      <c r="H133" t="inlineStr">
        <is>
          <t>Card</t>
        </is>
      </c>
      <c r="I133" t="inlineStr">
        <is>
          <t>Success</t>
        </is>
      </c>
      <c r="J133" t="inlineStr">
        <is>
          <t>Delivered</t>
        </is>
      </c>
      <c r="K133" t="n">
        <v>0</v>
      </c>
      <c r="L133" t="n">
        <v>0</v>
      </c>
      <c r="M133" t="inlineStr">
        <is>
          <t>INR</t>
        </is>
      </c>
      <c r="N133" t="inlineStr">
        <is>
          <t>2024-10-05 18:23:31</t>
        </is>
      </c>
    </row>
    <row r="134">
      <c r="A134" t="inlineStr">
        <is>
          <t>TXN00018734</t>
        </is>
      </c>
      <c r="B134" t="inlineStr">
        <is>
          <t>MER00139</t>
        </is>
      </c>
      <c r="C134" s="8" t="n">
        <v>45572</v>
      </c>
      <c r="D134" t="inlineStr">
        <is>
          <t>ORD00018734</t>
        </is>
      </c>
      <c r="E134" t="n">
        <v>4450.76</v>
      </c>
      <c r="F134" t="n">
        <v>2.22</v>
      </c>
      <c r="G134" t="n">
        <v>98.81</v>
      </c>
      <c r="H134" t="inlineStr">
        <is>
          <t>UPI</t>
        </is>
      </c>
      <c r="I134" t="inlineStr">
        <is>
          <t>Success</t>
        </is>
      </c>
      <c r="J134" t="inlineStr">
        <is>
          <t>Delivered</t>
        </is>
      </c>
      <c r="K134" t="n">
        <v>0</v>
      </c>
      <c r="L134" t="n">
        <v>0</v>
      </c>
      <c r="M134" t="inlineStr">
        <is>
          <t>INR</t>
        </is>
      </c>
      <c r="N134" t="inlineStr">
        <is>
          <t>2024-10-07 21:46:03</t>
        </is>
      </c>
    </row>
    <row r="135">
      <c r="A135" t="inlineStr">
        <is>
          <t>TXN00019229</t>
        </is>
      </c>
      <c r="B135" t="inlineStr">
        <is>
          <t>MER00139</t>
        </is>
      </c>
      <c r="C135" s="8" t="n">
        <v>45574</v>
      </c>
      <c r="D135" t="inlineStr">
        <is>
          <t>ORD00019229</t>
        </is>
      </c>
      <c r="E135" t="n">
        <v>4463.52</v>
      </c>
      <c r="F135" t="n">
        <v>2.22</v>
      </c>
      <c r="G135" t="n">
        <v>99.09</v>
      </c>
      <c r="H135" t="inlineStr">
        <is>
          <t>UPI</t>
        </is>
      </c>
      <c r="I135" t="inlineStr">
        <is>
          <t>Success</t>
        </is>
      </c>
      <c r="J135" t="inlineStr">
        <is>
          <t>Delivered</t>
        </is>
      </c>
      <c r="K135" t="n">
        <v>0</v>
      </c>
      <c r="L135" t="n">
        <v>0</v>
      </c>
      <c r="M135" t="inlineStr">
        <is>
          <t>INR</t>
        </is>
      </c>
      <c r="N135" t="inlineStr">
        <is>
          <t>2024-10-09 12:36:32</t>
        </is>
      </c>
    </row>
    <row r="136">
      <c r="A136" t="inlineStr">
        <is>
          <t>TXN00022498</t>
        </is>
      </c>
      <c r="B136" t="inlineStr">
        <is>
          <t>MER00139</t>
        </is>
      </c>
      <c r="C136" s="8" t="n">
        <v>45582</v>
      </c>
      <c r="D136" t="inlineStr">
        <is>
          <t>ORD00022498</t>
        </is>
      </c>
      <c r="E136" t="n">
        <v>460.14</v>
      </c>
      <c r="F136" t="n">
        <v>2.22</v>
      </c>
      <c r="G136" t="n">
        <v>10.22</v>
      </c>
      <c r="H136" t="inlineStr">
        <is>
          <t>COD</t>
        </is>
      </c>
      <c r="I136" t="inlineStr">
        <is>
          <t>Success</t>
        </is>
      </c>
      <c r="J136" t="inlineStr">
        <is>
          <t>Delivered</t>
        </is>
      </c>
      <c r="K136" t="n">
        <v>0</v>
      </c>
      <c r="L136" t="n">
        <v>77.70999999999999</v>
      </c>
      <c r="M136" t="inlineStr">
        <is>
          <t>INR</t>
        </is>
      </c>
      <c r="N136" t="inlineStr">
        <is>
          <t>2024-10-17 10:59:58</t>
        </is>
      </c>
    </row>
    <row r="137">
      <c r="A137" t="inlineStr">
        <is>
          <t>TXN00023484</t>
        </is>
      </c>
      <c r="B137" t="inlineStr">
        <is>
          <t>MER00139</t>
        </is>
      </c>
      <c r="C137" s="8" t="n">
        <v>45585</v>
      </c>
      <c r="D137" t="inlineStr">
        <is>
          <t>ORD00023484</t>
        </is>
      </c>
      <c r="E137" t="n">
        <v>1124.16</v>
      </c>
      <c r="F137" t="n">
        <v>2.22</v>
      </c>
      <c r="G137" t="n">
        <v>24.96</v>
      </c>
      <c r="H137" t="inlineStr">
        <is>
          <t>Card</t>
        </is>
      </c>
      <c r="I137" t="inlineStr">
        <is>
          <t>Success</t>
        </is>
      </c>
      <c r="J137" t="inlineStr">
        <is>
          <t>Delivered</t>
        </is>
      </c>
      <c r="K137" t="n">
        <v>0</v>
      </c>
      <c r="L137" t="n">
        <v>205.26</v>
      </c>
      <c r="M137" t="inlineStr">
        <is>
          <t>INR</t>
        </is>
      </c>
      <c r="N137" t="inlineStr">
        <is>
          <t>2024-10-20 22:36:37</t>
        </is>
      </c>
    </row>
    <row r="138">
      <c r="A138" t="inlineStr">
        <is>
          <t>TXN00024478</t>
        </is>
      </c>
      <c r="B138" t="inlineStr">
        <is>
          <t>MER00139</t>
        </is>
      </c>
      <c r="C138" s="8" t="n">
        <v>45587</v>
      </c>
      <c r="D138" t="inlineStr">
        <is>
          <t>ORD00024478</t>
        </is>
      </c>
      <c r="E138" t="n">
        <v>989.14</v>
      </c>
      <c r="F138" t="n">
        <v>2.22</v>
      </c>
      <c r="G138" t="n">
        <v>21.96</v>
      </c>
      <c r="H138" t="inlineStr">
        <is>
          <t>NetBanking</t>
        </is>
      </c>
      <c r="I138" t="inlineStr">
        <is>
          <t>Success</t>
        </is>
      </c>
      <c r="J138" t="inlineStr">
        <is>
          <t>Delivered</t>
        </is>
      </c>
      <c r="K138" t="n">
        <v>0</v>
      </c>
      <c r="L138" t="n">
        <v>0</v>
      </c>
      <c r="M138" t="inlineStr">
        <is>
          <t>INR</t>
        </is>
      </c>
      <c r="N138" t="inlineStr">
        <is>
          <t>2024-10-22 14:50:26</t>
        </is>
      </c>
    </row>
    <row r="139">
      <c r="A139" t="inlineStr">
        <is>
          <t>TXN00024900</t>
        </is>
      </c>
      <c r="B139" t="inlineStr">
        <is>
          <t>MER00139</t>
        </is>
      </c>
      <c r="C139" s="8" t="n">
        <v>45588</v>
      </c>
      <c r="D139" t="inlineStr">
        <is>
          <t>ORD00024900</t>
        </is>
      </c>
      <c r="E139" t="n">
        <v>1193.66</v>
      </c>
      <c r="F139" t="n">
        <v>2.22</v>
      </c>
      <c r="G139" t="n">
        <v>26.5</v>
      </c>
      <c r="H139" t="inlineStr">
        <is>
          <t>Wallet</t>
        </is>
      </c>
      <c r="I139" t="inlineStr">
        <is>
          <t>Success</t>
        </is>
      </c>
      <c r="J139" t="inlineStr">
        <is>
          <t>Delivered</t>
        </is>
      </c>
      <c r="K139" t="n">
        <v>0</v>
      </c>
      <c r="L139" t="n">
        <v>0</v>
      </c>
      <c r="M139" t="inlineStr">
        <is>
          <t>INR</t>
        </is>
      </c>
      <c r="N139" t="inlineStr">
        <is>
          <t>2024-10-23 23:19:35</t>
        </is>
      </c>
    </row>
    <row r="140">
      <c r="A140" t="inlineStr">
        <is>
          <t>TXN00024940</t>
        </is>
      </c>
      <c r="B140" t="inlineStr">
        <is>
          <t>MER00139</t>
        </is>
      </c>
      <c r="C140" s="8" t="n">
        <v>45589</v>
      </c>
      <c r="D140" t="inlineStr">
        <is>
          <t>ORD00024940</t>
        </is>
      </c>
      <c r="E140" t="n">
        <v>1324.85</v>
      </c>
      <c r="F140" t="n">
        <v>2.22</v>
      </c>
      <c r="G140" t="n">
        <v>29.41</v>
      </c>
      <c r="H140" t="inlineStr">
        <is>
          <t>UPI</t>
        </is>
      </c>
      <c r="I140" t="inlineStr">
        <is>
          <t>Success</t>
        </is>
      </c>
      <c r="J140" t="inlineStr">
        <is>
          <t>Delivered</t>
        </is>
      </c>
      <c r="K140" t="n">
        <v>0</v>
      </c>
      <c r="L140" t="n">
        <v>0</v>
      </c>
      <c r="M140" t="inlineStr">
        <is>
          <t>INR</t>
        </is>
      </c>
      <c r="N140" t="inlineStr">
        <is>
          <t>2024-10-24 12:52:26</t>
        </is>
      </c>
    </row>
    <row r="141">
      <c r="A141" t="inlineStr">
        <is>
          <t>TXN00025387</t>
        </is>
      </c>
      <c r="B141" t="inlineStr">
        <is>
          <t>MER00139</t>
        </is>
      </c>
      <c r="C141" s="8" t="n">
        <v>45590</v>
      </c>
      <c r="D141" t="inlineStr">
        <is>
          <t>ORD00025387</t>
        </is>
      </c>
      <c r="E141" t="n">
        <v>1618.25</v>
      </c>
      <c r="F141" t="n">
        <v>2.22</v>
      </c>
      <c r="G141" t="n">
        <v>35.93</v>
      </c>
      <c r="H141" t="inlineStr">
        <is>
          <t>Card</t>
        </is>
      </c>
      <c r="I141" t="inlineStr">
        <is>
          <t>Success</t>
        </is>
      </c>
      <c r="J141" t="inlineStr">
        <is>
          <t>Delivered</t>
        </is>
      </c>
      <c r="K141" t="n">
        <v>0</v>
      </c>
      <c r="L141" t="n">
        <v>0</v>
      </c>
      <c r="M141" t="inlineStr">
        <is>
          <t>INR</t>
        </is>
      </c>
      <c r="N141" t="inlineStr">
        <is>
          <t>2024-10-25 20:01:47</t>
        </is>
      </c>
    </row>
    <row r="142">
      <c r="A142" t="inlineStr">
        <is>
          <t>TXN00026400</t>
        </is>
      </c>
      <c r="B142" t="inlineStr">
        <is>
          <t>MER00139</t>
        </is>
      </c>
      <c r="C142" s="8" t="n">
        <v>45592</v>
      </c>
      <c r="D142" t="inlineStr">
        <is>
          <t>ORD00026400</t>
        </is>
      </c>
      <c r="E142" t="n">
        <v>1885.5</v>
      </c>
      <c r="F142" t="n">
        <v>2.22</v>
      </c>
      <c r="G142" t="n">
        <v>41.86</v>
      </c>
      <c r="H142" t="inlineStr">
        <is>
          <t>Card</t>
        </is>
      </c>
      <c r="I142" t="inlineStr">
        <is>
          <t>Success</t>
        </is>
      </c>
      <c r="J142" t="inlineStr">
        <is>
          <t>Delivered</t>
        </is>
      </c>
      <c r="K142" t="n">
        <v>0</v>
      </c>
      <c r="L142" t="n">
        <v>0</v>
      </c>
      <c r="M142" t="inlineStr">
        <is>
          <t>INR</t>
        </is>
      </c>
      <c r="N142" t="inlineStr">
        <is>
          <t>2024-10-27 16:27:50</t>
        </is>
      </c>
    </row>
    <row r="143">
      <c r="A143" t="inlineStr">
        <is>
          <t>TXN00026657</t>
        </is>
      </c>
      <c r="B143" t="inlineStr">
        <is>
          <t>MER00139</t>
        </is>
      </c>
      <c r="C143" s="8" t="n">
        <v>45593</v>
      </c>
      <c r="D143" t="inlineStr">
        <is>
          <t>ORD00026657</t>
        </is>
      </c>
      <c r="E143" t="n">
        <v>4115.13</v>
      </c>
      <c r="F143" t="n">
        <v>2.22</v>
      </c>
      <c r="G143" t="n">
        <v>91.36</v>
      </c>
      <c r="H143" t="inlineStr">
        <is>
          <t>Card</t>
        </is>
      </c>
      <c r="I143" t="inlineStr">
        <is>
          <t>Success</t>
        </is>
      </c>
      <c r="J143" t="inlineStr">
        <is>
          <t>Delivered</t>
        </is>
      </c>
      <c r="K143" t="n">
        <v>0</v>
      </c>
      <c r="L143" t="n">
        <v>0</v>
      </c>
      <c r="M143" t="inlineStr">
        <is>
          <t>INR</t>
        </is>
      </c>
      <c r="N143" t="inlineStr">
        <is>
          <t>2024-10-28 12:28:16</t>
        </is>
      </c>
    </row>
    <row r="144">
      <c r="A144" t="inlineStr">
        <is>
          <t>TXN00026537</t>
        </is>
      </c>
      <c r="B144" t="inlineStr">
        <is>
          <t>MER00139</t>
        </is>
      </c>
      <c r="C144" s="8" t="n">
        <v>45593</v>
      </c>
      <c r="D144" t="inlineStr">
        <is>
          <t>ORD00026537</t>
        </is>
      </c>
      <c r="E144" t="n">
        <v>1396.05</v>
      </c>
      <c r="F144" t="n">
        <v>2.22</v>
      </c>
      <c r="G144" t="n">
        <v>30.99</v>
      </c>
      <c r="H144" t="inlineStr">
        <is>
          <t>UPI</t>
        </is>
      </c>
      <c r="I144" t="inlineStr">
        <is>
          <t>Success</t>
        </is>
      </c>
      <c r="J144" t="inlineStr">
        <is>
          <t>Delivered</t>
        </is>
      </c>
      <c r="K144" t="n">
        <v>0</v>
      </c>
      <c r="L144" t="n">
        <v>82.12</v>
      </c>
      <c r="M144" t="inlineStr">
        <is>
          <t>INR</t>
        </is>
      </c>
      <c r="N144" t="inlineStr">
        <is>
          <t>2024-10-28 05:49:16</t>
        </is>
      </c>
    </row>
    <row r="145">
      <c r="A145" t="inlineStr">
        <is>
          <t>TXN00027280</t>
        </is>
      </c>
      <c r="B145" t="inlineStr">
        <is>
          <t>MER00139</t>
        </is>
      </c>
      <c r="C145" s="8" t="n">
        <v>45595</v>
      </c>
      <c r="D145" t="inlineStr">
        <is>
          <t>ORD00027280</t>
        </is>
      </c>
      <c r="E145" t="n">
        <v>1562.72</v>
      </c>
      <c r="F145" t="n">
        <v>2.22</v>
      </c>
      <c r="G145" t="n">
        <v>34.69</v>
      </c>
      <c r="H145" t="inlineStr">
        <is>
          <t>UPI</t>
        </is>
      </c>
      <c r="I145" t="inlineStr">
        <is>
          <t>Success</t>
        </is>
      </c>
      <c r="J145" t="inlineStr">
        <is>
          <t>Returned</t>
        </is>
      </c>
      <c r="K145" t="n">
        <v>1028.16</v>
      </c>
      <c r="L145" t="n">
        <v>0</v>
      </c>
      <c r="M145" t="inlineStr">
        <is>
          <t>INR</t>
        </is>
      </c>
      <c r="N145" t="inlineStr">
        <is>
          <t>2024-10-30 02:34:41</t>
        </is>
      </c>
    </row>
    <row r="146">
      <c r="A146" t="inlineStr">
        <is>
          <t>TXN00030184</t>
        </is>
      </c>
      <c r="B146" t="inlineStr">
        <is>
          <t>MER00139</t>
        </is>
      </c>
      <c r="C146" s="8" t="n">
        <v>45601</v>
      </c>
      <c r="D146" t="inlineStr">
        <is>
          <t>ORD00030184</t>
        </is>
      </c>
      <c r="E146" t="n">
        <v>674.1799999999999</v>
      </c>
      <c r="F146" t="n">
        <v>2.22</v>
      </c>
      <c r="G146" t="n">
        <v>14.97</v>
      </c>
      <c r="H146" t="inlineStr">
        <is>
          <t>UPI</t>
        </is>
      </c>
      <c r="I146" t="inlineStr">
        <is>
          <t>Success</t>
        </is>
      </c>
      <c r="J146" t="inlineStr">
        <is>
          <t>Processing</t>
        </is>
      </c>
      <c r="K146" t="n">
        <v>0</v>
      </c>
      <c r="L146" t="n">
        <v>0</v>
      </c>
      <c r="M146" t="inlineStr">
        <is>
          <t>INR</t>
        </is>
      </c>
      <c r="N146" t="inlineStr">
        <is>
          <t>2024-11-05 03:18:09</t>
        </is>
      </c>
    </row>
    <row r="147">
      <c r="A147" t="inlineStr">
        <is>
          <t>TXN00030535</t>
        </is>
      </c>
      <c r="B147" t="inlineStr">
        <is>
          <t>MER00139</t>
        </is>
      </c>
      <c r="C147" s="8" t="n">
        <v>45602</v>
      </c>
      <c r="D147" t="inlineStr">
        <is>
          <t>ORD00030535</t>
        </is>
      </c>
      <c r="E147" t="n">
        <v>2363.6</v>
      </c>
      <c r="F147" t="n">
        <v>2.22</v>
      </c>
      <c r="G147" t="n">
        <v>52.47</v>
      </c>
      <c r="H147" t="inlineStr">
        <is>
          <t>Card</t>
        </is>
      </c>
      <c r="I147" t="inlineStr">
        <is>
          <t>Success</t>
        </is>
      </c>
      <c r="J147" t="inlineStr">
        <is>
          <t>Delivered</t>
        </is>
      </c>
      <c r="K147" t="n">
        <v>0</v>
      </c>
      <c r="L147" t="n">
        <v>436.63</v>
      </c>
      <c r="M147" t="inlineStr">
        <is>
          <t>INR</t>
        </is>
      </c>
      <c r="N147" t="inlineStr">
        <is>
          <t>2024-11-06 09:43:40</t>
        </is>
      </c>
    </row>
    <row r="148">
      <c r="A148" t="inlineStr">
        <is>
          <t>TXN00031574</t>
        </is>
      </c>
      <c r="B148" t="inlineStr">
        <is>
          <t>MER00139</t>
        </is>
      </c>
      <c r="C148" s="8" t="n">
        <v>45604</v>
      </c>
      <c r="D148" t="inlineStr">
        <is>
          <t>ORD00031574</t>
        </is>
      </c>
      <c r="E148" t="n">
        <v>862.36</v>
      </c>
      <c r="F148" t="n">
        <v>2.22</v>
      </c>
      <c r="G148" t="n">
        <v>19.14</v>
      </c>
      <c r="H148" t="inlineStr">
        <is>
          <t>Card</t>
        </is>
      </c>
      <c r="I148" t="inlineStr">
        <is>
          <t>Success</t>
        </is>
      </c>
      <c r="J148" t="inlineStr">
        <is>
          <t>Delivered</t>
        </is>
      </c>
      <c r="K148" t="n">
        <v>0</v>
      </c>
      <c r="L148" t="n">
        <v>0</v>
      </c>
      <c r="M148" t="inlineStr">
        <is>
          <t>INR</t>
        </is>
      </c>
      <c r="N148" t="inlineStr">
        <is>
          <t>2024-11-08 16:08:09</t>
        </is>
      </c>
    </row>
    <row r="149">
      <c r="A149" t="inlineStr">
        <is>
          <t>TXN00031812</t>
        </is>
      </c>
      <c r="B149" t="inlineStr">
        <is>
          <t>MER00139</t>
        </is>
      </c>
      <c r="C149" s="8" t="n">
        <v>45605</v>
      </c>
      <c r="D149" t="inlineStr">
        <is>
          <t>ORD00031812</t>
        </is>
      </c>
      <c r="E149" t="n">
        <v>5928.99</v>
      </c>
      <c r="F149" t="n">
        <v>2.75</v>
      </c>
      <c r="G149" t="n">
        <v>131.62</v>
      </c>
      <c r="H149" t="inlineStr">
        <is>
          <t>UPI</t>
        </is>
      </c>
      <c r="I149" t="inlineStr">
        <is>
          <t>Success</t>
        </is>
      </c>
      <c r="J149" t="inlineStr">
        <is>
          <t>Delivered</t>
        </is>
      </c>
      <c r="K149" t="n">
        <v>0</v>
      </c>
      <c r="L149" t="n">
        <v>0</v>
      </c>
      <c r="M149" t="inlineStr">
        <is>
          <t>INR</t>
        </is>
      </c>
      <c r="N149" t="inlineStr">
        <is>
          <t>2024-11-09 11:14:30</t>
        </is>
      </c>
    </row>
    <row r="150">
      <c r="A150" t="inlineStr">
        <is>
          <t>TXN00033946</t>
        </is>
      </c>
      <c r="B150" t="inlineStr">
        <is>
          <t>MER00139</t>
        </is>
      </c>
      <c r="C150" s="8" t="n">
        <v>45610</v>
      </c>
      <c r="D150" t="inlineStr">
        <is>
          <t>ORD00033946</t>
        </is>
      </c>
      <c r="E150" t="n">
        <v>3949.23</v>
      </c>
      <c r="F150" t="n">
        <v>2.22</v>
      </c>
      <c r="G150" t="n">
        <v>87.67</v>
      </c>
      <c r="H150" t="inlineStr">
        <is>
          <t>Card</t>
        </is>
      </c>
      <c r="I150" t="inlineStr">
        <is>
          <t>Success</t>
        </is>
      </c>
      <c r="J150" t="inlineStr">
        <is>
          <t>Delivered</t>
        </is>
      </c>
      <c r="K150" t="n">
        <v>0</v>
      </c>
      <c r="L150" t="n">
        <v>0</v>
      </c>
      <c r="M150" t="inlineStr">
        <is>
          <t>INR</t>
        </is>
      </c>
      <c r="N150" t="inlineStr">
        <is>
          <t>2024-11-14 16:51:21</t>
        </is>
      </c>
    </row>
    <row r="151">
      <c r="A151" t="inlineStr">
        <is>
          <t>TXN00039807</t>
        </is>
      </c>
      <c r="B151" t="inlineStr">
        <is>
          <t>MER00139</t>
        </is>
      </c>
      <c r="C151" s="8" t="n">
        <v>45622</v>
      </c>
      <c r="D151" t="inlineStr">
        <is>
          <t>ORD00039807</t>
        </is>
      </c>
      <c r="E151" t="n">
        <v>1223.6</v>
      </c>
      <c r="F151" t="n">
        <v>2.22</v>
      </c>
      <c r="G151" t="n">
        <v>27.16</v>
      </c>
      <c r="H151" t="inlineStr">
        <is>
          <t>UPI</t>
        </is>
      </c>
      <c r="I151" t="inlineStr">
        <is>
          <t>Failed</t>
        </is>
      </c>
      <c r="J151" t="inlineStr">
        <is>
          <t>Processing</t>
        </is>
      </c>
      <c r="K151" t="n">
        <v>0</v>
      </c>
      <c r="L151" t="n">
        <v>0</v>
      </c>
      <c r="M151" t="inlineStr">
        <is>
          <t>INR</t>
        </is>
      </c>
      <c r="N151" t="inlineStr">
        <is>
          <t>2024-11-26 20:41:24</t>
        </is>
      </c>
    </row>
    <row r="152">
      <c r="A152" t="inlineStr">
        <is>
          <t>TXN00044597</t>
        </is>
      </c>
      <c r="B152" t="inlineStr">
        <is>
          <t>MER00139</t>
        </is>
      </c>
      <c r="C152" s="8" t="n">
        <v>45636</v>
      </c>
      <c r="D152" t="inlineStr">
        <is>
          <t>ORD00044597</t>
        </is>
      </c>
      <c r="E152" t="n">
        <v>1062.89</v>
      </c>
      <c r="F152" t="n">
        <v>2.22</v>
      </c>
      <c r="G152" t="n">
        <v>23.6</v>
      </c>
      <c r="H152" t="inlineStr">
        <is>
          <t>Wallet</t>
        </is>
      </c>
      <c r="I152" t="inlineStr">
        <is>
          <t>Success</t>
        </is>
      </c>
      <c r="J152" t="inlineStr">
        <is>
          <t>Delivered</t>
        </is>
      </c>
      <c r="K152" t="n">
        <v>0</v>
      </c>
      <c r="L152" t="n">
        <v>0</v>
      </c>
      <c r="M152" t="inlineStr">
        <is>
          <t>INR</t>
        </is>
      </c>
      <c r="N152" t="inlineStr">
        <is>
          <t>2024-12-10 17:07:17</t>
        </is>
      </c>
    </row>
    <row r="153">
      <c r="A153" t="inlineStr">
        <is>
          <t>TXN00045277</t>
        </is>
      </c>
      <c r="B153" t="inlineStr">
        <is>
          <t>MER00139</t>
        </is>
      </c>
      <c r="C153" s="8" t="n">
        <v>45638</v>
      </c>
      <c r="D153" t="inlineStr">
        <is>
          <t>ORD00045277</t>
        </is>
      </c>
      <c r="E153" t="n">
        <v>2060.68</v>
      </c>
      <c r="F153" t="n">
        <v>2.22</v>
      </c>
      <c r="G153" t="n">
        <v>45.75</v>
      </c>
      <c r="H153" t="inlineStr">
        <is>
          <t>Wallet</t>
        </is>
      </c>
      <c r="I153" t="inlineStr">
        <is>
          <t>Success</t>
        </is>
      </c>
      <c r="J153" t="inlineStr">
        <is>
          <t>Delivered</t>
        </is>
      </c>
      <c r="K153" t="n">
        <v>0</v>
      </c>
      <c r="L153" t="n">
        <v>0</v>
      </c>
      <c r="M153" t="inlineStr">
        <is>
          <t>INR</t>
        </is>
      </c>
      <c r="N153" t="inlineStr">
        <is>
          <t>2024-12-12 09:01:30</t>
        </is>
      </c>
    </row>
    <row r="154">
      <c r="A154" t="inlineStr">
        <is>
          <t>TXN00045475</t>
        </is>
      </c>
      <c r="B154" t="inlineStr">
        <is>
          <t>MER00139</t>
        </is>
      </c>
      <c r="C154" s="8" t="n">
        <v>45639</v>
      </c>
      <c r="D154" t="inlineStr">
        <is>
          <t>ORD00045475</t>
        </is>
      </c>
      <c r="E154" t="n">
        <v>1498.13</v>
      </c>
      <c r="F154" t="n">
        <v>2.22</v>
      </c>
      <c r="G154" t="n">
        <v>33.26</v>
      </c>
      <c r="H154" t="inlineStr">
        <is>
          <t>UPI</t>
        </is>
      </c>
      <c r="I154" t="inlineStr">
        <is>
          <t>Success</t>
        </is>
      </c>
      <c r="J154" t="inlineStr">
        <is>
          <t>Delivered</t>
        </is>
      </c>
      <c r="K154" t="n">
        <v>0</v>
      </c>
      <c r="L154" t="n">
        <v>0</v>
      </c>
      <c r="M154" t="inlineStr">
        <is>
          <t>INR</t>
        </is>
      </c>
      <c r="N154" t="inlineStr">
        <is>
          <t>2024-12-13 18:57:36</t>
        </is>
      </c>
    </row>
    <row r="155">
      <c r="A155" t="inlineStr">
        <is>
          <t>TXN00045637</t>
        </is>
      </c>
      <c r="B155" t="inlineStr">
        <is>
          <t>MER00139</t>
        </is>
      </c>
      <c r="C155" s="8" t="n">
        <v>45639</v>
      </c>
      <c r="D155" t="inlineStr">
        <is>
          <t>ORD00045637</t>
        </is>
      </c>
      <c r="E155" t="n">
        <v>925.23</v>
      </c>
      <c r="F155" t="n">
        <v>2.22</v>
      </c>
      <c r="G155" t="n">
        <v>20.54</v>
      </c>
      <c r="H155" t="inlineStr">
        <is>
          <t>UPI</t>
        </is>
      </c>
      <c r="I155" t="inlineStr">
        <is>
          <t>Failed</t>
        </is>
      </c>
      <c r="J155" t="inlineStr">
        <is>
          <t>Cancelled</t>
        </is>
      </c>
      <c r="K155" t="n">
        <v>0</v>
      </c>
      <c r="L155" t="n">
        <v>0</v>
      </c>
      <c r="M155" t="inlineStr">
        <is>
          <t>INR</t>
        </is>
      </c>
      <c r="N155" t="inlineStr">
        <is>
          <t>2024-12-13 08:13:52</t>
        </is>
      </c>
    </row>
    <row r="156">
      <c r="A156" t="inlineStr">
        <is>
          <t>TXN00047747</t>
        </is>
      </c>
      <c r="B156" t="inlineStr">
        <is>
          <t>MER00139</t>
        </is>
      </c>
      <c r="C156" s="8" t="n">
        <v>45646</v>
      </c>
      <c r="D156" t="inlineStr">
        <is>
          <t>ORD00047747</t>
        </is>
      </c>
      <c r="E156" t="n">
        <v>902.29</v>
      </c>
      <c r="F156" t="n">
        <v>2.22</v>
      </c>
      <c r="G156" t="n">
        <v>20.03</v>
      </c>
      <c r="H156" t="inlineStr">
        <is>
          <t>COD</t>
        </is>
      </c>
      <c r="I156" t="inlineStr">
        <is>
          <t>Success</t>
        </is>
      </c>
      <c r="J156" t="inlineStr">
        <is>
          <t>Delivered</t>
        </is>
      </c>
      <c r="K156" t="n">
        <v>0</v>
      </c>
      <c r="L156" t="n">
        <v>0</v>
      </c>
      <c r="M156" t="inlineStr">
        <is>
          <t>INR</t>
        </is>
      </c>
      <c r="N156" t="inlineStr">
        <is>
          <t>2024-12-20 08:03:45</t>
        </is>
      </c>
    </row>
    <row r="157">
      <c r="A157" t="inlineStr">
        <is>
          <t>TXN00048397</t>
        </is>
      </c>
      <c r="B157" t="inlineStr">
        <is>
          <t>MER00139</t>
        </is>
      </c>
      <c r="C157" s="8" t="n">
        <v>45648</v>
      </c>
      <c r="D157" t="inlineStr">
        <is>
          <t>ORD00048397</t>
        </is>
      </c>
      <c r="E157" t="n">
        <v>1011.14</v>
      </c>
      <c r="F157" t="n">
        <v>2.22</v>
      </c>
      <c r="G157" t="n">
        <v>22.45</v>
      </c>
      <c r="H157" t="inlineStr">
        <is>
          <t>Card</t>
        </is>
      </c>
      <c r="I157" t="inlineStr">
        <is>
          <t>Success</t>
        </is>
      </c>
      <c r="J157" t="inlineStr">
        <is>
          <t>Delivered</t>
        </is>
      </c>
      <c r="K157" t="n">
        <v>0</v>
      </c>
      <c r="L157" t="n">
        <v>0</v>
      </c>
      <c r="M157" t="inlineStr">
        <is>
          <t>INR</t>
        </is>
      </c>
      <c r="N157" t="inlineStr">
        <is>
          <t>2024-12-22 00:23:52</t>
        </is>
      </c>
    </row>
    <row r="158">
      <c r="A158" t="inlineStr">
        <is>
          <t>TXN00048394</t>
        </is>
      </c>
      <c r="B158" t="inlineStr">
        <is>
          <t>MER00139</t>
        </is>
      </c>
      <c r="C158" s="8" t="n">
        <v>45648</v>
      </c>
      <c r="D158" t="inlineStr">
        <is>
          <t>ORD00048394</t>
        </is>
      </c>
      <c r="E158" t="n">
        <v>933.86</v>
      </c>
      <c r="F158" t="n">
        <v>2.77</v>
      </c>
      <c r="G158" t="n">
        <v>20.73</v>
      </c>
      <c r="H158" t="inlineStr">
        <is>
          <t>UPI</t>
        </is>
      </c>
      <c r="I158" t="inlineStr">
        <is>
          <t>Success</t>
        </is>
      </c>
      <c r="J158" t="inlineStr">
        <is>
          <t>Delivered</t>
        </is>
      </c>
      <c r="K158" t="n">
        <v>0</v>
      </c>
      <c r="L158" t="n">
        <v>0</v>
      </c>
      <c r="M158" t="inlineStr">
        <is>
          <t>INR</t>
        </is>
      </c>
      <c r="N158" t="inlineStr">
        <is>
          <t>2024-12-22 00:01:33</t>
        </is>
      </c>
    </row>
    <row r="159">
      <c r="A159" t="inlineStr">
        <is>
          <t>TXN00048477</t>
        </is>
      </c>
      <c r="B159" t="inlineStr">
        <is>
          <t>MER00139</t>
        </is>
      </c>
      <c r="C159" s="8" t="n">
        <v>45649</v>
      </c>
      <c r="D159" t="inlineStr">
        <is>
          <t>ORD00048477</t>
        </is>
      </c>
      <c r="E159" t="n">
        <v>1102.06</v>
      </c>
      <c r="F159" t="n">
        <v>2.22</v>
      </c>
      <c r="G159" t="n">
        <v>24.47</v>
      </c>
      <c r="H159" t="inlineStr">
        <is>
          <t>COD</t>
        </is>
      </c>
      <c r="I159" t="inlineStr">
        <is>
          <t>Success</t>
        </is>
      </c>
      <c r="J159" t="inlineStr">
        <is>
          <t>Delivered</t>
        </is>
      </c>
      <c r="K159" t="n">
        <v>0</v>
      </c>
      <c r="L159" t="n">
        <v>134.81</v>
      </c>
      <c r="M159" t="inlineStr">
        <is>
          <t>INR</t>
        </is>
      </c>
      <c r="N159" t="inlineStr">
        <is>
          <t>2024-12-23 08:48:29</t>
        </is>
      </c>
    </row>
    <row r="160">
      <c r="A160" t="inlineStr">
        <is>
          <t>TXN00048489</t>
        </is>
      </c>
      <c r="B160" t="inlineStr">
        <is>
          <t>MER00139</t>
        </is>
      </c>
      <c r="C160" s="8" t="n">
        <v>45649</v>
      </c>
      <c r="D160" t="inlineStr">
        <is>
          <t>ORD00048489</t>
        </is>
      </c>
      <c r="E160" t="n">
        <v>2668.44</v>
      </c>
      <c r="F160" t="n">
        <v>2.22</v>
      </c>
      <c r="G160" t="n">
        <v>59.24</v>
      </c>
      <c r="H160" t="inlineStr">
        <is>
          <t>Card</t>
        </is>
      </c>
      <c r="I160" t="inlineStr">
        <is>
          <t>Pending</t>
        </is>
      </c>
      <c r="J160" t="inlineStr">
        <is>
          <t>Processing</t>
        </is>
      </c>
      <c r="K160" t="n">
        <v>0</v>
      </c>
      <c r="L160" t="n">
        <v>0</v>
      </c>
      <c r="M160" t="inlineStr">
        <is>
          <t>INR</t>
        </is>
      </c>
      <c r="N160" t="inlineStr">
        <is>
          <t>2024-12-23 16:00:02</t>
        </is>
      </c>
    </row>
    <row r="161">
      <c r="A161" t="inlineStr">
        <is>
          <t>TXN00049316</t>
        </is>
      </c>
      <c r="B161" t="inlineStr">
        <is>
          <t>MER00139</t>
        </is>
      </c>
      <c r="C161" s="8" t="n">
        <v>45651</v>
      </c>
      <c r="D161" t="inlineStr">
        <is>
          <t>ORD00049316</t>
        </is>
      </c>
      <c r="E161" t="n">
        <v>2573.23</v>
      </c>
      <c r="F161" t="n">
        <v>2.22</v>
      </c>
      <c r="G161" t="n">
        <v>57.13</v>
      </c>
      <c r="H161" t="inlineStr">
        <is>
          <t>NetBanking</t>
        </is>
      </c>
      <c r="I161" t="inlineStr">
        <is>
          <t>Success</t>
        </is>
      </c>
      <c r="J161" t="inlineStr">
        <is>
          <t>Processing</t>
        </is>
      </c>
      <c r="K161" t="n">
        <v>0</v>
      </c>
      <c r="L161" t="n">
        <v>0</v>
      </c>
      <c r="M161" t="inlineStr">
        <is>
          <t>INR</t>
        </is>
      </c>
      <c r="N161" t="inlineStr">
        <is>
          <t>2024-12-25 14:20:21</t>
        </is>
      </c>
    </row>
    <row r="162">
      <c r="A162" t="inlineStr">
        <is>
          <t>TXN00050997</t>
        </is>
      </c>
      <c r="B162" t="inlineStr">
        <is>
          <t>MER00139</t>
        </is>
      </c>
      <c r="C162" s="8" t="n">
        <v>45657</v>
      </c>
      <c r="D162" t="inlineStr">
        <is>
          <t>ORD00050997</t>
        </is>
      </c>
      <c r="E162" t="n">
        <v>5458.64</v>
      </c>
      <c r="F162" t="n">
        <v>2.22</v>
      </c>
      <c r="G162" t="n">
        <v>121.18</v>
      </c>
      <c r="H162" t="inlineStr">
        <is>
          <t>Card</t>
        </is>
      </c>
      <c r="I162" t="inlineStr">
        <is>
          <t>Success</t>
        </is>
      </c>
      <c r="J162" t="inlineStr">
        <is>
          <t>Delivered</t>
        </is>
      </c>
      <c r="K162" t="n">
        <v>0</v>
      </c>
      <c r="L162" t="n">
        <v>0</v>
      </c>
      <c r="M162" t="inlineStr">
        <is>
          <t>INR</t>
        </is>
      </c>
      <c r="N162" t="inlineStr">
        <is>
          <t>2024-12-31 14:09:16</t>
        </is>
      </c>
    </row>
    <row r="163">
      <c r="A163" t="inlineStr">
        <is>
          <t>TXN00054571</t>
        </is>
      </c>
      <c r="B163" t="inlineStr">
        <is>
          <t>MER00139</t>
        </is>
      </c>
      <c r="C163" s="8" t="n">
        <v>45666</v>
      </c>
      <c r="D163" t="inlineStr">
        <is>
          <t>ORD00054571</t>
        </is>
      </c>
      <c r="E163" t="n">
        <v>1005</v>
      </c>
      <c r="F163" t="n">
        <v>2.22</v>
      </c>
      <c r="G163" t="n">
        <v>22.31</v>
      </c>
      <c r="H163" t="inlineStr">
        <is>
          <t>UPI</t>
        </is>
      </c>
      <c r="I163" t="inlineStr">
        <is>
          <t>Success</t>
        </is>
      </c>
      <c r="J163" t="inlineStr">
        <is>
          <t>Delivered</t>
        </is>
      </c>
      <c r="K163" t="n">
        <v>0</v>
      </c>
      <c r="L163" t="n">
        <v>0</v>
      </c>
      <c r="M163" t="inlineStr">
        <is>
          <t>INR</t>
        </is>
      </c>
      <c r="N163" t="inlineStr">
        <is>
          <t>2025-01-09 18:16:30</t>
        </is>
      </c>
    </row>
    <row r="164">
      <c r="A164" t="inlineStr">
        <is>
          <t>TXN00055275</t>
        </is>
      </c>
      <c r="B164" t="inlineStr">
        <is>
          <t>MER00139</t>
        </is>
      </c>
      <c r="C164" s="8" t="n">
        <v>45668</v>
      </c>
      <c r="D164" t="inlineStr">
        <is>
          <t>ORD00055275</t>
        </is>
      </c>
      <c r="E164" t="n">
        <v>783.5599999999999</v>
      </c>
      <c r="F164" t="n">
        <v>1.6</v>
      </c>
      <c r="G164" t="n">
        <v>17.4</v>
      </c>
      <c r="H164" t="inlineStr">
        <is>
          <t>UPI</t>
        </is>
      </c>
      <c r="I164" t="inlineStr">
        <is>
          <t>Success</t>
        </is>
      </c>
      <c r="J164" t="inlineStr">
        <is>
          <t>Delivered</t>
        </is>
      </c>
      <c r="K164" t="n">
        <v>0</v>
      </c>
      <c r="L164" t="n">
        <v>0</v>
      </c>
      <c r="M164" t="inlineStr">
        <is>
          <t>INR</t>
        </is>
      </c>
      <c r="N164" t="inlineStr">
        <is>
          <t>2025-01-11 20:19:14</t>
        </is>
      </c>
    </row>
    <row r="165">
      <c r="A165" t="inlineStr">
        <is>
          <t>TXN00055964</t>
        </is>
      </c>
      <c r="B165" t="inlineStr">
        <is>
          <t>MER00139</t>
        </is>
      </c>
      <c r="C165" s="8" t="n">
        <v>45670</v>
      </c>
      <c r="D165" t="inlineStr">
        <is>
          <t>ORD00055964</t>
        </is>
      </c>
      <c r="E165" t="n">
        <v>290.9</v>
      </c>
      <c r="F165" t="n">
        <v>2.22</v>
      </c>
      <c r="G165" t="n">
        <v>6.46</v>
      </c>
      <c r="H165" t="inlineStr">
        <is>
          <t>Wallet</t>
        </is>
      </c>
      <c r="I165" t="inlineStr">
        <is>
          <t>Success</t>
        </is>
      </c>
      <c r="J165" t="inlineStr">
        <is>
          <t>Delivered</t>
        </is>
      </c>
      <c r="K165" t="n">
        <v>0</v>
      </c>
      <c r="L165" t="n">
        <v>29.58</v>
      </c>
      <c r="M165" t="inlineStr">
        <is>
          <t>INR</t>
        </is>
      </c>
      <c r="N165" t="inlineStr">
        <is>
          <t>2025-01-13 09:53:05</t>
        </is>
      </c>
    </row>
    <row r="166">
      <c r="A166" t="inlineStr">
        <is>
          <t>TXN00056226</t>
        </is>
      </c>
      <c r="B166" t="inlineStr">
        <is>
          <t>MER00139</t>
        </is>
      </c>
      <c r="C166" s="8" t="n">
        <v>45671</v>
      </c>
      <c r="D166" t="inlineStr">
        <is>
          <t>ORD00056226</t>
        </is>
      </c>
      <c r="E166" t="n">
        <v>954.74</v>
      </c>
      <c r="F166" t="n">
        <v>2.22</v>
      </c>
      <c r="G166" t="n">
        <v>21.2</v>
      </c>
      <c r="H166" t="inlineStr">
        <is>
          <t>Card</t>
        </is>
      </c>
      <c r="I166" t="inlineStr">
        <is>
          <t>Success</t>
        </is>
      </c>
      <c r="J166" t="inlineStr">
        <is>
          <t>Delivered</t>
        </is>
      </c>
      <c r="K166" t="n">
        <v>0</v>
      </c>
      <c r="L166" t="n">
        <v>0</v>
      </c>
      <c r="M166" t="inlineStr">
        <is>
          <t>INR</t>
        </is>
      </c>
      <c r="N166" t="inlineStr">
        <is>
          <t>2025-01-14 15:57:22</t>
        </is>
      </c>
    </row>
    <row r="167">
      <c r="A167" t="inlineStr">
        <is>
          <t>TXN00056224</t>
        </is>
      </c>
      <c r="B167" t="inlineStr">
        <is>
          <t>MER00139</t>
        </is>
      </c>
      <c r="C167" s="8" t="n">
        <v>45671</v>
      </c>
      <c r="D167" t="inlineStr">
        <is>
          <t>ORD00056224</t>
        </is>
      </c>
      <c r="E167" t="n">
        <v>380.1</v>
      </c>
      <c r="F167" t="n">
        <v>2.22</v>
      </c>
      <c r="G167" t="n">
        <v>8.44</v>
      </c>
      <c r="H167" t="inlineStr">
        <is>
          <t>Card</t>
        </is>
      </c>
      <c r="I167" t="inlineStr">
        <is>
          <t>Success</t>
        </is>
      </c>
      <c r="J167" t="inlineStr">
        <is>
          <t>Delivered</t>
        </is>
      </c>
      <c r="K167" t="n">
        <v>0</v>
      </c>
      <c r="L167" t="n">
        <v>0</v>
      </c>
      <c r="M167" t="inlineStr">
        <is>
          <t>INR</t>
        </is>
      </c>
      <c r="N167" t="inlineStr">
        <is>
          <t>2025-01-14 22:49:53</t>
        </is>
      </c>
    </row>
    <row r="168">
      <c r="A168" t="inlineStr">
        <is>
          <t>TXN00057943</t>
        </is>
      </c>
      <c r="B168" t="inlineStr">
        <is>
          <t>MER00139</t>
        </is>
      </c>
      <c r="C168" s="8" t="n">
        <v>45675</v>
      </c>
      <c r="D168" t="inlineStr">
        <is>
          <t>ORD00057943</t>
        </is>
      </c>
      <c r="E168" t="n">
        <v>700.0700000000001</v>
      </c>
      <c r="F168" t="n">
        <v>2.22</v>
      </c>
      <c r="G168" t="n">
        <v>15.54</v>
      </c>
      <c r="H168" t="inlineStr">
        <is>
          <t>UPI</t>
        </is>
      </c>
      <c r="I168" t="inlineStr">
        <is>
          <t>Success</t>
        </is>
      </c>
      <c r="J168" t="inlineStr">
        <is>
          <t>Delivered</t>
        </is>
      </c>
      <c r="K168" t="n">
        <v>0</v>
      </c>
      <c r="L168" t="n">
        <v>0</v>
      </c>
      <c r="M168" t="inlineStr">
        <is>
          <t>INR</t>
        </is>
      </c>
      <c r="N168" t="inlineStr">
        <is>
          <t>2025-01-18 11:31:33</t>
        </is>
      </c>
    </row>
    <row r="169">
      <c r="A169" t="inlineStr">
        <is>
          <t>TXN00058712</t>
        </is>
      </c>
      <c r="B169" t="inlineStr">
        <is>
          <t>MER00139</t>
        </is>
      </c>
      <c r="C169" s="8" t="n">
        <v>45677</v>
      </c>
      <c r="D169" t="inlineStr">
        <is>
          <t>ORD00058712</t>
        </is>
      </c>
      <c r="E169" t="n">
        <v>2609.26</v>
      </c>
      <c r="F169" t="n">
        <v>2.22</v>
      </c>
      <c r="G169" t="n">
        <v>57.93</v>
      </c>
      <c r="H169" t="inlineStr">
        <is>
          <t>UPI</t>
        </is>
      </c>
      <c r="I169" t="inlineStr">
        <is>
          <t>Success</t>
        </is>
      </c>
      <c r="J169" t="inlineStr">
        <is>
          <t>Delivered</t>
        </is>
      </c>
      <c r="K169" t="n">
        <v>0</v>
      </c>
      <c r="L169" t="n">
        <v>0</v>
      </c>
      <c r="M169" t="inlineStr">
        <is>
          <t>INR</t>
        </is>
      </c>
      <c r="N169" t="inlineStr">
        <is>
          <t>2025-01-20 19:01:52</t>
        </is>
      </c>
    </row>
    <row r="170">
      <c r="A170" t="inlineStr">
        <is>
          <t>TXN00062401</t>
        </is>
      </c>
      <c r="B170" t="inlineStr">
        <is>
          <t>MER00139</t>
        </is>
      </c>
      <c r="C170" s="8" t="n">
        <v>45687</v>
      </c>
      <c r="D170" t="inlineStr">
        <is>
          <t>ORD00062401</t>
        </is>
      </c>
      <c r="E170" t="n">
        <v>2944.45</v>
      </c>
      <c r="F170" t="n">
        <v>2.22</v>
      </c>
      <c r="G170" t="n">
        <v>65.37</v>
      </c>
      <c r="H170" t="inlineStr">
        <is>
          <t>UPI</t>
        </is>
      </c>
      <c r="I170" t="inlineStr">
        <is>
          <t>Success</t>
        </is>
      </c>
      <c r="J170" t="inlineStr">
        <is>
          <t>Delivered</t>
        </is>
      </c>
      <c r="K170" t="n">
        <v>0</v>
      </c>
      <c r="L170" t="n">
        <v>543.16</v>
      </c>
      <c r="M170" t="inlineStr">
        <is>
          <t>INR</t>
        </is>
      </c>
      <c r="N170" t="inlineStr">
        <is>
          <t>2025-01-30 00:03:45</t>
        </is>
      </c>
    </row>
    <row r="171">
      <c r="A171" t="inlineStr">
        <is>
          <t>TXN00064697</t>
        </is>
      </c>
      <c r="B171" t="inlineStr">
        <is>
          <t>MER00139</t>
        </is>
      </c>
      <c r="C171" s="8" t="n">
        <v>45694</v>
      </c>
      <c r="D171" t="inlineStr">
        <is>
          <t>ORD00064697</t>
        </is>
      </c>
      <c r="E171" t="n">
        <v>1176.91</v>
      </c>
      <c r="F171" t="n">
        <v>2.22</v>
      </c>
      <c r="G171" t="n">
        <v>26.13</v>
      </c>
      <c r="H171" t="inlineStr">
        <is>
          <t>UPI</t>
        </is>
      </c>
      <c r="I171" t="inlineStr">
        <is>
          <t>Success</t>
        </is>
      </c>
      <c r="J171" t="inlineStr">
        <is>
          <t>Delivered</t>
        </is>
      </c>
      <c r="K171" t="n">
        <v>0</v>
      </c>
      <c r="L171" t="n">
        <v>0</v>
      </c>
      <c r="M171" t="inlineStr">
        <is>
          <t>INR</t>
        </is>
      </c>
      <c r="N171" t="inlineStr">
        <is>
          <t>2025-02-06 11:40:39</t>
        </is>
      </c>
    </row>
    <row r="172">
      <c r="A172" t="inlineStr">
        <is>
          <t>TXN00065564</t>
        </is>
      </c>
      <c r="B172" t="inlineStr">
        <is>
          <t>MER00139</t>
        </is>
      </c>
      <c r="C172" s="8" t="n">
        <v>45696</v>
      </c>
      <c r="D172" t="inlineStr">
        <is>
          <t>ORD00065564</t>
        </is>
      </c>
      <c r="E172" t="n">
        <v>866.55</v>
      </c>
      <c r="F172" t="n">
        <v>2.22</v>
      </c>
      <c r="G172" t="n">
        <v>19.24</v>
      </c>
      <c r="H172" t="inlineStr">
        <is>
          <t>Card</t>
        </is>
      </c>
      <c r="I172" t="inlineStr">
        <is>
          <t>Success</t>
        </is>
      </c>
      <c r="J172" t="inlineStr">
        <is>
          <t>Delivered</t>
        </is>
      </c>
      <c r="K172" t="n">
        <v>0</v>
      </c>
      <c r="L172" t="n">
        <v>0</v>
      </c>
      <c r="M172" t="inlineStr">
        <is>
          <t>INR</t>
        </is>
      </c>
      <c r="N172" t="inlineStr">
        <is>
          <t>2025-02-08 14:47:19</t>
        </is>
      </c>
    </row>
    <row r="173">
      <c r="A173" t="inlineStr">
        <is>
          <t>TXN00069477</t>
        </is>
      </c>
      <c r="B173" t="inlineStr">
        <is>
          <t>MER00139</t>
        </is>
      </c>
      <c r="C173" s="8" t="n">
        <v>45708</v>
      </c>
      <c r="D173" t="inlineStr">
        <is>
          <t>ORD00069477</t>
        </is>
      </c>
      <c r="E173" t="n">
        <v>1027.39</v>
      </c>
      <c r="F173" t="n">
        <v>2.22</v>
      </c>
      <c r="G173" t="n">
        <v>22.81</v>
      </c>
      <c r="H173" t="inlineStr">
        <is>
          <t>NetBanking</t>
        </is>
      </c>
      <c r="I173" t="inlineStr">
        <is>
          <t>Success</t>
        </is>
      </c>
      <c r="J173" t="inlineStr">
        <is>
          <t>Delivered</t>
        </is>
      </c>
      <c r="K173" t="n">
        <v>0</v>
      </c>
      <c r="L173" t="n">
        <v>0</v>
      </c>
      <c r="M173" t="inlineStr">
        <is>
          <t>INR</t>
        </is>
      </c>
      <c r="N173" t="inlineStr">
        <is>
          <t>2025-02-20 02:53:34</t>
        </is>
      </c>
    </row>
    <row r="174">
      <c r="A174" t="inlineStr">
        <is>
          <t>TXN00072053</t>
        </is>
      </c>
      <c r="B174" t="inlineStr">
        <is>
          <t>MER00139</t>
        </is>
      </c>
      <c r="C174" s="8" t="n">
        <v>45716</v>
      </c>
      <c r="D174" t="inlineStr">
        <is>
          <t>ORD00072053</t>
        </is>
      </c>
      <c r="E174" t="n">
        <v>1473.34</v>
      </c>
      <c r="F174" t="n">
        <v>2.22</v>
      </c>
      <c r="G174" t="n">
        <v>32.71</v>
      </c>
      <c r="H174" t="inlineStr">
        <is>
          <t>Card</t>
        </is>
      </c>
      <c r="I174" t="inlineStr">
        <is>
          <t>Success</t>
        </is>
      </c>
      <c r="J174" t="inlineStr">
        <is>
          <t>Delivered</t>
        </is>
      </c>
      <c r="K174" t="n">
        <v>0</v>
      </c>
      <c r="L174" t="n">
        <v>0</v>
      </c>
      <c r="M174" t="inlineStr">
        <is>
          <t>INR</t>
        </is>
      </c>
      <c r="N174" t="inlineStr">
        <is>
          <t>2025-02-28 13:49:52</t>
        </is>
      </c>
    </row>
    <row r="175">
      <c r="A175" t="inlineStr">
        <is>
          <t>TXN00073133</t>
        </is>
      </c>
      <c r="B175" t="inlineStr">
        <is>
          <t>MER00139</t>
        </is>
      </c>
      <c r="C175" s="8" t="n">
        <v>45719</v>
      </c>
      <c r="D175" t="inlineStr">
        <is>
          <t>ORD00073133</t>
        </is>
      </c>
      <c r="E175" t="n">
        <v>2112.4</v>
      </c>
      <c r="F175" t="n">
        <v>2.22</v>
      </c>
      <c r="G175" t="n">
        <v>46.9</v>
      </c>
      <c r="H175" t="inlineStr">
        <is>
          <t>Card</t>
        </is>
      </c>
      <c r="I175" t="inlineStr">
        <is>
          <t>Success</t>
        </is>
      </c>
      <c r="J175" t="inlineStr">
        <is>
          <t>Delivered</t>
        </is>
      </c>
      <c r="K175" t="n">
        <v>0</v>
      </c>
      <c r="L175" t="n">
        <v>0</v>
      </c>
      <c r="M175" t="inlineStr">
        <is>
          <t>INR</t>
        </is>
      </c>
      <c r="N175" t="inlineStr">
        <is>
          <t>2025-03-03 04:01:50</t>
        </is>
      </c>
    </row>
    <row r="176">
      <c r="A176" t="inlineStr">
        <is>
          <t>TXN00075369</t>
        </is>
      </c>
      <c r="B176" t="inlineStr">
        <is>
          <t>MER00139</t>
        </is>
      </c>
      <c r="C176" s="8" t="n">
        <v>45726</v>
      </c>
      <c r="D176" t="inlineStr">
        <is>
          <t>ORD00075369</t>
        </is>
      </c>
      <c r="E176" t="n">
        <v>1660.2</v>
      </c>
      <c r="F176" t="n">
        <v>2.22</v>
      </c>
      <c r="G176" t="n">
        <v>36.86</v>
      </c>
      <c r="H176" t="inlineStr">
        <is>
          <t>NetBanking</t>
        </is>
      </c>
      <c r="I176" t="inlineStr">
        <is>
          <t>Success</t>
        </is>
      </c>
      <c r="J176" t="inlineStr">
        <is>
          <t>Delivered</t>
        </is>
      </c>
      <c r="K176" t="n">
        <v>0</v>
      </c>
      <c r="L176" t="n">
        <v>0</v>
      </c>
      <c r="M176" t="inlineStr">
        <is>
          <t>INR</t>
        </is>
      </c>
      <c r="N176" t="inlineStr">
        <is>
          <t>2025-03-10 14:19:50</t>
        </is>
      </c>
    </row>
    <row r="177">
      <c r="A177" t="inlineStr">
        <is>
          <t>TXN00076524</t>
        </is>
      </c>
      <c r="B177" t="inlineStr">
        <is>
          <t>MER00139</t>
        </is>
      </c>
      <c r="C177" s="8" t="n">
        <v>45730</v>
      </c>
      <c r="D177" t="inlineStr">
        <is>
          <t>ORD00076524</t>
        </is>
      </c>
      <c r="E177" t="n">
        <v>764.86</v>
      </c>
      <c r="F177" t="n">
        <v>2.22</v>
      </c>
      <c r="G177" t="n">
        <v>16.98</v>
      </c>
      <c r="H177" t="inlineStr">
        <is>
          <t>UPI</t>
        </is>
      </c>
      <c r="I177" t="inlineStr">
        <is>
          <t>Success</t>
        </is>
      </c>
      <c r="J177" t="inlineStr">
        <is>
          <t>Delivered</t>
        </is>
      </c>
      <c r="K177" t="n">
        <v>0</v>
      </c>
      <c r="L177" t="n">
        <v>0</v>
      </c>
      <c r="M177" t="inlineStr">
        <is>
          <t>INR</t>
        </is>
      </c>
      <c r="N177" t="inlineStr">
        <is>
          <t>2025-03-14 13:18:46</t>
        </is>
      </c>
    </row>
    <row r="178">
      <c r="A178" t="inlineStr">
        <is>
          <t>TXN00076948</t>
        </is>
      </c>
      <c r="B178" t="inlineStr">
        <is>
          <t>MER00139</t>
        </is>
      </c>
      <c r="C178" s="8" t="n">
        <v>45731</v>
      </c>
      <c r="D178" t="inlineStr">
        <is>
          <t>ORD00076948</t>
        </is>
      </c>
      <c r="E178" t="n">
        <v>1298.46</v>
      </c>
      <c r="F178" t="n">
        <v>2.22</v>
      </c>
      <c r="G178" t="n">
        <v>28.83</v>
      </c>
      <c r="H178" t="inlineStr">
        <is>
          <t>Card</t>
        </is>
      </c>
      <c r="I178" t="inlineStr">
        <is>
          <t>Failed</t>
        </is>
      </c>
      <c r="J178" t="inlineStr">
        <is>
          <t>Cancelled</t>
        </is>
      </c>
      <c r="K178" t="n">
        <v>0</v>
      </c>
      <c r="L178" t="n">
        <v>0</v>
      </c>
      <c r="M178" t="inlineStr">
        <is>
          <t>INR</t>
        </is>
      </c>
      <c r="N178" t="inlineStr">
        <is>
          <t>2025-03-15 13:17:55</t>
        </is>
      </c>
    </row>
    <row r="179">
      <c r="A179" t="inlineStr">
        <is>
          <t>TXN00078596</t>
        </is>
      </c>
      <c r="B179" t="inlineStr">
        <is>
          <t>MER00139</t>
        </is>
      </c>
      <c r="C179" s="8" t="n">
        <v>45736</v>
      </c>
      <c r="D179" t="inlineStr">
        <is>
          <t>ORD00078596</t>
        </is>
      </c>
      <c r="E179" t="n">
        <v>893</v>
      </c>
      <c r="F179" t="n">
        <v>2.22</v>
      </c>
      <c r="G179" t="n">
        <v>19.82</v>
      </c>
      <c r="H179" t="inlineStr">
        <is>
          <t>Card</t>
        </is>
      </c>
      <c r="I179" t="inlineStr">
        <is>
          <t>Success</t>
        </is>
      </c>
      <c r="J179" t="inlineStr">
        <is>
          <t>Delivered</t>
        </is>
      </c>
      <c r="K179" t="n">
        <v>0</v>
      </c>
      <c r="L179" t="n">
        <v>50.95</v>
      </c>
      <c r="M179" t="inlineStr">
        <is>
          <t>INR</t>
        </is>
      </c>
      <c r="N179" t="inlineStr">
        <is>
          <t>2025-03-20 23:56:16</t>
        </is>
      </c>
    </row>
    <row r="180">
      <c r="A180" t="inlineStr">
        <is>
          <t>TXN00078638</t>
        </is>
      </c>
      <c r="B180" t="inlineStr">
        <is>
          <t>MER00139</t>
        </is>
      </c>
      <c r="C180" s="8" t="n">
        <v>45736</v>
      </c>
      <c r="D180" t="inlineStr">
        <is>
          <t>ORD00078638</t>
        </is>
      </c>
      <c r="E180" t="n">
        <v>2722.76</v>
      </c>
      <c r="F180" t="n">
        <v>2.22</v>
      </c>
      <c r="G180" t="n">
        <v>60.45</v>
      </c>
      <c r="H180" t="inlineStr">
        <is>
          <t>UPI</t>
        </is>
      </c>
      <c r="I180" t="inlineStr">
        <is>
          <t>Success</t>
        </is>
      </c>
      <c r="J180" t="inlineStr">
        <is>
          <t>Delivered</t>
        </is>
      </c>
      <c r="K180" t="n">
        <v>0</v>
      </c>
      <c r="L180" t="n">
        <v>0</v>
      </c>
      <c r="M180" t="inlineStr">
        <is>
          <t>INR</t>
        </is>
      </c>
      <c r="N180" t="inlineStr">
        <is>
          <t>2025-03-20 08:02:49</t>
        </is>
      </c>
    </row>
    <row r="181">
      <c r="A181" t="inlineStr">
        <is>
          <t>TXN00078679</t>
        </is>
      </c>
      <c r="B181" t="inlineStr">
        <is>
          <t>MER00139</t>
        </is>
      </c>
      <c r="C181" s="8" t="n">
        <v>45737</v>
      </c>
      <c r="D181" t="inlineStr">
        <is>
          <t>ORD00078679</t>
        </is>
      </c>
      <c r="E181" t="n">
        <v>2198.93</v>
      </c>
      <c r="F181" t="n">
        <v>2.22</v>
      </c>
      <c r="G181" t="n">
        <v>48.82</v>
      </c>
      <c r="H181" t="inlineStr">
        <is>
          <t>UPI</t>
        </is>
      </c>
      <c r="I181" t="inlineStr">
        <is>
          <t>Success</t>
        </is>
      </c>
      <c r="J181" t="inlineStr">
        <is>
          <t>Delivered</t>
        </is>
      </c>
      <c r="K181" t="n">
        <v>0</v>
      </c>
      <c r="L181" t="n">
        <v>0</v>
      </c>
      <c r="M181" t="inlineStr">
        <is>
          <t>INR</t>
        </is>
      </c>
      <c r="N181" t="inlineStr">
        <is>
          <t>2025-03-21 16:42:24</t>
        </is>
      </c>
    </row>
    <row r="182">
      <c r="A182" t="inlineStr">
        <is>
          <t>TXN00078967</t>
        </is>
      </c>
      <c r="B182" t="inlineStr">
        <is>
          <t>MER00139</t>
        </is>
      </c>
      <c r="C182" s="8" t="n">
        <v>45737</v>
      </c>
      <c r="D182" t="inlineStr">
        <is>
          <t>ORD00078967</t>
        </is>
      </c>
      <c r="E182" t="n">
        <v>1762.4</v>
      </c>
      <c r="F182" t="n">
        <v>2.22</v>
      </c>
      <c r="G182" t="n">
        <v>39.13</v>
      </c>
      <c r="H182" t="inlineStr">
        <is>
          <t>NetBanking</t>
        </is>
      </c>
      <c r="I182" t="inlineStr">
        <is>
          <t>Pending</t>
        </is>
      </c>
      <c r="J182" t="inlineStr">
        <is>
          <t>Processing</t>
        </is>
      </c>
      <c r="K182" t="n">
        <v>0</v>
      </c>
      <c r="L182" t="n">
        <v>0</v>
      </c>
      <c r="M182" t="inlineStr">
        <is>
          <t>INR</t>
        </is>
      </c>
      <c r="N182" t="inlineStr">
        <is>
          <t>2025-03-21 18:36:13</t>
        </is>
      </c>
    </row>
    <row r="183">
      <c r="A183" t="inlineStr">
        <is>
          <t>TXN00079823</t>
        </is>
      </c>
      <c r="B183" t="inlineStr">
        <is>
          <t>MER00139</t>
        </is>
      </c>
      <c r="C183" s="8" t="n">
        <v>45740</v>
      </c>
      <c r="D183" t="inlineStr">
        <is>
          <t>ORD00079823</t>
        </is>
      </c>
      <c r="E183" t="n">
        <v>1958.8</v>
      </c>
      <c r="F183" t="n">
        <v>2.22</v>
      </c>
      <c r="G183" t="n">
        <v>43.49</v>
      </c>
      <c r="H183" t="inlineStr">
        <is>
          <t>NetBanking</t>
        </is>
      </c>
      <c r="I183" t="inlineStr">
        <is>
          <t>Pending</t>
        </is>
      </c>
      <c r="J183" t="inlineStr">
        <is>
          <t>Cancelled</t>
        </is>
      </c>
      <c r="K183" t="n">
        <v>0</v>
      </c>
      <c r="L183" t="n">
        <v>0</v>
      </c>
      <c r="M183" t="inlineStr">
        <is>
          <t>INR</t>
        </is>
      </c>
      <c r="N183" t="inlineStr">
        <is>
          <t>2025-03-24 15:03:59</t>
        </is>
      </c>
    </row>
    <row r="184">
      <c r="A184" t="inlineStr">
        <is>
          <t>TXN00080991</t>
        </is>
      </c>
      <c r="B184" t="inlineStr">
        <is>
          <t>MER00139</t>
        </is>
      </c>
      <c r="C184" s="8" t="n">
        <v>45744</v>
      </c>
      <c r="D184" t="inlineStr">
        <is>
          <t>ORD00080991</t>
        </is>
      </c>
      <c r="E184" t="n">
        <v>2411.11</v>
      </c>
      <c r="F184" t="n">
        <v>2.22</v>
      </c>
      <c r="G184" t="n">
        <v>53.53</v>
      </c>
      <c r="H184" t="inlineStr">
        <is>
          <t>UPI</t>
        </is>
      </c>
      <c r="I184" t="inlineStr">
        <is>
          <t>Success</t>
        </is>
      </c>
      <c r="J184" t="inlineStr">
        <is>
          <t>Delivered</t>
        </is>
      </c>
      <c r="K184" t="n">
        <v>0</v>
      </c>
      <c r="L184" t="n">
        <v>0</v>
      </c>
      <c r="M184" t="inlineStr">
        <is>
          <t>INR</t>
        </is>
      </c>
      <c r="N184" t="inlineStr">
        <is>
          <t>2025-03-28 12:50:20</t>
        </is>
      </c>
    </row>
    <row r="185">
      <c r="A185" t="inlineStr">
        <is>
          <t>TXN00084384</t>
        </is>
      </c>
      <c r="B185" t="inlineStr">
        <is>
          <t>MER00139</t>
        </is>
      </c>
      <c r="C185" s="8" t="n">
        <v>45754</v>
      </c>
      <c r="D185" t="inlineStr">
        <is>
          <t>ORD00084384</t>
        </is>
      </c>
      <c r="E185" t="n">
        <v>1102.39</v>
      </c>
      <c r="F185" t="n">
        <v>2.22</v>
      </c>
      <c r="G185" t="n">
        <v>24.47</v>
      </c>
      <c r="H185" t="inlineStr">
        <is>
          <t>UPI</t>
        </is>
      </c>
      <c r="I185" t="inlineStr">
        <is>
          <t>Success</t>
        </is>
      </c>
      <c r="J185" t="inlineStr">
        <is>
          <t>Delivered</t>
        </is>
      </c>
      <c r="K185" t="n">
        <v>0</v>
      </c>
      <c r="L185" t="n">
        <v>0</v>
      </c>
      <c r="M185" t="inlineStr">
        <is>
          <t>INR</t>
        </is>
      </c>
      <c r="N185" t="inlineStr">
        <is>
          <t>2025-04-07 05:54:29</t>
        </is>
      </c>
    </row>
    <row r="186">
      <c r="A186" t="inlineStr">
        <is>
          <t>TXN00085392</t>
        </is>
      </c>
      <c r="B186" t="inlineStr">
        <is>
          <t>MER00139</t>
        </is>
      </c>
      <c r="C186" s="8" t="n">
        <v>45757</v>
      </c>
      <c r="D186" t="inlineStr">
        <is>
          <t>ORD00085392</t>
        </is>
      </c>
      <c r="E186" t="n">
        <v>1943.57</v>
      </c>
      <c r="F186" t="n">
        <v>2.22</v>
      </c>
      <c r="G186" t="n">
        <v>43.15</v>
      </c>
      <c r="H186" t="inlineStr">
        <is>
          <t>Card</t>
        </is>
      </c>
      <c r="I186" t="inlineStr">
        <is>
          <t>Success</t>
        </is>
      </c>
      <c r="J186" t="inlineStr">
        <is>
          <t>Returned</t>
        </is>
      </c>
      <c r="K186" t="n">
        <v>1943.57</v>
      </c>
      <c r="L186" t="n">
        <v>0</v>
      </c>
      <c r="M186" t="inlineStr">
        <is>
          <t>INR</t>
        </is>
      </c>
      <c r="N186" t="inlineStr">
        <is>
          <t>2025-04-10 07:51:27</t>
        </is>
      </c>
    </row>
    <row r="187">
      <c r="A187" t="inlineStr">
        <is>
          <t>TXN00085691</t>
        </is>
      </c>
      <c r="B187" t="inlineStr">
        <is>
          <t>MER00139</t>
        </is>
      </c>
      <c r="C187" s="8" t="n">
        <v>45758</v>
      </c>
      <c r="D187" t="inlineStr">
        <is>
          <t>ORD00085691</t>
        </is>
      </c>
      <c r="E187" t="n">
        <v>2303.64</v>
      </c>
      <c r="F187" t="n">
        <v>2.22</v>
      </c>
      <c r="G187" t="n">
        <v>51.14</v>
      </c>
      <c r="H187" t="inlineStr">
        <is>
          <t>UPI</t>
        </is>
      </c>
      <c r="I187" t="inlineStr">
        <is>
          <t>Success</t>
        </is>
      </c>
      <c r="J187" t="inlineStr">
        <is>
          <t>Delivered</t>
        </is>
      </c>
      <c r="K187" t="n">
        <v>0</v>
      </c>
      <c r="L187" t="n">
        <v>0</v>
      </c>
      <c r="M187" t="inlineStr">
        <is>
          <t>INR</t>
        </is>
      </c>
      <c r="N187" t="inlineStr">
        <is>
          <t>2025-04-11 11:09:34</t>
        </is>
      </c>
    </row>
    <row r="188">
      <c r="A188" t="inlineStr">
        <is>
          <t>TXN00086062</t>
        </is>
      </c>
      <c r="B188" t="inlineStr">
        <is>
          <t>MER00139</t>
        </is>
      </c>
      <c r="C188" s="8" t="n">
        <v>45759</v>
      </c>
      <c r="D188" t="inlineStr">
        <is>
          <t>ORD00086062</t>
        </is>
      </c>
      <c r="E188" t="n">
        <v>1812.86</v>
      </c>
      <c r="F188" t="n">
        <v>2.22</v>
      </c>
      <c r="G188" t="n">
        <v>40.25</v>
      </c>
      <c r="H188" t="inlineStr">
        <is>
          <t>UPI</t>
        </is>
      </c>
      <c r="I188" t="inlineStr">
        <is>
          <t>Failed</t>
        </is>
      </c>
      <c r="J188" t="inlineStr">
        <is>
          <t>Processing</t>
        </is>
      </c>
      <c r="K188" t="n">
        <v>0</v>
      </c>
      <c r="L188" t="n">
        <v>0</v>
      </c>
      <c r="M188" t="inlineStr">
        <is>
          <t>INR</t>
        </is>
      </c>
      <c r="N188" t="inlineStr">
        <is>
          <t>2025-04-12 07:58:33</t>
        </is>
      </c>
    </row>
    <row r="189">
      <c r="A189" t="inlineStr">
        <is>
          <t>TXN00087753</t>
        </is>
      </c>
      <c r="B189" t="inlineStr">
        <is>
          <t>MER00139</t>
        </is>
      </c>
      <c r="C189" s="8" t="n">
        <v>45764</v>
      </c>
      <c r="D189" t="inlineStr">
        <is>
          <t>ORD00087753</t>
        </is>
      </c>
      <c r="E189" t="n">
        <v>4136.93</v>
      </c>
      <c r="F189" t="n">
        <v>1.31</v>
      </c>
      <c r="G189" t="n">
        <v>91.84</v>
      </c>
      <c r="H189" t="inlineStr">
        <is>
          <t>UPI</t>
        </is>
      </c>
      <c r="I189" t="inlineStr">
        <is>
          <t>Success</t>
        </is>
      </c>
      <c r="J189" t="inlineStr">
        <is>
          <t>Delivered</t>
        </is>
      </c>
      <c r="K189" t="n">
        <v>0</v>
      </c>
      <c r="L189" t="n">
        <v>0</v>
      </c>
      <c r="M189" t="inlineStr">
        <is>
          <t>INR</t>
        </is>
      </c>
      <c r="N189" t="inlineStr">
        <is>
          <t>2025-04-17 15:11:48</t>
        </is>
      </c>
    </row>
    <row r="190">
      <c r="A190" t="inlineStr">
        <is>
          <t>TXN00087858</t>
        </is>
      </c>
      <c r="B190" t="inlineStr">
        <is>
          <t>MER00139</t>
        </is>
      </c>
      <c r="C190" s="8" t="n">
        <v>45765</v>
      </c>
      <c r="D190" t="inlineStr">
        <is>
          <t>ORD00087858</t>
        </is>
      </c>
      <c r="E190" t="n">
        <v>764.87</v>
      </c>
      <c r="F190" t="n">
        <v>2.22</v>
      </c>
      <c r="G190" t="n">
        <v>16.98</v>
      </c>
      <c r="H190" t="inlineStr">
        <is>
          <t>Card</t>
        </is>
      </c>
      <c r="I190" t="inlineStr">
        <is>
          <t>Success</t>
        </is>
      </c>
      <c r="J190" t="inlineStr">
        <is>
          <t>Delivered</t>
        </is>
      </c>
      <c r="K190" t="n">
        <v>0</v>
      </c>
      <c r="L190" t="n">
        <v>66.31</v>
      </c>
      <c r="M190" t="inlineStr">
        <is>
          <t>INR</t>
        </is>
      </c>
      <c r="N190" t="inlineStr">
        <is>
          <t>2025-04-18 18:52:06</t>
        </is>
      </c>
    </row>
    <row r="191">
      <c r="A191" t="inlineStr">
        <is>
          <t>TXN00100162</t>
        </is>
      </c>
      <c r="B191" t="inlineStr">
        <is>
          <t>MER00139</t>
        </is>
      </c>
      <c r="C191" s="8" t="n">
        <v>45802</v>
      </c>
      <c r="D191" t="inlineStr">
        <is>
          <t>ORD00100162</t>
        </is>
      </c>
      <c r="E191" t="n">
        <v>2512.83</v>
      </c>
      <c r="F191" t="n">
        <v>2.22</v>
      </c>
      <c r="G191" t="n">
        <v>55.78</v>
      </c>
      <c r="H191" t="inlineStr">
        <is>
          <t>UPI</t>
        </is>
      </c>
      <c r="I191" t="inlineStr">
        <is>
          <t>Success</t>
        </is>
      </c>
      <c r="J191" t="inlineStr">
        <is>
          <t>Delivered</t>
        </is>
      </c>
      <c r="K191" t="n">
        <v>0</v>
      </c>
      <c r="L191" t="n">
        <v>429.69</v>
      </c>
      <c r="M191" t="inlineStr">
        <is>
          <t>INR</t>
        </is>
      </c>
      <c r="N191" t="inlineStr">
        <is>
          <t>2025-05-25 10:32:58</t>
        </is>
      </c>
    </row>
    <row r="192">
      <c r="A192" t="inlineStr">
        <is>
          <t>TXN00100297</t>
        </is>
      </c>
      <c r="B192" t="inlineStr">
        <is>
          <t>MER00139</t>
        </is>
      </c>
      <c r="C192" s="8" t="n">
        <v>45803</v>
      </c>
      <c r="D192" t="inlineStr">
        <is>
          <t>ORD00100297</t>
        </is>
      </c>
      <c r="E192" t="n">
        <v>2073.95</v>
      </c>
      <c r="F192" t="n">
        <v>2.22</v>
      </c>
      <c r="G192" t="n">
        <v>46.04</v>
      </c>
      <c r="H192" t="inlineStr">
        <is>
          <t>UPI</t>
        </is>
      </c>
      <c r="I192" t="inlineStr">
        <is>
          <t>Success</t>
        </is>
      </c>
      <c r="J192" t="inlineStr">
        <is>
          <t>Returned</t>
        </is>
      </c>
      <c r="K192" t="n">
        <v>2073.95</v>
      </c>
      <c r="L192" t="n">
        <v>0</v>
      </c>
      <c r="M192" t="inlineStr">
        <is>
          <t>INR</t>
        </is>
      </c>
      <c r="N192" t="inlineStr">
        <is>
          <t>2025-05-26 07:11:38</t>
        </is>
      </c>
    </row>
    <row r="193">
      <c r="A193" t="inlineStr">
        <is>
          <t>TXN00102299</t>
        </is>
      </c>
      <c r="B193" t="inlineStr">
        <is>
          <t>MER00139</t>
        </is>
      </c>
      <c r="C193" s="8" t="n">
        <v>45809</v>
      </c>
      <c r="D193" t="inlineStr">
        <is>
          <t>ORD00102299</t>
        </is>
      </c>
      <c r="E193" t="n">
        <v>939.39</v>
      </c>
      <c r="F193" t="n">
        <v>2.22</v>
      </c>
      <c r="G193" t="n">
        <v>20.85</v>
      </c>
      <c r="H193" t="inlineStr">
        <is>
          <t>Card</t>
        </is>
      </c>
      <c r="I193" t="inlineStr">
        <is>
          <t>Failed</t>
        </is>
      </c>
      <c r="J193" t="inlineStr">
        <is>
          <t>Cancelled</t>
        </is>
      </c>
      <c r="K193" t="n">
        <v>0</v>
      </c>
      <c r="L193" t="n">
        <v>0</v>
      </c>
      <c r="M193" t="inlineStr">
        <is>
          <t>INR</t>
        </is>
      </c>
      <c r="N193" t="inlineStr">
        <is>
          <t>2025-06-01 08:20:50</t>
        </is>
      </c>
    </row>
    <row r="194">
      <c r="A194" t="inlineStr">
        <is>
          <t>TXN00102909</t>
        </is>
      </c>
      <c r="B194" t="inlineStr">
        <is>
          <t>MER00139</t>
        </is>
      </c>
      <c r="C194" s="8" t="n">
        <v>45811</v>
      </c>
      <c r="D194" t="inlineStr">
        <is>
          <t>ORD00102909</t>
        </is>
      </c>
      <c r="E194" t="n">
        <v>1608.85</v>
      </c>
      <c r="F194" t="n">
        <v>2.22</v>
      </c>
      <c r="G194" t="n">
        <v>35.72</v>
      </c>
      <c r="H194" t="inlineStr">
        <is>
          <t>UPI</t>
        </is>
      </c>
      <c r="I194" t="inlineStr">
        <is>
          <t>Success</t>
        </is>
      </c>
      <c r="J194" t="inlineStr">
        <is>
          <t>Delivered</t>
        </is>
      </c>
      <c r="K194" t="n">
        <v>0</v>
      </c>
      <c r="L194" t="n">
        <v>0</v>
      </c>
      <c r="M194" t="inlineStr">
        <is>
          <t>INR</t>
        </is>
      </c>
      <c r="N194" t="inlineStr">
        <is>
          <t>2025-06-03 02:29:53</t>
        </is>
      </c>
    </row>
    <row r="195">
      <c r="A195" t="inlineStr">
        <is>
          <t>TXN00104444</t>
        </is>
      </c>
      <c r="B195" t="inlineStr">
        <is>
          <t>MER00139</t>
        </is>
      </c>
      <c r="C195" s="8" t="n">
        <v>45815</v>
      </c>
      <c r="D195" t="inlineStr">
        <is>
          <t>ORD00104444</t>
        </is>
      </c>
      <c r="E195" t="n">
        <v>1704.83</v>
      </c>
      <c r="F195" t="n">
        <v>2.22</v>
      </c>
      <c r="G195" t="n">
        <v>37.85</v>
      </c>
      <c r="H195" t="inlineStr">
        <is>
          <t>Wallet</t>
        </is>
      </c>
      <c r="I195" t="inlineStr">
        <is>
          <t>Success</t>
        </is>
      </c>
      <c r="J195" t="inlineStr">
        <is>
          <t>Delivered</t>
        </is>
      </c>
      <c r="K195" t="n">
        <v>0</v>
      </c>
      <c r="L195" t="n">
        <v>0</v>
      </c>
      <c r="M195" t="inlineStr">
        <is>
          <t>INR</t>
        </is>
      </c>
      <c r="N195" t="inlineStr">
        <is>
          <t>2025-06-07 19:37:03</t>
        </is>
      </c>
    </row>
    <row r="196">
      <c r="A196" t="inlineStr">
        <is>
          <t>TXN00104747</t>
        </is>
      </c>
      <c r="B196" t="inlineStr">
        <is>
          <t>MER00139</t>
        </is>
      </c>
      <c r="C196" s="8" t="n">
        <v>45816</v>
      </c>
      <c r="D196" t="inlineStr">
        <is>
          <t>ORD00104747</t>
        </is>
      </c>
      <c r="E196" t="n">
        <v>2115.81</v>
      </c>
      <c r="F196" t="n">
        <v>2.22</v>
      </c>
      <c r="G196" t="n">
        <v>46.97</v>
      </c>
      <c r="H196" t="inlineStr">
        <is>
          <t>UPI</t>
        </is>
      </c>
      <c r="I196" t="inlineStr">
        <is>
          <t>Success</t>
        </is>
      </c>
      <c r="J196" t="inlineStr">
        <is>
          <t>Delivered</t>
        </is>
      </c>
      <c r="K196" t="n">
        <v>0</v>
      </c>
      <c r="L196" t="n">
        <v>0</v>
      </c>
      <c r="M196" t="inlineStr">
        <is>
          <t>INR</t>
        </is>
      </c>
      <c r="N196" t="inlineStr">
        <is>
          <t>2025-06-08 03:38:48</t>
        </is>
      </c>
    </row>
    <row r="197">
      <c r="A197" t="inlineStr">
        <is>
          <t>TXN00105880</t>
        </is>
      </c>
      <c r="B197" t="inlineStr">
        <is>
          <t>MER00139</t>
        </is>
      </c>
      <c r="C197" s="8" t="n">
        <v>45819</v>
      </c>
      <c r="D197" t="inlineStr">
        <is>
          <t>ORD00105880</t>
        </is>
      </c>
      <c r="E197" t="n">
        <v>988.95</v>
      </c>
      <c r="F197" t="n">
        <v>2.22</v>
      </c>
      <c r="G197" t="n">
        <v>21.95</v>
      </c>
      <c r="H197" t="inlineStr">
        <is>
          <t>UPI</t>
        </is>
      </c>
      <c r="I197" t="inlineStr">
        <is>
          <t>Success</t>
        </is>
      </c>
      <c r="J197" t="inlineStr">
        <is>
          <t>Delivered</t>
        </is>
      </c>
      <c r="K197" t="n">
        <v>0</v>
      </c>
      <c r="L197" t="n">
        <v>0</v>
      </c>
      <c r="M197" t="inlineStr">
        <is>
          <t>INR</t>
        </is>
      </c>
      <c r="N197" t="inlineStr">
        <is>
          <t>2025-06-11 04:00:39</t>
        </is>
      </c>
    </row>
    <row r="198">
      <c r="A198" t="inlineStr">
        <is>
          <t>TXN00108585</t>
        </is>
      </c>
      <c r="B198" t="inlineStr">
        <is>
          <t>MER00139</t>
        </is>
      </c>
      <c r="C198" s="8" t="n">
        <v>45827</v>
      </c>
      <c r="D198" t="inlineStr">
        <is>
          <t>ORD00108585</t>
        </is>
      </c>
      <c r="E198" t="n">
        <v>1127.74</v>
      </c>
      <c r="F198" t="n">
        <v>2.22</v>
      </c>
      <c r="G198" t="n">
        <v>25.04</v>
      </c>
      <c r="H198" t="inlineStr">
        <is>
          <t>NetBanking</t>
        </is>
      </c>
      <c r="I198" t="inlineStr">
        <is>
          <t>Success</t>
        </is>
      </c>
      <c r="J198" t="inlineStr">
        <is>
          <t>Delivered</t>
        </is>
      </c>
      <c r="K198" t="n">
        <v>0</v>
      </c>
      <c r="L198" t="n">
        <v>0</v>
      </c>
      <c r="M198" t="inlineStr">
        <is>
          <t>INR</t>
        </is>
      </c>
      <c r="N198" t="inlineStr">
        <is>
          <t>2025-06-19 03:23:56</t>
        </is>
      </c>
    </row>
    <row r="199">
      <c r="A199" t="inlineStr">
        <is>
          <t>TXN00109694</t>
        </is>
      </c>
      <c r="B199" t="inlineStr">
        <is>
          <t>MER00139</t>
        </is>
      </c>
      <c r="C199" s="8" t="n">
        <v>45831</v>
      </c>
      <c r="D199" t="inlineStr">
        <is>
          <t>ORD00109694</t>
        </is>
      </c>
      <c r="E199" t="n">
        <v>243.76</v>
      </c>
      <c r="F199" t="n">
        <v>2.22</v>
      </c>
      <c r="G199" t="n">
        <v>5.41</v>
      </c>
      <c r="H199" t="inlineStr">
        <is>
          <t>NetBanking</t>
        </is>
      </c>
      <c r="I199" t="inlineStr">
        <is>
          <t>Success</t>
        </is>
      </c>
      <c r="J199" t="inlineStr">
        <is>
          <t>Delivered</t>
        </is>
      </c>
      <c r="K199" t="n">
        <v>0</v>
      </c>
      <c r="L199" t="n">
        <v>0</v>
      </c>
      <c r="M199" t="inlineStr">
        <is>
          <t>INR</t>
        </is>
      </c>
      <c r="N199" t="inlineStr">
        <is>
          <t>2025-06-23 04:12:16</t>
        </is>
      </c>
    </row>
    <row r="200">
      <c r="A200" t="inlineStr">
        <is>
          <t>TXN00114241</t>
        </is>
      </c>
      <c r="B200" t="inlineStr">
        <is>
          <t>MER00139</t>
        </is>
      </c>
      <c r="C200" s="8" t="n">
        <v>45844</v>
      </c>
      <c r="D200" t="inlineStr">
        <is>
          <t>ORD00114241</t>
        </is>
      </c>
      <c r="E200" t="n">
        <v>3502.89</v>
      </c>
      <c r="F200" t="n">
        <v>2.22</v>
      </c>
      <c r="G200" t="n">
        <v>77.76000000000001</v>
      </c>
      <c r="H200" t="inlineStr">
        <is>
          <t>UPI</t>
        </is>
      </c>
      <c r="I200" t="inlineStr">
        <is>
          <t>Success</t>
        </is>
      </c>
      <c r="J200" t="inlineStr">
        <is>
          <t>Delivered</t>
        </is>
      </c>
      <c r="K200" t="n">
        <v>0</v>
      </c>
      <c r="L200" t="n">
        <v>0</v>
      </c>
      <c r="M200" t="inlineStr">
        <is>
          <t>INR</t>
        </is>
      </c>
      <c r="N200" t="inlineStr">
        <is>
          <t>2025-07-06 13:54:23</t>
        </is>
      </c>
    </row>
    <row r="201">
      <c r="A201" t="inlineStr">
        <is>
          <t>TXN00116622</t>
        </is>
      </c>
      <c r="B201" t="inlineStr">
        <is>
          <t>MER00139</t>
        </is>
      </c>
      <c r="C201" s="8" t="n">
        <v>45851</v>
      </c>
      <c r="D201" t="inlineStr">
        <is>
          <t>ORD00116622</t>
        </is>
      </c>
      <c r="E201" t="n">
        <v>1479.22</v>
      </c>
      <c r="F201" t="n">
        <v>2.22</v>
      </c>
      <c r="G201" t="n">
        <v>32.84</v>
      </c>
      <c r="H201" t="inlineStr">
        <is>
          <t>UPI</t>
        </is>
      </c>
      <c r="I201" t="inlineStr">
        <is>
          <t>Success</t>
        </is>
      </c>
      <c r="J201" t="inlineStr">
        <is>
          <t>Delivered</t>
        </is>
      </c>
      <c r="K201" t="n">
        <v>0</v>
      </c>
      <c r="L201" t="n">
        <v>0</v>
      </c>
      <c r="M201" t="inlineStr">
        <is>
          <t>INR</t>
        </is>
      </c>
      <c r="N201" t="inlineStr">
        <is>
          <t>2025-07-13 06:20:58</t>
        </is>
      </c>
    </row>
    <row r="202">
      <c r="A202" t="inlineStr">
        <is>
          <t>TXN00117595</t>
        </is>
      </c>
      <c r="B202" t="inlineStr">
        <is>
          <t>MER00139</t>
        </is>
      </c>
      <c r="C202" s="8" t="n">
        <v>45854</v>
      </c>
      <c r="D202" t="inlineStr">
        <is>
          <t>ORD00117595</t>
        </is>
      </c>
      <c r="E202" t="n">
        <v>3407.79</v>
      </c>
      <c r="F202" t="n">
        <v>2.22</v>
      </c>
      <c r="G202" t="n">
        <v>75.65000000000001</v>
      </c>
      <c r="H202" t="inlineStr">
        <is>
          <t>UPI</t>
        </is>
      </c>
      <c r="I202" t="inlineStr">
        <is>
          <t>Success</t>
        </is>
      </c>
      <c r="J202" t="inlineStr">
        <is>
          <t>Returned</t>
        </is>
      </c>
      <c r="K202" t="n">
        <v>3407.79</v>
      </c>
      <c r="L202" t="n">
        <v>0</v>
      </c>
      <c r="M202" t="inlineStr">
        <is>
          <t>INR</t>
        </is>
      </c>
      <c r="N202" t="inlineStr">
        <is>
          <t>2025-07-16 11:34:41</t>
        </is>
      </c>
    </row>
    <row r="203">
      <c r="A203" t="inlineStr">
        <is>
          <t>TXN00120012</t>
        </is>
      </c>
      <c r="B203" t="inlineStr">
        <is>
          <t>MER00139</t>
        </is>
      </c>
      <c r="C203" s="8" t="n">
        <v>45862</v>
      </c>
      <c r="D203" t="inlineStr">
        <is>
          <t>ORD00120012</t>
        </is>
      </c>
      <c r="E203" t="n">
        <v>1171.59</v>
      </c>
      <c r="F203" t="n">
        <v>2.22</v>
      </c>
      <c r="G203" t="n">
        <v>26.01</v>
      </c>
      <c r="H203" t="inlineStr">
        <is>
          <t>UPI</t>
        </is>
      </c>
      <c r="I203" t="inlineStr">
        <is>
          <t>Success</t>
        </is>
      </c>
      <c r="J203" t="inlineStr">
        <is>
          <t>Delivered</t>
        </is>
      </c>
      <c r="K203" t="n">
        <v>0</v>
      </c>
      <c r="L203" t="n">
        <v>0</v>
      </c>
      <c r="M203" t="inlineStr">
        <is>
          <t>INR</t>
        </is>
      </c>
      <c r="N203" t="inlineStr">
        <is>
          <t>2025-07-24 05:00:03</t>
        </is>
      </c>
    </row>
    <row r="204">
      <c r="A204" t="inlineStr">
        <is>
          <t>TXN00121046</t>
        </is>
      </c>
      <c r="B204" t="inlineStr">
        <is>
          <t>MER00139</t>
        </is>
      </c>
      <c r="C204" s="8" t="n">
        <v>45865</v>
      </c>
      <c r="D204" t="inlineStr">
        <is>
          <t>ORD00121046</t>
        </is>
      </c>
      <c r="E204" t="n">
        <v>2668.92</v>
      </c>
      <c r="F204" t="n">
        <v>1.45</v>
      </c>
      <c r="G204" t="n">
        <v>59.25</v>
      </c>
      <c r="H204" t="inlineStr">
        <is>
          <t>UPI</t>
        </is>
      </c>
      <c r="I204" t="inlineStr">
        <is>
          <t>Failed</t>
        </is>
      </c>
      <c r="J204" t="inlineStr">
        <is>
          <t>Cancelled</t>
        </is>
      </c>
      <c r="K204" t="n">
        <v>0</v>
      </c>
      <c r="L204" t="n">
        <v>0</v>
      </c>
      <c r="M204" t="inlineStr">
        <is>
          <t>INR</t>
        </is>
      </c>
      <c r="N204" t="inlineStr">
        <is>
          <t>2025-07-27 05:57:04</t>
        </is>
      </c>
    </row>
    <row r="205">
      <c r="A205" t="inlineStr">
        <is>
          <t>TXN00122999</t>
        </is>
      </c>
      <c r="B205" t="inlineStr">
        <is>
          <t>MER00139</t>
        </is>
      </c>
      <c r="C205" s="8" t="n">
        <v>45871</v>
      </c>
      <c r="D205" t="inlineStr">
        <is>
          <t>ORD00122999</t>
        </is>
      </c>
      <c r="E205" t="n">
        <v>1269.61</v>
      </c>
      <c r="F205" t="n">
        <v>2.22</v>
      </c>
      <c r="G205" t="n">
        <v>28.19</v>
      </c>
      <c r="H205" t="inlineStr">
        <is>
          <t>UPI</t>
        </is>
      </c>
      <c r="I205" t="inlineStr">
        <is>
          <t>Success</t>
        </is>
      </c>
      <c r="J205" t="inlineStr">
        <is>
          <t>Returned</t>
        </is>
      </c>
      <c r="K205" t="n">
        <v>564.88</v>
      </c>
      <c r="L205" t="n">
        <v>0</v>
      </c>
      <c r="M205" t="inlineStr">
        <is>
          <t>INR</t>
        </is>
      </c>
      <c r="N205" t="inlineStr">
        <is>
          <t>2025-08-02 20:58:13</t>
        </is>
      </c>
    </row>
    <row r="206">
      <c r="A206" t="inlineStr">
        <is>
          <t>TXN00124309</t>
        </is>
      </c>
      <c r="B206" t="inlineStr">
        <is>
          <t>MER00139</t>
        </is>
      </c>
      <c r="C206" s="8" t="n">
        <v>45874</v>
      </c>
      <c r="D206" t="inlineStr">
        <is>
          <t>ORD00124309</t>
        </is>
      </c>
      <c r="E206" t="n">
        <v>4535.29</v>
      </c>
      <c r="F206" t="n">
        <v>2.22</v>
      </c>
      <c r="G206" t="n">
        <v>100.68</v>
      </c>
      <c r="H206" t="inlineStr">
        <is>
          <t>UPI</t>
        </is>
      </c>
      <c r="I206" t="inlineStr">
        <is>
          <t>Success</t>
        </is>
      </c>
      <c r="J206" t="inlineStr">
        <is>
          <t>Delivered</t>
        </is>
      </c>
      <c r="K206" t="n">
        <v>0</v>
      </c>
      <c r="L206" t="n">
        <v>0</v>
      </c>
      <c r="M206" t="inlineStr">
        <is>
          <t>INR</t>
        </is>
      </c>
      <c r="N206" t="inlineStr">
        <is>
          <t>2025-08-05 04:02:40</t>
        </is>
      </c>
    </row>
    <row r="207">
      <c r="A207" t="inlineStr">
        <is>
          <t>TXN00124476</t>
        </is>
      </c>
      <c r="B207" t="inlineStr">
        <is>
          <t>MER00139</t>
        </is>
      </c>
      <c r="C207" s="8" t="n">
        <v>45875</v>
      </c>
      <c r="D207" t="inlineStr">
        <is>
          <t>ORD00124476</t>
        </is>
      </c>
      <c r="E207" t="n">
        <v>3316.63</v>
      </c>
      <c r="F207" t="n">
        <v>2.22</v>
      </c>
      <c r="G207" t="n">
        <v>73.63</v>
      </c>
      <c r="H207" t="inlineStr">
        <is>
          <t>Wallet</t>
        </is>
      </c>
      <c r="I207" t="inlineStr">
        <is>
          <t>Success</t>
        </is>
      </c>
      <c r="J207" t="inlineStr">
        <is>
          <t>Delivered</t>
        </is>
      </c>
      <c r="K207" t="n">
        <v>0</v>
      </c>
      <c r="L207" t="n">
        <v>0</v>
      </c>
      <c r="M207" t="inlineStr">
        <is>
          <t>INR</t>
        </is>
      </c>
      <c r="N207" t="inlineStr">
        <is>
          <t>2025-08-06 12:39:58</t>
        </is>
      </c>
    </row>
    <row r="208">
      <c r="A208" t="inlineStr">
        <is>
          <t>TXN00124754</t>
        </is>
      </c>
      <c r="B208" t="inlineStr">
        <is>
          <t>MER00139</t>
        </is>
      </c>
      <c r="C208" s="8" t="n">
        <v>45876</v>
      </c>
      <c r="D208" t="inlineStr">
        <is>
          <t>ORD00124754</t>
        </is>
      </c>
      <c r="E208" t="n">
        <v>1230.16</v>
      </c>
      <c r="F208" t="n">
        <v>2.22</v>
      </c>
      <c r="G208" t="n">
        <v>27.31</v>
      </c>
      <c r="H208" t="inlineStr">
        <is>
          <t>Card</t>
        </is>
      </c>
      <c r="I208" t="inlineStr">
        <is>
          <t>Success</t>
        </is>
      </c>
      <c r="J208" t="inlineStr">
        <is>
          <t>Delivered</t>
        </is>
      </c>
      <c r="K208" t="n">
        <v>0</v>
      </c>
      <c r="L208" t="n">
        <v>111.51</v>
      </c>
      <c r="M208" t="inlineStr">
        <is>
          <t>INR</t>
        </is>
      </c>
      <c r="N208" t="inlineStr">
        <is>
          <t>2025-08-07 02:35:13</t>
        </is>
      </c>
    </row>
    <row r="209">
      <c r="A209" t="inlineStr">
        <is>
          <t>TXN00128239</t>
        </is>
      </c>
      <c r="B209" t="inlineStr">
        <is>
          <t>MER00139</t>
        </is>
      </c>
      <c r="C209" s="8" t="n">
        <v>45886</v>
      </c>
      <c r="D209" t="inlineStr">
        <is>
          <t>ORD00128239</t>
        </is>
      </c>
      <c r="E209" t="n">
        <v>2572.69</v>
      </c>
      <c r="F209" t="n">
        <v>2.22</v>
      </c>
      <c r="G209" t="n">
        <v>57.11</v>
      </c>
      <c r="H209" t="inlineStr">
        <is>
          <t>Card</t>
        </is>
      </c>
      <c r="I209" t="inlineStr">
        <is>
          <t>Success</t>
        </is>
      </c>
      <c r="J209" t="inlineStr">
        <is>
          <t>Returned</t>
        </is>
      </c>
      <c r="K209" t="n">
        <v>2572.69</v>
      </c>
      <c r="L209" t="n">
        <v>0</v>
      </c>
      <c r="M209" t="inlineStr">
        <is>
          <t>INR</t>
        </is>
      </c>
      <c r="N209" t="inlineStr">
        <is>
          <t>2025-08-17 09:09:14</t>
        </is>
      </c>
    </row>
    <row r="210">
      <c r="A210" t="inlineStr">
        <is>
          <t>TXN00128247</t>
        </is>
      </c>
      <c r="B210" t="inlineStr">
        <is>
          <t>MER00139</t>
        </is>
      </c>
      <c r="C210" s="8" t="n">
        <v>45886</v>
      </c>
      <c r="D210" t="inlineStr">
        <is>
          <t>ORD00128247</t>
        </is>
      </c>
      <c r="E210" t="n">
        <v>2413.73</v>
      </c>
      <c r="F210" t="n">
        <v>2.22</v>
      </c>
      <c r="G210" t="n">
        <v>53.58</v>
      </c>
      <c r="H210" t="inlineStr">
        <is>
          <t>UPI</t>
        </is>
      </c>
      <c r="I210" t="inlineStr">
        <is>
          <t>Success</t>
        </is>
      </c>
      <c r="J210" t="inlineStr">
        <is>
          <t>Delivered</t>
        </is>
      </c>
      <c r="K210" t="n">
        <v>0</v>
      </c>
      <c r="L210" t="n">
        <v>0</v>
      </c>
      <c r="M210" t="inlineStr">
        <is>
          <t>INR</t>
        </is>
      </c>
      <c r="N210" t="inlineStr">
        <is>
          <t>2025-08-17 14:06:49</t>
        </is>
      </c>
    </row>
    <row r="211">
      <c r="A211" t="inlineStr">
        <is>
          <t>TXN00130481</t>
        </is>
      </c>
      <c r="B211" t="inlineStr">
        <is>
          <t>MER00139</t>
        </is>
      </c>
      <c r="C211" s="8" t="n">
        <v>45893</v>
      </c>
      <c r="D211" t="inlineStr">
        <is>
          <t>ORD00130481</t>
        </is>
      </c>
      <c r="E211" t="n">
        <v>2861.56</v>
      </c>
      <c r="F211" t="n">
        <v>2.22</v>
      </c>
      <c r="G211" t="n">
        <v>63.53</v>
      </c>
      <c r="H211" t="inlineStr">
        <is>
          <t>Wallet</t>
        </is>
      </c>
      <c r="I211" t="inlineStr">
        <is>
          <t>Success</t>
        </is>
      </c>
      <c r="J211" t="inlineStr">
        <is>
          <t>Cancelled</t>
        </is>
      </c>
      <c r="K211" t="n">
        <v>2512.04</v>
      </c>
      <c r="L211" t="n">
        <v>0</v>
      </c>
      <c r="M211" t="inlineStr">
        <is>
          <t>INR</t>
        </is>
      </c>
      <c r="N211" t="inlineStr">
        <is>
          <t>2025-08-24 15:39:21</t>
        </is>
      </c>
    </row>
    <row r="212">
      <c r="A212" t="inlineStr">
        <is>
          <t>TXN00130448</t>
        </is>
      </c>
      <c r="B212" t="inlineStr">
        <is>
          <t>MER00139</t>
        </is>
      </c>
      <c r="C212" s="8" t="n">
        <v>45893</v>
      </c>
      <c r="D212" t="inlineStr">
        <is>
          <t>ORD00130448</t>
        </is>
      </c>
      <c r="E212" t="n">
        <v>2056.87</v>
      </c>
      <c r="F212" t="n">
        <v>2.22</v>
      </c>
      <c r="G212" t="n">
        <v>45.66</v>
      </c>
      <c r="H212" t="inlineStr">
        <is>
          <t>Wallet</t>
        </is>
      </c>
      <c r="I212" t="inlineStr">
        <is>
          <t>Success</t>
        </is>
      </c>
      <c r="J212" t="inlineStr">
        <is>
          <t>Delivered</t>
        </is>
      </c>
      <c r="K212" t="n">
        <v>0</v>
      </c>
      <c r="L212" t="n">
        <v>108.1</v>
      </c>
      <c r="M212" t="inlineStr">
        <is>
          <t>INR</t>
        </is>
      </c>
      <c r="N212" t="inlineStr">
        <is>
          <t>2025-08-24 04:09:33</t>
        </is>
      </c>
    </row>
    <row r="213">
      <c r="A213" t="inlineStr">
        <is>
          <t>TXN00130442</t>
        </is>
      </c>
      <c r="B213" t="inlineStr">
        <is>
          <t>MER00139</t>
        </is>
      </c>
      <c r="C213" s="8" t="n">
        <v>45893</v>
      </c>
      <c r="D213" t="inlineStr">
        <is>
          <t>ORD00130442</t>
        </is>
      </c>
      <c r="E213" t="n">
        <v>1189.09</v>
      </c>
      <c r="F213" t="n">
        <v>2.22</v>
      </c>
      <c r="G213" t="n">
        <v>26.4</v>
      </c>
      <c r="H213" t="inlineStr">
        <is>
          <t>Wallet</t>
        </is>
      </c>
      <c r="I213" t="inlineStr">
        <is>
          <t>Success</t>
        </is>
      </c>
      <c r="J213" t="inlineStr">
        <is>
          <t>Delivered</t>
        </is>
      </c>
      <c r="K213" t="n">
        <v>0</v>
      </c>
      <c r="L213" t="n">
        <v>0</v>
      </c>
      <c r="M213" t="inlineStr">
        <is>
          <t>INR</t>
        </is>
      </c>
      <c r="N213" t="inlineStr">
        <is>
          <t>2025-08-24 01:47:35</t>
        </is>
      </c>
    </row>
    <row r="214">
      <c r="A214" t="inlineStr">
        <is>
          <t>TXN00132536</t>
        </is>
      </c>
      <c r="B214" t="inlineStr">
        <is>
          <t>MER00139</t>
        </is>
      </c>
      <c r="C214" s="8" t="n">
        <v>45899</v>
      </c>
      <c r="D214" t="inlineStr">
        <is>
          <t>ORD00132536</t>
        </is>
      </c>
      <c r="E214" t="n">
        <v>2653.9</v>
      </c>
      <c r="F214" t="n">
        <v>2.22</v>
      </c>
      <c r="G214" t="n">
        <v>58.92</v>
      </c>
      <c r="H214" t="inlineStr">
        <is>
          <t>Card</t>
        </is>
      </c>
      <c r="I214" t="inlineStr">
        <is>
          <t>Success</t>
        </is>
      </c>
      <c r="J214" t="inlineStr">
        <is>
          <t>Delivered</t>
        </is>
      </c>
      <c r="K214" t="n">
        <v>0</v>
      </c>
      <c r="L214" t="n">
        <v>0</v>
      </c>
      <c r="M214" t="inlineStr">
        <is>
          <t>INR</t>
        </is>
      </c>
      <c r="N214" t="inlineStr">
        <is>
          <t>2025-08-30 06:52:08</t>
        </is>
      </c>
    </row>
    <row r="215">
      <c r="A215" t="inlineStr">
        <is>
          <t>TXN00134305</t>
        </is>
      </c>
      <c r="B215" t="inlineStr">
        <is>
          <t>MER00139</t>
        </is>
      </c>
      <c r="C215" s="8" t="n">
        <v>45904</v>
      </c>
      <c r="D215" t="inlineStr">
        <is>
          <t>ORD00134305</t>
        </is>
      </c>
      <c r="E215" t="n">
        <v>817.34</v>
      </c>
      <c r="F215" t="n">
        <v>2.22</v>
      </c>
      <c r="G215" t="n">
        <v>18.14</v>
      </c>
      <c r="H215" t="inlineStr">
        <is>
          <t>UPI</t>
        </is>
      </c>
      <c r="I215" t="inlineStr">
        <is>
          <t>Success</t>
        </is>
      </c>
      <c r="J215" t="inlineStr">
        <is>
          <t>Delivered</t>
        </is>
      </c>
      <c r="K215" t="n">
        <v>0</v>
      </c>
      <c r="L215" t="n">
        <v>0</v>
      </c>
      <c r="M215" t="inlineStr">
        <is>
          <t>INR</t>
        </is>
      </c>
      <c r="N215" t="inlineStr">
        <is>
          <t>2025-09-04 19:49:18</t>
        </is>
      </c>
    </row>
    <row r="216">
      <c r="A216" t="inlineStr">
        <is>
          <t>TXN00134309</t>
        </is>
      </c>
      <c r="B216" t="inlineStr">
        <is>
          <t>MER00139</t>
        </is>
      </c>
      <c r="C216" s="8" t="n">
        <v>45904</v>
      </c>
      <c r="D216" t="inlineStr">
        <is>
          <t>ORD00134309</t>
        </is>
      </c>
      <c r="E216" t="n">
        <v>1726.26</v>
      </c>
      <c r="F216" t="n">
        <v>2.22</v>
      </c>
      <c r="G216" t="n">
        <v>38.32</v>
      </c>
      <c r="H216" t="inlineStr">
        <is>
          <t>Card</t>
        </is>
      </c>
      <c r="I216" t="inlineStr">
        <is>
          <t>Pending</t>
        </is>
      </c>
      <c r="J216" t="inlineStr">
        <is>
          <t>Processing</t>
        </is>
      </c>
      <c r="K216" t="n">
        <v>0</v>
      </c>
      <c r="L216" t="n">
        <v>0</v>
      </c>
      <c r="M216" t="inlineStr">
        <is>
          <t>INR</t>
        </is>
      </c>
      <c r="N216" t="inlineStr">
        <is>
          <t>2025-09-04 12:39:35</t>
        </is>
      </c>
    </row>
    <row r="217">
      <c r="A217" t="inlineStr">
        <is>
          <t>TXN00140459</t>
        </is>
      </c>
      <c r="B217" t="inlineStr">
        <is>
          <t>MER00139</t>
        </is>
      </c>
      <c r="C217" s="8" t="n">
        <v>45921</v>
      </c>
      <c r="D217" t="inlineStr">
        <is>
          <t>ORD00140459</t>
        </is>
      </c>
      <c r="E217" t="n">
        <v>1607.52</v>
      </c>
      <c r="F217" t="n">
        <v>2.22</v>
      </c>
      <c r="G217" t="n">
        <v>35.69</v>
      </c>
      <c r="H217" t="inlineStr">
        <is>
          <t>UPI</t>
        </is>
      </c>
      <c r="I217" t="inlineStr">
        <is>
          <t>Success</t>
        </is>
      </c>
      <c r="J217" t="inlineStr">
        <is>
          <t>Delivered</t>
        </is>
      </c>
      <c r="K217" t="n">
        <v>0</v>
      </c>
      <c r="L217" t="n">
        <v>0</v>
      </c>
      <c r="M217" t="inlineStr">
        <is>
          <t>INR</t>
        </is>
      </c>
      <c r="N217" t="inlineStr">
        <is>
          <t>2025-09-21 00:23:23</t>
        </is>
      </c>
    </row>
    <row r="218">
      <c r="A218" t="inlineStr">
        <is>
          <t>TXN00140996</t>
        </is>
      </c>
      <c r="B218" t="inlineStr">
        <is>
          <t>MER00139</t>
        </is>
      </c>
      <c r="C218" s="8" t="n">
        <v>45923</v>
      </c>
      <c r="D218" t="inlineStr">
        <is>
          <t>ORD00140996</t>
        </is>
      </c>
      <c r="E218" t="n">
        <v>483.89</v>
      </c>
      <c r="F218" t="n">
        <v>2.22</v>
      </c>
      <c r="G218" t="n">
        <v>10.74</v>
      </c>
      <c r="H218" t="inlineStr">
        <is>
          <t>UPI</t>
        </is>
      </c>
      <c r="I218" t="inlineStr">
        <is>
          <t>Success</t>
        </is>
      </c>
      <c r="J218" t="inlineStr">
        <is>
          <t>Delivered</t>
        </is>
      </c>
      <c r="K218" t="n">
        <v>0</v>
      </c>
      <c r="L218" t="n">
        <v>0</v>
      </c>
      <c r="M218" t="inlineStr">
        <is>
          <t>INR</t>
        </is>
      </c>
      <c r="N218" t="inlineStr">
        <is>
          <t>2025-09-23 09:03:06</t>
        </is>
      </c>
    </row>
    <row r="219">
      <c r="A219" t="inlineStr">
        <is>
          <t>TXN00141527</t>
        </is>
      </c>
      <c r="B219" t="inlineStr">
        <is>
          <t>MER00139</t>
        </is>
      </c>
      <c r="C219" s="8" t="n">
        <v>45925</v>
      </c>
      <c r="D219" t="inlineStr">
        <is>
          <t>ORD00141527</t>
        </is>
      </c>
      <c r="E219" t="n">
        <v>1951.32</v>
      </c>
      <c r="F219" t="n">
        <v>2.22</v>
      </c>
      <c r="G219" t="n">
        <v>43.32</v>
      </c>
      <c r="H219" t="inlineStr">
        <is>
          <t>UPI</t>
        </is>
      </c>
      <c r="I219" t="inlineStr">
        <is>
          <t>Success</t>
        </is>
      </c>
      <c r="J219" t="inlineStr">
        <is>
          <t>Delivered</t>
        </is>
      </c>
      <c r="K219" t="n">
        <v>0</v>
      </c>
      <c r="L219" t="n">
        <v>0</v>
      </c>
      <c r="M219" t="inlineStr">
        <is>
          <t>INR</t>
        </is>
      </c>
      <c r="N219" t="inlineStr">
        <is>
          <t>2025-09-25 09:30:55</t>
        </is>
      </c>
    </row>
    <row r="220">
      <c r="A220" t="inlineStr">
        <is>
          <t>TXN00143772</t>
        </is>
      </c>
      <c r="B220" t="inlineStr">
        <is>
          <t>MER00139</t>
        </is>
      </c>
      <c r="C220" s="8" t="n">
        <v>45931</v>
      </c>
      <c r="D220" t="inlineStr">
        <is>
          <t>ORD00143772</t>
        </is>
      </c>
      <c r="E220" t="n">
        <v>4247.32</v>
      </c>
      <c r="F220" t="n">
        <v>2.22</v>
      </c>
      <c r="G220" t="n">
        <v>94.29000000000001</v>
      </c>
      <c r="H220" t="inlineStr">
        <is>
          <t>UPI</t>
        </is>
      </c>
      <c r="I220" t="inlineStr">
        <is>
          <t>Success</t>
        </is>
      </c>
      <c r="J220" t="inlineStr">
        <is>
          <t>Delivered</t>
        </is>
      </c>
      <c r="K220" t="n">
        <v>0</v>
      </c>
      <c r="L220" t="n">
        <v>0</v>
      </c>
      <c r="M220" t="inlineStr">
        <is>
          <t>INR</t>
        </is>
      </c>
      <c r="N220" t="inlineStr">
        <is>
          <t>2025-10-01 18:49:37</t>
        </is>
      </c>
    </row>
    <row r="221">
      <c r="A221" t="inlineStr">
        <is>
          <t>TXN00144649</t>
        </is>
      </c>
      <c r="B221" t="inlineStr">
        <is>
          <t>MER00139</t>
        </is>
      </c>
      <c r="C221" s="8" t="n">
        <v>45933</v>
      </c>
      <c r="D221" t="inlineStr">
        <is>
          <t>ORD00144649</t>
        </is>
      </c>
      <c r="E221" t="n">
        <v>1495.77</v>
      </c>
      <c r="F221" t="n">
        <v>2.22</v>
      </c>
      <c r="G221" t="n">
        <v>33.21</v>
      </c>
      <c r="H221" t="inlineStr">
        <is>
          <t>Wallet</t>
        </is>
      </c>
      <c r="I221" t="inlineStr">
        <is>
          <t>Success</t>
        </is>
      </c>
      <c r="J221" t="inlineStr">
        <is>
          <t>Delivered</t>
        </is>
      </c>
      <c r="K221" t="n">
        <v>0</v>
      </c>
      <c r="L221" t="n">
        <v>294.83</v>
      </c>
      <c r="M221" t="inlineStr">
        <is>
          <t>INR</t>
        </is>
      </c>
      <c r="N221" t="inlineStr">
        <is>
          <t>2025-10-03 22:27:24</t>
        </is>
      </c>
    </row>
    <row r="222">
      <c r="A222" t="inlineStr">
        <is>
          <t>TXN00147492</t>
        </is>
      </c>
      <c r="B222" t="inlineStr">
        <is>
          <t>MER00139</t>
        </is>
      </c>
      <c r="C222" s="8" t="n">
        <v>45939</v>
      </c>
      <c r="D222" t="inlineStr">
        <is>
          <t>ORD00147492</t>
        </is>
      </c>
      <c r="E222" t="n">
        <v>1741.85</v>
      </c>
      <c r="F222" t="n">
        <v>2.22</v>
      </c>
      <c r="G222" t="n">
        <v>38.67</v>
      </c>
      <c r="H222" t="inlineStr">
        <is>
          <t>Card</t>
        </is>
      </c>
      <c r="I222" t="inlineStr">
        <is>
          <t>Success</t>
        </is>
      </c>
      <c r="J222" t="inlineStr">
        <is>
          <t>Delivered</t>
        </is>
      </c>
      <c r="K222" t="n">
        <v>0</v>
      </c>
      <c r="L222" t="n">
        <v>0</v>
      </c>
      <c r="M222" t="inlineStr">
        <is>
          <t>INR</t>
        </is>
      </c>
      <c r="N222" t="inlineStr">
        <is>
          <t>2025-10-09 16:58:26</t>
        </is>
      </c>
    </row>
    <row r="223">
      <c r="A223" t="inlineStr">
        <is>
          <t>TXN00148504</t>
        </is>
      </c>
      <c r="B223" t="inlineStr">
        <is>
          <t>MER00139</t>
        </is>
      </c>
      <c r="C223" s="8" t="n">
        <v>45941</v>
      </c>
      <c r="D223" t="inlineStr">
        <is>
          <t>ORD00148504</t>
        </is>
      </c>
      <c r="E223" t="n">
        <v>848.42</v>
      </c>
      <c r="F223" t="n">
        <v>2.22</v>
      </c>
      <c r="G223" t="n">
        <v>18.83</v>
      </c>
      <c r="H223" t="inlineStr">
        <is>
          <t>UPI</t>
        </is>
      </c>
      <c r="I223" t="inlineStr">
        <is>
          <t>Success</t>
        </is>
      </c>
      <c r="J223" t="inlineStr">
        <is>
          <t>Returned</t>
        </is>
      </c>
      <c r="K223" t="n">
        <v>848.42</v>
      </c>
      <c r="L223" t="n">
        <v>0</v>
      </c>
      <c r="M223" t="inlineStr">
        <is>
          <t>INR</t>
        </is>
      </c>
      <c r="N223" t="inlineStr">
        <is>
          <t>2025-10-11 04:09:53</t>
        </is>
      </c>
    </row>
    <row r="224">
      <c r="A224" t="inlineStr">
        <is>
          <t>TXN00153029</t>
        </is>
      </c>
      <c r="B224" t="inlineStr">
        <is>
          <t>MER00139</t>
        </is>
      </c>
      <c r="C224" s="8" t="n">
        <v>45951</v>
      </c>
      <c r="D224" t="inlineStr">
        <is>
          <t>ORD00153029</t>
        </is>
      </c>
      <c r="E224" t="n">
        <v>1637.75</v>
      </c>
      <c r="F224" t="n">
        <v>2.22</v>
      </c>
      <c r="G224" t="n">
        <v>36.36</v>
      </c>
      <c r="H224" t="inlineStr">
        <is>
          <t>Card</t>
        </is>
      </c>
      <c r="I224" t="inlineStr">
        <is>
          <t>Success</t>
        </is>
      </c>
      <c r="J224" t="inlineStr">
        <is>
          <t>Delivered</t>
        </is>
      </c>
      <c r="K224" t="n">
        <v>0</v>
      </c>
      <c r="L224" t="n">
        <v>0</v>
      </c>
      <c r="M224" t="inlineStr">
        <is>
          <t>INR</t>
        </is>
      </c>
      <c r="N224" t="inlineStr">
        <is>
          <t>2025-10-21 01:44:42</t>
        </is>
      </c>
    </row>
    <row r="225">
      <c r="A225" t="inlineStr">
        <is>
          <t>TXN00155580</t>
        </is>
      </c>
      <c r="B225" t="inlineStr">
        <is>
          <t>MER00139</t>
        </is>
      </c>
      <c r="C225" s="8" t="n">
        <v>45956</v>
      </c>
      <c r="D225" t="inlineStr">
        <is>
          <t>ORD00155580</t>
        </is>
      </c>
      <c r="E225" t="n">
        <v>1407.17</v>
      </c>
      <c r="F225" t="n">
        <v>2.22</v>
      </c>
      <c r="G225" t="n">
        <v>31.24</v>
      </c>
      <c r="H225" t="inlineStr">
        <is>
          <t>Wallet</t>
        </is>
      </c>
      <c r="I225" t="inlineStr">
        <is>
          <t>Success</t>
        </is>
      </c>
      <c r="J225" t="inlineStr">
        <is>
          <t>Delivered</t>
        </is>
      </c>
      <c r="K225" t="n">
        <v>0</v>
      </c>
      <c r="L225" t="n">
        <v>0</v>
      </c>
      <c r="M225" t="inlineStr">
        <is>
          <t>INR</t>
        </is>
      </c>
      <c r="N225" t="inlineStr">
        <is>
          <t>2025-10-26 11:15:20</t>
        </is>
      </c>
    </row>
    <row r="226">
      <c r="A226" t="inlineStr">
        <is>
          <t>TXN00155929</t>
        </is>
      </c>
      <c r="B226" t="inlineStr">
        <is>
          <t>MER00139</t>
        </is>
      </c>
      <c r="C226" s="8" t="n">
        <v>45957</v>
      </c>
      <c r="D226" t="inlineStr">
        <is>
          <t>ORD00155929</t>
        </is>
      </c>
      <c r="E226" t="n">
        <v>662.47</v>
      </c>
      <c r="F226" t="n">
        <v>2.22</v>
      </c>
      <c r="G226" t="n">
        <v>14.71</v>
      </c>
      <c r="H226" t="inlineStr">
        <is>
          <t>NetBanking</t>
        </is>
      </c>
      <c r="I226" t="inlineStr">
        <is>
          <t>Success</t>
        </is>
      </c>
      <c r="J226" t="inlineStr">
        <is>
          <t>Delivered</t>
        </is>
      </c>
      <c r="K226" t="n">
        <v>0</v>
      </c>
      <c r="L226" t="n">
        <v>0</v>
      </c>
      <c r="M226" t="inlineStr">
        <is>
          <t>INR</t>
        </is>
      </c>
      <c r="N226" t="inlineStr">
        <is>
          <t>2025-10-27 20:54:53</t>
        </is>
      </c>
    </row>
    <row r="227">
      <c r="A227" t="inlineStr">
        <is>
          <t>TXN00156783</t>
        </is>
      </c>
      <c r="B227" t="inlineStr">
        <is>
          <t>MER00139</t>
        </is>
      </c>
      <c r="C227" s="8" t="n">
        <v>45959</v>
      </c>
      <c r="D227" t="inlineStr">
        <is>
          <t>ORD00156783</t>
        </is>
      </c>
      <c r="E227" t="n">
        <v>1021.33</v>
      </c>
      <c r="F227" t="n">
        <v>2.67</v>
      </c>
      <c r="G227" t="n">
        <v>22.67</v>
      </c>
      <c r="H227" t="inlineStr">
        <is>
          <t>UPI</t>
        </is>
      </c>
      <c r="I227" t="inlineStr">
        <is>
          <t>Success</t>
        </is>
      </c>
      <c r="J227" t="inlineStr">
        <is>
          <t>Delivered</t>
        </is>
      </c>
      <c r="K227" t="n">
        <v>0</v>
      </c>
      <c r="L227" t="n">
        <v>0</v>
      </c>
      <c r="M227" t="inlineStr">
        <is>
          <t>INR</t>
        </is>
      </c>
      <c r="N227" t="inlineStr">
        <is>
          <t>2025-10-29 12:51:42</t>
        </is>
      </c>
    </row>
    <row r="228">
      <c r="A228" t="inlineStr">
        <is>
          <t>TXN00160479</t>
        </is>
      </c>
      <c r="B228" t="inlineStr">
        <is>
          <t>MER00139</t>
        </is>
      </c>
      <c r="C228" s="8" t="n">
        <v>45966</v>
      </c>
      <c r="D228" t="inlineStr">
        <is>
          <t>ORD00160479</t>
        </is>
      </c>
      <c r="E228" t="n">
        <v>934.83</v>
      </c>
      <c r="F228" t="n">
        <v>2.22</v>
      </c>
      <c r="G228" t="n">
        <v>20.75</v>
      </c>
      <c r="H228" t="inlineStr">
        <is>
          <t>Card</t>
        </is>
      </c>
      <c r="I228" t="inlineStr">
        <is>
          <t>Success</t>
        </is>
      </c>
      <c r="J228" t="inlineStr">
        <is>
          <t>Delivered</t>
        </is>
      </c>
      <c r="K228" t="n">
        <v>0</v>
      </c>
      <c r="L228" t="n">
        <v>0</v>
      </c>
      <c r="M228" t="inlineStr">
        <is>
          <t>INR</t>
        </is>
      </c>
      <c r="N228" t="inlineStr">
        <is>
          <t>2025-11-05 09:11:54</t>
        </is>
      </c>
    </row>
    <row r="229">
      <c r="A229" t="inlineStr">
        <is>
          <t>TXN00165880</t>
        </is>
      </c>
      <c r="B229" t="inlineStr">
        <is>
          <t>MER00139</t>
        </is>
      </c>
      <c r="C229" s="8" t="n">
        <v>45976</v>
      </c>
      <c r="D229" t="inlineStr">
        <is>
          <t>ORD00165880</t>
        </is>
      </c>
      <c r="E229" t="n">
        <v>1740.61</v>
      </c>
      <c r="F229" t="n">
        <v>2.22</v>
      </c>
      <c r="G229" t="n">
        <v>38.64</v>
      </c>
      <c r="H229" t="inlineStr">
        <is>
          <t>NetBanking</t>
        </is>
      </c>
      <c r="I229" t="inlineStr">
        <is>
          <t>Success</t>
        </is>
      </c>
      <c r="J229" t="inlineStr">
        <is>
          <t>Delivered</t>
        </is>
      </c>
      <c r="K229" t="n">
        <v>0</v>
      </c>
      <c r="L229" t="n">
        <v>0</v>
      </c>
      <c r="M229" t="inlineStr">
        <is>
          <t>INR</t>
        </is>
      </c>
      <c r="N229" t="inlineStr">
        <is>
          <t>2025-11-15 05:18:58</t>
        </is>
      </c>
    </row>
    <row r="230">
      <c r="A230" t="inlineStr">
        <is>
          <t>TXN00167792</t>
        </is>
      </c>
      <c r="B230" t="inlineStr">
        <is>
          <t>MER00139</t>
        </is>
      </c>
      <c r="C230" s="8" t="n">
        <v>45979</v>
      </c>
      <c r="D230" t="inlineStr">
        <is>
          <t>ORD00167792</t>
        </is>
      </c>
      <c r="E230" t="n">
        <v>2638.18</v>
      </c>
      <c r="F230" t="n">
        <v>2.22</v>
      </c>
      <c r="G230" t="n">
        <v>58.57</v>
      </c>
      <c r="H230" t="inlineStr">
        <is>
          <t>Card</t>
        </is>
      </c>
      <c r="I230" t="inlineStr">
        <is>
          <t>Success</t>
        </is>
      </c>
      <c r="J230" t="inlineStr">
        <is>
          <t>Delivered</t>
        </is>
      </c>
      <c r="K230" t="n">
        <v>0</v>
      </c>
      <c r="L230" t="n">
        <v>0</v>
      </c>
      <c r="M230" t="inlineStr">
        <is>
          <t>INR</t>
        </is>
      </c>
      <c r="N230" t="inlineStr">
        <is>
          <t>2025-11-18 11:46:33</t>
        </is>
      </c>
    </row>
    <row r="231">
      <c r="A231" t="inlineStr">
        <is>
          <t>TXN00170333</t>
        </is>
      </c>
      <c r="B231" t="inlineStr">
        <is>
          <t>MER00139</t>
        </is>
      </c>
      <c r="C231" s="8" t="n">
        <v>45984</v>
      </c>
      <c r="D231" t="inlineStr">
        <is>
          <t>ORD00170333</t>
        </is>
      </c>
      <c r="E231" t="n">
        <v>2729.13</v>
      </c>
      <c r="F231" t="n">
        <v>2.22</v>
      </c>
      <c r="G231" t="n">
        <v>60.59</v>
      </c>
      <c r="H231" t="inlineStr">
        <is>
          <t>UPI</t>
        </is>
      </c>
      <c r="I231" t="inlineStr">
        <is>
          <t>Success</t>
        </is>
      </c>
      <c r="J231" t="inlineStr">
        <is>
          <t>Delivered</t>
        </is>
      </c>
      <c r="K231" t="n">
        <v>0</v>
      </c>
      <c r="L231" t="n">
        <v>0</v>
      </c>
      <c r="M231" t="inlineStr">
        <is>
          <t>INR</t>
        </is>
      </c>
      <c r="N231" t="inlineStr">
        <is>
          <t>2025-11-23 22:57:27</t>
        </is>
      </c>
    </row>
    <row r="232">
      <c r="A232" t="inlineStr">
        <is>
          <t>TXN00170863</t>
        </is>
      </c>
      <c r="B232" t="inlineStr">
        <is>
          <t>MER00139</t>
        </is>
      </c>
      <c r="C232" s="8" t="n">
        <v>45985</v>
      </c>
      <c r="D232" t="inlineStr">
        <is>
          <t>ORD00170863</t>
        </is>
      </c>
      <c r="E232" t="n">
        <v>4329.65</v>
      </c>
      <c r="F232" t="n">
        <v>2.22</v>
      </c>
      <c r="G232" t="n">
        <v>96.12</v>
      </c>
      <c r="H232" t="inlineStr">
        <is>
          <t>Wallet</t>
        </is>
      </c>
      <c r="I232" t="inlineStr">
        <is>
          <t>Success</t>
        </is>
      </c>
      <c r="J232" t="inlineStr">
        <is>
          <t>Delivered</t>
        </is>
      </c>
      <c r="K232" t="n">
        <v>0</v>
      </c>
      <c r="L232" t="n">
        <v>0</v>
      </c>
      <c r="M232" t="inlineStr">
        <is>
          <t>INR</t>
        </is>
      </c>
      <c r="N232" t="inlineStr">
        <is>
          <t>2025-11-24 00:52:08</t>
        </is>
      </c>
    </row>
    <row r="233">
      <c r="A233" t="inlineStr">
        <is>
          <t>TXN00176829</t>
        </is>
      </c>
      <c r="B233" t="inlineStr">
        <is>
          <t>MER00139</t>
        </is>
      </c>
      <c r="C233" s="8" t="n">
        <v>45997</v>
      </c>
      <c r="D233" t="inlineStr">
        <is>
          <t>ORD00176829</t>
        </is>
      </c>
      <c r="E233" t="n">
        <v>423.22</v>
      </c>
      <c r="F233" t="n">
        <v>2.22</v>
      </c>
      <c r="G233" t="n">
        <v>9.4</v>
      </c>
      <c r="H233" t="inlineStr">
        <is>
          <t>UPI</t>
        </is>
      </c>
      <c r="I233" t="inlineStr">
        <is>
          <t>Success</t>
        </is>
      </c>
      <c r="J233" t="inlineStr">
        <is>
          <t>Processing</t>
        </is>
      </c>
      <c r="K233" t="n">
        <v>0</v>
      </c>
      <c r="L233" t="n">
        <v>0</v>
      </c>
      <c r="M233" t="inlineStr">
        <is>
          <t>INR</t>
        </is>
      </c>
      <c r="N233" t="inlineStr">
        <is>
          <t>2025-12-06 20:02:28</t>
        </is>
      </c>
    </row>
    <row r="234">
      <c r="A234" t="inlineStr">
        <is>
          <t>TXN00176924</t>
        </is>
      </c>
      <c r="B234" t="inlineStr">
        <is>
          <t>MER00139</t>
        </is>
      </c>
      <c r="C234" s="8" t="n">
        <v>45998</v>
      </c>
      <c r="D234" t="inlineStr">
        <is>
          <t>ORD00176924</t>
        </is>
      </c>
      <c r="E234" t="n">
        <v>2963.74</v>
      </c>
      <c r="F234" t="n">
        <v>2.22</v>
      </c>
      <c r="G234" t="n">
        <v>65.8</v>
      </c>
      <c r="H234" t="inlineStr">
        <is>
          <t>Card</t>
        </is>
      </c>
      <c r="I234" t="inlineStr">
        <is>
          <t>Success</t>
        </is>
      </c>
      <c r="J234" t="inlineStr">
        <is>
          <t>Delivered</t>
        </is>
      </c>
      <c r="K234" t="n">
        <v>0</v>
      </c>
      <c r="L234" t="n">
        <v>0</v>
      </c>
      <c r="M234" t="inlineStr">
        <is>
          <t>INR</t>
        </is>
      </c>
      <c r="N234" t="inlineStr">
        <is>
          <t>2025-12-07 04:11:58</t>
        </is>
      </c>
    </row>
    <row r="235">
      <c r="A235" t="inlineStr">
        <is>
          <t>TXN00183568</t>
        </is>
      </c>
      <c r="B235" t="inlineStr">
        <is>
          <t>MER00139</t>
        </is>
      </c>
      <c r="C235" s="8" t="n">
        <v>46015</v>
      </c>
      <c r="D235" t="inlineStr">
        <is>
          <t>ORD00183568</t>
        </is>
      </c>
      <c r="E235" t="n">
        <v>1215.75</v>
      </c>
      <c r="F235" t="n">
        <v>2.22</v>
      </c>
      <c r="G235" t="n">
        <v>26.99</v>
      </c>
      <c r="H235" t="inlineStr">
        <is>
          <t>UPI</t>
        </is>
      </c>
      <c r="I235" t="inlineStr">
        <is>
          <t>Success</t>
        </is>
      </c>
      <c r="J235" t="inlineStr">
        <is>
          <t>Delivered</t>
        </is>
      </c>
      <c r="K235" t="n">
        <v>0</v>
      </c>
      <c r="L235" t="n">
        <v>0</v>
      </c>
      <c r="M235" t="inlineStr">
        <is>
          <t>INR</t>
        </is>
      </c>
      <c r="N235" t="inlineStr">
        <is>
          <t>2025-12-24 13:47:38</t>
        </is>
      </c>
    </row>
    <row r="236">
      <c r="A236" t="inlineStr">
        <is>
          <t>TXN00184984</t>
        </is>
      </c>
      <c r="B236" t="inlineStr">
        <is>
          <t>MER00139</t>
        </is>
      </c>
      <c r="C236" s="8" t="n">
        <v>46019</v>
      </c>
      <c r="D236" t="inlineStr">
        <is>
          <t>ORD00184984</t>
        </is>
      </c>
      <c r="E236" t="n">
        <v>727.4</v>
      </c>
      <c r="F236" t="n">
        <v>2.22</v>
      </c>
      <c r="G236" t="n">
        <v>16.15</v>
      </c>
      <c r="H236" t="inlineStr">
        <is>
          <t>UPI</t>
        </is>
      </c>
      <c r="I236" t="inlineStr">
        <is>
          <t>Success</t>
        </is>
      </c>
      <c r="J236" t="inlineStr">
        <is>
          <t>Delivered</t>
        </is>
      </c>
      <c r="K236" t="n">
        <v>0</v>
      </c>
      <c r="L236" t="n">
        <v>0</v>
      </c>
      <c r="M236" t="inlineStr">
        <is>
          <t>INR</t>
        </is>
      </c>
      <c r="N236" t="inlineStr">
        <is>
          <t>2025-12-28 15:03:43</t>
        </is>
      </c>
    </row>
    <row r="237">
      <c r="A237" t="inlineStr">
        <is>
          <t>TXN00185382</t>
        </is>
      </c>
      <c r="B237" t="inlineStr">
        <is>
          <t>MER00139</t>
        </is>
      </c>
      <c r="C237" s="8" t="n">
        <v>46020</v>
      </c>
      <c r="D237" t="inlineStr">
        <is>
          <t>ORD00185382</t>
        </is>
      </c>
      <c r="E237" t="n">
        <v>1618.36</v>
      </c>
      <c r="F237" t="n">
        <v>2.22</v>
      </c>
      <c r="G237" t="n">
        <v>35.93</v>
      </c>
      <c r="H237" t="inlineStr">
        <is>
          <t>UPI</t>
        </is>
      </c>
      <c r="I237" t="inlineStr">
        <is>
          <t>Success</t>
        </is>
      </c>
      <c r="J237" t="inlineStr">
        <is>
          <t>Delivered</t>
        </is>
      </c>
      <c r="K237" t="n">
        <v>0</v>
      </c>
      <c r="L237" t="n">
        <v>0</v>
      </c>
      <c r="M237" t="inlineStr">
        <is>
          <t>INR</t>
        </is>
      </c>
      <c r="N237" t="inlineStr">
        <is>
          <t>2025-12-29 09:09:09</t>
        </is>
      </c>
    </row>
    <row r="238">
      <c r="A238" t="inlineStr">
        <is>
          <t>TXN00186311</t>
        </is>
      </c>
      <c r="B238" t="inlineStr">
        <is>
          <t>MER00139</t>
        </is>
      </c>
      <c r="C238" s="8" t="n">
        <v>46022</v>
      </c>
      <c r="D238" t="inlineStr">
        <is>
          <t>ORD00186311</t>
        </is>
      </c>
      <c r="E238" t="n">
        <v>4095.06</v>
      </c>
      <c r="F238" t="n">
        <v>2.22</v>
      </c>
      <c r="G238" t="n">
        <v>90.91</v>
      </c>
      <c r="H238" t="inlineStr">
        <is>
          <t>UPI</t>
        </is>
      </c>
      <c r="I238" t="inlineStr">
        <is>
          <t>Pending</t>
        </is>
      </c>
      <c r="J238" t="inlineStr">
        <is>
          <t>Cancelled</t>
        </is>
      </c>
      <c r="K238" t="n">
        <v>0</v>
      </c>
      <c r="L238" t="n">
        <v>0</v>
      </c>
      <c r="M238" t="inlineStr">
        <is>
          <t>INR</t>
        </is>
      </c>
      <c r="N238" t="inlineStr">
        <is>
          <t>2025-12-31 12:31:31</t>
        </is>
      </c>
    </row>
    <row r="239">
      <c r="A239" t="inlineStr">
        <is>
          <t>TXN00186313</t>
        </is>
      </c>
      <c r="B239" t="inlineStr">
        <is>
          <t>MER00139</t>
        </is>
      </c>
      <c r="C239" s="8" t="n">
        <v>46023</v>
      </c>
      <c r="D239" t="inlineStr">
        <is>
          <t>ORD00186313</t>
        </is>
      </c>
      <c r="E239" t="n">
        <v>2036.81</v>
      </c>
      <c r="F239" t="n">
        <v>2.22</v>
      </c>
      <c r="G239" t="n">
        <v>45.22</v>
      </c>
      <c r="H239" t="inlineStr">
        <is>
          <t>UPI</t>
        </is>
      </c>
      <c r="I239" t="inlineStr">
        <is>
          <t>Unknown</t>
        </is>
      </c>
      <c r="J239" t="inlineStr">
        <is>
          <t>Delivered</t>
        </is>
      </c>
      <c r="K239" t="n">
        <v>0</v>
      </c>
      <c r="L239" t="n">
        <v>0</v>
      </c>
      <c r="M239" t="inlineStr">
        <is>
          <t>INR</t>
        </is>
      </c>
      <c r="N239" t="inlineStr">
        <is>
          <t>2026-01-01 05:29:40</t>
        </is>
      </c>
    </row>
    <row r="240">
      <c r="A240" t="inlineStr">
        <is>
          <t>TXN00187625</t>
        </is>
      </c>
      <c r="B240" t="inlineStr">
        <is>
          <t>MER00139</t>
        </is>
      </c>
      <c r="C240" s="8" t="n">
        <v>46025</v>
      </c>
      <c r="D240" t="inlineStr">
        <is>
          <t>ORD00187625</t>
        </is>
      </c>
      <c r="E240" t="n">
        <v>729.2</v>
      </c>
      <c r="F240" t="n">
        <v>2.22</v>
      </c>
      <c r="G240" t="n">
        <v>16.19</v>
      </c>
      <c r="H240" t="inlineStr">
        <is>
          <t>Wallet</t>
        </is>
      </c>
      <c r="I240" t="inlineStr">
        <is>
          <t>Success</t>
        </is>
      </c>
      <c r="J240" t="inlineStr">
        <is>
          <t>Delivered</t>
        </is>
      </c>
      <c r="K240" t="n">
        <v>0</v>
      </c>
      <c r="L240" t="n">
        <v>0</v>
      </c>
      <c r="M240" t="inlineStr">
        <is>
          <t>INR</t>
        </is>
      </c>
      <c r="N240" t="inlineStr">
        <is>
          <t>2026-01-03 10:17:32</t>
        </is>
      </c>
    </row>
    <row r="241">
      <c r="A241" t="inlineStr">
        <is>
          <t>TXN00187876</t>
        </is>
      </c>
      <c r="B241" t="inlineStr">
        <is>
          <t>MER00139</t>
        </is>
      </c>
      <c r="C241" s="8" t="n">
        <v>46026</v>
      </c>
      <c r="D241" t="inlineStr">
        <is>
          <t>ORD00187876</t>
        </is>
      </c>
      <c r="E241" t="n">
        <v>702.28</v>
      </c>
      <c r="F241" t="n">
        <v>2.22</v>
      </c>
      <c r="G241" t="n">
        <v>15.59</v>
      </c>
      <c r="H241" t="inlineStr">
        <is>
          <t>UPI</t>
        </is>
      </c>
      <c r="I241" t="inlineStr">
        <is>
          <t>Success</t>
        </is>
      </c>
      <c r="J241" t="inlineStr">
        <is>
          <t>Returned</t>
        </is>
      </c>
      <c r="K241" t="n">
        <v>595.84</v>
      </c>
      <c r="L241" t="n">
        <v>0</v>
      </c>
      <c r="M241" t="inlineStr">
        <is>
          <t>INR</t>
        </is>
      </c>
      <c r="N241" t="inlineStr">
        <is>
          <t>2026-01-04 21:46:04</t>
        </is>
      </c>
    </row>
    <row r="242">
      <c r="A242" t="inlineStr">
        <is>
          <t>TXN00187944</t>
        </is>
      </c>
      <c r="B242" t="inlineStr">
        <is>
          <t>MER00139</t>
        </is>
      </c>
      <c r="C242" s="8" t="n">
        <v>46026</v>
      </c>
      <c r="D242" t="inlineStr">
        <is>
          <t>ORD00187944</t>
        </is>
      </c>
      <c r="E242" t="n">
        <v>4773.01</v>
      </c>
      <c r="F242" t="n">
        <v>2.22</v>
      </c>
      <c r="G242" t="n">
        <v>105.96</v>
      </c>
      <c r="H242" t="inlineStr">
        <is>
          <t>UPI</t>
        </is>
      </c>
      <c r="I242" t="inlineStr">
        <is>
          <t>Success</t>
        </is>
      </c>
      <c r="J242" t="inlineStr">
        <is>
          <t>Returned</t>
        </is>
      </c>
      <c r="K242" t="n">
        <v>3273.45</v>
      </c>
      <c r="L242" t="n">
        <v>0</v>
      </c>
      <c r="M242" t="inlineStr">
        <is>
          <t>INR</t>
        </is>
      </c>
      <c r="N242" t="inlineStr">
        <is>
          <t>2026-01-04 09:56:38</t>
        </is>
      </c>
    </row>
    <row r="243">
      <c r="A243" t="inlineStr">
        <is>
          <t>TXN00189902</t>
        </is>
      </c>
      <c r="B243" t="inlineStr">
        <is>
          <t>MER00139</t>
        </is>
      </c>
      <c r="C243" s="8" t="n">
        <v>46030</v>
      </c>
      <c r="D243" t="inlineStr">
        <is>
          <t>ORD00189902</t>
        </is>
      </c>
      <c r="E243" t="n">
        <v>2599.28</v>
      </c>
      <c r="F243" t="n">
        <v>2.6</v>
      </c>
      <c r="G243" t="n">
        <v>57.7</v>
      </c>
      <c r="H243" t="inlineStr">
        <is>
          <t>UPI</t>
        </is>
      </c>
      <c r="I243" t="inlineStr">
        <is>
          <t>Success</t>
        </is>
      </c>
      <c r="J243" t="inlineStr">
        <is>
          <t>Delivered</t>
        </is>
      </c>
      <c r="K243" t="n">
        <v>0</v>
      </c>
      <c r="L243" t="n">
        <v>0</v>
      </c>
      <c r="M243" t="inlineStr">
        <is>
          <t>INR</t>
        </is>
      </c>
      <c r="N243" t="inlineStr">
        <is>
          <t>2026-01-08 00:35:31</t>
        </is>
      </c>
    </row>
    <row r="244">
      <c r="A244" t="inlineStr">
        <is>
          <t>TXN00193309</t>
        </is>
      </c>
      <c r="B244" t="inlineStr">
        <is>
          <t>MER00139</t>
        </is>
      </c>
      <c r="C244" s="8" t="n">
        <v>46038</v>
      </c>
      <c r="D244" t="inlineStr">
        <is>
          <t>ORD00193309</t>
        </is>
      </c>
      <c r="E244" t="n">
        <v>2091.96</v>
      </c>
      <c r="F244" t="n">
        <v>2.22</v>
      </c>
      <c r="G244" t="n">
        <v>46.44</v>
      </c>
      <c r="H244" t="inlineStr">
        <is>
          <t>Card</t>
        </is>
      </c>
      <c r="I244" t="inlineStr">
        <is>
          <t>Success</t>
        </is>
      </c>
      <c r="J244" t="inlineStr">
        <is>
          <t>Delivered</t>
        </is>
      </c>
      <c r="K244" t="n">
        <v>0</v>
      </c>
      <c r="L244" t="n">
        <v>0</v>
      </c>
      <c r="M244" t="inlineStr">
        <is>
          <t>INR</t>
        </is>
      </c>
      <c r="N244" t="inlineStr">
        <is>
          <t>2026-01-16 08:45:59</t>
        </is>
      </c>
    </row>
    <row r="245">
      <c r="A245" t="inlineStr">
        <is>
          <t>TXN00194764</t>
        </is>
      </c>
      <c r="B245" t="inlineStr">
        <is>
          <t>MER00139</t>
        </is>
      </c>
      <c r="C245" s="8" t="n">
        <v>46041</v>
      </c>
      <c r="D245" t="inlineStr">
        <is>
          <t>ORD00194764</t>
        </is>
      </c>
      <c r="E245" t="n">
        <v>1568.42</v>
      </c>
      <c r="F245" t="n">
        <v>2.22</v>
      </c>
      <c r="G245" t="n">
        <v>34.82</v>
      </c>
      <c r="H245" t="inlineStr">
        <is>
          <t>COD</t>
        </is>
      </c>
      <c r="I245" t="inlineStr">
        <is>
          <t>Success</t>
        </is>
      </c>
      <c r="J245" t="inlineStr">
        <is>
          <t>Delivered</t>
        </is>
      </c>
      <c r="K245" t="n">
        <v>0</v>
      </c>
      <c r="L245" t="n">
        <v>0</v>
      </c>
      <c r="M245" t="inlineStr">
        <is>
          <t>INR</t>
        </is>
      </c>
      <c r="N245" t="inlineStr">
        <is>
          <t>2026-01-19 16:18:31</t>
        </is>
      </c>
    </row>
    <row r="246">
      <c r="A246" t="inlineStr">
        <is>
          <t>TXN00198891</t>
        </is>
      </c>
      <c r="B246" t="inlineStr">
        <is>
          <t>MER00139</t>
        </is>
      </c>
      <c r="C246" s="8" t="n">
        <v>46050</v>
      </c>
      <c r="D246" t="inlineStr">
        <is>
          <t>ORD00198891</t>
        </is>
      </c>
      <c r="E246" t="n">
        <v>3477.53</v>
      </c>
      <c r="F246" t="n">
        <v>2.22</v>
      </c>
      <c r="G246" t="n">
        <v>77.2</v>
      </c>
      <c r="H246" t="inlineStr">
        <is>
          <t>UPI</t>
        </is>
      </c>
      <c r="I246" t="inlineStr">
        <is>
          <t>Success</t>
        </is>
      </c>
      <c r="J246" t="inlineStr">
        <is>
          <t>Delivered</t>
        </is>
      </c>
      <c r="K246" t="n">
        <v>0</v>
      </c>
      <c r="L246" t="n">
        <v>651.9299999999999</v>
      </c>
      <c r="M246" t="inlineStr">
        <is>
          <t>INR</t>
        </is>
      </c>
      <c r="N246" t="inlineStr">
        <is>
          <t>2026-01-28 09:05:51</t>
        </is>
      </c>
    </row>
    <row r="247">
      <c r="A247" t="inlineStr">
        <is>
          <t>TXN00199658</t>
        </is>
      </c>
      <c r="B247" t="inlineStr">
        <is>
          <t>MER00139</t>
        </is>
      </c>
      <c r="C247" s="8" t="n">
        <v>46052</v>
      </c>
      <c r="D247" t="inlineStr">
        <is>
          <t>ORD00199658</t>
        </is>
      </c>
      <c r="E247" t="n">
        <v>2110.91</v>
      </c>
      <c r="F247" t="n">
        <v>2.22</v>
      </c>
      <c r="G247" t="n">
        <v>46.86</v>
      </c>
      <c r="H247" t="inlineStr">
        <is>
          <t>Card</t>
        </is>
      </c>
      <c r="I247" t="inlineStr">
        <is>
          <t>Success</t>
        </is>
      </c>
      <c r="J247" t="inlineStr">
        <is>
          <t>Delivered</t>
        </is>
      </c>
      <c r="K247" t="n">
        <v>0</v>
      </c>
      <c r="L247" t="n">
        <v>272.87</v>
      </c>
      <c r="M247" t="inlineStr">
        <is>
          <t>INR</t>
        </is>
      </c>
      <c r="N247" t="inlineStr">
        <is>
          <t>2026-01-30 13:52:11</t>
        </is>
      </c>
    </row>
    <row r="248">
      <c r="A248" t="inlineStr">
        <is>
          <t>TXN00201179</t>
        </is>
      </c>
      <c r="B248" t="inlineStr">
        <is>
          <t>MER00139</t>
        </is>
      </c>
      <c r="C248" s="8" t="n">
        <v>46056</v>
      </c>
      <c r="D248" t="inlineStr">
        <is>
          <t>ORD00201179</t>
        </is>
      </c>
      <c r="E248" t="n">
        <v>3761.59</v>
      </c>
      <c r="F248" t="n">
        <v>2.22</v>
      </c>
      <c r="G248" t="n">
        <v>83.51000000000001</v>
      </c>
      <c r="H248" t="inlineStr">
        <is>
          <t>UPI</t>
        </is>
      </c>
      <c r="I248" t="inlineStr">
        <is>
          <t>Success</t>
        </is>
      </c>
      <c r="J248" t="inlineStr">
        <is>
          <t>Returned</t>
        </is>
      </c>
      <c r="K248" t="n">
        <v>3761.59</v>
      </c>
      <c r="L248" t="n">
        <v>0</v>
      </c>
      <c r="M248" t="inlineStr">
        <is>
          <t>INR</t>
        </is>
      </c>
      <c r="N248" t="inlineStr">
        <is>
          <t>2026-02-03 23:00:08</t>
        </is>
      </c>
    </row>
    <row r="249">
      <c r="A249" t="inlineStr">
        <is>
          <t>TXN00201170</t>
        </is>
      </c>
      <c r="B249" t="inlineStr">
        <is>
          <t>MER00139</t>
        </is>
      </c>
      <c r="C249" s="8" t="n">
        <v>46056</v>
      </c>
      <c r="D249" t="inlineStr">
        <is>
          <t>ORD00201170</t>
        </is>
      </c>
      <c r="E249" t="n">
        <v>785.21</v>
      </c>
      <c r="F249" t="n">
        <v>2.22</v>
      </c>
      <c r="G249" t="n">
        <v>17.43</v>
      </c>
      <c r="H249" t="inlineStr">
        <is>
          <t>Card</t>
        </is>
      </c>
      <c r="I249" t="inlineStr">
        <is>
          <t>Success</t>
        </is>
      </c>
      <c r="J249" t="inlineStr">
        <is>
          <t>Delivered</t>
        </is>
      </c>
      <c r="K249" t="n">
        <v>0</v>
      </c>
      <c r="L249" t="n">
        <v>0</v>
      </c>
      <c r="M249" t="inlineStr">
        <is>
          <t>INR</t>
        </is>
      </c>
      <c r="N249" t="inlineStr">
        <is>
          <t>2026-02-03 09:20:38</t>
        </is>
      </c>
    </row>
    <row r="250">
      <c r="A250" t="inlineStr">
        <is>
          <t>TXN00203683</t>
        </is>
      </c>
      <c r="B250" t="inlineStr">
        <is>
          <t>MER00139</t>
        </is>
      </c>
      <c r="C250" s="8" t="n">
        <v>46062</v>
      </c>
      <c r="D250" t="inlineStr">
        <is>
          <t>ORD00203683</t>
        </is>
      </c>
      <c r="E250" t="n">
        <v>1388.33</v>
      </c>
      <c r="F250" t="n">
        <v>2.22</v>
      </c>
      <c r="G250" t="n">
        <v>30.82</v>
      </c>
      <c r="H250" t="inlineStr">
        <is>
          <t>Card</t>
        </is>
      </c>
      <c r="I250" t="inlineStr">
        <is>
          <t>Success</t>
        </is>
      </c>
      <c r="J250" t="inlineStr">
        <is>
          <t>Delivered</t>
        </is>
      </c>
      <c r="K250" t="n">
        <v>0</v>
      </c>
      <c r="L250" t="n">
        <v>0</v>
      </c>
      <c r="M250" t="inlineStr">
        <is>
          <t>INR</t>
        </is>
      </c>
      <c r="N250" t="inlineStr">
        <is>
          <t>2026-02-09 05:47:49</t>
        </is>
      </c>
    </row>
    <row r="251">
      <c r="A251" t="inlineStr">
        <is>
          <t>TXN00207337</t>
        </is>
      </c>
      <c r="B251" t="inlineStr">
        <is>
          <t>MER00139</t>
        </is>
      </c>
      <c r="C251" s="8" t="n">
        <v>46071</v>
      </c>
      <c r="D251" t="inlineStr">
        <is>
          <t>ORD00207337</t>
        </is>
      </c>
      <c r="E251" t="n">
        <v>3157.89</v>
      </c>
      <c r="F251" t="n">
        <v>2.22</v>
      </c>
      <c r="G251" t="n">
        <v>70.11</v>
      </c>
      <c r="H251" t="inlineStr">
        <is>
          <t>UPI</t>
        </is>
      </c>
      <c r="I251" t="inlineStr">
        <is>
          <t>Success</t>
        </is>
      </c>
      <c r="J251" t="inlineStr">
        <is>
          <t>Delivered</t>
        </is>
      </c>
      <c r="K251" t="n">
        <v>0</v>
      </c>
      <c r="L251" t="n">
        <v>0</v>
      </c>
      <c r="M251" t="inlineStr">
        <is>
          <t>INR</t>
        </is>
      </c>
      <c r="N251" t="inlineStr">
        <is>
          <t>2026-02-18 14:08:49</t>
        </is>
      </c>
    </row>
    <row r="252">
      <c r="A252" t="inlineStr">
        <is>
          <t>TXN00209221</t>
        </is>
      </c>
      <c r="B252" t="inlineStr">
        <is>
          <t>MER00139</t>
        </is>
      </c>
      <c r="C252" s="8" t="n">
        <v>46075</v>
      </c>
      <c r="D252" t="inlineStr">
        <is>
          <t>ORD00209221</t>
        </is>
      </c>
      <c r="E252" t="n">
        <v>647.36</v>
      </c>
      <c r="F252" t="n">
        <v>2.22</v>
      </c>
      <c r="G252" t="n">
        <v>14.37</v>
      </c>
      <c r="H252" t="inlineStr">
        <is>
          <t>UPI</t>
        </is>
      </c>
      <c r="I252" t="inlineStr">
        <is>
          <t>Success</t>
        </is>
      </c>
      <c r="J252" t="inlineStr">
        <is>
          <t>Delivered</t>
        </is>
      </c>
      <c r="K252" t="n">
        <v>0</v>
      </c>
      <c r="L252" t="n">
        <v>60.53</v>
      </c>
      <c r="M252" t="inlineStr">
        <is>
          <t>INR</t>
        </is>
      </c>
      <c r="N252" t="inlineStr">
        <is>
          <t>2026-02-22 13:49:16</t>
        </is>
      </c>
    </row>
    <row r="253">
      <c r="A253" t="inlineStr">
        <is>
          <t>TXN00210017</t>
        </is>
      </c>
      <c r="B253" t="inlineStr">
        <is>
          <t>MER00139</t>
        </is>
      </c>
      <c r="C253" s="8" t="n">
        <v>46077</v>
      </c>
      <c r="D253" t="inlineStr">
        <is>
          <t>ORD00210017</t>
        </is>
      </c>
      <c r="E253" t="n">
        <v>1208.38</v>
      </c>
      <c r="F253" t="n">
        <v>2.22</v>
      </c>
      <c r="G253" t="n">
        <v>26.83</v>
      </c>
      <c r="H253" t="inlineStr">
        <is>
          <t>UPI</t>
        </is>
      </c>
      <c r="I253" t="inlineStr">
        <is>
          <t>Success</t>
        </is>
      </c>
      <c r="J253" t="inlineStr">
        <is>
          <t>Delivered</t>
        </is>
      </c>
      <c r="K253" t="n">
        <v>0</v>
      </c>
      <c r="L253" t="n">
        <v>149.83</v>
      </c>
      <c r="M253" t="inlineStr">
        <is>
          <t>INR</t>
        </is>
      </c>
      <c r="N253" t="inlineStr">
        <is>
          <t>2026-02-24 18:15:38</t>
        </is>
      </c>
    </row>
    <row r="254">
      <c r="A254" t="inlineStr">
        <is>
          <t>TXN00213243</t>
        </is>
      </c>
      <c r="B254" t="inlineStr">
        <is>
          <t>MER00139</t>
        </is>
      </c>
      <c r="C254" s="8" t="n">
        <v>46086</v>
      </c>
      <c r="D254" t="inlineStr">
        <is>
          <t>ORD00213243</t>
        </is>
      </c>
      <c r="E254" t="n">
        <v>1674.11</v>
      </c>
      <c r="F254" t="n">
        <v>2.22</v>
      </c>
      <c r="G254" t="n">
        <v>37.17</v>
      </c>
      <c r="H254" t="inlineStr">
        <is>
          <t>UPI</t>
        </is>
      </c>
      <c r="I254" t="inlineStr">
        <is>
          <t>Success</t>
        </is>
      </c>
      <c r="J254" t="inlineStr">
        <is>
          <t>Delivered</t>
        </is>
      </c>
      <c r="K254" t="n">
        <v>0</v>
      </c>
      <c r="L254" t="n">
        <v>0</v>
      </c>
      <c r="M254" t="inlineStr">
        <is>
          <t>INR</t>
        </is>
      </c>
      <c r="N254" t="inlineStr">
        <is>
          <t>2026-03-05 04:21:21</t>
        </is>
      </c>
    </row>
    <row r="255">
      <c r="A255" t="inlineStr">
        <is>
          <t>TXN00215524</t>
        </is>
      </c>
      <c r="B255" t="inlineStr">
        <is>
          <t>MER00139</t>
        </is>
      </c>
      <c r="C255" s="8" t="n">
        <v>46092</v>
      </c>
      <c r="D255" t="inlineStr">
        <is>
          <t>ORD00215524</t>
        </is>
      </c>
      <c r="E255" t="n">
        <v>575.74</v>
      </c>
      <c r="F255" t="n">
        <v>2.22</v>
      </c>
      <c r="G255" t="n">
        <v>12.78</v>
      </c>
      <c r="H255" t="inlineStr">
        <is>
          <t>UPI</t>
        </is>
      </c>
      <c r="I255" t="inlineStr">
        <is>
          <t>Success</t>
        </is>
      </c>
      <c r="J255" t="inlineStr">
        <is>
          <t>Returned</t>
        </is>
      </c>
      <c r="K255" t="n">
        <v>575.74</v>
      </c>
      <c r="L255" t="n">
        <v>0</v>
      </c>
      <c r="M255" t="inlineStr">
        <is>
          <t>INR</t>
        </is>
      </c>
      <c r="N255" t="inlineStr">
        <is>
          <t>2026-03-11 22:06:42</t>
        </is>
      </c>
    </row>
    <row r="256">
      <c r="A256" t="inlineStr">
        <is>
          <t>TXN00216750</t>
        </is>
      </c>
      <c r="B256" t="inlineStr">
        <is>
          <t>MER00139</t>
        </is>
      </c>
      <c r="C256" s="8" t="n">
        <v>46095</v>
      </c>
      <c r="D256" t="inlineStr">
        <is>
          <t>ORD00216750</t>
        </is>
      </c>
      <c r="E256" t="n">
        <v>6483.64</v>
      </c>
      <c r="F256" t="n">
        <v>2.22</v>
      </c>
      <c r="G256" t="n">
        <v>143.94</v>
      </c>
      <c r="H256" t="inlineStr">
        <is>
          <t>Wallet</t>
        </is>
      </c>
      <c r="I256" t="inlineStr">
        <is>
          <t>Success</t>
        </is>
      </c>
      <c r="J256" t="inlineStr">
        <is>
          <t>Returned</t>
        </is>
      </c>
      <c r="K256" t="n">
        <v>6483.64</v>
      </c>
      <c r="L256" t="n">
        <v>0</v>
      </c>
      <c r="M256" t="inlineStr">
        <is>
          <t>INR</t>
        </is>
      </c>
      <c r="N256" t="inlineStr">
        <is>
          <t>2026-03-14 23:46:12</t>
        </is>
      </c>
    </row>
    <row r="257">
      <c r="A257" t="inlineStr">
        <is>
          <t>TXN00218378</t>
        </is>
      </c>
      <c r="B257" t="inlineStr">
        <is>
          <t>MER00139</t>
        </is>
      </c>
      <c r="C257" s="8" t="n">
        <v>46100</v>
      </c>
      <c r="D257" t="inlineStr">
        <is>
          <t>ORD00218378</t>
        </is>
      </c>
      <c r="E257" t="n">
        <v>4241.52</v>
      </c>
      <c r="F257" t="n">
        <v>2.22</v>
      </c>
      <c r="G257" t="n">
        <v>94.16</v>
      </c>
      <c r="H257" t="inlineStr">
        <is>
          <t>UPI</t>
        </is>
      </c>
      <c r="I257" t="inlineStr">
        <is>
          <t>Success</t>
        </is>
      </c>
      <c r="J257" t="inlineStr">
        <is>
          <t>Delivered</t>
        </is>
      </c>
      <c r="K257" t="n">
        <v>0</v>
      </c>
      <c r="L257" t="n">
        <v>0</v>
      </c>
      <c r="M257" t="inlineStr">
        <is>
          <t>INR</t>
        </is>
      </c>
      <c r="N257" t="inlineStr">
        <is>
          <t>2026-03-19 14:47:01</t>
        </is>
      </c>
    </row>
    <row r="258">
      <c r="A258" t="inlineStr">
        <is>
          <t>TXN00218847</t>
        </is>
      </c>
      <c r="B258" t="inlineStr">
        <is>
          <t>MER00139</t>
        </is>
      </c>
      <c r="C258" s="8" t="n">
        <v>46101</v>
      </c>
      <c r="D258" t="inlineStr">
        <is>
          <t>ORD00218847</t>
        </is>
      </c>
      <c r="E258" t="n">
        <v>1756.36</v>
      </c>
      <c r="F258" t="n">
        <v>2.22</v>
      </c>
      <c r="G258" t="n">
        <v>38.99</v>
      </c>
      <c r="H258" t="inlineStr">
        <is>
          <t>UPI</t>
        </is>
      </c>
      <c r="I258" t="inlineStr">
        <is>
          <t>Success</t>
        </is>
      </c>
      <c r="J258" t="inlineStr">
        <is>
          <t>Delivered</t>
        </is>
      </c>
      <c r="K258" t="n">
        <v>0</v>
      </c>
      <c r="L258" t="n">
        <v>0</v>
      </c>
      <c r="M258" t="inlineStr">
        <is>
          <t>INR</t>
        </is>
      </c>
      <c r="N258" t="inlineStr">
        <is>
          <t>2026-03-20 05:37:51</t>
        </is>
      </c>
    </row>
    <row r="259">
      <c r="A259" t="inlineStr">
        <is>
          <t>TXN00219200</t>
        </is>
      </c>
      <c r="B259" t="inlineStr">
        <is>
          <t>MER00139</t>
        </is>
      </c>
      <c r="C259" s="8" t="n">
        <v>46102</v>
      </c>
      <c r="D259" t="inlineStr">
        <is>
          <t>ORD00219200</t>
        </is>
      </c>
      <c r="E259" t="n">
        <v>1570.16</v>
      </c>
      <c r="F259" t="n">
        <v>2.22</v>
      </c>
      <c r="G259" t="n">
        <v>34.86</v>
      </c>
      <c r="H259" t="inlineStr">
        <is>
          <t>UPI</t>
        </is>
      </c>
      <c r="I259" t="inlineStr">
        <is>
          <t>Success</t>
        </is>
      </c>
      <c r="J259" t="inlineStr">
        <is>
          <t>Delivered</t>
        </is>
      </c>
      <c r="K259" t="n">
        <v>0</v>
      </c>
      <c r="L259" t="n">
        <v>260.35</v>
      </c>
      <c r="M259" t="inlineStr">
        <is>
          <t>INR</t>
        </is>
      </c>
      <c r="N259" t="inlineStr">
        <is>
          <t>2026-03-21 06:54:15</t>
        </is>
      </c>
    </row>
    <row r="260">
      <c r="A260" t="inlineStr">
        <is>
          <t>TXN00220593</t>
        </is>
      </c>
      <c r="B260" t="inlineStr">
        <is>
          <t>MER00139</t>
        </is>
      </c>
      <c r="C260" s="8" t="n">
        <v>46106</v>
      </c>
      <c r="D260" t="inlineStr">
        <is>
          <t>ORD00220593</t>
        </is>
      </c>
      <c r="E260" t="n">
        <v>4378.36</v>
      </c>
      <c r="F260" t="n">
        <v>2.22</v>
      </c>
      <c r="G260" t="n">
        <v>97.2</v>
      </c>
      <c r="H260" t="inlineStr">
        <is>
          <t>NetBanking</t>
        </is>
      </c>
      <c r="I260" t="inlineStr">
        <is>
          <t>Success</t>
        </is>
      </c>
      <c r="J260" t="inlineStr">
        <is>
          <t>Cancelled</t>
        </is>
      </c>
      <c r="K260" t="n">
        <v>4277.41</v>
      </c>
      <c r="L260" t="n">
        <v>386.25</v>
      </c>
      <c r="M260" t="inlineStr">
        <is>
          <t>INR</t>
        </is>
      </c>
      <c r="N260" t="inlineStr">
        <is>
          <t>2026-03-25 14:20:43</t>
        </is>
      </c>
    </row>
    <row r="261">
      <c r="A261" t="inlineStr">
        <is>
          <t>TXN00225566</t>
        </is>
      </c>
      <c r="B261" t="inlineStr">
        <is>
          <t>MER00139</t>
        </is>
      </c>
      <c r="C261" s="8" t="n">
        <v>46119</v>
      </c>
      <c r="D261" t="inlineStr">
        <is>
          <t>ORD00225566</t>
        </is>
      </c>
      <c r="E261" t="n">
        <v>1323.04</v>
      </c>
      <c r="F261" t="n">
        <v>2.22</v>
      </c>
      <c r="G261" t="n">
        <v>29.37</v>
      </c>
      <c r="H261" t="inlineStr">
        <is>
          <t>UPI</t>
        </is>
      </c>
      <c r="I261" t="inlineStr">
        <is>
          <t>Success</t>
        </is>
      </c>
      <c r="J261" t="inlineStr">
        <is>
          <t>Delivered</t>
        </is>
      </c>
      <c r="K261" t="n">
        <v>0</v>
      </c>
      <c r="L261" t="n">
        <v>0</v>
      </c>
      <c r="M261" t="inlineStr">
        <is>
          <t>INR</t>
        </is>
      </c>
      <c r="N261" t="inlineStr">
        <is>
          <t>2026-04-07 18:08:41</t>
        </is>
      </c>
    </row>
    <row r="262">
      <c r="A262" t="inlineStr">
        <is>
          <t>TXN00225574</t>
        </is>
      </c>
      <c r="B262" t="inlineStr">
        <is>
          <t>MER00139</t>
        </is>
      </c>
      <c r="C262" s="8" t="n">
        <v>46119</v>
      </c>
      <c r="D262" t="inlineStr">
        <is>
          <t>ORD00225574</t>
        </is>
      </c>
      <c r="E262" t="n">
        <v>3684.51</v>
      </c>
      <c r="F262" t="n">
        <v>2.22</v>
      </c>
      <c r="G262" t="n">
        <v>81.8</v>
      </c>
      <c r="H262" t="inlineStr">
        <is>
          <t>UPI</t>
        </is>
      </c>
      <c r="I262" t="inlineStr">
        <is>
          <t>Success</t>
        </is>
      </c>
      <c r="J262" t="inlineStr">
        <is>
          <t>Delivered</t>
        </is>
      </c>
      <c r="K262" t="n">
        <v>0</v>
      </c>
      <c r="L262" t="n">
        <v>0</v>
      </c>
      <c r="M262" t="inlineStr">
        <is>
          <t>INR</t>
        </is>
      </c>
      <c r="N262" t="inlineStr">
        <is>
          <t>2026-04-07 15:56:43</t>
        </is>
      </c>
    </row>
    <row r="263">
      <c r="A263" t="inlineStr">
        <is>
          <t>TXN00227545</t>
        </is>
      </c>
      <c r="B263" t="inlineStr">
        <is>
          <t>MER00139</t>
        </is>
      </c>
      <c r="C263" s="8" t="n">
        <v>46124</v>
      </c>
      <c r="D263" t="inlineStr">
        <is>
          <t>ORD00227545</t>
        </is>
      </c>
      <c r="E263" t="n">
        <v>3350.22</v>
      </c>
      <c r="F263" t="n">
        <v>2.22</v>
      </c>
      <c r="G263" t="n">
        <v>74.37</v>
      </c>
      <c r="H263" t="inlineStr">
        <is>
          <t>UPI</t>
        </is>
      </c>
      <c r="I263" t="inlineStr">
        <is>
          <t>Success</t>
        </is>
      </c>
      <c r="J263" t="inlineStr">
        <is>
          <t>Delivered</t>
        </is>
      </c>
      <c r="K263" t="n">
        <v>0</v>
      </c>
      <c r="L263" t="n">
        <v>404.16</v>
      </c>
      <c r="M263" t="inlineStr">
        <is>
          <t>INR</t>
        </is>
      </c>
      <c r="N263" t="inlineStr">
        <is>
          <t>2026-04-12 01:18:48</t>
        </is>
      </c>
    </row>
    <row r="264">
      <c r="A264" t="inlineStr">
        <is>
          <t>TXN00228315</t>
        </is>
      </c>
      <c r="B264" t="inlineStr">
        <is>
          <t>MER00139</t>
        </is>
      </c>
      <c r="C264" s="8" t="n">
        <v>46126</v>
      </c>
      <c r="D264" t="inlineStr">
        <is>
          <t>ORD00228315</t>
        </is>
      </c>
      <c r="E264" t="n">
        <v>2076.46</v>
      </c>
      <c r="F264" t="n">
        <v>2.22</v>
      </c>
      <c r="G264" t="n">
        <v>46.1</v>
      </c>
      <c r="H264" t="inlineStr">
        <is>
          <t>UPI</t>
        </is>
      </c>
      <c r="I264" t="inlineStr">
        <is>
          <t>Success</t>
        </is>
      </c>
      <c r="J264" t="inlineStr">
        <is>
          <t>Delivered</t>
        </is>
      </c>
      <c r="K264" t="n">
        <v>0</v>
      </c>
      <c r="L264" t="n">
        <v>0</v>
      </c>
      <c r="M264" t="inlineStr">
        <is>
          <t>INR</t>
        </is>
      </c>
      <c r="N264" t="inlineStr">
        <is>
          <t>2026-04-14 03:46:50</t>
        </is>
      </c>
    </row>
    <row r="265">
      <c r="A265" t="inlineStr">
        <is>
          <t>TXN00230092</t>
        </is>
      </c>
      <c r="B265" t="inlineStr">
        <is>
          <t>MER00139</t>
        </is>
      </c>
      <c r="C265" s="8" t="n">
        <v>46131</v>
      </c>
      <c r="D265" t="inlineStr">
        <is>
          <t>ORD00230092</t>
        </is>
      </c>
      <c r="E265" t="n">
        <v>523.29</v>
      </c>
      <c r="F265" t="n">
        <v>2.22</v>
      </c>
      <c r="G265" t="n">
        <v>11.62</v>
      </c>
      <c r="H265" t="inlineStr">
        <is>
          <t>UPI</t>
        </is>
      </c>
      <c r="I265" t="inlineStr">
        <is>
          <t>Success</t>
        </is>
      </c>
      <c r="J265" t="inlineStr">
        <is>
          <t>Returned</t>
        </is>
      </c>
      <c r="K265" t="n">
        <v>523.29</v>
      </c>
      <c r="L265" t="n">
        <v>0</v>
      </c>
      <c r="M265" t="inlineStr">
        <is>
          <t>INR</t>
        </is>
      </c>
      <c r="N265" t="inlineStr">
        <is>
          <t>2026-04-19 14:30:41</t>
        </is>
      </c>
    </row>
    <row r="266">
      <c r="A266" t="inlineStr">
        <is>
          <t>TXN00232601</t>
        </is>
      </c>
      <c r="B266" t="inlineStr">
        <is>
          <t>MER00139</t>
        </is>
      </c>
      <c r="C266" s="8" t="n">
        <v>46137</v>
      </c>
      <c r="D266" t="inlineStr">
        <is>
          <t>ORD00232601</t>
        </is>
      </c>
      <c r="E266" t="n">
        <v>1303.62</v>
      </c>
      <c r="F266" t="n">
        <v>2.22</v>
      </c>
      <c r="G266" t="n">
        <v>28.94</v>
      </c>
      <c r="H266" t="inlineStr">
        <is>
          <t>NetBanking</t>
        </is>
      </c>
      <c r="I266" t="inlineStr">
        <is>
          <t>Success</t>
        </is>
      </c>
      <c r="J266" t="inlineStr">
        <is>
          <t>Delivered</t>
        </is>
      </c>
      <c r="K266" t="n">
        <v>0</v>
      </c>
      <c r="L266" t="n">
        <v>0</v>
      </c>
      <c r="M266" t="inlineStr">
        <is>
          <t>INR</t>
        </is>
      </c>
      <c r="N266" t="inlineStr">
        <is>
          <t>2026-04-25 20:03:10</t>
        </is>
      </c>
    </row>
    <row r="267">
      <c r="A267" t="inlineStr">
        <is>
          <t>TXN00232771</t>
        </is>
      </c>
      <c r="B267" t="inlineStr">
        <is>
          <t>MER00139</t>
        </is>
      </c>
      <c r="C267" s="8" t="n">
        <v>46138</v>
      </c>
      <c r="D267" t="inlineStr">
        <is>
          <t>ORD00232771</t>
        </is>
      </c>
      <c r="E267" t="n">
        <v>1562.97</v>
      </c>
      <c r="F267" t="n">
        <v>2.22</v>
      </c>
      <c r="G267" t="n">
        <v>34.7</v>
      </c>
      <c r="H267" t="inlineStr">
        <is>
          <t>UPI</t>
        </is>
      </c>
      <c r="I267" t="inlineStr">
        <is>
          <t>Success</t>
        </is>
      </c>
      <c r="J267" t="inlineStr">
        <is>
          <t>Delivered</t>
        </is>
      </c>
      <c r="K267" t="n">
        <v>0</v>
      </c>
      <c r="L267" t="n">
        <v>0</v>
      </c>
      <c r="M267" t="inlineStr">
        <is>
          <t>INR</t>
        </is>
      </c>
      <c r="N267" t="inlineStr">
        <is>
          <t>2026-04-26 15:25:40</t>
        </is>
      </c>
    </row>
    <row r="268">
      <c r="A268" t="inlineStr">
        <is>
          <t>TXN00238694</t>
        </is>
      </c>
      <c r="B268" t="inlineStr">
        <is>
          <t>MER00139</t>
        </is>
      </c>
      <c r="C268" s="8" t="n">
        <v>46153</v>
      </c>
      <c r="D268" t="inlineStr">
        <is>
          <t>ORD00238694</t>
        </is>
      </c>
      <c r="E268" t="n">
        <v>6173.46</v>
      </c>
      <c r="F268" t="n">
        <v>2.22</v>
      </c>
      <c r="G268" t="n">
        <v>137.05</v>
      </c>
      <c r="H268" t="inlineStr">
        <is>
          <t>Card</t>
        </is>
      </c>
      <c r="I268" t="inlineStr">
        <is>
          <t>Success</t>
        </is>
      </c>
      <c r="J268" t="inlineStr">
        <is>
          <t>Delivered</t>
        </is>
      </c>
      <c r="K268" t="n">
        <v>0</v>
      </c>
      <c r="L268" t="n">
        <v>0</v>
      </c>
      <c r="M268" t="inlineStr">
        <is>
          <t>INR</t>
        </is>
      </c>
      <c r="N268" t="inlineStr">
        <is>
          <t>2026-05-11 07:31:28</t>
        </is>
      </c>
    </row>
    <row r="269">
      <c r="A269" t="inlineStr">
        <is>
          <t>TXN00240127</t>
        </is>
      </c>
      <c r="B269" t="inlineStr">
        <is>
          <t>MER00139</t>
        </is>
      </c>
      <c r="C269" s="8" t="n">
        <v>46157</v>
      </c>
      <c r="D269" t="inlineStr">
        <is>
          <t>ORD00240127</t>
        </is>
      </c>
      <c r="E269" t="n">
        <v>2607.61</v>
      </c>
      <c r="F269" t="n">
        <v>2.22</v>
      </c>
      <c r="G269" t="n">
        <v>57.89</v>
      </c>
      <c r="H269" t="inlineStr">
        <is>
          <t>COD</t>
        </is>
      </c>
      <c r="I269" t="inlineStr">
        <is>
          <t>Success</t>
        </is>
      </c>
      <c r="J269" t="inlineStr">
        <is>
          <t>Delivered</t>
        </is>
      </c>
      <c r="K269" t="n">
        <v>0</v>
      </c>
      <c r="L269" t="n">
        <v>0</v>
      </c>
      <c r="M269" t="inlineStr">
        <is>
          <t>INR</t>
        </is>
      </c>
      <c r="N269" t="inlineStr">
        <is>
          <t>2026-05-15 21:21:13</t>
        </is>
      </c>
    </row>
    <row r="270">
      <c r="A270" t="inlineStr">
        <is>
          <t>TXN00242594</t>
        </is>
      </c>
      <c r="B270" t="inlineStr">
        <is>
          <t>MER00139</t>
        </is>
      </c>
      <c r="C270" s="8" t="n">
        <v>46164</v>
      </c>
      <c r="D270" t="inlineStr">
        <is>
          <t>ORD00242594</t>
        </is>
      </c>
      <c r="E270" t="n">
        <v>2129.68</v>
      </c>
      <c r="F270" t="n">
        <v>2.22</v>
      </c>
      <c r="G270" t="n">
        <v>47.28</v>
      </c>
      <c r="H270" t="inlineStr">
        <is>
          <t>UPI</t>
        </is>
      </c>
      <c r="I270" t="inlineStr">
        <is>
          <t>Success</t>
        </is>
      </c>
      <c r="J270" t="inlineStr">
        <is>
          <t>Delivered</t>
        </is>
      </c>
      <c r="K270" t="n">
        <v>0</v>
      </c>
      <c r="L270" t="n">
        <v>0</v>
      </c>
      <c r="M270" t="inlineStr">
        <is>
          <t>INR</t>
        </is>
      </c>
      <c r="N270" t="inlineStr">
        <is>
          <t>2026-05-22 07:16:37</t>
        </is>
      </c>
    </row>
    <row r="271">
      <c r="A271" t="inlineStr">
        <is>
          <t>TXN00244296</t>
        </is>
      </c>
      <c r="B271" t="inlineStr">
        <is>
          <t>MER00139</t>
        </is>
      </c>
      <c r="C271" s="8" t="n">
        <v>46168</v>
      </c>
      <c r="D271" t="inlineStr">
        <is>
          <t>ORD00244296</t>
        </is>
      </c>
      <c r="E271" t="n">
        <v>2061.59</v>
      </c>
      <c r="F271" t="n">
        <v>2.22</v>
      </c>
      <c r="G271" t="n">
        <v>45.77</v>
      </c>
      <c r="H271" t="inlineStr">
        <is>
          <t>UPI</t>
        </is>
      </c>
      <c r="I271" t="inlineStr">
        <is>
          <t>Success</t>
        </is>
      </c>
      <c r="J271" t="inlineStr">
        <is>
          <t>Processing</t>
        </is>
      </c>
      <c r="K271" t="n">
        <v>0</v>
      </c>
      <c r="L271" t="n">
        <v>246.56</v>
      </c>
      <c r="M271" t="inlineStr">
        <is>
          <t>INR</t>
        </is>
      </c>
      <c r="N271" t="inlineStr">
        <is>
          <t>2026-05-26 17:33:22</t>
        </is>
      </c>
    </row>
    <row r="272">
      <c r="A272" t="inlineStr">
        <is>
          <t>TXN00244630</t>
        </is>
      </c>
      <c r="B272" t="inlineStr">
        <is>
          <t>MER00139</t>
        </is>
      </c>
      <c r="C272" s="8" t="n">
        <v>46169</v>
      </c>
      <c r="D272" t="inlineStr">
        <is>
          <t>ORD00244630</t>
        </is>
      </c>
      <c r="E272" t="n">
        <v>2319.34</v>
      </c>
      <c r="F272" t="n">
        <v>2.22</v>
      </c>
      <c r="G272" t="n">
        <v>51.49</v>
      </c>
      <c r="H272" t="inlineStr">
        <is>
          <t>UPI</t>
        </is>
      </c>
      <c r="I272" t="inlineStr">
        <is>
          <t>Success</t>
        </is>
      </c>
      <c r="J272" t="inlineStr">
        <is>
          <t>Delivered</t>
        </is>
      </c>
      <c r="K272" t="n">
        <v>0</v>
      </c>
      <c r="L272" t="n">
        <v>0</v>
      </c>
      <c r="M272" t="inlineStr">
        <is>
          <t>INR</t>
        </is>
      </c>
      <c r="N272" t="inlineStr">
        <is>
          <t>2026-05-27 15:35:41</t>
        </is>
      </c>
    </row>
    <row r="273">
      <c r="A273" t="inlineStr">
        <is>
          <t>TXN00244882</t>
        </is>
      </c>
      <c r="B273" t="inlineStr">
        <is>
          <t>MER00139</t>
        </is>
      </c>
      <c r="C273" s="8" t="n">
        <v>46170</v>
      </c>
      <c r="D273" t="inlineStr">
        <is>
          <t>ORD00244882</t>
        </is>
      </c>
      <c r="E273" t="n">
        <v>713.67</v>
      </c>
      <c r="F273" t="n">
        <v>2.22</v>
      </c>
      <c r="G273" t="n">
        <v>15.84</v>
      </c>
      <c r="H273" t="inlineStr">
        <is>
          <t>Card</t>
        </is>
      </c>
      <c r="I273" t="inlineStr">
        <is>
          <t>Success</t>
        </is>
      </c>
      <c r="J273" t="inlineStr">
        <is>
          <t>Delivered</t>
        </is>
      </c>
      <c r="K273" t="n">
        <v>0</v>
      </c>
      <c r="L273" t="n">
        <v>69.93000000000001</v>
      </c>
      <c r="M273" t="inlineStr">
        <is>
          <t>INR</t>
        </is>
      </c>
      <c r="N273" t="inlineStr">
        <is>
          <t>2026-05-28 11:27:42</t>
        </is>
      </c>
    </row>
    <row r="274">
      <c r="A274" t="inlineStr">
        <is>
          <t>TXN00253306</t>
        </is>
      </c>
      <c r="B274" t="inlineStr">
        <is>
          <t>MER00139</t>
        </is>
      </c>
      <c r="C274" s="8" t="n">
        <v>46191</v>
      </c>
      <c r="D274" t="inlineStr">
        <is>
          <t>ORD00253306</t>
        </is>
      </c>
      <c r="E274" t="n">
        <v>1541.48</v>
      </c>
      <c r="F274" t="n">
        <v>2.22</v>
      </c>
      <c r="G274" t="n">
        <v>34.22</v>
      </c>
      <c r="H274" t="inlineStr">
        <is>
          <t>Card</t>
        </is>
      </c>
      <c r="I274" t="inlineStr">
        <is>
          <t>Success</t>
        </is>
      </c>
      <c r="J274" t="inlineStr">
        <is>
          <t>Delivered</t>
        </is>
      </c>
      <c r="K274" t="n">
        <v>0</v>
      </c>
      <c r="L274" t="n">
        <v>0</v>
      </c>
      <c r="M274" t="inlineStr">
        <is>
          <t>INR</t>
        </is>
      </c>
      <c r="N274" t="inlineStr">
        <is>
          <t>2026-06-18 11:30:18</t>
        </is>
      </c>
    </row>
    <row r="275">
      <c r="A275" t="inlineStr">
        <is>
          <t>TXN00256200</t>
        </is>
      </c>
      <c r="B275" t="inlineStr">
        <is>
          <t>MER00139</t>
        </is>
      </c>
      <c r="C275" s="8" t="n">
        <v>46198</v>
      </c>
      <c r="D275" t="inlineStr">
        <is>
          <t>ORD00256200</t>
        </is>
      </c>
      <c r="E275" t="n">
        <v>1024.58</v>
      </c>
      <c r="F275" t="n">
        <v>2.22</v>
      </c>
      <c r="G275" t="n">
        <v>22.75</v>
      </c>
      <c r="H275" t="inlineStr">
        <is>
          <t>UPI</t>
        </is>
      </c>
      <c r="I275" t="inlineStr">
        <is>
          <t>Success</t>
        </is>
      </c>
      <c r="J275" t="inlineStr">
        <is>
          <t>Delivered</t>
        </is>
      </c>
      <c r="K275" t="n">
        <v>0</v>
      </c>
      <c r="L275" t="n">
        <v>0</v>
      </c>
      <c r="M275" t="inlineStr">
        <is>
          <t>INR</t>
        </is>
      </c>
      <c r="N275" t="inlineStr">
        <is>
          <t>2026-06-25 03:37:04</t>
        </is>
      </c>
    </row>
    <row r="276">
      <c r="A276" t="inlineStr">
        <is>
          <t>TXN00256359</t>
        </is>
      </c>
      <c r="B276" t="inlineStr">
        <is>
          <t>MER00139</t>
        </is>
      </c>
      <c r="C276" s="8" t="n">
        <v>46199</v>
      </c>
      <c r="D276" t="inlineStr">
        <is>
          <t>ORD00256359</t>
        </is>
      </c>
      <c r="E276" t="n">
        <v>4733.15</v>
      </c>
      <c r="F276" t="n">
        <v>2.22</v>
      </c>
      <c r="G276" t="n">
        <v>105.08</v>
      </c>
      <c r="H276" t="inlineStr">
        <is>
          <t>UPI</t>
        </is>
      </c>
      <c r="I276" t="inlineStr">
        <is>
          <t>Success</t>
        </is>
      </c>
      <c r="J276" t="inlineStr">
        <is>
          <t>Delivered</t>
        </is>
      </c>
      <c r="K276" t="n">
        <v>0</v>
      </c>
      <c r="L276" t="n">
        <v>0</v>
      </c>
      <c r="M276" t="inlineStr">
        <is>
          <t>INR</t>
        </is>
      </c>
      <c r="N276" t="inlineStr">
        <is>
          <t>2026-06-26 10:47:43</t>
        </is>
      </c>
    </row>
    <row r="277">
      <c r="A277" t="inlineStr">
        <is>
          <t>TXN00258167</t>
        </is>
      </c>
      <c r="B277" t="inlineStr">
        <is>
          <t>MER00139</t>
        </is>
      </c>
      <c r="C277" s="8" t="n">
        <v>46203</v>
      </c>
      <c r="D277" t="inlineStr">
        <is>
          <t>ORD00258167</t>
        </is>
      </c>
      <c r="E277" t="n">
        <v>3147.6</v>
      </c>
      <c r="F277" t="n">
        <v>2.22</v>
      </c>
      <c r="G277" t="n">
        <v>69.88</v>
      </c>
      <c r="H277" t="inlineStr">
        <is>
          <t>UPI</t>
        </is>
      </c>
      <c r="I277" t="inlineStr">
        <is>
          <t>Success</t>
        </is>
      </c>
      <c r="J277" t="inlineStr">
        <is>
          <t>Returned</t>
        </is>
      </c>
      <c r="K277" t="n">
        <v>3147.6</v>
      </c>
      <c r="L277" t="n">
        <v>0</v>
      </c>
      <c r="M277" t="inlineStr">
        <is>
          <t>INR</t>
        </is>
      </c>
      <c r="N277" t="inlineStr">
        <is>
          <t>2026-06-30 09:07:21</t>
        </is>
      </c>
    </row>
    <row r="278">
      <c r="A278" t="inlineStr">
        <is>
          <t>TXN00258297</t>
        </is>
      </c>
      <c r="B278" t="inlineStr">
        <is>
          <t>MER00139</t>
        </is>
      </c>
      <c r="C278" s="8" t="n">
        <v>46203</v>
      </c>
      <c r="D278" t="inlineStr">
        <is>
          <t>ORD00258297</t>
        </is>
      </c>
      <c r="E278" t="n">
        <v>984.63</v>
      </c>
      <c r="F278" t="n">
        <v>2.22</v>
      </c>
      <c r="G278" t="n">
        <v>21.86</v>
      </c>
      <c r="H278" t="inlineStr">
        <is>
          <t>UPI</t>
        </is>
      </c>
      <c r="I278" t="inlineStr">
        <is>
          <t>Success</t>
        </is>
      </c>
      <c r="J278" t="inlineStr">
        <is>
          <t>Delivered</t>
        </is>
      </c>
      <c r="K278" t="n">
        <v>0</v>
      </c>
      <c r="L278" t="n">
        <v>0</v>
      </c>
      <c r="M278" t="inlineStr">
        <is>
          <t>INR</t>
        </is>
      </c>
      <c r="N278" t="inlineStr">
        <is>
          <t>2026-06-30 05:23:36</t>
        </is>
      </c>
    </row>
    <row r="279">
      <c r="A279" t="inlineStr">
        <is>
          <t>TXN00263862</t>
        </is>
      </c>
      <c r="B279" t="inlineStr">
        <is>
          <t>MER00139</t>
        </is>
      </c>
      <c r="C279" s="8" t="n">
        <v>46218</v>
      </c>
      <c r="D279" t="inlineStr">
        <is>
          <t>ORD00263862</t>
        </is>
      </c>
      <c r="E279" t="n">
        <v>552.7</v>
      </c>
      <c r="F279" t="n">
        <v>2.22</v>
      </c>
      <c r="G279" t="n">
        <v>12.27</v>
      </c>
      <c r="H279" t="inlineStr">
        <is>
          <t>UPI</t>
        </is>
      </c>
      <c r="I279" t="inlineStr">
        <is>
          <t>Pending</t>
        </is>
      </c>
      <c r="J279" t="inlineStr">
        <is>
          <t>Processing</t>
        </is>
      </c>
      <c r="K279" t="n">
        <v>0</v>
      </c>
      <c r="L279" t="n">
        <v>0</v>
      </c>
      <c r="M279" t="inlineStr">
        <is>
          <t>INR</t>
        </is>
      </c>
      <c r="N279" t="inlineStr">
        <is>
          <t>2026-07-15 01:49:11</t>
        </is>
      </c>
    </row>
    <row r="280">
      <c r="A280" t="inlineStr">
        <is>
          <t>TXN00265203</t>
        </is>
      </c>
      <c r="B280" t="inlineStr">
        <is>
          <t>MER00139</t>
        </is>
      </c>
      <c r="C280" s="8" t="n">
        <v>46221</v>
      </c>
      <c r="D280" t="inlineStr">
        <is>
          <t>ORD00265203</t>
        </is>
      </c>
      <c r="E280" t="n">
        <v>3423.78</v>
      </c>
      <c r="F280" t="n">
        <v>2.22</v>
      </c>
      <c r="G280" t="n">
        <v>76.01000000000001</v>
      </c>
      <c r="H280" t="inlineStr">
        <is>
          <t>UPI</t>
        </is>
      </c>
      <c r="I280" t="inlineStr">
        <is>
          <t>Success</t>
        </is>
      </c>
      <c r="J280" t="inlineStr">
        <is>
          <t>Delivered</t>
        </is>
      </c>
      <c r="K280" t="n">
        <v>0</v>
      </c>
      <c r="L280" t="n">
        <v>0</v>
      </c>
      <c r="M280" t="inlineStr">
        <is>
          <t>INR</t>
        </is>
      </c>
      <c r="N280" t="inlineStr">
        <is>
          <t>2026-07-18 15:22:24</t>
        </is>
      </c>
    </row>
    <row r="281">
      <c r="A281" t="inlineStr">
        <is>
          <t>TXN00268279</t>
        </is>
      </c>
      <c r="B281" t="inlineStr">
        <is>
          <t>MER00139</t>
        </is>
      </c>
      <c r="C281" s="8" t="n">
        <v>46229</v>
      </c>
      <c r="D281" t="inlineStr">
        <is>
          <t>ORD00268279</t>
        </is>
      </c>
      <c r="E281" t="n">
        <v>1407.21</v>
      </c>
      <c r="F281" t="n">
        <v>2.22</v>
      </c>
      <c r="G281" t="n">
        <v>31.24</v>
      </c>
      <c r="H281" t="inlineStr">
        <is>
          <t>UPI</t>
        </is>
      </c>
      <c r="I281" t="inlineStr">
        <is>
          <t>Success</t>
        </is>
      </c>
      <c r="J281" t="inlineStr">
        <is>
          <t>Delivered</t>
        </is>
      </c>
      <c r="K281" t="n">
        <v>0</v>
      </c>
      <c r="L281" t="n">
        <v>0</v>
      </c>
      <c r="M281" t="inlineStr">
        <is>
          <t>INR</t>
        </is>
      </c>
      <c r="N281" t="inlineStr">
        <is>
          <t>2026-07-26 06:17:27</t>
        </is>
      </c>
    </row>
    <row r="282">
      <c r="A282" t="inlineStr">
        <is>
          <t>TXN00268629</t>
        </is>
      </c>
      <c r="B282" t="inlineStr">
        <is>
          <t>MER00139</t>
        </is>
      </c>
      <c r="C282" s="8" t="n">
        <v>46230</v>
      </c>
      <c r="D282" t="inlineStr">
        <is>
          <t>ORD00268629</t>
        </is>
      </c>
      <c r="E282" t="n">
        <v>7360.45</v>
      </c>
      <c r="F282" t="n">
        <v>2.22</v>
      </c>
      <c r="G282" t="n">
        <v>163.4</v>
      </c>
      <c r="H282" t="inlineStr">
        <is>
          <t>Card</t>
        </is>
      </c>
      <c r="I282" t="inlineStr">
        <is>
          <t>Success</t>
        </is>
      </c>
      <c r="J282" t="inlineStr">
        <is>
          <t>Delivered</t>
        </is>
      </c>
      <c r="K282" t="n">
        <v>0</v>
      </c>
      <c r="L282" t="n">
        <v>0</v>
      </c>
      <c r="M282" t="inlineStr">
        <is>
          <t>INR</t>
        </is>
      </c>
      <c r="N282" t="inlineStr">
        <is>
          <t>2026-07-27 06:16:34</t>
        </is>
      </c>
    </row>
    <row r="283">
      <c r="A283" t="inlineStr">
        <is>
          <t>TXN00268950</t>
        </is>
      </c>
      <c r="B283" t="inlineStr">
        <is>
          <t>MER00139</t>
        </is>
      </c>
      <c r="C283" s="8" t="n">
        <v>46231</v>
      </c>
      <c r="D283" t="inlineStr">
        <is>
          <t>ORD00268950</t>
        </is>
      </c>
      <c r="E283" t="n">
        <v>1363.06</v>
      </c>
      <c r="F283" t="n">
        <v>2.22</v>
      </c>
      <c r="G283" t="n">
        <v>30.26</v>
      </c>
      <c r="H283" t="inlineStr">
        <is>
          <t>UPI</t>
        </is>
      </c>
      <c r="I283" t="inlineStr">
        <is>
          <t>Success</t>
        </is>
      </c>
      <c r="J283" t="inlineStr">
        <is>
          <t>Delivered</t>
        </is>
      </c>
      <c r="K283" t="n">
        <v>0</v>
      </c>
      <c r="L283" t="n">
        <v>0</v>
      </c>
      <c r="M283" t="inlineStr">
        <is>
          <t>INR</t>
        </is>
      </c>
      <c r="N283" t="inlineStr">
        <is>
          <t>2026-07-28 17:32:00</t>
        </is>
      </c>
    </row>
    <row r="284">
      <c r="A284" t="inlineStr">
        <is>
          <t>TXN00011755</t>
        </is>
      </c>
      <c r="B284" t="inlineStr">
        <is>
          <t>MER00140</t>
        </is>
      </c>
      <c r="C284" s="8" t="n">
        <v>45550</v>
      </c>
      <c r="D284" t="inlineStr">
        <is>
          <t>ORD00011755</t>
        </is>
      </c>
      <c r="E284" t="n">
        <v>1341.38</v>
      </c>
      <c r="F284" t="n">
        <v>2.57</v>
      </c>
      <c r="G284" t="n">
        <v>34.47</v>
      </c>
      <c r="H284" t="inlineStr">
        <is>
          <t>UPI</t>
        </is>
      </c>
      <c r="I284" t="inlineStr">
        <is>
          <t>Success</t>
        </is>
      </c>
      <c r="J284" t="inlineStr">
        <is>
          <t>Delivered</t>
        </is>
      </c>
      <c r="K284" t="n">
        <v>0</v>
      </c>
      <c r="L284" t="n">
        <v>0</v>
      </c>
      <c r="M284" t="inlineStr">
        <is>
          <t>INR</t>
        </is>
      </c>
      <c r="N284" t="inlineStr">
        <is>
          <t>2024-09-15 18:00:50</t>
        </is>
      </c>
    </row>
    <row r="285">
      <c r="A285" t="inlineStr">
        <is>
          <t>TXN00012429</t>
        </is>
      </c>
      <c r="B285" t="inlineStr">
        <is>
          <t>MER00140</t>
        </is>
      </c>
      <c r="C285" s="8" t="n">
        <v>45553</v>
      </c>
      <c r="D285" t="inlineStr">
        <is>
          <t>ORD00012429</t>
        </is>
      </c>
      <c r="E285" t="n">
        <v>2731.6</v>
      </c>
      <c r="F285" t="n">
        <v>2.57</v>
      </c>
      <c r="G285" t="n">
        <v>70.2</v>
      </c>
      <c r="H285" t="inlineStr">
        <is>
          <t>NetBanking</t>
        </is>
      </c>
      <c r="I285" t="inlineStr">
        <is>
          <t>Success</t>
        </is>
      </c>
      <c r="J285" t="inlineStr">
        <is>
          <t>Delivered</t>
        </is>
      </c>
      <c r="K285" t="n">
        <v>0</v>
      </c>
      <c r="L285" t="n">
        <v>0</v>
      </c>
      <c r="M285" t="inlineStr">
        <is>
          <t>INR</t>
        </is>
      </c>
      <c r="N285" t="inlineStr">
        <is>
          <t>2024-09-18 20:15:04</t>
        </is>
      </c>
    </row>
    <row r="286">
      <c r="A286" t="inlineStr">
        <is>
          <t>TXN00030597</t>
        </is>
      </c>
      <c r="B286" t="inlineStr">
        <is>
          <t>MER00140</t>
        </is>
      </c>
      <c r="C286" s="8" t="n">
        <v>45602</v>
      </c>
      <c r="D286" t="inlineStr">
        <is>
          <t>ORD00030597</t>
        </is>
      </c>
      <c r="E286" t="n">
        <v>1550.56</v>
      </c>
      <c r="F286" t="n">
        <v>2.57</v>
      </c>
      <c r="G286" t="n">
        <v>39.85</v>
      </c>
      <c r="H286" t="inlineStr">
        <is>
          <t>UPI</t>
        </is>
      </c>
      <c r="I286" t="inlineStr">
        <is>
          <t>Success</t>
        </is>
      </c>
      <c r="J286" t="inlineStr">
        <is>
          <t>Delivered</t>
        </is>
      </c>
      <c r="K286" t="n">
        <v>0</v>
      </c>
      <c r="L286" t="n">
        <v>262.1</v>
      </c>
      <c r="M286" t="inlineStr">
        <is>
          <t>INR</t>
        </is>
      </c>
      <c r="N286" t="inlineStr">
        <is>
          <t>2024-11-06 11:05:54</t>
        </is>
      </c>
    </row>
    <row r="287">
      <c r="A287" t="inlineStr">
        <is>
          <t>TXN00040800</t>
        </is>
      </c>
      <c r="B287" t="inlineStr">
        <is>
          <t>MER00140</t>
        </is>
      </c>
      <c r="C287" s="8" t="n">
        <v>45625</v>
      </c>
      <c r="D287" t="inlineStr">
        <is>
          <t>ORD00040800</t>
        </is>
      </c>
      <c r="E287" t="n">
        <v>2350.82</v>
      </c>
      <c r="F287" t="n">
        <v>2.57</v>
      </c>
      <c r="G287" t="n">
        <v>60.42</v>
      </c>
      <c r="H287" t="inlineStr">
        <is>
          <t>NetBanking</t>
        </is>
      </c>
      <c r="I287" t="inlineStr">
        <is>
          <t>Success</t>
        </is>
      </c>
      <c r="J287" t="inlineStr">
        <is>
          <t>Delivered</t>
        </is>
      </c>
      <c r="K287" t="n">
        <v>0</v>
      </c>
      <c r="L287" t="n">
        <v>0</v>
      </c>
      <c r="M287" t="inlineStr">
        <is>
          <t>INR</t>
        </is>
      </c>
      <c r="N287" t="inlineStr">
        <is>
          <t>2024-11-29 00:11:20</t>
        </is>
      </c>
    </row>
    <row r="288">
      <c r="A288" t="inlineStr">
        <is>
          <t>TXN00044554</t>
        </is>
      </c>
      <c r="B288" t="inlineStr">
        <is>
          <t>MER00140</t>
        </is>
      </c>
      <c r="C288" s="8" t="n">
        <v>45636</v>
      </c>
      <c r="D288" t="inlineStr">
        <is>
          <t>ORD00044554</t>
        </is>
      </c>
      <c r="E288" t="n">
        <v>1669.7</v>
      </c>
      <c r="F288" t="n">
        <v>2.57</v>
      </c>
      <c r="G288" t="n">
        <v>42.91</v>
      </c>
      <c r="H288" t="inlineStr">
        <is>
          <t>UPI</t>
        </is>
      </c>
      <c r="I288" t="inlineStr">
        <is>
          <t>Success</t>
        </is>
      </c>
      <c r="J288" t="inlineStr">
        <is>
          <t>Returned</t>
        </is>
      </c>
      <c r="K288" t="n">
        <v>1669.7</v>
      </c>
      <c r="L288" t="n">
        <v>0</v>
      </c>
      <c r="M288" t="inlineStr">
        <is>
          <t>INR</t>
        </is>
      </c>
      <c r="N288" t="inlineStr">
        <is>
          <t>2024-12-10 00:24:36</t>
        </is>
      </c>
    </row>
    <row r="289">
      <c r="A289" t="inlineStr">
        <is>
          <t>TXN00058360</t>
        </is>
      </c>
      <c r="B289" t="inlineStr">
        <is>
          <t>MER00140</t>
        </is>
      </c>
      <c r="C289" s="8" t="n">
        <v>45676</v>
      </c>
      <c r="D289" t="inlineStr">
        <is>
          <t>ORD00058360</t>
        </is>
      </c>
      <c r="E289" t="n">
        <v>3085.98</v>
      </c>
      <c r="F289" t="n">
        <v>2.57</v>
      </c>
      <c r="G289" t="n">
        <v>79.31</v>
      </c>
      <c r="H289" t="inlineStr">
        <is>
          <t>COD</t>
        </is>
      </c>
      <c r="I289" t="inlineStr">
        <is>
          <t>Success</t>
        </is>
      </c>
      <c r="J289" t="inlineStr">
        <is>
          <t>Delivered</t>
        </is>
      </c>
      <c r="K289" t="n">
        <v>0</v>
      </c>
      <c r="L289" t="n">
        <v>0</v>
      </c>
      <c r="M289" t="inlineStr">
        <is>
          <t>INR</t>
        </is>
      </c>
      <c r="N289" t="inlineStr">
        <is>
          <t>2025-01-19 20:35:44</t>
        </is>
      </c>
    </row>
    <row r="290">
      <c r="A290" t="inlineStr">
        <is>
          <t>TXN00058462</t>
        </is>
      </c>
      <c r="B290" t="inlineStr">
        <is>
          <t>MER00140</t>
        </is>
      </c>
      <c r="C290" s="8" t="n">
        <v>45677</v>
      </c>
      <c r="D290" t="inlineStr">
        <is>
          <t>ORD00058462</t>
        </is>
      </c>
      <c r="E290" t="n">
        <v>1871.19</v>
      </c>
      <c r="F290" t="n">
        <v>2.57</v>
      </c>
      <c r="G290" t="n">
        <v>48.09</v>
      </c>
      <c r="H290" t="inlineStr">
        <is>
          <t>UPI</t>
        </is>
      </c>
      <c r="I290" t="inlineStr">
        <is>
          <t>Success</t>
        </is>
      </c>
      <c r="J290" t="inlineStr">
        <is>
          <t>Delivered</t>
        </is>
      </c>
      <c r="K290" t="n">
        <v>0</v>
      </c>
      <c r="L290" t="n">
        <v>238.69</v>
      </c>
      <c r="M290" t="inlineStr">
        <is>
          <t>INR</t>
        </is>
      </c>
      <c r="N290" t="inlineStr">
        <is>
          <t>2025-01-20 03:17:52</t>
        </is>
      </c>
    </row>
    <row r="291">
      <c r="A291" t="inlineStr">
        <is>
          <t>TXN00078831</t>
        </is>
      </c>
      <c r="B291" t="inlineStr">
        <is>
          <t>MER00140</t>
        </is>
      </c>
      <c r="C291" s="8" t="n">
        <v>45737</v>
      </c>
      <c r="D291" t="inlineStr">
        <is>
          <t>ORD00078831</t>
        </is>
      </c>
      <c r="E291" t="n">
        <v>1214.99</v>
      </c>
      <c r="F291" t="n">
        <v>3.19</v>
      </c>
      <c r="G291" t="n">
        <v>31.23</v>
      </c>
      <c r="H291" t="inlineStr">
        <is>
          <t>Card</t>
        </is>
      </c>
      <c r="I291" t="inlineStr">
        <is>
          <t>Success</t>
        </is>
      </c>
      <c r="J291" t="inlineStr">
        <is>
          <t>Delivered</t>
        </is>
      </c>
      <c r="K291" t="n">
        <v>0</v>
      </c>
      <c r="L291" t="n">
        <v>152.12</v>
      </c>
      <c r="M291" t="inlineStr">
        <is>
          <t>INR</t>
        </is>
      </c>
      <c r="N291" t="inlineStr">
        <is>
          <t>2025-03-21 22:00:09</t>
        </is>
      </c>
    </row>
    <row r="292">
      <c r="A292" t="inlineStr">
        <is>
          <t>TXN00087677</t>
        </is>
      </c>
      <c r="B292" t="inlineStr">
        <is>
          <t>MER00140</t>
        </is>
      </c>
      <c r="C292" s="8" t="n">
        <v>45764</v>
      </c>
      <c r="D292" t="inlineStr">
        <is>
          <t>ORD00087677</t>
        </is>
      </c>
      <c r="E292" t="n">
        <v>3251.91</v>
      </c>
      <c r="F292" t="n">
        <v>2.57</v>
      </c>
      <c r="G292" t="n">
        <v>83.56999999999999</v>
      </c>
      <c r="H292" t="inlineStr">
        <is>
          <t>UPI</t>
        </is>
      </c>
      <c r="I292" t="inlineStr">
        <is>
          <t>Success</t>
        </is>
      </c>
      <c r="J292" t="inlineStr">
        <is>
          <t>Delivered</t>
        </is>
      </c>
      <c r="K292" t="n">
        <v>0</v>
      </c>
      <c r="L292" t="n">
        <v>0</v>
      </c>
      <c r="M292" t="inlineStr">
        <is>
          <t>INR</t>
        </is>
      </c>
      <c r="N292" t="inlineStr">
        <is>
          <t>2025-04-17 20:11:41</t>
        </is>
      </c>
    </row>
    <row r="293">
      <c r="A293" t="inlineStr">
        <is>
          <t>TXN00115909</t>
        </is>
      </c>
      <c r="B293" t="inlineStr">
        <is>
          <t>MER00140</t>
        </is>
      </c>
      <c r="C293" s="8" t="n">
        <v>45849</v>
      </c>
      <c r="D293" t="inlineStr">
        <is>
          <t>ORD00115909</t>
        </is>
      </c>
      <c r="E293" t="n">
        <v>1853.27</v>
      </c>
      <c r="F293" t="n">
        <v>1.77</v>
      </c>
      <c r="G293" t="n">
        <v>47.63</v>
      </c>
      <c r="H293" t="inlineStr">
        <is>
          <t>UPI</t>
        </is>
      </c>
      <c r="I293" t="inlineStr">
        <is>
          <t>Success</t>
        </is>
      </c>
      <c r="J293" t="inlineStr">
        <is>
          <t>Delivered</t>
        </is>
      </c>
      <c r="K293" t="n">
        <v>0</v>
      </c>
      <c r="L293" t="n">
        <v>0</v>
      </c>
      <c r="M293" t="inlineStr">
        <is>
          <t>INR</t>
        </is>
      </c>
      <c r="N293" t="inlineStr">
        <is>
          <t>2025-07-11 18:59:24</t>
        </is>
      </c>
    </row>
    <row r="294">
      <c r="A294" t="inlineStr">
        <is>
          <t>TXN00126031</t>
        </is>
      </c>
      <c r="B294" t="inlineStr">
        <is>
          <t>MER00140</t>
        </is>
      </c>
      <c r="C294" s="8" t="n">
        <v>45879</v>
      </c>
      <c r="D294" t="inlineStr">
        <is>
          <t>ORD00126031</t>
        </is>
      </c>
      <c r="E294" t="n">
        <v>2725.21</v>
      </c>
      <c r="F294" t="n">
        <v>2.57</v>
      </c>
      <c r="G294" t="n">
        <v>70.04000000000001</v>
      </c>
      <c r="H294" t="inlineStr">
        <is>
          <t>NetBanking</t>
        </is>
      </c>
      <c r="I294" t="inlineStr">
        <is>
          <t>Success</t>
        </is>
      </c>
      <c r="J294" t="inlineStr">
        <is>
          <t>Cancelled</t>
        </is>
      </c>
      <c r="K294" t="n">
        <v>2533.95</v>
      </c>
      <c r="L294" t="n">
        <v>0</v>
      </c>
      <c r="M294" t="inlineStr">
        <is>
          <t>INR</t>
        </is>
      </c>
      <c r="N294" t="inlineStr">
        <is>
          <t>2025-08-10 05:53:14</t>
        </is>
      </c>
    </row>
    <row r="295">
      <c r="A295" t="inlineStr">
        <is>
          <t>TXN00127791</t>
        </is>
      </c>
      <c r="B295" t="inlineStr">
        <is>
          <t>MER00140</t>
        </is>
      </c>
      <c r="C295" s="8" t="n">
        <v>45885</v>
      </c>
      <c r="D295" t="inlineStr">
        <is>
          <t>ORD00127791</t>
        </is>
      </c>
      <c r="E295" t="n">
        <v>1319.93</v>
      </c>
      <c r="F295" t="n">
        <v>2.57</v>
      </c>
      <c r="G295" t="n">
        <v>33.92</v>
      </c>
      <c r="H295" t="inlineStr">
        <is>
          <t>UPI</t>
        </is>
      </c>
      <c r="I295" t="inlineStr">
        <is>
          <t>Success</t>
        </is>
      </c>
      <c r="J295" t="inlineStr">
        <is>
          <t>Delivered</t>
        </is>
      </c>
      <c r="K295" t="n">
        <v>0</v>
      </c>
      <c r="L295" t="n">
        <v>0</v>
      </c>
      <c r="M295" t="inlineStr">
        <is>
          <t>INR</t>
        </is>
      </c>
      <c r="N295" t="inlineStr">
        <is>
          <t>2025-08-16 20:58:38</t>
        </is>
      </c>
    </row>
    <row r="296">
      <c r="A296" t="inlineStr">
        <is>
          <t>TXN00145434</t>
        </is>
      </c>
      <c r="B296" t="inlineStr">
        <is>
          <t>MER00140</t>
        </is>
      </c>
      <c r="C296" s="8" t="n">
        <v>45935</v>
      </c>
      <c r="D296" t="inlineStr">
        <is>
          <t>ORD00145434</t>
        </is>
      </c>
      <c r="E296" t="n">
        <v>6839.28</v>
      </c>
      <c r="F296" t="n">
        <v>2.57</v>
      </c>
      <c r="G296" t="n">
        <v>175.77</v>
      </c>
      <c r="H296" t="inlineStr">
        <is>
          <t>UPI</t>
        </is>
      </c>
      <c r="I296" t="inlineStr">
        <is>
          <t>Success</t>
        </is>
      </c>
      <c r="J296" t="inlineStr">
        <is>
          <t>Delivered</t>
        </is>
      </c>
      <c r="K296" t="n">
        <v>0</v>
      </c>
      <c r="L296" t="n">
        <v>0</v>
      </c>
      <c r="M296" t="inlineStr">
        <is>
          <t>INR</t>
        </is>
      </c>
      <c r="N296" t="inlineStr">
        <is>
          <t>2025-10-05 05:05:01</t>
        </is>
      </c>
    </row>
    <row r="297">
      <c r="A297" t="inlineStr">
        <is>
          <t>TXN00148659</t>
        </is>
      </c>
      <c r="B297" t="inlineStr">
        <is>
          <t>MER00140</t>
        </is>
      </c>
      <c r="C297" s="8" t="n">
        <v>45942</v>
      </c>
      <c r="D297" t="inlineStr">
        <is>
          <t>ORD00148659</t>
        </is>
      </c>
      <c r="E297" t="n">
        <v>4100.69</v>
      </c>
      <c r="F297" t="n">
        <v>2.57</v>
      </c>
      <c r="G297" t="n">
        <v>105.39</v>
      </c>
      <c r="H297" t="inlineStr">
        <is>
          <t>UPI</t>
        </is>
      </c>
      <c r="I297" t="inlineStr">
        <is>
          <t>Success</t>
        </is>
      </c>
      <c r="J297" t="inlineStr">
        <is>
          <t>Delivered</t>
        </is>
      </c>
      <c r="K297" t="n">
        <v>0</v>
      </c>
      <c r="L297" t="n">
        <v>0</v>
      </c>
      <c r="M297" t="inlineStr">
        <is>
          <t>INR</t>
        </is>
      </c>
      <c r="N297" t="inlineStr">
        <is>
          <t>2025-10-12 18:36:16</t>
        </is>
      </c>
    </row>
    <row r="298">
      <c r="A298" t="inlineStr">
        <is>
          <t>TXN00152549</t>
        </is>
      </c>
      <c r="B298" t="inlineStr">
        <is>
          <t>MER00140</t>
        </is>
      </c>
      <c r="C298" s="8" t="n">
        <v>45950</v>
      </c>
      <c r="D298" t="inlineStr">
        <is>
          <t>ORD00152549</t>
        </is>
      </c>
      <c r="E298" t="n">
        <v>4843.31</v>
      </c>
      <c r="F298" t="n">
        <v>2.57</v>
      </c>
      <c r="G298" t="n">
        <v>124.47</v>
      </c>
      <c r="H298" t="inlineStr">
        <is>
          <t>COD</t>
        </is>
      </c>
      <c r="I298" t="inlineStr">
        <is>
          <t>Success</t>
        </is>
      </c>
      <c r="J298" t="inlineStr">
        <is>
          <t>Delivered</t>
        </is>
      </c>
      <c r="K298" t="n">
        <v>0</v>
      </c>
      <c r="L298" t="n">
        <v>0</v>
      </c>
      <c r="M298" t="inlineStr">
        <is>
          <t>INR</t>
        </is>
      </c>
      <c r="N298" t="inlineStr">
        <is>
          <t>2025-10-20 23:19:41</t>
        </is>
      </c>
    </row>
    <row r="299">
      <c r="A299" t="inlineStr">
        <is>
          <t>TXN00156923</t>
        </is>
      </c>
      <c r="B299" t="inlineStr">
        <is>
          <t>MER00140</t>
        </is>
      </c>
      <c r="C299" s="8" t="n">
        <v>45959</v>
      </c>
      <c r="D299" t="inlineStr">
        <is>
          <t>ORD00156923</t>
        </is>
      </c>
      <c r="E299" t="n">
        <v>741.11</v>
      </c>
      <c r="F299" t="n">
        <v>2.57</v>
      </c>
      <c r="G299" t="n">
        <v>19.05</v>
      </c>
      <c r="H299" t="inlineStr">
        <is>
          <t>Wallet</t>
        </is>
      </c>
      <c r="I299" t="inlineStr">
        <is>
          <t>Success</t>
        </is>
      </c>
      <c r="J299" t="inlineStr">
        <is>
          <t>Delivered</t>
        </is>
      </c>
      <c r="K299" t="n">
        <v>0</v>
      </c>
      <c r="L299" t="n">
        <v>0</v>
      </c>
      <c r="M299" t="inlineStr">
        <is>
          <t>INR</t>
        </is>
      </c>
      <c r="N299" t="inlineStr">
        <is>
          <t>2025-10-29 11:22:17</t>
        </is>
      </c>
    </row>
    <row r="300">
      <c r="A300" t="inlineStr">
        <is>
          <t>TXN00159496</t>
        </is>
      </c>
      <c r="B300" t="inlineStr">
        <is>
          <t>MER00140</t>
        </is>
      </c>
      <c r="C300" s="8" t="n">
        <v>45964</v>
      </c>
      <c r="D300" t="inlineStr">
        <is>
          <t>ORD00159496</t>
        </is>
      </c>
      <c r="E300" t="n">
        <v>5868.75</v>
      </c>
      <c r="F300" t="n">
        <v>2.57</v>
      </c>
      <c r="G300" t="n">
        <v>150.83</v>
      </c>
      <c r="H300" t="inlineStr">
        <is>
          <t>Card</t>
        </is>
      </c>
      <c r="I300" t="inlineStr">
        <is>
          <t>Success</t>
        </is>
      </c>
      <c r="J300" t="inlineStr">
        <is>
          <t>Delivered</t>
        </is>
      </c>
      <c r="K300" t="n">
        <v>0</v>
      </c>
      <c r="L300" t="n">
        <v>0</v>
      </c>
      <c r="M300" t="inlineStr">
        <is>
          <t>INR</t>
        </is>
      </c>
      <c r="N300" t="inlineStr">
        <is>
          <t>2025-11-03 02:58:58</t>
        </is>
      </c>
    </row>
    <row r="301">
      <c r="A301" t="inlineStr">
        <is>
          <t>TXN00161437</t>
        </is>
      </c>
      <c r="B301" t="inlineStr">
        <is>
          <t>MER00140</t>
        </is>
      </c>
      <c r="C301" s="8" t="n">
        <v>45968</v>
      </c>
      <c r="D301" t="inlineStr">
        <is>
          <t>ORD00161437</t>
        </is>
      </c>
      <c r="E301" t="n">
        <v>5421.57</v>
      </c>
      <c r="F301" t="n">
        <v>2.57</v>
      </c>
      <c r="G301" t="n">
        <v>139.33</v>
      </c>
      <c r="H301" t="inlineStr">
        <is>
          <t>Card</t>
        </is>
      </c>
      <c r="I301" t="inlineStr">
        <is>
          <t>Failed</t>
        </is>
      </c>
      <c r="J301" t="inlineStr">
        <is>
          <t>Cancelled</t>
        </is>
      </c>
      <c r="K301" t="n">
        <v>0</v>
      </c>
      <c r="L301" t="n">
        <v>0</v>
      </c>
      <c r="M301" t="inlineStr">
        <is>
          <t>INR</t>
        </is>
      </c>
      <c r="N301" t="inlineStr">
        <is>
          <t>2025-11-07 23:26:30</t>
        </is>
      </c>
    </row>
    <row r="302">
      <c r="A302" t="inlineStr">
        <is>
          <t>TXN00163502</t>
        </is>
      </c>
      <c r="B302" t="inlineStr">
        <is>
          <t>MER00140</t>
        </is>
      </c>
      <c r="C302" s="8" t="n">
        <v>45971</v>
      </c>
      <c r="D302" t="inlineStr">
        <is>
          <t>ORD00163502</t>
        </is>
      </c>
      <c r="E302" t="n">
        <v>3296.69</v>
      </c>
      <c r="F302" t="n">
        <v>2.57</v>
      </c>
      <c r="G302" t="n">
        <v>84.72</v>
      </c>
      <c r="H302" t="inlineStr">
        <is>
          <t>UPI</t>
        </is>
      </c>
      <c r="I302" t="inlineStr">
        <is>
          <t>Success</t>
        </is>
      </c>
      <c r="J302" t="inlineStr">
        <is>
          <t>Delivered</t>
        </is>
      </c>
      <c r="K302" t="n">
        <v>0</v>
      </c>
      <c r="L302" t="n">
        <v>0</v>
      </c>
      <c r="M302" t="inlineStr">
        <is>
          <t>INR</t>
        </is>
      </c>
      <c r="N302" t="inlineStr">
        <is>
          <t>2025-11-10 04:48:23</t>
        </is>
      </c>
    </row>
    <row r="303">
      <c r="A303" t="inlineStr">
        <is>
          <t>TXN00165454</t>
        </is>
      </c>
      <c r="B303" t="inlineStr">
        <is>
          <t>MER00140</t>
        </is>
      </c>
      <c r="C303" s="8" t="n">
        <v>45975</v>
      </c>
      <c r="D303" t="inlineStr">
        <is>
          <t>ORD00165454</t>
        </is>
      </c>
      <c r="E303" t="n">
        <v>3205.99</v>
      </c>
      <c r="F303" t="n">
        <v>2.57</v>
      </c>
      <c r="G303" t="n">
        <v>82.39</v>
      </c>
      <c r="H303" t="inlineStr">
        <is>
          <t>UPI</t>
        </is>
      </c>
      <c r="I303" t="inlineStr">
        <is>
          <t>Success</t>
        </is>
      </c>
      <c r="J303" t="inlineStr">
        <is>
          <t>Delivered</t>
        </is>
      </c>
      <c r="K303" t="n">
        <v>0</v>
      </c>
      <c r="L303" t="n">
        <v>0</v>
      </c>
      <c r="M303" t="inlineStr">
        <is>
          <t>INR</t>
        </is>
      </c>
      <c r="N303" t="inlineStr">
        <is>
          <t>2025-11-14 03:59:19</t>
        </is>
      </c>
    </row>
    <row r="304">
      <c r="A304" t="inlineStr">
        <is>
          <t>TXN00166042</t>
        </is>
      </c>
      <c r="B304" t="inlineStr">
        <is>
          <t>MER00140</t>
        </is>
      </c>
      <c r="C304" s="8" t="n">
        <v>45976</v>
      </c>
      <c r="D304" t="inlineStr">
        <is>
          <t>ORD00166042</t>
        </is>
      </c>
      <c r="E304" t="n">
        <v>3172.92</v>
      </c>
      <c r="F304" t="n">
        <v>2.57</v>
      </c>
      <c r="G304" t="n">
        <v>81.54000000000001</v>
      </c>
      <c r="H304" t="inlineStr">
        <is>
          <t>UPI</t>
        </is>
      </c>
      <c r="I304" t="inlineStr">
        <is>
          <t>Success</t>
        </is>
      </c>
      <c r="J304" t="inlineStr">
        <is>
          <t>Delivered</t>
        </is>
      </c>
      <c r="K304" t="n">
        <v>0</v>
      </c>
      <c r="L304" t="n">
        <v>0</v>
      </c>
      <c r="M304" t="inlineStr">
        <is>
          <t>INR</t>
        </is>
      </c>
      <c r="N304" t="inlineStr">
        <is>
          <t>2025-11-15 05:37:53</t>
        </is>
      </c>
    </row>
    <row r="305">
      <c r="A305" t="inlineStr">
        <is>
          <t>TXN00167766</t>
        </is>
      </c>
      <c r="B305" t="inlineStr">
        <is>
          <t>MER00140</t>
        </is>
      </c>
      <c r="C305" s="8" t="n">
        <v>45979</v>
      </c>
      <c r="D305" t="inlineStr">
        <is>
          <t>ORD00167766</t>
        </is>
      </c>
      <c r="E305" t="n">
        <v>2242.11</v>
      </c>
      <c r="F305" t="n">
        <v>2.57</v>
      </c>
      <c r="G305" t="n">
        <v>57.62</v>
      </c>
      <c r="H305" t="inlineStr">
        <is>
          <t>Wallet</t>
        </is>
      </c>
      <c r="I305" t="inlineStr">
        <is>
          <t>Success</t>
        </is>
      </c>
      <c r="J305" t="inlineStr">
        <is>
          <t>Delivered</t>
        </is>
      </c>
      <c r="K305" t="n">
        <v>0</v>
      </c>
      <c r="L305" t="n">
        <v>0</v>
      </c>
      <c r="M305" t="inlineStr">
        <is>
          <t>INR</t>
        </is>
      </c>
      <c r="N305" t="inlineStr">
        <is>
          <t>2025-11-18 20:35:08</t>
        </is>
      </c>
    </row>
    <row r="306">
      <c r="A306" t="inlineStr">
        <is>
          <t>TXN00168924</t>
        </is>
      </c>
      <c r="B306" t="inlineStr">
        <is>
          <t>MER00140</t>
        </is>
      </c>
      <c r="C306" s="8" t="n">
        <v>45981</v>
      </c>
      <c r="D306" t="inlineStr">
        <is>
          <t>ORD00168924</t>
        </is>
      </c>
      <c r="E306" t="n">
        <v>3722.24</v>
      </c>
      <c r="F306" t="n">
        <v>2.57</v>
      </c>
      <c r="G306" t="n">
        <v>95.66</v>
      </c>
      <c r="H306" t="inlineStr">
        <is>
          <t>UPI</t>
        </is>
      </c>
      <c r="I306" t="inlineStr">
        <is>
          <t>Success</t>
        </is>
      </c>
      <c r="J306" t="inlineStr">
        <is>
          <t>Delivered</t>
        </is>
      </c>
      <c r="K306" t="n">
        <v>0</v>
      </c>
      <c r="L306" t="n">
        <v>0</v>
      </c>
      <c r="M306" t="inlineStr">
        <is>
          <t>INR</t>
        </is>
      </c>
      <c r="N306" t="inlineStr">
        <is>
          <t>2025-11-20 02:18:30</t>
        </is>
      </c>
    </row>
    <row r="307">
      <c r="A307" t="inlineStr">
        <is>
          <t>TXN00170996</t>
        </is>
      </c>
      <c r="B307" t="inlineStr">
        <is>
          <t>MER00140</t>
        </is>
      </c>
      <c r="C307" s="8" t="n">
        <v>45985</v>
      </c>
      <c r="D307" t="inlineStr">
        <is>
          <t>ORD00170996</t>
        </is>
      </c>
      <c r="E307" t="n">
        <v>2383.74</v>
      </c>
      <c r="F307" t="n">
        <v>2.57</v>
      </c>
      <c r="G307" t="n">
        <v>61.26</v>
      </c>
      <c r="H307" t="inlineStr">
        <is>
          <t>UPI</t>
        </is>
      </c>
      <c r="I307" t="inlineStr">
        <is>
          <t>Success</t>
        </is>
      </c>
      <c r="J307" t="inlineStr">
        <is>
          <t>Delivered</t>
        </is>
      </c>
      <c r="K307" t="n">
        <v>0</v>
      </c>
      <c r="L307" t="n">
        <v>0</v>
      </c>
      <c r="M307" t="inlineStr">
        <is>
          <t>INR</t>
        </is>
      </c>
      <c r="N307" t="inlineStr">
        <is>
          <t>2025-11-24 11:13:36</t>
        </is>
      </c>
    </row>
    <row r="308">
      <c r="A308" t="inlineStr">
        <is>
          <t>TXN00185043</t>
        </is>
      </c>
      <c r="B308" t="inlineStr">
        <is>
          <t>MER00140</t>
        </is>
      </c>
      <c r="C308" s="8" t="n">
        <v>46019</v>
      </c>
      <c r="D308" t="inlineStr">
        <is>
          <t>ORD00185043</t>
        </is>
      </c>
      <c r="E308" t="n">
        <v>2185.09</v>
      </c>
      <c r="F308" t="n">
        <v>2.57</v>
      </c>
      <c r="G308" t="n">
        <v>56.16</v>
      </c>
      <c r="H308" t="inlineStr">
        <is>
          <t>NetBanking</t>
        </is>
      </c>
      <c r="I308" t="inlineStr">
        <is>
          <t>Success</t>
        </is>
      </c>
      <c r="J308" t="inlineStr">
        <is>
          <t>Returned</t>
        </is>
      </c>
      <c r="K308" t="n">
        <v>2185.09</v>
      </c>
      <c r="L308" t="n">
        <v>0</v>
      </c>
      <c r="M308" t="inlineStr">
        <is>
          <t>INR</t>
        </is>
      </c>
      <c r="N308" t="inlineStr">
        <is>
          <t>2025-12-28 01:22:39</t>
        </is>
      </c>
    </row>
    <row r="309">
      <c r="A309" t="inlineStr">
        <is>
          <t>TXN00198824</t>
        </is>
      </c>
      <c r="B309" t="inlineStr">
        <is>
          <t>MER00140</t>
        </is>
      </c>
      <c r="C309" s="8" t="n">
        <v>46050</v>
      </c>
      <c r="D309" t="inlineStr">
        <is>
          <t>ORD00198824</t>
        </is>
      </c>
      <c r="E309" t="n">
        <v>1172.6</v>
      </c>
      <c r="F309" t="n">
        <v>2.57</v>
      </c>
      <c r="G309" t="n">
        <v>30.14</v>
      </c>
      <c r="H309" t="inlineStr">
        <is>
          <t>Card</t>
        </is>
      </c>
      <c r="I309" t="inlineStr">
        <is>
          <t>Success</t>
        </is>
      </c>
      <c r="J309" t="inlineStr">
        <is>
          <t>Delivered</t>
        </is>
      </c>
      <c r="K309" t="n">
        <v>0</v>
      </c>
      <c r="L309" t="n">
        <v>0</v>
      </c>
      <c r="M309" t="inlineStr">
        <is>
          <t>INR</t>
        </is>
      </c>
      <c r="N309" t="inlineStr">
        <is>
          <t>2026-01-28 18:02:55</t>
        </is>
      </c>
    </row>
    <row r="310">
      <c r="A310" t="inlineStr">
        <is>
          <t>TXN00200581</t>
        </is>
      </c>
      <c r="B310" t="inlineStr">
        <is>
          <t>MER00140</t>
        </is>
      </c>
      <c r="C310" s="8" t="n">
        <v>46054</v>
      </c>
      <c r="D310" t="inlineStr">
        <is>
          <t>ORD00200581</t>
        </is>
      </c>
      <c r="E310" t="n">
        <v>1532.98</v>
      </c>
      <c r="F310" t="n">
        <v>2.57</v>
      </c>
      <c r="G310" t="n">
        <v>39.4</v>
      </c>
      <c r="H310" t="inlineStr">
        <is>
          <t>Card</t>
        </is>
      </c>
      <c r="I310" t="inlineStr">
        <is>
          <t>Success</t>
        </is>
      </c>
      <c r="J310" t="inlineStr">
        <is>
          <t>Delivered</t>
        </is>
      </c>
      <c r="K310" t="n">
        <v>0</v>
      </c>
      <c r="L310" t="n">
        <v>0</v>
      </c>
      <c r="M310" t="inlineStr">
        <is>
          <t>INR</t>
        </is>
      </c>
      <c r="N310" t="inlineStr">
        <is>
          <t>2026-02-01 12:20:24</t>
        </is>
      </c>
    </row>
    <row r="311">
      <c r="A311" t="inlineStr">
        <is>
          <t>TXN00203965</t>
        </is>
      </c>
      <c r="B311" t="inlineStr">
        <is>
          <t>MER00140</t>
        </is>
      </c>
      <c r="C311" s="8" t="n">
        <v>46062</v>
      </c>
      <c r="D311" t="inlineStr">
        <is>
          <t>ORD00203965</t>
        </is>
      </c>
      <c r="E311" t="n">
        <v>2652.7</v>
      </c>
      <c r="F311" t="n">
        <v>2.57</v>
      </c>
      <c r="G311" t="n">
        <v>68.17</v>
      </c>
      <c r="H311" t="inlineStr">
        <is>
          <t>UPI</t>
        </is>
      </c>
      <c r="I311" t="inlineStr">
        <is>
          <t>Success</t>
        </is>
      </c>
      <c r="J311" t="inlineStr">
        <is>
          <t>Delivered</t>
        </is>
      </c>
      <c r="K311" t="n">
        <v>0</v>
      </c>
      <c r="L311" t="n">
        <v>0</v>
      </c>
      <c r="M311" t="inlineStr">
        <is>
          <t>INR</t>
        </is>
      </c>
      <c r="N311" t="inlineStr">
        <is>
          <t>2026-02-09 16:13:55</t>
        </is>
      </c>
    </row>
    <row r="312">
      <c r="A312" t="inlineStr">
        <is>
          <t>TXN00207443</t>
        </is>
      </c>
      <c r="B312" t="inlineStr">
        <is>
          <t>MER00140</t>
        </is>
      </c>
      <c r="C312" s="8" t="n">
        <v>46071</v>
      </c>
      <c r="D312" t="inlineStr">
        <is>
          <t>ORD00207443</t>
        </is>
      </c>
      <c r="E312" t="n">
        <v>3054.99</v>
      </c>
      <c r="F312" t="n">
        <v>2.57</v>
      </c>
      <c r="G312" t="n">
        <v>78.51000000000001</v>
      </c>
      <c r="H312" t="inlineStr">
        <is>
          <t>Wallet</t>
        </is>
      </c>
      <c r="I312" t="inlineStr">
        <is>
          <t>Success</t>
        </is>
      </c>
      <c r="J312" t="inlineStr">
        <is>
          <t>Delivered</t>
        </is>
      </c>
      <c r="K312" t="n">
        <v>0</v>
      </c>
      <c r="L312" t="n">
        <v>0</v>
      </c>
      <c r="M312" t="inlineStr">
        <is>
          <t>INR</t>
        </is>
      </c>
      <c r="N312" t="inlineStr">
        <is>
          <t>2026-02-18 01:12:38</t>
        </is>
      </c>
    </row>
    <row r="313">
      <c r="A313" t="inlineStr">
        <is>
          <t>TXN00211130</t>
        </is>
      </c>
      <c r="B313" t="inlineStr">
        <is>
          <t>MER00140</t>
        </is>
      </c>
      <c r="C313" s="8" t="n">
        <v>46080</v>
      </c>
      <c r="D313" t="inlineStr">
        <is>
          <t>ORD00211130</t>
        </is>
      </c>
      <c r="E313" t="n">
        <v>1952.7</v>
      </c>
      <c r="F313" t="n">
        <v>2.57</v>
      </c>
      <c r="G313" t="n">
        <v>50.18</v>
      </c>
      <c r="H313" t="inlineStr">
        <is>
          <t>UPI</t>
        </is>
      </c>
      <c r="I313" t="inlineStr">
        <is>
          <t>Success</t>
        </is>
      </c>
      <c r="J313" t="inlineStr">
        <is>
          <t>Delivered</t>
        </is>
      </c>
      <c r="K313" t="n">
        <v>0</v>
      </c>
      <c r="L313" t="n">
        <v>0</v>
      </c>
      <c r="M313" t="inlineStr">
        <is>
          <t>INR</t>
        </is>
      </c>
      <c r="N313" t="inlineStr">
        <is>
          <t>2026-02-27 03:19:51</t>
        </is>
      </c>
    </row>
    <row r="314">
      <c r="A314" t="inlineStr">
        <is>
          <t>TXN00213121</t>
        </is>
      </c>
      <c r="B314" t="inlineStr">
        <is>
          <t>MER00140</t>
        </is>
      </c>
      <c r="C314" s="8" t="n">
        <v>46085</v>
      </c>
      <c r="D314" t="inlineStr">
        <is>
          <t>ORD00213121</t>
        </is>
      </c>
      <c r="E314" t="n">
        <v>1897.24</v>
      </c>
      <c r="F314" t="n">
        <v>2.57</v>
      </c>
      <c r="G314" t="n">
        <v>48.76</v>
      </c>
      <c r="H314" t="inlineStr">
        <is>
          <t>NetBanking</t>
        </is>
      </c>
      <c r="I314" t="inlineStr">
        <is>
          <t>Success</t>
        </is>
      </c>
      <c r="J314" t="inlineStr">
        <is>
          <t>Delivered</t>
        </is>
      </c>
      <c r="K314" t="n">
        <v>0</v>
      </c>
      <c r="L314" t="n">
        <v>0</v>
      </c>
      <c r="M314" t="inlineStr">
        <is>
          <t>INR</t>
        </is>
      </c>
      <c r="N314" t="inlineStr">
        <is>
          <t>2026-03-04 03:09:55</t>
        </is>
      </c>
    </row>
    <row r="315">
      <c r="A315" t="inlineStr">
        <is>
          <t>TXN00216696</t>
        </is>
      </c>
      <c r="B315" t="inlineStr">
        <is>
          <t>MER00140</t>
        </is>
      </c>
      <c r="C315" s="8" t="n">
        <v>46095</v>
      </c>
      <c r="D315" t="inlineStr">
        <is>
          <t>ORD00216696</t>
        </is>
      </c>
      <c r="E315" t="n">
        <v>758.2</v>
      </c>
      <c r="F315" t="n">
        <v>2.57</v>
      </c>
      <c r="G315" t="n">
        <v>19.49</v>
      </c>
      <c r="H315" t="inlineStr">
        <is>
          <t>UPI</t>
        </is>
      </c>
      <c r="I315" t="inlineStr">
        <is>
          <t>Success</t>
        </is>
      </c>
      <c r="J315" t="inlineStr">
        <is>
          <t>Delivered</t>
        </is>
      </c>
      <c r="K315" t="n">
        <v>0</v>
      </c>
      <c r="L315" t="n">
        <v>0</v>
      </c>
      <c r="M315" t="inlineStr">
        <is>
          <t>INR</t>
        </is>
      </c>
      <c r="N315" t="inlineStr">
        <is>
          <t>2026-03-14 14:27:25</t>
        </is>
      </c>
    </row>
    <row r="316">
      <c r="A316" t="inlineStr">
        <is>
          <t>TXN00229160</t>
        </is>
      </c>
      <c r="B316" t="inlineStr">
        <is>
          <t>MER00140</t>
        </is>
      </c>
      <c r="C316" s="8" t="n">
        <v>46128</v>
      </c>
      <c r="D316" t="inlineStr">
        <is>
          <t>ORD00229160</t>
        </is>
      </c>
      <c r="E316" t="n">
        <v>913.35</v>
      </c>
      <c r="F316" t="n">
        <v>2.57</v>
      </c>
      <c r="G316" t="n">
        <v>23.47</v>
      </c>
      <c r="H316" t="inlineStr">
        <is>
          <t>UPI</t>
        </is>
      </c>
      <c r="I316" t="inlineStr">
        <is>
          <t>Success</t>
        </is>
      </c>
      <c r="J316" t="inlineStr">
        <is>
          <t>Delivered</t>
        </is>
      </c>
      <c r="K316" t="n">
        <v>0</v>
      </c>
      <c r="L316" t="n">
        <v>0</v>
      </c>
      <c r="M316" t="inlineStr">
        <is>
          <t>INR</t>
        </is>
      </c>
      <c r="N316" t="inlineStr">
        <is>
          <t>2026-04-16 07:55:34</t>
        </is>
      </c>
    </row>
    <row r="317">
      <c r="A317" t="inlineStr">
        <is>
          <t>TXN00244467</t>
        </is>
      </c>
      <c r="B317" t="inlineStr">
        <is>
          <t>MER00140</t>
        </is>
      </c>
      <c r="C317" s="8" t="n">
        <v>46169</v>
      </c>
      <c r="D317" t="inlineStr">
        <is>
          <t>ORD00244467</t>
        </is>
      </c>
      <c r="E317" t="n">
        <v>1252.66</v>
      </c>
      <c r="F317" t="n">
        <v>2.57</v>
      </c>
      <c r="G317" t="n">
        <v>32.19</v>
      </c>
      <c r="H317" t="inlineStr">
        <is>
          <t>Card</t>
        </is>
      </c>
      <c r="I317" t="inlineStr">
        <is>
          <t>Success</t>
        </is>
      </c>
      <c r="J317" t="inlineStr">
        <is>
          <t>Delivered</t>
        </is>
      </c>
      <c r="K317" t="n">
        <v>0</v>
      </c>
      <c r="L317" t="n">
        <v>0</v>
      </c>
      <c r="M317" t="inlineStr">
        <is>
          <t>INR</t>
        </is>
      </c>
      <c r="N317" t="inlineStr">
        <is>
          <t>2026-05-27 05:31:52</t>
        </is>
      </c>
    </row>
    <row r="318">
      <c r="A318" t="inlineStr">
        <is>
          <t>TXN00251445</t>
        </is>
      </c>
      <c r="B318" t="inlineStr">
        <is>
          <t>MER00140</t>
        </is>
      </c>
      <c r="C318" s="8" t="n">
        <v>46186</v>
      </c>
      <c r="D318" t="inlineStr">
        <is>
          <t>ORD00251445</t>
        </is>
      </c>
      <c r="E318" t="n">
        <v>6076.81</v>
      </c>
      <c r="F318" t="n">
        <v>2.57</v>
      </c>
      <c r="G318" t="n">
        <v>156.17</v>
      </c>
      <c r="H318" t="inlineStr">
        <is>
          <t>UPI</t>
        </is>
      </c>
      <c r="I318" t="inlineStr">
        <is>
          <t>Success</t>
        </is>
      </c>
      <c r="J318" t="inlineStr">
        <is>
          <t>Delivered</t>
        </is>
      </c>
      <c r="K318" t="n">
        <v>0</v>
      </c>
      <c r="L318" t="n">
        <v>0</v>
      </c>
      <c r="M318" t="inlineStr">
        <is>
          <t>INR</t>
        </is>
      </c>
      <c r="N318" t="inlineStr">
        <is>
          <t>2026-06-13 19:04:58</t>
        </is>
      </c>
    </row>
    <row r="319">
      <c r="A319" t="inlineStr">
        <is>
          <t>TXN00254659</t>
        </is>
      </c>
      <c r="B319" t="inlineStr">
        <is>
          <t>MER00140</t>
        </is>
      </c>
      <c r="C319" s="8" t="n">
        <v>46194</v>
      </c>
      <c r="D319" t="inlineStr">
        <is>
          <t>ORD00254659</t>
        </is>
      </c>
      <c r="E319" t="n">
        <v>5634.5</v>
      </c>
      <c r="F319" t="n">
        <v>2.57</v>
      </c>
      <c r="G319" t="n">
        <v>144.81</v>
      </c>
      <c r="H319" t="inlineStr">
        <is>
          <t>UPI</t>
        </is>
      </c>
      <c r="I319" t="inlineStr">
        <is>
          <t>Success</t>
        </is>
      </c>
      <c r="J319" t="inlineStr">
        <is>
          <t>Delivered</t>
        </is>
      </c>
      <c r="K319" t="n">
        <v>0</v>
      </c>
      <c r="L319" t="n">
        <v>617.11</v>
      </c>
      <c r="M319" t="inlineStr">
        <is>
          <t>INR</t>
        </is>
      </c>
      <c r="N319" t="inlineStr">
        <is>
          <t>2026-06-21 11:27:24</t>
        </is>
      </c>
    </row>
    <row r="320">
      <c r="A320" t="inlineStr">
        <is>
          <t>TXN00256180</t>
        </is>
      </c>
      <c r="B320" t="inlineStr">
        <is>
          <t>MER00140</t>
        </is>
      </c>
      <c r="C320" s="8" t="n">
        <v>46198</v>
      </c>
      <c r="D320" t="inlineStr">
        <is>
          <t>ORD00256180</t>
        </is>
      </c>
      <c r="E320" t="n">
        <v>2440.06</v>
      </c>
      <c r="F320" t="n">
        <v>2.57</v>
      </c>
      <c r="G320" t="n">
        <v>62.71</v>
      </c>
      <c r="H320" t="inlineStr">
        <is>
          <t>Card</t>
        </is>
      </c>
      <c r="I320" t="inlineStr">
        <is>
          <t>Success</t>
        </is>
      </c>
      <c r="J320" t="inlineStr">
        <is>
          <t>Returned</t>
        </is>
      </c>
      <c r="K320" t="n">
        <v>2440.06</v>
      </c>
      <c r="L320" t="n">
        <v>0</v>
      </c>
      <c r="M320" t="inlineStr">
        <is>
          <t>INR</t>
        </is>
      </c>
      <c r="N320" t="inlineStr">
        <is>
          <t>2026-06-25 09:51:19</t>
        </is>
      </c>
    </row>
    <row r="321">
      <c r="A321" t="inlineStr">
        <is>
          <t>TXN00261178</t>
        </is>
      </c>
      <c r="B321" t="inlineStr">
        <is>
          <t>MER00140</t>
        </is>
      </c>
      <c r="C321" s="8" t="n">
        <v>46211</v>
      </c>
      <c r="D321" t="inlineStr">
        <is>
          <t>ORD00261178</t>
        </is>
      </c>
      <c r="E321" t="n">
        <v>1186.12</v>
      </c>
      <c r="F321" t="n">
        <v>2.57</v>
      </c>
      <c r="G321" t="n">
        <v>30.48</v>
      </c>
      <c r="H321" t="inlineStr">
        <is>
          <t>UPI</t>
        </is>
      </c>
      <c r="I321" t="inlineStr">
        <is>
          <t>Success</t>
        </is>
      </c>
      <c r="J321" t="inlineStr">
        <is>
          <t>Cancelled</t>
        </is>
      </c>
      <c r="K321" t="n">
        <v>1022.11</v>
      </c>
      <c r="L321" t="n">
        <v>0</v>
      </c>
      <c r="M321" t="inlineStr">
        <is>
          <t>INR</t>
        </is>
      </c>
      <c r="N321" t="inlineStr">
        <is>
          <t>2026-07-08 16:33:54</t>
        </is>
      </c>
    </row>
    <row r="322">
      <c r="A322" t="inlineStr">
        <is>
          <t>TXN00064809</t>
        </is>
      </c>
      <c r="B322" t="inlineStr">
        <is>
          <t>MER00156</t>
        </is>
      </c>
      <c r="C322" s="8" t="n">
        <v>45694</v>
      </c>
      <c r="D322" t="inlineStr">
        <is>
          <t>ORD00064809</t>
        </is>
      </c>
      <c r="E322" t="n">
        <v>738.91</v>
      </c>
      <c r="F322" t="n">
        <v>3.25</v>
      </c>
      <c r="G322" t="n">
        <v>24.01</v>
      </c>
      <c r="H322" t="inlineStr">
        <is>
          <t>Card</t>
        </is>
      </c>
      <c r="I322" t="inlineStr">
        <is>
          <t>Success</t>
        </is>
      </c>
      <c r="J322" t="inlineStr">
        <is>
          <t>Delivered</t>
        </is>
      </c>
      <c r="K322" t="n">
        <v>0</v>
      </c>
      <c r="L322" t="n">
        <v>111.28</v>
      </c>
      <c r="M322" t="inlineStr">
        <is>
          <t>INR</t>
        </is>
      </c>
      <c r="N322" t="inlineStr">
        <is>
          <t>2025-02-06 06:15:52</t>
        </is>
      </c>
    </row>
    <row r="323">
      <c r="A323" t="inlineStr">
        <is>
          <t>TXN00067106</t>
        </is>
      </c>
      <c r="B323" t="inlineStr">
        <is>
          <t>MER00156</t>
        </is>
      </c>
      <c r="C323" s="8" t="n">
        <v>45701</v>
      </c>
      <c r="D323" t="inlineStr">
        <is>
          <t>ORD00067106</t>
        </is>
      </c>
      <c r="E323" t="n">
        <v>681.86</v>
      </c>
      <c r="F323" t="n">
        <v>3.25</v>
      </c>
      <c r="G323" t="n">
        <v>22.16</v>
      </c>
      <c r="H323" t="inlineStr">
        <is>
          <t>Card</t>
        </is>
      </c>
      <c r="I323" t="inlineStr">
        <is>
          <t>Success</t>
        </is>
      </c>
      <c r="J323" t="inlineStr">
        <is>
          <t>Cancelled</t>
        </is>
      </c>
      <c r="K323" t="n">
        <v>651.47</v>
      </c>
      <c r="L323" t="n">
        <v>0</v>
      </c>
      <c r="M323" t="inlineStr">
        <is>
          <t>INR</t>
        </is>
      </c>
      <c r="N323" t="inlineStr">
        <is>
          <t>2025-02-13 20:21:49</t>
        </is>
      </c>
    </row>
    <row r="324">
      <c r="A324" t="inlineStr">
        <is>
          <t>TXN00070395</t>
        </is>
      </c>
      <c r="B324" t="inlineStr">
        <is>
          <t>MER00156</t>
        </is>
      </c>
      <c r="C324" s="8" t="n">
        <v>45711</v>
      </c>
      <c r="D324" t="inlineStr">
        <is>
          <t>ORD00070395</t>
        </is>
      </c>
      <c r="E324" t="n">
        <v>1238.89</v>
      </c>
      <c r="F324" t="n">
        <v>3.25</v>
      </c>
      <c r="G324" t="n">
        <v>40.26</v>
      </c>
      <c r="H324" t="inlineStr">
        <is>
          <t>UPI</t>
        </is>
      </c>
      <c r="I324" t="inlineStr">
        <is>
          <t>Success</t>
        </is>
      </c>
      <c r="J324" t="inlineStr">
        <is>
          <t>Processing</t>
        </is>
      </c>
      <c r="K324" t="n">
        <v>0</v>
      </c>
      <c r="L324" t="n">
        <v>0</v>
      </c>
      <c r="M324" t="inlineStr">
        <is>
          <t>INR</t>
        </is>
      </c>
      <c r="N324" t="inlineStr">
        <is>
          <t>2025-02-23 01:57:45</t>
        </is>
      </c>
    </row>
    <row r="325">
      <c r="A325" t="inlineStr">
        <is>
          <t>TXN00082365</t>
        </is>
      </c>
      <c r="B325" t="inlineStr">
        <is>
          <t>MER00156</t>
        </is>
      </c>
      <c r="C325" s="8" t="n">
        <v>45748</v>
      </c>
      <c r="D325" t="inlineStr">
        <is>
          <t>ORD00082365</t>
        </is>
      </c>
      <c r="E325" t="n">
        <v>457.92</v>
      </c>
      <c r="F325" t="n">
        <v>3.25</v>
      </c>
      <c r="G325" t="n">
        <v>14.88</v>
      </c>
      <c r="H325" t="inlineStr">
        <is>
          <t>Card</t>
        </is>
      </c>
      <c r="I325" t="inlineStr">
        <is>
          <t>Success</t>
        </is>
      </c>
      <c r="J325" t="inlineStr">
        <is>
          <t>Delivered</t>
        </is>
      </c>
      <c r="K325" t="n">
        <v>0</v>
      </c>
      <c r="L325" t="n">
        <v>0</v>
      </c>
      <c r="M325" t="inlineStr">
        <is>
          <t>INR</t>
        </is>
      </c>
      <c r="N325" t="inlineStr">
        <is>
          <t>2025-04-01 01:52:11</t>
        </is>
      </c>
    </row>
    <row r="326">
      <c r="A326" t="inlineStr">
        <is>
          <t>TXN00090558</t>
        </is>
      </c>
      <c r="B326" t="inlineStr">
        <is>
          <t>MER00156</t>
        </is>
      </c>
      <c r="C326" s="8" t="n">
        <v>45773</v>
      </c>
      <c r="D326" t="inlineStr">
        <is>
          <t>ORD00090558</t>
        </is>
      </c>
      <c r="E326" t="n">
        <v>875.12</v>
      </c>
      <c r="F326" t="n">
        <v>3.25</v>
      </c>
      <c r="G326" t="n">
        <v>28.44</v>
      </c>
      <c r="H326" t="inlineStr">
        <is>
          <t>UPI</t>
        </is>
      </c>
      <c r="I326" t="inlineStr">
        <is>
          <t>Success</t>
        </is>
      </c>
      <c r="J326" t="inlineStr">
        <is>
          <t>Delivered</t>
        </is>
      </c>
      <c r="K326" t="n">
        <v>0</v>
      </c>
      <c r="L326" t="n">
        <v>0</v>
      </c>
      <c r="M326" t="inlineStr">
        <is>
          <t>INR</t>
        </is>
      </c>
      <c r="N326" t="inlineStr">
        <is>
          <t>2025-04-26 16:10:24</t>
        </is>
      </c>
    </row>
    <row r="327">
      <c r="A327" t="inlineStr">
        <is>
          <t>TXN00108251</t>
        </is>
      </c>
      <c r="B327" t="inlineStr">
        <is>
          <t>MER00156</t>
        </is>
      </c>
      <c r="C327" s="8" t="n">
        <v>45826</v>
      </c>
      <c r="D327" t="inlineStr">
        <is>
          <t>ORD00108251</t>
        </is>
      </c>
      <c r="E327" t="n">
        <v>765.13</v>
      </c>
      <c r="F327" t="n">
        <v>3.25</v>
      </c>
      <c r="G327" t="n">
        <v>24.87</v>
      </c>
      <c r="H327" t="inlineStr">
        <is>
          <t>UPI</t>
        </is>
      </c>
      <c r="I327" t="inlineStr">
        <is>
          <t>Success</t>
        </is>
      </c>
      <c r="J327" t="inlineStr">
        <is>
          <t>Delivered</t>
        </is>
      </c>
      <c r="K327" t="n">
        <v>0</v>
      </c>
      <c r="L327" t="n">
        <v>0</v>
      </c>
      <c r="M327" t="inlineStr">
        <is>
          <t>INR</t>
        </is>
      </c>
      <c r="N327" t="inlineStr">
        <is>
          <t>2025-06-18 06:47:22</t>
        </is>
      </c>
    </row>
    <row r="328">
      <c r="A328" t="inlineStr">
        <is>
          <t>TXN00166245</t>
        </is>
      </c>
      <c r="B328" t="inlineStr">
        <is>
          <t>MER00156</t>
        </is>
      </c>
      <c r="C328" s="8" t="n">
        <v>45976</v>
      </c>
      <c r="D328" t="inlineStr">
        <is>
          <t>ORD00166245</t>
        </is>
      </c>
      <c r="E328" t="n">
        <v>1032.7</v>
      </c>
      <c r="F328" t="n">
        <v>3.25</v>
      </c>
      <c r="G328" t="n">
        <v>33.56</v>
      </c>
      <c r="H328" t="inlineStr">
        <is>
          <t>COD</t>
        </is>
      </c>
      <c r="I328" t="inlineStr">
        <is>
          <t>Success</t>
        </is>
      </c>
      <c r="J328" t="inlineStr">
        <is>
          <t>Delivered</t>
        </is>
      </c>
      <c r="K328" t="n">
        <v>0</v>
      </c>
      <c r="L328" t="n">
        <v>163.11</v>
      </c>
      <c r="M328" t="inlineStr">
        <is>
          <t>INR</t>
        </is>
      </c>
      <c r="N328" t="inlineStr">
        <is>
          <t>2025-11-15 11:47:31</t>
        </is>
      </c>
    </row>
    <row r="329">
      <c r="A329" t="inlineStr">
        <is>
          <t>TXN00175192</t>
        </is>
      </c>
      <c r="B329" t="inlineStr">
        <is>
          <t>MER00156</t>
        </is>
      </c>
      <c r="C329" s="8" t="n">
        <v>45993</v>
      </c>
      <c r="D329" t="inlineStr">
        <is>
          <t>ORD00175192</t>
        </is>
      </c>
      <c r="E329" t="n">
        <v>1451.61</v>
      </c>
      <c r="F329" t="n">
        <v>3.25</v>
      </c>
      <c r="G329" t="n">
        <v>47.18</v>
      </c>
      <c r="H329" t="inlineStr">
        <is>
          <t>UPI</t>
        </is>
      </c>
      <c r="I329" t="inlineStr">
        <is>
          <t>Success</t>
        </is>
      </c>
      <c r="J329" t="inlineStr">
        <is>
          <t>Delivered</t>
        </is>
      </c>
      <c r="K329" t="n">
        <v>0</v>
      </c>
      <c r="L329" t="n">
        <v>0</v>
      </c>
      <c r="M329" t="inlineStr">
        <is>
          <t>INR</t>
        </is>
      </c>
      <c r="N329" t="inlineStr">
        <is>
          <t>2025-12-02 04:18:20</t>
        </is>
      </c>
    </row>
    <row r="330">
      <c r="A330" t="inlineStr">
        <is>
          <t>TXN00213953</t>
        </is>
      </c>
      <c r="B330" t="inlineStr">
        <is>
          <t>MER00156</t>
        </is>
      </c>
      <c r="C330" s="8" t="n">
        <v>46088</v>
      </c>
      <c r="D330" t="inlineStr">
        <is>
          <t>ORD00213953</t>
        </is>
      </c>
      <c r="E330" t="n">
        <v>828.4400000000001</v>
      </c>
      <c r="F330" t="n">
        <v>3.25</v>
      </c>
      <c r="G330" t="n">
        <v>26.92</v>
      </c>
      <c r="H330" t="inlineStr">
        <is>
          <t>UPI</t>
        </is>
      </c>
      <c r="I330" t="inlineStr">
        <is>
          <t>Success</t>
        </is>
      </c>
      <c r="J330" t="inlineStr">
        <is>
          <t>Returned</t>
        </is>
      </c>
      <c r="K330" t="n">
        <v>715.92</v>
      </c>
      <c r="L330" t="n">
        <v>0</v>
      </c>
      <c r="M330" t="inlineStr">
        <is>
          <t>INR</t>
        </is>
      </c>
      <c r="N330" t="inlineStr">
        <is>
          <t>2026-03-07 16:38:44</t>
        </is>
      </c>
    </row>
    <row r="331">
      <c r="A331" t="inlineStr">
        <is>
          <t>TXN00234904</t>
        </is>
      </c>
      <c r="B331" t="inlineStr">
        <is>
          <t>MER00156</t>
        </is>
      </c>
      <c r="C331" s="8" t="n">
        <v>46143</v>
      </c>
      <c r="D331" t="inlineStr">
        <is>
          <t>ORD00234904</t>
        </is>
      </c>
      <c r="E331" t="n">
        <v>756.76</v>
      </c>
      <c r="F331" t="n">
        <v>3.25</v>
      </c>
      <c r="G331" t="n">
        <v>24.59</v>
      </c>
      <c r="H331" t="inlineStr">
        <is>
          <t>NetBanking</t>
        </is>
      </c>
      <c r="I331" t="inlineStr">
        <is>
          <t>Pending</t>
        </is>
      </c>
      <c r="J331" t="inlineStr">
        <is>
          <t>Cancelled</t>
        </is>
      </c>
      <c r="K331" t="n">
        <v>0</v>
      </c>
      <c r="L331" t="n">
        <v>0</v>
      </c>
      <c r="M331" t="inlineStr">
        <is>
          <t>INR</t>
        </is>
      </c>
      <c r="N331" t="inlineStr">
        <is>
          <t>2026-05-01 03:12:46</t>
        </is>
      </c>
    </row>
    <row r="332">
      <c r="A332" t="inlineStr">
        <is>
          <t>TXN00247703</t>
        </is>
      </c>
      <c r="B332" t="inlineStr">
        <is>
          <t>MER00156</t>
        </is>
      </c>
      <c r="C332" s="8" t="n">
        <v>46177</v>
      </c>
      <c r="D332" t="inlineStr">
        <is>
          <t>ORD00247703</t>
        </is>
      </c>
      <c r="E332" t="n">
        <v>404.49</v>
      </c>
      <c r="F332" t="n">
        <v>3.25</v>
      </c>
      <c r="G332" t="n">
        <v>13.15</v>
      </c>
      <c r="H332" t="inlineStr">
        <is>
          <t>UPI</t>
        </is>
      </c>
      <c r="I332" t="inlineStr">
        <is>
          <t>Success</t>
        </is>
      </c>
      <c r="J332" t="inlineStr">
        <is>
          <t>Delivered</t>
        </is>
      </c>
      <c r="K332" t="n">
        <v>0</v>
      </c>
      <c r="L332" t="n">
        <v>0</v>
      </c>
      <c r="M332" t="inlineStr">
        <is>
          <t>INR</t>
        </is>
      </c>
      <c r="N332" t="inlineStr">
        <is>
          <t>2026-06-04 00:17:13</t>
        </is>
      </c>
    </row>
    <row r="333">
      <c r="A333" t="inlineStr">
        <is>
          <t>TXN00001708</t>
        </is>
      </c>
      <c r="B333" t="inlineStr">
        <is>
          <t>MER00184</t>
        </is>
      </c>
      <c r="C333" s="8" t="n">
        <v>45512</v>
      </c>
      <c r="D333" t="inlineStr">
        <is>
          <t>ORD00001708</t>
        </is>
      </c>
      <c r="E333" t="n">
        <v>1968.36</v>
      </c>
      <c r="F333" t="n">
        <v>2.5</v>
      </c>
      <c r="G333" t="n">
        <v>49.21</v>
      </c>
      <c r="H333" t="inlineStr">
        <is>
          <t>UPI</t>
        </is>
      </c>
      <c r="I333" t="inlineStr">
        <is>
          <t>Success</t>
        </is>
      </c>
      <c r="J333" t="inlineStr">
        <is>
          <t>Delivered</t>
        </is>
      </c>
      <c r="K333" t="n">
        <v>0</v>
      </c>
      <c r="L333" t="n">
        <v>0</v>
      </c>
      <c r="M333" t="inlineStr">
        <is>
          <t>INR</t>
        </is>
      </c>
      <c r="N333" t="inlineStr">
        <is>
          <t>2024-08-08 21:37:54</t>
        </is>
      </c>
    </row>
    <row r="334">
      <c r="A334" t="inlineStr">
        <is>
          <t>TXN00004348</t>
        </is>
      </c>
      <c r="B334" t="inlineStr">
        <is>
          <t>MER00184</t>
        </is>
      </c>
      <c r="C334" s="8" t="n">
        <v>45523</v>
      </c>
      <c r="D334" t="inlineStr">
        <is>
          <t>ORD00004348</t>
        </is>
      </c>
      <c r="E334" t="n">
        <v>557.2</v>
      </c>
      <c r="F334" t="n">
        <v>2.13</v>
      </c>
      <c r="G334" t="n">
        <v>11.87</v>
      </c>
      <c r="H334" t="inlineStr">
        <is>
          <t>UPI</t>
        </is>
      </c>
      <c r="I334" t="inlineStr">
        <is>
          <t>Success</t>
        </is>
      </c>
      <c r="J334" t="inlineStr">
        <is>
          <t>Delivered</t>
        </is>
      </c>
      <c r="K334" t="n">
        <v>0</v>
      </c>
      <c r="L334" t="n">
        <v>0</v>
      </c>
      <c r="M334" t="inlineStr">
        <is>
          <t>INR</t>
        </is>
      </c>
      <c r="N334" t="inlineStr">
        <is>
          <t>2024-08-19 06:44:42</t>
        </is>
      </c>
    </row>
    <row r="335">
      <c r="A335" t="inlineStr">
        <is>
          <t>TXN00010589</t>
        </is>
      </c>
      <c r="B335" t="inlineStr">
        <is>
          <t>MER00184</t>
        </is>
      </c>
      <c r="C335" s="8" t="n">
        <v>45546</v>
      </c>
      <c r="D335" t="inlineStr">
        <is>
          <t>ORD00010589</t>
        </is>
      </c>
      <c r="E335" t="n">
        <v>847.96</v>
      </c>
      <c r="F335" t="n">
        <v>2.13</v>
      </c>
      <c r="G335" t="n">
        <v>18.06</v>
      </c>
      <c r="H335" t="inlineStr">
        <is>
          <t>UPI</t>
        </is>
      </c>
      <c r="I335" t="inlineStr">
        <is>
          <t>Success</t>
        </is>
      </c>
      <c r="J335" t="inlineStr">
        <is>
          <t>Delivered</t>
        </is>
      </c>
      <c r="K335" t="n">
        <v>0</v>
      </c>
      <c r="L335" t="n">
        <v>0</v>
      </c>
      <c r="M335" t="inlineStr">
        <is>
          <t>INR</t>
        </is>
      </c>
      <c r="N335" t="inlineStr">
        <is>
          <t>2024-09-11 16:33:58</t>
        </is>
      </c>
    </row>
    <row r="336">
      <c r="A336" t="inlineStr">
        <is>
          <t>TXN00011538</t>
        </is>
      </c>
      <c r="B336" t="inlineStr">
        <is>
          <t>MER00184</t>
        </is>
      </c>
      <c r="C336" s="8" t="n">
        <v>45550</v>
      </c>
      <c r="D336" t="inlineStr">
        <is>
          <t>ORD00011538</t>
        </is>
      </c>
      <c r="E336" t="n">
        <v>594.0599999999999</v>
      </c>
      <c r="F336" t="n">
        <v>2.13</v>
      </c>
      <c r="G336" t="n">
        <v>12.65</v>
      </c>
      <c r="H336" t="inlineStr">
        <is>
          <t>Wallet</t>
        </is>
      </c>
      <c r="I336" t="inlineStr">
        <is>
          <t>Success</t>
        </is>
      </c>
      <c r="J336" t="inlineStr">
        <is>
          <t>Delivered</t>
        </is>
      </c>
      <c r="K336" t="n">
        <v>0</v>
      </c>
      <c r="L336" t="n">
        <v>0</v>
      </c>
      <c r="M336" t="inlineStr">
        <is>
          <t>INR</t>
        </is>
      </c>
      <c r="N336" t="inlineStr">
        <is>
          <t>2024-09-15 19:07:24</t>
        </is>
      </c>
    </row>
    <row r="337">
      <c r="A337" t="inlineStr">
        <is>
          <t>TXN00014127</t>
        </is>
      </c>
      <c r="B337" t="inlineStr">
        <is>
          <t>MER00184</t>
        </is>
      </c>
      <c r="C337" s="8" t="n">
        <v>45559</v>
      </c>
      <c r="D337" t="inlineStr">
        <is>
          <t>ORD00014127</t>
        </is>
      </c>
      <c r="E337" t="n">
        <v>1337.27</v>
      </c>
      <c r="F337" t="n">
        <v>2.13</v>
      </c>
      <c r="G337" t="n">
        <v>28.48</v>
      </c>
      <c r="H337" t="inlineStr">
        <is>
          <t>UPI</t>
        </is>
      </c>
      <c r="I337" t="inlineStr">
        <is>
          <t>Success</t>
        </is>
      </c>
      <c r="J337" t="inlineStr">
        <is>
          <t>Delivered</t>
        </is>
      </c>
      <c r="K337" t="n">
        <v>0</v>
      </c>
      <c r="L337" t="n">
        <v>0</v>
      </c>
      <c r="M337" t="inlineStr">
        <is>
          <t>INR</t>
        </is>
      </c>
      <c r="N337" t="inlineStr">
        <is>
          <t>2024-09-24 03:32:13</t>
        </is>
      </c>
    </row>
    <row r="338">
      <c r="A338" t="inlineStr">
        <is>
          <t>TXN00014649</t>
        </is>
      </c>
      <c r="B338" t="inlineStr">
        <is>
          <t>MER00184</t>
        </is>
      </c>
      <c r="C338" s="8" t="n">
        <v>45561</v>
      </c>
      <c r="D338" t="inlineStr">
        <is>
          <t>ORD00014649</t>
        </is>
      </c>
      <c r="E338" t="n">
        <v>2641.34</v>
      </c>
      <c r="F338" t="n">
        <v>2.13</v>
      </c>
      <c r="G338" t="n">
        <v>56.26</v>
      </c>
      <c r="H338" t="inlineStr">
        <is>
          <t>UPI</t>
        </is>
      </c>
      <c r="I338" t="inlineStr">
        <is>
          <t>Success</t>
        </is>
      </c>
      <c r="J338" t="inlineStr">
        <is>
          <t>Delivered</t>
        </is>
      </c>
      <c r="K338" t="n">
        <v>0</v>
      </c>
      <c r="L338" t="n">
        <v>0</v>
      </c>
      <c r="M338" t="inlineStr">
        <is>
          <t>INR</t>
        </is>
      </c>
      <c r="N338" t="inlineStr">
        <is>
          <t>2024-09-26 16:54:49</t>
        </is>
      </c>
    </row>
    <row r="339">
      <c r="A339" t="inlineStr">
        <is>
          <t>TXN00017101</t>
        </is>
      </c>
      <c r="B339" t="inlineStr">
        <is>
          <t>MER00184</t>
        </is>
      </c>
      <c r="C339" s="8" t="n">
        <v>45568</v>
      </c>
      <c r="D339" t="inlineStr">
        <is>
          <t>ORD00017101</t>
        </is>
      </c>
      <c r="E339" t="n">
        <v>1139.79</v>
      </c>
      <c r="F339" t="n">
        <v>2.13</v>
      </c>
      <c r="G339" t="n">
        <v>24.28</v>
      </c>
      <c r="H339" t="inlineStr">
        <is>
          <t>UPI</t>
        </is>
      </c>
      <c r="I339" t="inlineStr">
        <is>
          <t>Success</t>
        </is>
      </c>
      <c r="J339" t="inlineStr">
        <is>
          <t>Delivered</t>
        </is>
      </c>
      <c r="K339" t="n">
        <v>0</v>
      </c>
      <c r="L339" t="n">
        <v>0</v>
      </c>
      <c r="M339" t="inlineStr">
        <is>
          <t>INR</t>
        </is>
      </c>
      <c r="N339" t="inlineStr">
        <is>
          <t>2024-10-03 12:28:13</t>
        </is>
      </c>
    </row>
    <row r="340">
      <c r="A340" t="inlineStr">
        <is>
          <t>TXN00022251</t>
        </is>
      </c>
      <c r="B340" t="inlineStr">
        <is>
          <t>MER00184</t>
        </is>
      </c>
      <c r="C340" s="8" t="n">
        <v>45581</v>
      </c>
      <c r="D340" t="inlineStr">
        <is>
          <t>ORD00022251</t>
        </is>
      </c>
      <c r="E340" t="n">
        <v>1087.09</v>
      </c>
      <c r="F340" t="n">
        <v>2.13</v>
      </c>
      <c r="G340" t="n">
        <v>23.16</v>
      </c>
      <c r="H340" t="inlineStr">
        <is>
          <t>UPI</t>
        </is>
      </c>
      <c r="I340" t="inlineStr">
        <is>
          <t>Success</t>
        </is>
      </c>
      <c r="J340" t="inlineStr">
        <is>
          <t>Delivered</t>
        </is>
      </c>
      <c r="K340" t="n">
        <v>0</v>
      </c>
      <c r="L340" t="n">
        <v>0</v>
      </c>
      <c r="M340" t="inlineStr">
        <is>
          <t>INR</t>
        </is>
      </c>
      <c r="N340" t="inlineStr">
        <is>
          <t>2024-10-16 23:08:33</t>
        </is>
      </c>
    </row>
    <row r="341">
      <c r="A341" t="inlineStr">
        <is>
          <t>TXN00022006</t>
        </is>
      </c>
      <c r="B341" t="inlineStr">
        <is>
          <t>MER00184</t>
        </is>
      </c>
      <c r="C341" s="8" t="n">
        <v>45581</v>
      </c>
      <c r="D341" t="inlineStr">
        <is>
          <t>ORD00022006</t>
        </is>
      </c>
      <c r="E341" t="n">
        <v>1757.99</v>
      </c>
      <c r="F341" t="n">
        <v>2.13</v>
      </c>
      <c r="G341" t="n">
        <v>37.45</v>
      </c>
      <c r="H341" t="inlineStr">
        <is>
          <t>NetBanking</t>
        </is>
      </c>
      <c r="I341" t="inlineStr">
        <is>
          <t>Success</t>
        </is>
      </c>
      <c r="J341" t="inlineStr">
        <is>
          <t>Delivered</t>
        </is>
      </c>
      <c r="K341" t="n">
        <v>0</v>
      </c>
      <c r="L341" t="n">
        <v>0</v>
      </c>
      <c r="M341" t="inlineStr">
        <is>
          <t>INR</t>
        </is>
      </c>
      <c r="N341" t="inlineStr">
        <is>
          <t>2024-10-16 21:12:45</t>
        </is>
      </c>
    </row>
    <row r="342">
      <c r="A342" t="inlineStr">
        <is>
          <t>TXN00025328</t>
        </is>
      </c>
      <c r="B342" t="inlineStr">
        <is>
          <t>MER00184</t>
        </is>
      </c>
      <c r="C342" s="8" t="n">
        <v>45590</v>
      </c>
      <c r="D342" t="inlineStr">
        <is>
          <t>ORD00025328</t>
        </is>
      </c>
      <c r="E342" t="n">
        <v>947.1799999999999</v>
      </c>
      <c r="F342" t="n">
        <v>2.13</v>
      </c>
      <c r="G342" t="n">
        <v>20.17</v>
      </c>
      <c r="H342" t="inlineStr">
        <is>
          <t>Wallet</t>
        </is>
      </c>
      <c r="I342" t="inlineStr">
        <is>
          <t>Success</t>
        </is>
      </c>
      <c r="J342" t="inlineStr">
        <is>
          <t>Delivered</t>
        </is>
      </c>
      <c r="K342" t="n">
        <v>0</v>
      </c>
      <c r="L342" t="n">
        <v>139.8</v>
      </c>
      <c r="M342" t="inlineStr">
        <is>
          <t>INR</t>
        </is>
      </c>
      <c r="N342" t="inlineStr">
        <is>
          <t>2024-10-25 00:08:23</t>
        </is>
      </c>
    </row>
    <row r="343">
      <c r="A343" t="inlineStr">
        <is>
          <t>TXN00028932</t>
        </is>
      </c>
      <c r="B343" t="inlineStr">
        <is>
          <t>MER00184</t>
        </is>
      </c>
      <c r="C343" s="8" t="n">
        <v>45599</v>
      </c>
      <c r="D343" t="inlineStr">
        <is>
          <t>ORD00028932</t>
        </is>
      </c>
      <c r="E343" t="n">
        <v>906.55</v>
      </c>
      <c r="F343" t="n">
        <v>2.13</v>
      </c>
      <c r="G343" t="n">
        <v>19.31</v>
      </c>
      <c r="H343" t="inlineStr">
        <is>
          <t>Card</t>
        </is>
      </c>
      <c r="I343" t="inlineStr">
        <is>
          <t>Pending</t>
        </is>
      </c>
      <c r="J343" t="inlineStr">
        <is>
          <t>Processing</t>
        </is>
      </c>
      <c r="K343" t="n">
        <v>0</v>
      </c>
      <c r="L343" t="n">
        <v>0</v>
      </c>
      <c r="M343" t="inlineStr">
        <is>
          <t>INR</t>
        </is>
      </c>
      <c r="N343" t="inlineStr">
        <is>
          <t>2024-11-03 14:16:35</t>
        </is>
      </c>
    </row>
    <row r="344">
      <c r="A344" t="inlineStr">
        <is>
          <t>TXN00030544</t>
        </is>
      </c>
      <c r="B344" t="inlineStr">
        <is>
          <t>MER00184</t>
        </is>
      </c>
      <c r="C344" s="8" t="n">
        <v>45602</v>
      </c>
      <c r="D344" t="inlineStr">
        <is>
          <t>ORD00030544</t>
        </is>
      </c>
      <c r="E344" t="n">
        <v>1460.28</v>
      </c>
      <c r="F344" t="n">
        <v>2.13</v>
      </c>
      <c r="G344" t="n">
        <v>31.1</v>
      </c>
      <c r="H344" t="inlineStr">
        <is>
          <t>UPI</t>
        </is>
      </c>
      <c r="I344" t="inlineStr">
        <is>
          <t>Success</t>
        </is>
      </c>
      <c r="J344" t="inlineStr">
        <is>
          <t>Delivered</t>
        </is>
      </c>
      <c r="K344" t="n">
        <v>0</v>
      </c>
      <c r="L344" t="n">
        <v>0</v>
      </c>
      <c r="M344" t="inlineStr">
        <is>
          <t>INR</t>
        </is>
      </c>
      <c r="N344" t="inlineStr">
        <is>
          <t>2024-11-06 15:21:40</t>
        </is>
      </c>
    </row>
    <row r="345">
      <c r="A345" t="inlineStr">
        <is>
          <t>TXN00033272</t>
        </is>
      </c>
      <c r="B345" t="inlineStr">
        <is>
          <t>MER00184</t>
        </is>
      </c>
      <c r="C345" s="8" t="n">
        <v>45608</v>
      </c>
      <c r="D345" t="inlineStr">
        <is>
          <t>ORD00033272</t>
        </is>
      </c>
      <c r="E345" t="n">
        <v>1556.9</v>
      </c>
      <c r="F345" t="n">
        <v>2.13</v>
      </c>
      <c r="G345" t="n">
        <v>33.16</v>
      </c>
      <c r="H345" t="inlineStr">
        <is>
          <t>Card</t>
        </is>
      </c>
      <c r="I345" t="inlineStr">
        <is>
          <t>Success</t>
        </is>
      </c>
      <c r="J345" t="inlineStr">
        <is>
          <t>Delivered</t>
        </is>
      </c>
      <c r="K345" t="n">
        <v>0</v>
      </c>
      <c r="L345" t="n">
        <v>256.18</v>
      </c>
      <c r="M345" t="inlineStr">
        <is>
          <t>INR</t>
        </is>
      </c>
      <c r="N345" t="inlineStr">
        <is>
          <t>2024-11-12 20:52:41</t>
        </is>
      </c>
    </row>
    <row r="346">
      <c r="A346" t="inlineStr">
        <is>
          <t>TXN00035962</t>
        </is>
      </c>
      <c r="B346" t="inlineStr">
        <is>
          <t>MER00184</t>
        </is>
      </c>
      <c r="C346" s="8" t="n">
        <v>45614</v>
      </c>
      <c r="D346" t="inlineStr">
        <is>
          <t>ORD00035962</t>
        </is>
      </c>
      <c r="E346" t="n">
        <v>486.16</v>
      </c>
      <c r="F346" t="n">
        <v>2.13</v>
      </c>
      <c r="G346" t="n">
        <v>10.36</v>
      </c>
      <c r="H346" t="inlineStr">
        <is>
          <t>Card</t>
        </is>
      </c>
      <c r="I346" t="inlineStr">
        <is>
          <t>Success</t>
        </is>
      </c>
      <c r="J346" t="inlineStr">
        <is>
          <t>Delivered</t>
        </is>
      </c>
      <c r="K346" t="n">
        <v>0</v>
      </c>
      <c r="L346" t="n">
        <v>0</v>
      </c>
      <c r="M346" t="inlineStr">
        <is>
          <t>INR</t>
        </is>
      </c>
      <c r="N346" t="inlineStr">
        <is>
          <t>2024-11-18 12:52:32</t>
        </is>
      </c>
    </row>
    <row r="347">
      <c r="A347" t="inlineStr">
        <is>
          <t>TXN00039665</t>
        </is>
      </c>
      <c r="B347" t="inlineStr">
        <is>
          <t>MER00184</t>
        </is>
      </c>
      <c r="C347" s="8" t="n">
        <v>45622</v>
      </c>
      <c r="D347" t="inlineStr">
        <is>
          <t>ORD00039665</t>
        </is>
      </c>
      <c r="E347" t="n">
        <v>1590.77</v>
      </c>
      <c r="F347" t="n">
        <v>2.13</v>
      </c>
      <c r="G347" t="n">
        <v>33.88</v>
      </c>
      <c r="H347" t="inlineStr">
        <is>
          <t>Wallet</t>
        </is>
      </c>
      <c r="I347" t="inlineStr">
        <is>
          <t>Success</t>
        </is>
      </c>
      <c r="J347" t="inlineStr">
        <is>
          <t>Delivered</t>
        </is>
      </c>
      <c r="K347" t="n">
        <v>0</v>
      </c>
      <c r="L347" t="n">
        <v>0</v>
      </c>
      <c r="M347" t="inlineStr">
        <is>
          <t>INR</t>
        </is>
      </c>
      <c r="N347" t="inlineStr">
        <is>
          <t>2024-11-26 15:06:51</t>
        </is>
      </c>
    </row>
    <row r="348">
      <c r="A348" t="inlineStr">
        <is>
          <t>TXN00043031</t>
        </is>
      </c>
      <c r="B348" t="inlineStr">
        <is>
          <t>MER00184</t>
        </is>
      </c>
      <c r="C348" s="8" t="n">
        <v>45631</v>
      </c>
      <c r="D348" t="inlineStr">
        <is>
          <t>ORD00043031</t>
        </is>
      </c>
      <c r="E348" t="n">
        <v>1329.96</v>
      </c>
      <c r="F348" t="n">
        <v>2.13</v>
      </c>
      <c r="G348" t="n">
        <v>28.33</v>
      </c>
      <c r="H348" t="inlineStr">
        <is>
          <t>UPI</t>
        </is>
      </c>
      <c r="I348" t="inlineStr">
        <is>
          <t>Success</t>
        </is>
      </c>
      <c r="J348" t="inlineStr">
        <is>
          <t>Delivered</t>
        </is>
      </c>
      <c r="K348" t="n">
        <v>0</v>
      </c>
      <c r="L348" t="n">
        <v>0</v>
      </c>
      <c r="M348" t="inlineStr">
        <is>
          <t>INR</t>
        </is>
      </c>
      <c r="N348" t="inlineStr">
        <is>
          <t>2024-12-05 23:34:41</t>
        </is>
      </c>
    </row>
    <row r="349">
      <c r="A349" t="inlineStr">
        <is>
          <t>TXN00043830</t>
        </is>
      </c>
      <c r="B349" t="inlineStr">
        <is>
          <t>MER00184</t>
        </is>
      </c>
      <c r="C349" s="8" t="n">
        <v>45634</v>
      </c>
      <c r="D349" t="inlineStr">
        <is>
          <t>ORD00043830</t>
        </is>
      </c>
      <c r="E349" t="n">
        <v>982.72</v>
      </c>
      <c r="F349" t="n">
        <v>2.13</v>
      </c>
      <c r="G349" t="n">
        <v>20.93</v>
      </c>
      <c r="H349" t="inlineStr">
        <is>
          <t>Card</t>
        </is>
      </c>
      <c r="I349" t="inlineStr">
        <is>
          <t>Success</t>
        </is>
      </c>
      <c r="J349" t="inlineStr">
        <is>
          <t>Delivered</t>
        </is>
      </c>
      <c r="K349" t="n">
        <v>0</v>
      </c>
      <c r="L349" t="n">
        <v>0</v>
      </c>
      <c r="M349" t="inlineStr">
        <is>
          <t>INR</t>
        </is>
      </c>
      <c r="N349" t="inlineStr">
        <is>
          <t>2024-12-08 01:31:24</t>
        </is>
      </c>
    </row>
    <row r="350">
      <c r="A350" t="inlineStr">
        <is>
          <t>TXN00046696</t>
        </is>
      </c>
      <c r="B350" t="inlineStr">
        <is>
          <t>MER00184</t>
        </is>
      </c>
      <c r="C350" s="8" t="n">
        <v>45643</v>
      </c>
      <c r="D350" t="inlineStr">
        <is>
          <t>ORD00046696</t>
        </is>
      </c>
      <c r="E350" t="n">
        <v>1641.33</v>
      </c>
      <c r="F350" t="n">
        <v>2.13</v>
      </c>
      <c r="G350" t="n">
        <v>34.96</v>
      </c>
      <c r="H350" t="inlineStr">
        <is>
          <t>Wallet</t>
        </is>
      </c>
      <c r="I350" t="inlineStr">
        <is>
          <t>Success</t>
        </is>
      </c>
      <c r="J350" t="inlineStr">
        <is>
          <t>Delivered</t>
        </is>
      </c>
      <c r="K350" t="n">
        <v>0</v>
      </c>
      <c r="L350" t="n">
        <v>0</v>
      </c>
      <c r="M350" t="inlineStr">
        <is>
          <t>INR</t>
        </is>
      </c>
      <c r="N350" t="inlineStr">
        <is>
          <t>2024-12-17 11:04:33</t>
        </is>
      </c>
    </row>
    <row r="351">
      <c r="A351" t="inlineStr">
        <is>
          <t>TXN00050827</t>
        </is>
      </c>
      <c r="B351" t="inlineStr">
        <is>
          <t>MER00184</t>
        </is>
      </c>
      <c r="C351" s="8" t="n">
        <v>45656</v>
      </c>
      <c r="D351" t="inlineStr">
        <is>
          <t>ORD00050827</t>
        </is>
      </c>
      <c r="E351" t="n">
        <v>1084.55</v>
      </c>
      <c r="F351" t="n">
        <v>2.13</v>
      </c>
      <c r="G351" t="n">
        <v>23.1</v>
      </c>
      <c r="H351" t="inlineStr">
        <is>
          <t>UPI</t>
        </is>
      </c>
      <c r="I351" t="inlineStr">
        <is>
          <t>Success</t>
        </is>
      </c>
      <c r="J351" t="inlineStr">
        <is>
          <t>Delivered</t>
        </is>
      </c>
      <c r="K351" t="n">
        <v>0</v>
      </c>
      <c r="L351" t="n">
        <v>0</v>
      </c>
      <c r="M351" t="inlineStr">
        <is>
          <t>INR</t>
        </is>
      </c>
      <c r="N351" t="inlineStr">
        <is>
          <t>2024-12-30 12:00:14</t>
        </is>
      </c>
    </row>
    <row r="352">
      <c r="A352" t="inlineStr">
        <is>
          <t>TXN00051340</t>
        </is>
      </c>
      <c r="B352" t="inlineStr">
        <is>
          <t>MER00184</t>
        </is>
      </c>
      <c r="C352" s="8" t="n">
        <v>45658</v>
      </c>
      <c r="D352" t="inlineStr">
        <is>
          <t>ORD00051340</t>
        </is>
      </c>
      <c r="E352" t="n">
        <v>749.4299999999999</v>
      </c>
      <c r="F352" t="n">
        <v>2.13</v>
      </c>
      <c r="G352" t="n">
        <v>15.96</v>
      </c>
      <c r="H352" t="inlineStr">
        <is>
          <t>NetBanking</t>
        </is>
      </c>
      <c r="I352" t="inlineStr">
        <is>
          <t>Success</t>
        </is>
      </c>
      <c r="J352" t="inlineStr">
        <is>
          <t>Cancelled</t>
        </is>
      </c>
      <c r="K352" t="n">
        <v>741.1799999999999</v>
      </c>
      <c r="L352" t="n">
        <v>0</v>
      </c>
      <c r="M352" t="inlineStr">
        <is>
          <t>INR</t>
        </is>
      </c>
      <c r="N352" t="inlineStr">
        <is>
          <t>2025-01-01 10:22:24</t>
        </is>
      </c>
    </row>
    <row r="353">
      <c r="A353" t="inlineStr">
        <is>
          <t>TXN00055736</t>
        </is>
      </c>
      <c r="B353" t="inlineStr">
        <is>
          <t>MER00184</t>
        </is>
      </c>
      <c r="C353" s="8" t="n">
        <v>45669</v>
      </c>
      <c r="D353" t="inlineStr">
        <is>
          <t>ORD00055736</t>
        </is>
      </c>
      <c r="E353" t="n">
        <v>706.22</v>
      </c>
      <c r="F353" t="n">
        <v>2.13</v>
      </c>
      <c r="G353" t="n">
        <v>15.04</v>
      </c>
      <c r="H353" t="inlineStr">
        <is>
          <t>Card</t>
        </is>
      </c>
      <c r="I353" t="inlineStr">
        <is>
          <t>Success</t>
        </is>
      </c>
      <c r="J353" t="inlineStr">
        <is>
          <t>Delivered</t>
        </is>
      </c>
      <c r="K353" t="n">
        <v>0</v>
      </c>
      <c r="L353" t="n">
        <v>0</v>
      </c>
      <c r="M353" t="inlineStr">
        <is>
          <t>INR</t>
        </is>
      </c>
      <c r="N353" t="inlineStr">
        <is>
          <t>2025-01-12 20:34:41</t>
        </is>
      </c>
    </row>
    <row r="354">
      <c r="A354" t="inlineStr">
        <is>
          <t>TXN00057068</t>
        </is>
      </c>
      <c r="B354" t="inlineStr">
        <is>
          <t>MER00184</t>
        </is>
      </c>
      <c r="C354" s="8" t="n">
        <v>45673</v>
      </c>
      <c r="D354" t="inlineStr">
        <is>
          <t>ORD00057068</t>
        </is>
      </c>
      <c r="E354" t="n">
        <v>1561.7</v>
      </c>
      <c r="F354" t="n">
        <v>2.13</v>
      </c>
      <c r="G354" t="n">
        <v>33.26</v>
      </c>
      <c r="H354" t="inlineStr">
        <is>
          <t>UPI</t>
        </is>
      </c>
      <c r="I354" t="inlineStr">
        <is>
          <t>Success</t>
        </is>
      </c>
      <c r="J354" t="inlineStr">
        <is>
          <t>Delivered</t>
        </is>
      </c>
      <c r="K354" t="n">
        <v>0</v>
      </c>
      <c r="L354" t="n">
        <v>0</v>
      </c>
      <c r="M354" t="inlineStr">
        <is>
          <t>INR</t>
        </is>
      </c>
      <c r="N354" t="inlineStr">
        <is>
          <t>2025-01-16 23:04:42</t>
        </is>
      </c>
    </row>
    <row r="355">
      <c r="A355" t="inlineStr">
        <is>
          <t>TXN00057067</t>
        </is>
      </c>
      <c r="B355" t="inlineStr">
        <is>
          <t>MER00184</t>
        </is>
      </c>
      <c r="C355" s="8" t="n">
        <v>45673</v>
      </c>
      <c r="D355" t="inlineStr">
        <is>
          <t>ORD00057067</t>
        </is>
      </c>
      <c r="E355" t="n">
        <v>2125.72</v>
      </c>
      <c r="F355" t="n">
        <v>2.13</v>
      </c>
      <c r="G355" t="n">
        <v>45.28</v>
      </c>
      <c r="H355" t="inlineStr">
        <is>
          <t>Card</t>
        </is>
      </c>
      <c r="I355" t="inlineStr">
        <is>
          <t>Success</t>
        </is>
      </c>
      <c r="J355" t="inlineStr">
        <is>
          <t>Delivered</t>
        </is>
      </c>
      <c r="K355" t="n">
        <v>0</v>
      </c>
      <c r="L355" t="n">
        <v>154.07</v>
      </c>
      <c r="M355" t="inlineStr">
        <is>
          <t>INR</t>
        </is>
      </c>
      <c r="N355" t="inlineStr">
        <is>
          <t>2025-01-16 21:18:49</t>
        </is>
      </c>
    </row>
    <row r="356">
      <c r="A356" t="inlineStr">
        <is>
          <t>TXN00057427</t>
        </is>
      </c>
      <c r="B356" t="inlineStr">
        <is>
          <t>MER00184</t>
        </is>
      </c>
      <c r="C356" s="8" t="n">
        <v>45674</v>
      </c>
      <c r="D356" t="inlineStr">
        <is>
          <t>ORD00057427</t>
        </is>
      </c>
      <c r="E356" t="n">
        <v>1463.66</v>
      </c>
      <c r="F356" t="n">
        <v>2.13</v>
      </c>
      <c r="G356" t="n">
        <v>31.18</v>
      </c>
      <c r="H356" t="inlineStr">
        <is>
          <t>UPI</t>
        </is>
      </c>
      <c r="I356" t="inlineStr">
        <is>
          <t>Success</t>
        </is>
      </c>
      <c r="J356" t="inlineStr">
        <is>
          <t>Returned</t>
        </is>
      </c>
      <c r="K356" t="n">
        <v>766.37</v>
      </c>
      <c r="L356" t="n">
        <v>0</v>
      </c>
      <c r="M356" t="inlineStr">
        <is>
          <t>INR</t>
        </is>
      </c>
      <c r="N356" t="inlineStr">
        <is>
          <t>2025-01-17 00:30:49</t>
        </is>
      </c>
    </row>
    <row r="357">
      <c r="A357" t="inlineStr">
        <is>
          <t>TXN00060116</t>
        </is>
      </c>
      <c r="B357" t="inlineStr">
        <is>
          <t>MER00184</t>
        </is>
      </c>
      <c r="C357" s="8" t="n">
        <v>45681</v>
      </c>
      <c r="D357" t="inlineStr">
        <is>
          <t>ORD00060116</t>
        </is>
      </c>
      <c r="E357" t="n">
        <v>769.74</v>
      </c>
      <c r="F357" t="n">
        <v>2.13</v>
      </c>
      <c r="G357" t="n">
        <v>16.4</v>
      </c>
      <c r="H357" t="inlineStr">
        <is>
          <t>UPI</t>
        </is>
      </c>
      <c r="I357" t="inlineStr">
        <is>
          <t>Success</t>
        </is>
      </c>
      <c r="J357" t="inlineStr">
        <is>
          <t>Delivered</t>
        </is>
      </c>
      <c r="K357" t="n">
        <v>0</v>
      </c>
      <c r="L357" t="n">
        <v>0</v>
      </c>
      <c r="M357" t="inlineStr">
        <is>
          <t>INR</t>
        </is>
      </c>
      <c r="N357" t="inlineStr">
        <is>
          <t>2025-01-24 16:20:37</t>
        </is>
      </c>
    </row>
    <row r="358">
      <c r="A358" t="inlineStr">
        <is>
          <t>TXN00060585</t>
        </is>
      </c>
      <c r="B358" t="inlineStr">
        <is>
          <t>MER00184</t>
        </is>
      </c>
      <c r="C358" s="8" t="n">
        <v>45682</v>
      </c>
      <c r="D358" t="inlineStr">
        <is>
          <t>ORD00060585</t>
        </is>
      </c>
      <c r="E358" t="n">
        <v>503.75</v>
      </c>
      <c r="F358" t="n">
        <v>2.13</v>
      </c>
      <c r="G358" t="n">
        <v>10.73</v>
      </c>
      <c r="H358" t="inlineStr">
        <is>
          <t>Card</t>
        </is>
      </c>
      <c r="I358" t="inlineStr">
        <is>
          <t>Unknown</t>
        </is>
      </c>
      <c r="J358" t="inlineStr">
        <is>
          <t>Delivered</t>
        </is>
      </c>
      <c r="K358" t="n">
        <v>0</v>
      </c>
      <c r="L358" t="n">
        <v>0</v>
      </c>
      <c r="M358" t="inlineStr">
        <is>
          <t>INR</t>
        </is>
      </c>
      <c r="N358" t="inlineStr">
        <is>
          <t>2025-01-25 07:39:13</t>
        </is>
      </c>
    </row>
    <row r="359">
      <c r="A359" t="inlineStr">
        <is>
          <t>TXN00063322</t>
        </is>
      </c>
      <c r="B359" t="inlineStr">
        <is>
          <t>MER00184</t>
        </is>
      </c>
      <c r="C359" s="8" t="n">
        <v>45689</v>
      </c>
      <c r="D359" t="inlineStr">
        <is>
          <t>ORD00063322</t>
        </is>
      </c>
      <c r="E359" t="n">
        <v>671.62</v>
      </c>
      <c r="F359" t="n">
        <v>2.13</v>
      </c>
      <c r="G359" t="n">
        <v>14.31</v>
      </c>
      <c r="H359" t="inlineStr">
        <is>
          <t>UPI</t>
        </is>
      </c>
      <c r="I359" t="inlineStr">
        <is>
          <t>Success</t>
        </is>
      </c>
      <c r="J359" t="inlineStr">
        <is>
          <t>Delivered</t>
        </is>
      </c>
      <c r="K359" t="n">
        <v>0</v>
      </c>
      <c r="L359" t="n">
        <v>0</v>
      </c>
      <c r="M359" t="inlineStr">
        <is>
          <t>INR</t>
        </is>
      </c>
      <c r="N359" t="inlineStr">
        <is>
          <t>2025-02-01 12:55:51</t>
        </is>
      </c>
    </row>
    <row r="360">
      <c r="A360" t="inlineStr">
        <is>
          <t>TXN00065902</t>
        </is>
      </c>
      <c r="B360" t="inlineStr">
        <is>
          <t>MER00184</t>
        </is>
      </c>
      <c r="C360" s="8" t="n">
        <v>45697</v>
      </c>
      <c r="D360" t="inlineStr">
        <is>
          <t>ORD00065902</t>
        </is>
      </c>
      <c r="E360" t="n">
        <v>1152.42</v>
      </c>
      <c r="F360" t="n">
        <v>2.13</v>
      </c>
      <c r="G360" t="n">
        <v>24.55</v>
      </c>
      <c r="H360" t="inlineStr">
        <is>
          <t>UPI</t>
        </is>
      </c>
      <c r="I360" t="inlineStr">
        <is>
          <t>Success</t>
        </is>
      </c>
      <c r="J360" t="inlineStr">
        <is>
          <t>Delivered</t>
        </is>
      </c>
      <c r="K360" t="n">
        <v>0</v>
      </c>
      <c r="L360" t="n">
        <v>0</v>
      </c>
      <c r="M360" t="inlineStr">
        <is>
          <t>INR</t>
        </is>
      </c>
      <c r="N360" t="inlineStr">
        <is>
          <t>2025-02-09 14:25:50</t>
        </is>
      </c>
    </row>
    <row r="361">
      <c r="A361" t="inlineStr">
        <is>
          <t>TXN00072136</t>
        </is>
      </c>
      <c r="B361" t="inlineStr">
        <is>
          <t>MER00184</t>
        </is>
      </c>
      <c r="C361" s="8" t="n">
        <v>45716</v>
      </c>
      <c r="D361" t="inlineStr">
        <is>
          <t>ORD00072136</t>
        </is>
      </c>
      <c r="E361" t="n">
        <v>2549.9</v>
      </c>
      <c r="F361" t="n">
        <v>2.13</v>
      </c>
      <c r="G361" t="n">
        <v>54.31</v>
      </c>
      <c r="H361" t="inlineStr">
        <is>
          <t>UPI</t>
        </is>
      </c>
      <c r="I361" t="inlineStr">
        <is>
          <t>Success</t>
        </is>
      </c>
      <c r="J361" t="inlineStr">
        <is>
          <t>Delivered</t>
        </is>
      </c>
      <c r="K361" t="n">
        <v>0</v>
      </c>
      <c r="L361" t="n">
        <v>0</v>
      </c>
      <c r="M361" t="inlineStr">
        <is>
          <t>INR</t>
        </is>
      </c>
      <c r="N361" t="inlineStr">
        <is>
          <t>2025-02-28 04:37:03</t>
        </is>
      </c>
    </row>
    <row r="362">
      <c r="A362" t="inlineStr">
        <is>
          <t>TXN00073988</t>
        </is>
      </c>
      <c r="B362" t="inlineStr">
        <is>
          <t>MER00184</t>
        </is>
      </c>
      <c r="C362" s="8" t="n">
        <v>45722</v>
      </c>
      <c r="D362" t="inlineStr">
        <is>
          <t>ORD00073988</t>
        </is>
      </c>
      <c r="E362" t="n">
        <v>1925.75</v>
      </c>
      <c r="F362" t="n">
        <v>2.13</v>
      </c>
      <c r="G362" t="n">
        <v>41.02</v>
      </c>
      <c r="H362" t="inlineStr">
        <is>
          <t>UPI</t>
        </is>
      </c>
      <c r="I362" t="inlineStr">
        <is>
          <t>Success</t>
        </is>
      </c>
      <c r="J362" t="inlineStr">
        <is>
          <t>Processing</t>
        </is>
      </c>
      <c r="K362" t="n">
        <v>0</v>
      </c>
      <c r="L362" t="n">
        <v>0</v>
      </c>
      <c r="M362" t="inlineStr">
        <is>
          <t>INR</t>
        </is>
      </c>
      <c r="N362" t="inlineStr">
        <is>
          <t>2025-03-06 23:06:14</t>
        </is>
      </c>
    </row>
    <row r="363">
      <c r="A363" t="inlineStr">
        <is>
          <t>TXN00076981</t>
        </is>
      </c>
      <c r="B363" t="inlineStr">
        <is>
          <t>MER00184</t>
        </is>
      </c>
      <c r="C363" s="8" t="n">
        <v>45731</v>
      </c>
      <c r="D363" t="inlineStr">
        <is>
          <t>ORD00076981</t>
        </is>
      </c>
      <c r="E363" t="n">
        <v>2640.52</v>
      </c>
      <c r="F363" t="n">
        <v>2.13</v>
      </c>
      <c r="G363" t="n">
        <v>56.24</v>
      </c>
      <c r="H363" t="inlineStr">
        <is>
          <t>Card</t>
        </is>
      </c>
      <c r="I363" t="inlineStr">
        <is>
          <t>Success</t>
        </is>
      </c>
      <c r="J363" t="inlineStr">
        <is>
          <t>Delivered</t>
        </is>
      </c>
      <c r="K363" t="n">
        <v>0</v>
      </c>
      <c r="L363" t="n">
        <v>0</v>
      </c>
      <c r="M363" t="inlineStr">
        <is>
          <t>INR</t>
        </is>
      </c>
      <c r="N363" t="inlineStr">
        <is>
          <t>2025-03-15 02:41:37</t>
        </is>
      </c>
    </row>
    <row r="364">
      <c r="A364" t="inlineStr">
        <is>
          <t>TXN00078195</t>
        </is>
      </c>
      <c r="B364" t="inlineStr">
        <is>
          <t>MER00184</t>
        </is>
      </c>
      <c r="C364" s="8" t="n">
        <v>45735</v>
      </c>
      <c r="D364" t="inlineStr">
        <is>
          <t>ORD00078195</t>
        </is>
      </c>
      <c r="E364" t="n">
        <v>1133.51</v>
      </c>
      <c r="F364" t="n">
        <v>2.13</v>
      </c>
      <c r="G364" t="n">
        <v>24.14</v>
      </c>
      <c r="H364" t="inlineStr">
        <is>
          <t>UPI</t>
        </is>
      </c>
      <c r="I364" t="inlineStr">
        <is>
          <t>Success</t>
        </is>
      </c>
      <c r="J364" t="inlineStr">
        <is>
          <t>Delivered</t>
        </is>
      </c>
      <c r="K364" t="n">
        <v>0</v>
      </c>
      <c r="L364" t="n">
        <v>0</v>
      </c>
      <c r="M364" t="inlineStr">
        <is>
          <t>INR</t>
        </is>
      </c>
      <c r="N364" t="inlineStr">
        <is>
          <t>2025-03-19 00:13:33</t>
        </is>
      </c>
    </row>
    <row r="365">
      <c r="A365" t="inlineStr">
        <is>
          <t>TXN00079403</t>
        </is>
      </c>
      <c r="B365" t="inlineStr">
        <is>
          <t>MER00184</t>
        </is>
      </c>
      <c r="C365" s="8" t="n">
        <v>45739</v>
      </c>
      <c r="D365" t="inlineStr">
        <is>
          <t>ORD00079403</t>
        </is>
      </c>
      <c r="E365" t="n">
        <v>919.53</v>
      </c>
      <c r="F365" t="n">
        <v>2.13</v>
      </c>
      <c r="G365" t="n">
        <v>19.59</v>
      </c>
      <c r="H365" t="inlineStr">
        <is>
          <t>UPI</t>
        </is>
      </c>
      <c r="I365" t="inlineStr">
        <is>
          <t>Success</t>
        </is>
      </c>
      <c r="J365" t="inlineStr">
        <is>
          <t>Delivered</t>
        </is>
      </c>
      <c r="K365" t="n">
        <v>0</v>
      </c>
      <c r="L365" t="n">
        <v>101.17</v>
      </c>
      <c r="M365" t="inlineStr">
        <is>
          <t>INR</t>
        </is>
      </c>
      <c r="N365" t="inlineStr">
        <is>
          <t>2025-03-23 09:57:25</t>
        </is>
      </c>
    </row>
    <row r="366">
      <c r="A366" t="inlineStr">
        <is>
          <t>TXN00079882</t>
        </is>
      </c>
      <c r="B366" t="inlineStr">
        <is>
          <t>MER00184</t>
        </is>
      </c>
      <c r="C366" s="8" t="n">
        <v>45740</v>
      </c>
      <c r="D366" t="inlineStr">
        <is>
          <t>ORD00079882</t>
        </is>
      </c>
      <c r="E366" t="n">
        <v>4507.64</v>
      </c>
      <c r="F366" t="n">
        <v>2.13</v>
      </c>
      <c r="G366" t="n">
        <v>96.01000000000001</v>
      </c>
      <c r="H366" t="inlineStr">
        <is>
          <t>UPI</t>
        </is>
      </c>
      <c r="I366" t="inlineStr">
        <is>
          <t>Success</t>
        </is>
      </c>
      <c r="J366" t="inlineStr">
        <is>
          <t>Delivered</t>
        </is>
      </c>
      <c r="K366" t="n">
        <v>0</v>
      </c>
      <c r="L366" t="n">
        <v>0</v>
      </c>
      <c r="M366" t="inlineStr">
        <is>
          <t>INR</t>
        </is>
      </c>
      <c r="N366" t="inlineStr">
        <is>
          <t>2025-03-24 11:51:43</t>
        </is>
      </c>
    </row>
    <row r="367">
      <c r="A367" t="inlineStr">
        <is>
          <t>TXN00082264</t>
        </is>
      </c>
      <c r="B367" t="inlineStr">
        <is>
          <t>MER00184</t>
        </is>
      </c>
      <c r="C367" s="8" t="n">
        <v>45748</v>
      </c>
      <c r="D367" t="inlineStr">
        <is>
          <t>ORD00082264</t>
        </is>
      </c>
      <c r="E367" t="n">
        <v>529.0599999999999</v>
      </c>
      <c r="F367" t="n">
        <v>2.13</v>
      </c>
      <c r="G367" t="n">
        <v>11.27</v>
      </c>
      <c r="H367" t="inlineStr">
        <is>
          <t>Card</t>
        </is>
      </c>
      <c r="I367" t="inlineStr">
        <is>
          <t>Failed</t>
        </is>
      </c>
      <c r="J367" t="inlineStr">
        <is>
          <t>Cancelled</t>
        </is>
      </c>
      <c r="K367" t="n">
        <v>0</v>
      </c>
      <c r="L367" t="n">
        <v>95.29000000000001</v>
      </c>
      <c r="M367" t="inlineStr">
        <is>
          <t>INR</t>
        </is>
      </c>
      <c r="N367" t="inlineStr">
        <is>
          <t>2025-04-01 04:04:27</t>
        </is>
      </c>
    </row>
    <row r="368">
      <c r="A368" t="inlineStr">
        <is>
          <t>TXN00091404</t>
        </is>
      </c>
      <c r="B368" t="inlineStr">
        <is>
          <t>MER00184</t>
        </is>
      </c>
      <c r="C368" s="8" t="n">
        <v>45775</v>
      </c>
      <c r="D368" t="inlineStr">
        <is>
          <t>ORD00091404</t>
        </is>
      </c>
      <c r="E368" t="n">
        <v>1324.17</v>
      </c>
      <c r="F368" t="n">
        <v>2.13</v>
      </c>
      <c r="G368" t="n">
        <v>28.2</v>
      </c>
      <c r="H368" t="inlineStr">
        <is>
          <t>UPI</t>
        </is>
      </c>
      <c r="I368" t="inlineStr">
        <is>
          <t>Success</t>
        </is>
      </c>
      <c r="J368" t="inlineStr">
        <is>
          <t>Delivered</t>
        </is>
      </c>
      <c r="K368" t="n">
        <v>0</v>
      </c>
      <c r="L368" t="n">
        <v>0</v>
      </c>
      <c r="M368" t="inlineStr">
        <is>
          <t>INR</t>
        </is>
      </c>
      <c r="N368" t="inlineStr">
        <is>
          <t>2025-04-28 05:49:43</t>
        </is>
      </c>
    </row>
    <row r="369">
      <c r="A369" t="inlineStr">
        <is>
          <t>TXN00091856</t>
        </is>
      </c>
      <c r="B369" t="inlineStr">
        <is>
          <t>MER00184</t>
        </is>
      </c>
      <c r="C369" s="8" t="n">
        <v>45777</v>
      </c>
      <c r="D369" t="inlineStr">
        <is>
          <t>ORD00091856</t>
        </is>
      </c>
      <c r="E369" t="n">
        <v>1299.9</v>
      </c>
      <c r="F369" t="n">
        <v>2.13</v>
      </c>
      <c r="G369" t="n">
        <v>27.69</v>
      </c>
      <c r="H369" t="inlineStr">
        <is>
          <t>COD</t>
        </is>
      </c>
      <c r="I369" t="inlineStr">
        <is>
          <t>Success</t>
        </is>
      </c>
      <c r="J369" t="inlineStr">
        <is>
          <t>Delivered</t>
        </is>
      </c>
      <c r="K369" t="n">
        <v>0</v>
      </c>
      <c r="L369" t="n">
        <v>0</v>
      </c>
      <c r="M369" t="inlineStr">
        <is>
          <t>INR</t>
        </is>
      </c>
      <c r="N369" t="inlineStr">
        <is>
          <t>2025-04-30 12:46:40</t>
        </is>
      </c>
    </row>
    <row r="370">
      <c r="A370" t="inlineStr">
        <is>
          <t>TXN00091824</t>
        </is>
      </c>
      <c r="B370" t="inlineStr">
        <is>
          <t>MER00184</t>
        </is>
      </c>
      <c r="C370" s="8" t="n">
        <v>45777</v>
      </c>
      <c r="D370" t="inlineStr">
        <is>
          <t>ORD00091824</t>
        </is>
      </c>
      <c r="E370" t="n">
        <v>825.99</v>
      </c>
      <c r="F370" t="n">
        <v>2.13</v>
      </c>
      <c r="G370" t="n">
        <v>17.59</v>
      </c>
      <c r="H370" t="inlineStr">
        <is>
          <t>UPI</t>
        </is>
      </c>
      <c r="I370" t="inlineStr">
        <is>
          <t>Success</t>
        </is>
      </c>
      <c r="J370" t="inlineStr">
        <is>
          <t>Delivered</t>
        </is>
      </c>
      <c r="K370" t="n">
        <v>0</v>
      </c>
      <c r="L370" t="n">
        <v>0</v>
      </c>
      <c r="M370" t="inlineStr">
        <is>
          <t>INR</t>
        </is>
      </c>
      <c r="N370" t="inlineStr">
        <is>
          <t>2025-04-30 00:56:58</t>
        </is>
      </c>
    </row>
    <row r="371">
      <c r="A371" t="inlineStr">
        <is>
          <t>TXN00094334</t>
        </is>
      </c>
      <c r="B371" t="inlineStr">
        <is>
          <t>MER00184</t>
        </is>
      </c>
      <c r="C371" s="8" t="n">
        <v>45784</v>
      </c>
      <c r="D371" t="inlineStr">
        <is>
          <t>ORD00094334</t>
        </is>
      </c>
      <c r="E371" t="n">
        <v>796.46</v>
      </c>
      <c r="F371" t="n">
        <v>2.13</v>
      </c>
      <c r="G371" t="n">
        <v>16.96</v>
      </c>
      <c r="H371" t="inlineStr">
        <is>
          <t>Card</t>
        </is>
      </c>
      <c r="I371" t="inlineStr">
        <is>
          <t>Success</t>
        </is>
      </c>
      <c r="J371" t="inlineStr">
        <is>
          <t>Delivered</t>
        </is>
      </c>
      <c r="K371" t="n">
        <v>0</v>
      </c>
      <c r="L371" t="n">
        <v>157.99</v>
      </c>
      <c r="M371" t="inlineStr">
        <is>
          <t>INR</t>
        </is>
      </c>
      <c r="N371" t="inlineStr">
        <is>
          <t>2025-05-07 13:56:31</t>
        </is>
      </c>
    </row>
    <row r="372">
      <c r="A372" t="inlineStr">
        <is>
          <t>TXN00095070</t>
        </is>
      </c>
      <c r="B372" t="inlineStr">
        <is>
          <t>MER00184</t>
        </is>
      </c>
      <c r="C372" s="8" t="n">
        <v>45787</v>
      </c>
      <c r="D372" t="inlineStr">
        <is>
          <t>ORD00095070</t>
        </is>
      </c>
      <c r="E372" t="n">
        <v>2415.81</v>
      </c>
      <c r="F372" t="n">
        <v>2.13</v>
      </c>
      <c r="G372" t="n">
        <v>51.46</v>
      </c>
      <c r="H372" t="inlineStr">
        <is>
          <t>UPI</t>
        </is>
      </c>
      <c r="I372" t="inlineStr">
        <is>
          <t>Success</t>
        </is>
      </c>
      <c r="J372" t="inlineStr">
        <is>
          <t>Returned</t>
        </is>
      </c>
      <c r="K372" t="n">
        <v>2415.81</v>
      </c>
      <c r="L372" t="n">
        <v>0</v>
      </c>
      <c r="M372" t="inlineStr">
        <is>
          <t>INR</t>
        </is>
      </c>
      <c r="N372" t="inlineStr">
        <is>
          <t>2025-05-10 18:20:40</t>
        </is>
      </c>
    </row>
    <row r="373">
      <c r="A373" t="inlineStr">
        <is>
          <t>TXN00099900</t>
        </is>
      </c>
      <c r="B373" t="inlineStr">
        <is>
          <t>MER00184</t>
        </is>
      </c>
      <c r="C373" s="8" t="n">
        <v>45802</v>
      </c>
      <c r="D373" t="inlineStr">
        <is>
          <t>ORD00099900</t>
        </is>
      </c>
      <c r="E373" t="n">
        <v>1466.07</v>
      </c>
      <c r="F373" t="n">
        <v>2.13</v>
      </c>
      <c r="G373" t="n">
        <v>31.23</v>
      </c>
      <c r="H373" t="inlineStr">
        <is>
          <t>UPI</t>
        </is>
      </c>
      <c r="I373" t="inlineStr">
        <is>
          <t>Success</t>
        </is>
      </c>
      <c r="J373" t="inlineStr">
        <is>
          <t>Delivered</t>
        </is>
      </c>
      <c r="K373" t="n">
        <v>0</v>
      </c>
      <c r="L373" t="n">
        <v>0</v>
      </c>
      <c r="M373" t="inlineStr">
        <is>
          <t>INR</t>
        </is>
      </c>
      <c r="N373" t="inlineStr">
        <is>
          <t>2025-05-25 22:57:21</t>
        </is>
      </c>
    </row>
    <row r="374">
      <c r="A374" t="inlineStr">
        <is>
          <t>TXN00105135</t>
        </is>
      </c>
      <c r="B374" t="inlineStr">
        <is>
          <t>MER00184</t>
        </is>
      </c>
      <c r="C374" s="8" t="n">
        <v>45817</v>
      </c>
      <c r="D374" t="inlineStr">
        <is>
          <t>ORD00105135</t>
        </is>
      </c>
      <c r="E374" t="n">
        <v>1466.68</v>
      </c>
      <c r="F374" t="n">
        <v>2.13</v>
      </c>
      <c r="G374" t="n">
        <v>31.24</v>
      </c>
      <c r="H374" t="inlineStr">
        <is>
          <t>UPI</t>
        </is>
      </c>
      <c r="I374" t="inlineStr">
        <is>
          <t>Success</t>
        </is>
      </c>
      <c r="J374" t="inlineStr">
        <is>
          <t>Delivered</t>
        </is>
      </c>
      <c r="K374" t="n">
        <v>0</v>
      </c>
      <c r="L374" t="n">
        <v>0</v>
      </c>
      <c r="M374" t="inlineStr">
        <is>
          <t>INR</t>
        </is>
      </c>
      <c r="N374" t="inlineStr">
        <is>
          <t>2025-06-09 10:25:32</t>
        </is>
      </c>
    </row>
    <row r="375">
      <c r="A375" t="inlineStr">
        <is>
          <t>TXN00105134</t>
        </is>
      </c>
      <c r="B375" t="inlineStr">
        <is>
          <t>MER00184</t>
        </is>
      </c>
      <c r="C375" s="8" t="n">
        <v>45817</v>
      </c>
      <c r="D375" t="inlineStr">
        <is>
          <t>ORD00105134</t>
        </is>
      </c>
      <c r="E375" t="n">
        <v>2036.99</v>
      </c>
      <c r="F375" t="n">
        <v>2.13</v>
      </c>
      <c r="G375" t="n">
        <v>43.39</v>
      </c>
      <c r="H375" t="inlineStr">
        <is>
          <t>Card</t>
        </is>
      </c>
      <c r="I375" t="inlineStr">
        <is>
          <t>Success</t>
        </is>
      </c>
      <c r="J375" t="inlineStr">
        <is>
          <t>Delivered</t>
        </is>
      </c>
      <c r="K375" t="n">
        <v>0</v>
      </c>
      <c r="L375" t="n">
        <v>0</v>
      </c>
      <c r="M375" t="inlineStr">
        <is>
          <t>INR</t>
        </is>
      </c>
      <c r="N375" t="inlineStr">
        <is>
          <t>2025-06-09 12:54:14</t>
        </is>
      </c>
    </row>
    <row r="376">
      <c r="A376" t="inlineStr">
        <is>
          <t>TXN00107391</t>
        </is>
      </c>
      <c r="B376" t="inlineStr">
        <is>
          <t>MER00184</t>
        </is>
      </c>
      <c r="C376" s="8" t="n">
        <v>45824</v>
      </c>
      <c r="D376" t="inlineStr">
        <is>
          <t>ORD00107391</t>
        </is>
      </c>
      <c r="E376" t="n">
        <v>986.35</v>
      </c>
      <c r="F376" t="n">
        <v>2.13</v>
      </c>
      <c r="G376" t="n">
        <v>21.01</v>
      </c>
      <c r="H376" t="inlineStr">
        <is>
          <t>Card</t>
        </is>
      </c>
      <c r="I376" t="inlineStr">
        <is>
          <t>Success</t>
        </is>
      </c>
      <c r="J376" t="inlineStr">
        <is>
          <t>Delivered</t>
        </is>
      </c>
      <c r="K376" t="n">
        <v>0</v>
      </c>
      <c r="L376" t="n">
        <v>0</v>
      </c>
      <c r="M376" t="inlineStr">
        <is>
          <t>INR</t>
        </is>
      </c>
      <c r="N376" t="inlineStr">
        <is>
          <t>2025-06-16 00:46:55</t>
        </is>
      </c>
    </row>
    <row r="377">
      <c r="A377" t="inlineStr">
        <is>
          <t>TXN00111357</t>
        </is>
      </c>
      <c r="B377" t="inlineStr">
        <is>
          <t>MER00184</t>
        </is>
      </c>
      <c r="C377" s="8" t="n">
        <v>45836</v>
      </c>
      <c r="D377" t="inlineStr">
        <is>
          <t>ORD00111357</t>
        </is>
      </c>
      <c r="E377" t="n">
        <v>1496.47</v>
      </c>
      <c r="F377" t="n">
        <v>2.13</v>
      </c>
      <c r="G377" t="n">
        <v>31.87</v>
      </c>
      <c r="H377" t="inlineStr">
        <is>
          <t>UPI</t>
        </is>
      </c>
      <c r="I377" t="inlineStr">
        <is>
          <t>Success</t>
        </is>
      </c>
      <c r="J377" t="inlineStr">
        <is>
          <t>Delivered</t>
        </is>
      </c>
      <c r="K377" t="n">
        <v>0</v>
      </c>
      <c r="L377" t="n">
        <v>0</v>
      </c>
      <c r="M377" t="inlineStr">
        <is>
          <t>INR</t>
        </is>
      </c>
      <c r="N377" t="inlineStr">
        <is>
          <t>2025-06-28 01:18:30</t>
        </is>
      </c>
    </row>
    <row r="378">
      <c r="A378" t="inlineStr">
        <is>
          <t>TXN00113998</t>
        </is>
      </c>
      <c r="B378" t="inlineStr">
        <is>
          <t>MER00184</t>
        </is>
      </c>
      <c r="C378" s="8" t="n">
        <v>45843</v>
      </c>
      <c r="D378" t="inlineStr">
        <is>
          <t>ORD00113998</t>
        </is>
      </c>
      <c r="E378" t="n">
        <v>920.9400000000001</v>
      </c>
      <c r="F378" t="n">
        <v>2.13</v>
      </c>
      <c r="G378" t="n">
        <v>19.62</v>
      </c>
      <c r="H378" t="inlineStr">
        <is>
          <t>Card</t>
        </is>
      </c>
      <c r="I378" t="inlineStr">
        <is>
          <t>Success</t>
        </is>
      </c>
      <c r="J378" t="inlineStr">
        <is>
          <t>Returned</t>
        </is>
      </c>
      <c r="K378" t="n">
        <v>920.9400000000001</v>
      </c>
      <c r="L378" t="n">
        <v>0</v>
      </c>
      <c r="M378" t="inlineStr">
        <is>
          <t>INR</t>
        </is>
      </c>
      <c r="N378" t="inlineStr">
        <is>
          <t>2025-07-05 16:38:03</t>
        </is>
      </c>
    </row>
    <row r="379">
      <c r="A379" t="inlineStr">
        <is>
          <t>TXN00114190</t>
        </is>
      </c>
      <c r="B379" t="inlineStr">
        <is>
          <t>MER00184</t>
        </is>
      </c>
      <c r="C379" s="8" t="n">
        <v>45844</v>
      </c>
      <c r="D379" t="inlineStr">
        <is>
          <t>ORD00114190</t>
        </is>
      </c>
      <c r="E379" t="n">
        <v>918</v>
      </c>
      <c r="F379" t="n">
        <v>2.13</v>
      </c>
      <c r="G379" t="n">
        <v>19.55</v>
      </c>
      <c r="H379" t="inlineStr">
        <is>
          <t>Card</t>
        </is>
      </c>
      <c r="I379" t="inlineStr">
        <is>
          <t>Success</t>
        </is>
      </c>
      <c r="J379" t="inlineStr">
        <is>
          <t>Delivered</t>
        </is>
      </c>
      <c r="K379" t="n">
        <v>0</v>
      </c>
      <c r="L379" t="n">
        <v>0</v>
      </c>
      <c r="M379" t="inlineStr">
        <is>
          <t>INR</t>
        </is>
      </c>
      <c r="N379" t="inlineStr">
        <is>
          <t>2025-07-06 02:09:30</t>
        </is>
      </c>
    </row>
    <row r="380">
      <c r="A380" t="inlineStr">
        <is>
          <t>TXN00120402</t>
        </is>
      </c>
      <c r="B380" t="inlineStr">
        <is>
          <t>MER00184</t>
        </is>
      </c>
      <c r="C380" s="8" t="n">
        <v>45863</v>
      </c>
      <c r="D380" t="inlineStr">
        <is>
          <t>ORD00120402</t>
        </is>
      </c>
      <c r="E380" t="n">
        <v>2049.19</v>
      </c>
      <c r="F380" t="n">
        <v>2.13</v>
      </c>
      <c r="G380" t="n">
        <v>43.65</v>
      </c>
      <c r="H380" t="inlineStr">
        <is>
          <t>UPI</t>
        </is>
      </c>
      <c r="I380" t="inlineStr">
        <is>
          <t>Success</t>
        </is>
      </c>
      <c r="J380" t="inlineStr">
        <is>
          <t>Delivered</t>
        </is>
      </c>
      <c r="K380" t="n">
        <v>0</v>
      </c>
      <c r="L380" t="n">
        <v>0</v>
      </c>
      <c r="M380" t="inlineStr">
        <is>
          <t>INR</t>
        </is>
      </c>
      <c r="N380" t="inlineStr">
        <is>
          <t>2025-07-25 01:29:22</t>
        </is>
      </c>
    </row>
    <row r="381">
      <c r="A381" t="inlineStr">
        <is>
          <t>TXN00122518</t>
        </is>
      </c>
      <c r="B381" t="inlineStr">
        <is>
          <t>MER00184</t>
        </is>
      </c>
      <c r="C381" s="8" t="n">
        <v>45869</v>
      </c>
      <c r="D381" t="inlineStr">
        <is>
          <t>ORD00122518</t>
        </is>
      </c>
      <c r="E381" t="n">
        <v>1370.24</v>
      </c>
      <c r="F381" t="n">
        <v>2.13</v>
      </c>
      <c r="G381" t="n">
        <v>29.19</v>
      </c>
      <c r="H381" t="inlineStr">
        <is>
          <t>UPI</t>
        </is>
      </c>
      <c r="I381" t="inlineStr">
        <is>
          <t>Unknown</t>
        </is>
      </c>
      <c r="J381" t="inlineStr">
        <is>
          <t>Processing</t>
        </is>
      </c>
      <c r="K381" t="n">
        <v>0</v>
      </c>
      <c r="L381" t="n">
        <v>246.16</v>
      </c>
      <c r="M381" t="inlineStr">
        <is>
          <t>INR</t>
        </is>
      </c>
      <c r="N381" t="inlineStr">
        <is>
          <t>2025-07-31 19:25:25</t>
        </is>
      </c>
    </row>
    <row r="382">
      <c r="A382" t="inlineStr">
        <is>
          <t>TXN00123051</t>
        </is>
      </c>
      <c r="B382" t="inlineStr">
        <is>
          <t>MER00184</t>
        </is>
      </c>
      <c r="C382" s="8" t="n">
        <v>45871</v>
      </c>
      <c r="D382" t="inlineStr">
        <is>
          <t>ORD00123051</t>
        </is>
      </c>
      <c r="E382" t="n">
        <v>1598.74</v>
      </c>
      <c r="F382" t="n">
        <v>2.13</v>
      </c>
      <c r="G382" t="n">
        <v>34.05</v>
      </c>
      <c r="H382" t="inlineStr">
        <is>
          <t>NetBanking</t>
        </is>
      </c>
      <c r="I382" t="inlineStr">
        <is>
          <t>Success</t>
        </is>
      </c>
      <c r="J382" t="inlineStr">
        <is>
          <t>Delivered</t>
        </is>
      </c>
      <c r="K382" t="n">
        <v>0</v>
      </c>
      <c r="L382" t="n">
        <v>0</v>
      </c>
      <c r="M382" t="inlineStr">
        <is>
          <t>INR</t>
        </is>
      </c>
      <c r="N382" t="inlineStr">
        <is>
          <t>2025-08-02 04:38:35</t>
        </is>
      </c>
    </row>
    <row r="383">
      <c r="A383" t="inlineStr">
        <is>
          <t>TXN00125568</t>
        </is>
      </c>
      <c r="B383" t="inlineStr">
        <is>
          <t>MER00184</t>
        </is>
      </c>
      <c r="C383" s="8" t="n">
        <v>45878</v>
      </c>
      <c r="D383" t="inlineStr">
        <is>
          <t>ORD00125568</t>
        </is>
      </c>
      <c r="E383" t="n">
        <v>1266.49</v>
      </c>
      <c r="F383" t="n">
        <v>2.13</v>
      </c>
      <c r="G383" t="n">
        <v>26.98</v>
      </c>
      <c r="H383" t="inlineStr">
        <is>
          <t>UPI</t>
        </is>
      </c>
      <c r="I383" t="inlineStr">
        <is>
          <t>Failed</t>
        </is>
      </c>
      <c r="J383" t="inlineStr">
        <is>
          <t>Processing</t>
        </is>
      </c>
      <c r="K383" t="n">
        <v>0</v>
      </c>
      <c r="L383" t="n">
        <v>0</v>
      </c>
      <c r="M383" t="inlineStr">
        <is>
          <t>INR</t>
        </is>
      </c>
      <c r="N383" t="inlineStr">
        <is>
          <t>2025-08-09 23:43:00</t>
        </is>
      </c>
    </row>
    <row r="384">
      <c r="A384" t="inlineStr">
        <is>
          <t>TXN00127903</t>
        </is>
      </c>
      <c r="B384" t="inlineStr">
        <is>
          <t>MER00184</t>
        </is>
      </c>
      <c r="C384" s="8" t="n">
        <v>45885</v>
      </c>
      <c r="D384" t="inlineStr">
        <is>
          <t>ORD00127903</t>
        </is>
      </c>
      <c r="E384" t="n">
        <v>1437.99</v>
      </c>
      <c r="F384" t="n">
        <v>2.13</v>
      </c>
      <c r="G384" t="n">
        <v>30.63</v>
      </c>
      <c r="H384" t="inlineStr">
        <is>
          <t>UPI</t>
        </is>
      </c>
      <c r="I384" t="inlineStr">
        <is>
          <t>Success</t>
        </is>
      </c>
      <c r="J384" t="inlineStr">
        <is>
          <t>Delivered</t>
        </is>
      </c>
      <c r="K384" t="n">
        <v>0</v>
      </c>
      <c r="L384" t="n">
        <v>0</v>
      </c>
      <c r="M384" t="inlineStr">
        <is>
          <t>INR</t>
        </is>
      </c>
      <c r="N384" t="inlineStr">
        <is>
          <t>2025-08-16 06:34:11</t>
        </is>
      </c>
    </row>
    <row r="385">
      <c r="A385" t="inlineStr">
        <is>
          <t>TXN00009152</t>
        </is>
      </c>
      <c r="B385" t="inlineStr">
        <is>
          <t>MER00189</t>
        </is>
      </c>
      <c r="C385" s="8" t="n">
        <v>45541</v>
      </c>
      <c r="D385" t="inlineStr">
        <is>
          <t>ORD00009152</t>
        </is>
      </c>
      <c r="E385" t="n">
        <v>752.79</v>
      </c>
      <c r="F385" t="n">
        <v>2.69</v>
      </c>
      <c r="G385" t="n">
        <v>20.25</v>
      </c>
      <c r="H385" t="inlineStr">
        <is>
          <t>COD</t>
        </is>
      </c>
      <c r="I385" t="inlineStr">
        <is>
          <t>Success</t>
        </is>
      </c>
      <c r="J385" t="inlineStr">
        <is>
          <t>Delivered</t>
        </is>
      </c>
      <c r="K385" t="n">
        <v>0</v>
      </c>
      <c r="L385" t="n">
        <v>0</v>
      </c>
      <c r="M385" t="inlineStr">
        <is>
          <t>INR</t>
        </is>
      </c>
      <c r="N385" t="inlineStr">
        <is>
          <t>2024-09-06 20:36:35</t>
        </is>
      </c>
    </row>
    <row r="386">
      <c r="A386" t="inlineStr">
        <is>
          <t>TXN00020272</t>
        </is>
      </c>
      <c r="B386" t="inlineStr">
        <is>
          <t>MER00189</t>
        </is>
      </c>
      <c r="C386" s="8" t="n">
        <v>45576</v>
      </c>
      <c r="D386" t="inlineStr">
        <is>
          <t>ORD00020272</t>
        </is>
      </c>
      <c r="E386" t="n">
        <v>1551.95</v>
      </c>
      <c r="F386" t="n">
        <v>2.69</v>
      </c>
      <c r="G386" t="n">
        <v>41.75</v>
      </c>
      <c r="H386" t="inlineStr">
        <is>
          <t>NetBanking</t>
        </is>
      </c>
      <c r="I386" t="inlineStr">
        <is>
          <t>Success</t>
        </is>
      </c>
      <c r="J386" t="inlineStr">
        <is>
          <t>Delivered</t>
        </is>
      </c>
      <c r="K386" t="n">
        <v>0</v>
      </c>
      <c r="L386" t="n">
        <v>0</v>
      </c>
      <c r="M386" t="inlineStr">
        <is>
          <t>INR</t>
        </is>
      </c>
      <c r="N386" t="inlineStr">
        <is>
          <t>2024-10-11 14:26:20</t>
        </is>
      </c>
    </row>
    <row r="387">
      <c r="A387" t="inlineStr">
        <is>
          <t>TXN00037228</t>
        </is>
      </c>
      <c r="B387" t="inlineStr">
        <is>
          <t>MER00189</t>
        </is>
      </c>
      <c r="C387" s="8" t="n">
        <v>45617</v>
      </c>
      <c r="D387" t="inlineStr">
        <is>
          <t>ORD00037228</t>
        </is>
      </c>
      <c r="E387" t="n">
        <v>1091.44</v>
      </c>
      <c r="F387" t="n">
        <v>2.69</v>
      </c>
      <c r="G387" t="n">
        <v>29.36</v>
      </c>
      <c r="H387" t="inlineStr">
        <is>
          <t>UPI</t>
        </is>
      </c>
      <c r="I387" t="inlineStr">
        <is>
          <t>Success</t>
        </is>
      </c>
      <c r="J387" t="inlineStr">
        <is>
          <t>Delivered</t>
        </is>
      </c>
      <c r="K387" t="n">
        <v>0</v>
      </c>
      <c r="L387" t="n">
        <v>0</v>
      </c>
      <c r="M387" t="inlineStr">
        <is>
          <t>INR</t>
        </is>
      </c>
      <c r="N387" t="inlineStr">
        <is>
          <t>2024-11-21 13:30:47</t>
        </is>
      </c>
    </row>
    <row r="388">
      <c r="A388" t="inlineStr">
        <is>
          <t>TXN00039689</t>
        </is>
      </c>
      <c r="B388" t="inlineStr">
        <is>
          <t>MER00189</t>
        </is>
      </c>
      <c r="C388" s="8" t="n">
        <v>45622</v>
      </c>
      <c r="D388" t="inlineStr">
        <is>
          <t>ORD00039689</t>
        </is>
      </c>
      <c r="E388" t="n">
        <v>816.29</v>
      </c>
      <c r="F388" t="n">
        <v>2.69</v>
      </c>
      <c r="G388" t="n">
        <v>21.96</v>
      </c>
      <c r="H388" t="inlineStr">
        <is>
          <t>UPI</t>
        </is>
      </c>
      <c r="I388" t="inlineStr">
        <is>
          <t>Unknown</t>
        </is>
      </c>
      <c r="J388" t="inlineStr">
        <is>
          <t>Delivered</t>
        </is>
      </c>
      <c r="K388" t="n">
        <v>0</v>
      </c>
      <c r="L388" t="n">
        <v>0</v>
      </c>
      <c r="M388" t="inlineStr">
        <is>
          <t>INR</t>
        </is>
      </c>
      <c r="N388" t="inlineStr">
        <is>
          <t>2024-11-26 06:55:55</t>
        </is>
      </c>
    </row>
    <row r="389">
      <c r="A389" t="inlineStr">
        <is>
          <t>TXN00040735</t>
        </is>
      </c>
      <c r="B389" t="inlineStr">
        <is>
          <t>MER00189</t>
        </is>
      </c>
      <c r="C389" s="8" t="n">
        <v>45624</v>
      </c>
      <c r="D389" t="inlineStr">
        <is>
          <t>ORD00040735</t>
        </is>
      </c>
      <c r="E389" t="n">
        <v>907.14</v>
      </c>
      <c r="F389" t="n">
        <v>2.69</v>
      </c>
      <c r="G389" t="n">
        <v>24.4</v>
      </c>
      <c r="H389" t="inlineStr">
        <is>
          <t>Card</t>
        </is>
      </c>
      <c r="I389" t="inlineStr">
        <is>
          <t>Success</t>
        </is>
      </c>
      <c r="J389" t="inlineStr">
        <is>
          <t>Delivered</t>
        </is>
      </c>
      <c r="K389" t="n">
        <v>0</v>
      </c>
      <c r="L389" t="n">
        <v>0</v>
      </c>
      <c r="M389" t="inlineStr">
        <is>
          <t>INR</t>
        </is>
      </c>
      <c r="N389" t="inlineStr">
        <is>
          <t>2024-11-28 16:44:10</t>
        </is>
      </c>
    </row>
    <row r="390">
      <c r="A390" t="inlineStr">
        <is>
          <t>TXN00041484</t>
        </is>
      </c>
      <c r="B390" t="inlineStr">
        <is>
          <t>MER00189</t>
        </is>
      </c>
      <c r="C390" s="8" t="n">
        <v>45626</v>
      </c>
      <c r="D390" t="inlineStr">
        <is>
          <t>ORD00041484</t>
        </is>
      </c>
      <c r="E390" t="n">
        <v>593.33</v>
      </c>
      <c r="F390" t="n">
        <v>2.69</v>
      </c>
      <c r="G390" t="n">
        <v>15.96</v>
      </c>
      <c r="H390" t="inlineStr">
        <is>
          <t>UPI</t>
        </is>
      </c>
      <c r="I390" t="inlineStr">
        <is>
          <t>Success</t>
        </is>
      </c>
      <c r="J390" t="inlineStr">
        <is>
          <t>Delivered</t>
        </is>
      </c>
      <c r="K390" t="n">
        <v>0</v>
      </c>
      <c r="L390" t="n">
        <v>0</v>
      </c>
      <c r="M390" t="inlineStr">
        <is>
          <t>INR</t>
        </is>
      </c>
      <c r="N390" t="inlineStr">
        <is>
          <t>2024-11-30 15:06:47</t>
        </is>
      </c>
    </row>
    <row r="391">
      <c r="A391" t="inlineStr">
        <is>
          <t>TXN00052158</t>
        </is>
      </c>
      <c r="B391" t="inlineStr">
        <is>
          <t>MER00189</t>
        </is>
      </c>
      <c r="C391" s="8" t="n">
        <v>45660</v>
      </c>
      <c r="D391" t="inlineStr">
        <is>
          <t>ORD00052158</t>
        </is>
      </c>
      <c r="E391" t="n">
        <v>633.67</v>
      </c>
      <c r="F391" t="n">
        <v>2.69</v>
      </c>
      <c r="G391" t="n">
        <v>17.05</v>
      </c>
      <c r="H391" t="inlineStr">
        <is>
          <t>UPI</t>
        </is>
      </c>
      <c r="I391" t="inlineStr">
        <is>
          <t>Failed</t>
        </is>
      </c>
      <c r="J391" t="inlineStr">
        <is>
          <t>Cancelled</t>
        </is>
      </c>
      <c r="K391" t="n">
        <v>0</v>
      </c>
      <c r="L391" t="n">
        <v>0</v>
      </c>
      <c r="M391" t="inlineStr">
        <is>
          <t>INR</t>
        </is>
      </c>
      <c r="N391" t="inlineStr">
        <is>
          <t>2025-01-03 17:58:06</t>
        </is>
      </c>
    </row>
    <row r="392">
      <c r="A392" t="inlineStr">
        <is>
          <t>TXN00055129</t>
        </is>
      </c>
      <c r="B392" t="inlineStr">
        <is>
          <t>MER00189</t>
        </is>
      </c>
      <c r="C392" s="8" t="n">
        <v>45668</v>
      </c>
      <c r="D392" t="inlineStr">
        <is>
          <t>ORD00055129</t>
        </is>
      </c>
      <c r="E392" t="n">
        <v>685.13</v>
      </c>
      <c r="F392" t="n">
        <v>3.43</v>
      </c>
      <c r="G392" t="n">
        <v>18.43</v>
      </c>
      <c r="H392" t="inlineStr">
        <is>
          <t>UPI</t>
        </is>
      </c>
      <c r="I392" t="inlineStr">
        <is>
          <t>Success</t>
        </is>
      </c>
      <c r="J392" t="inlineStr">
        <is>
          <t>Delivered</t>
        </is>
      </c>
      <c r="K392" t="n">
        <v>0</v>
      </c>
      <c r="L392" t="n">
        <v>0</v>
      </c>
      <c r="M392" t="inlineStr">
        <is>
          <t>INR</t>
        </is>
      </c>
      <c r="N392" t="inlineStr">
        <is>
          <t>2025-01-11 15:10:25</t>
        </is>
      </c>
    </row>
    <row r="393">
      <c r="A393" t="inlineStr">
        <is>
          <t>TXN00067036</t>
        </is>
      </c>
      <c r="B393" t="inlineStr">
        <is>
          <t>MER00189</t>
        </is>
      </c>
      <c r="C393" s="8" t="n">
        <v>45701</v>
      </c>
      <c r="D393" t="inlineStr">
        <is>
          <t>ORD00067036</t>
        </is>
      </c>
      <c r="E393" t="n">
        <v>914.86</v>
      </c>
      <c r="F393" t="n">
        <v>2.69</v>
      </c>
      <c r="G393" t="n">
        <v>24.61</v>
      </c>
      <c r="H393" t="inlineStr">
        <is>
          <t>UPI</t>
        </is>
      </c>
      <c r="I393" t="inlineStr">
        <is>
          <t>Success</t>
        </is>
      </c>
      <c r="J393" t="inlineStr">
        <is>
          <t>Delivered</t>
        </is>
      </c>
      <c r="K393" t="n">
        <v>0</v>
      </c>
      <c r="L393" t="n">
        <v>0</v>
      </c>
      <c r="M393" t="inlineStr">
        <is>
          <t>INR</t>
        </is>
      </c>
      <c r="N393" t="inlineStr">
        <is>
          <t>2025-02-13 16:52:52</t>
        </is>
      </c>
    </row>
    <row r="394">
      <c r="A394" t="inlineStr">
        <is>
          <t>TXN00083497</t>
        </is>
      </c>
      <c r="B394" t="inlineStr">
        <is>
          <t>MER00189</t>
        </is>
      </c>
      <c r="C394" s="8" t="n">
        <v>45752</v>
      </c>
      <c r="D394" t="inlineStr">
        <is>
          <t>ORD00083497</t>
        </is>
      </c>
      <c r="E394" t="n">
        <v>1278.77</v>
      </c>
      <c r="F394" t="n">
        <v>2.69</v>
      </c>
      <c r="G394" t="n">
        <v>34.4</v>
      </c>
      <c r="H394" t="inlineStr">
        <is>
          <t>UPI</t>
        </is>
      </c>
      <c r="I394" t="inlineStr">
        <is>
          <t>Success</t>
        </is>
      </c>
      <c r="J394" t="inlineStr">
        <is>
          <t>Delivered</t>
        </is>
      </c>
      <c r="K394" t="n">
        <v>0</v>
      </c>
      <c r="L394" t="n">
        <v>0</v>
      </c>
      <c r="M394" t="inlineStr">
        <is>
          <t>INR</t>
        </is>
      </c>
      <c r="N394" t="inlineStr">
        <is>
          <t>2025-04-05 14:37:25</t>
        </is>
      </c>
    </row>
    <row r="395">
      <c r="A395" t="inlineStr">
        <is>
          <t>TXN00094527</t>
        </is>
      </c>
      <c r="B395" t="inlineStr">
        <is>
          <t>MER00189</t>
        </is>
      </c>
      <c r="C395" s="8" t="n">
        <v>45785</v>
      </c>
      <c r="D395" t="inlineStr">
        <is>
          <t>ORD00094527</t>
        </is>
      </c>
      <c r="E395" t="n">
        <v>866.3099999999999</v>
      </c>
      <c r="F395" t="n">
        <v>2.69</v>
      </c>
      <c r="G395" t="n">
        <v>23.3</v>
      </c>
      <c r="H395" t="inlineStr">
        <is>
          <t>Wallet</t>
        </is>
      </c>
      <c r="I395" t="inlineStr">
        <is>
          <t>Success</t>
        </is>
      </c>
      <c r="J395" t="inlineStr">
        <is>
          <t>Delivered</t>
        </is>
      </c>
      <c r="K395" t="n">
        <v>0</v>
      </c>
      <c r="L395" t="n">
        <v>0</v>
      </c>
      <c r="M395" t="inlineStr">
        <is>
          <t>INR</t>
        </is>
      </c>
      <c r="N395" t="inlineStr">
        <is>
          <t>2025-05-08 00:08:49</t>
        </is>
      </c>
    </row>
    <row r="396">
      <c r="A396" t="inlineStr">
        <is>
          <t>TXN00097437</t>
        </is>
      </c>
      <c r="B396" t="inlineStr">
        <is>
          <t>MER00189</t>
        </is>
      </c>
      <c r="C396" s="8" t="n">
        <v>45794</v>
      </c>
      <c r="D396" t="inlineStr">
        <is>
          <t>ORD00097437</t>
        </is>
      </c>
      <c r="E396" t="n">
        <v>916.35</v>
      </c>
      <c r="F396" t="n">
        <v>2.69</v>
      </c>
      <c r="G396" t="n">
        <v>24.65</v>
      </c>
      <c r="H396" t="inlineStr">
        <is>
          <t>UPI</t>
        </is>
      </c>
      <c r="I396" t="inlineStr">
        <is>
          <t>Success</t>
        </is>
      </c>
      <c r="J396" t="inlineStr">
        <is>
          <t>Delivered</t>
        </is>
      </c>
      <c r="K396" t="n">
        <v>0</v>
      </c>
      <c r="L396" t="n">
        <v>0</v>
      </c>
      <c r="M396" t="inlineStr">
        <is>
          <t>INR</t>
        </is>
      </c>
      <c r="N396" t="inlineStr">
        <is>
          <t>2025-05-17 06:45:22</t>
        </is>
      </c>
    </row>
    <row r="397">
      <c r="A397" t="inlineStr">
        <is>
          <t>TXN00098098</t>
        </is>
      </c>
      <c r="B397" t="inlineStr">
        <is>
          <t>MER00189</t>
        </is>
      </c>
      <c r="C397" s="8" t="n">
        <v>45796</v>
      </c>
      <c r="D397" t="inlineStr">
        <is>
          <t>ORD00098098</t>
        </is>
      </c>
      <c r="E397" t="n">
        <v>1645.75</v>
      </c>
      <c r="F397" t="n">
        <v>2.69</v>
      </c>
      <c r="G397" t="n">
        <v>44.27</v>
      </c>
      <c r="H397" t="inlineStr">
        <is>
          <t>NetBanking</t>
        </is>
      </c>
      <c r="I397" t="inlineStr">
        <is>
          <t>Success</t>
        </is>
      </c>
      <c r="J397" t="inlineStr">
        <is>
          <t>Returned</t>
        </is>
      </c>
      <c r="K397" t="n">
        <v>1645.75</v>
      </c>
      <c r="L397" t="n">
        <v>0</v>
      </c>
      <c r="M397" t="inlineStr">
        <is>
          <t>INR</t>
        </is>
      </c>
      <c r="N397" t="inlineStr">
        <is>
          <t>2025-05-19 11:54:02</t>
        </is>
      </c>
    </row>
    <row r="398">
      <c r="A398" t="inlineStr">
        <is>
          <t>TXN00104570</t>
        </is>
      </c>
      <c r="B398" t="inlineStr">
        <is>
          <t>MER00189</t>
        </is>
      </c>
      <c r="C398" s="8" t="n">
        <v>45815</v>
      </c>
      <c r="D398" t="inlineStr">
        <is>
          <t>ORD00104570</t>
        </is>
      </c>
      <c r="E398" t="n">
        <v>804.86</v>
      </c>
      <c r="F398" t="n">
        <v>2.81</v>
      </c>
      <c r="G398" t="n">
        <v>22.62</v>
      </c>
      <c r="H398" t="inlineStr">
        <is>
          <t>UPI</t>
        </is>
      </c>
      <c r="I398" t="inlineStr">
        <is>
          <t>Success</t>
        </is>
      </c>
      <c r="J398" t="inlineStr">
        <is>
          <t>Delivered</t>
        </is>
      </c>
      <c r="K398" t="n">
        <v>0</v>
      </c>
      <c r="L398" t="n">
        <v>0</v>
      </c>
      <c r="M398" t="inlineStr">
        <is>
          <t>INR</t>
        </is>
      </c>
      <c r="N398" t="inlineStr">
        <is>
          <t>2025-06-07 23:40:58</t>
        </is>
      </c>
    </row>
    <row r="399">
      <c r="A399" t="inlineStr">
        <is>
          <t>TXN00106487</t>
        </is>
      </c>
      <c r="B399" t="inlineStr">
        <is>
          <t>MER00189</t>
        </is>
      </c>
      <c r="C399" s="8" t="n">
        <v>45821</v>
      </c>
      <c r="D399" t="inlineStr">
        <is>
          <t>ORD00106487</t>
        </is>
      </c>
      <c r="E399" t="n">
        <v>404.27</v>
      </c>
      <c r="F399" t="n">
        <v>2.81</v>
      </c>
      <c r="G399" t="n">
        <v>11.36</v>
      </c>
      <c r="H399" t="inlineStr">
        <is>
          <t>UPI</t>
        </is>
      </c>
      <c r="I399" t="inlineStr">
        <is>
          <t>Success</t>
        </is>
      </c>
      <c r="J399" t="inlineStr">
        <is>
          <t>Delivered</t>
        </is>
      </c>
      <c r="K399" t="n">
        <v>0</v>
      </c>
      <c r="L399" t="n">
        <v>33.65</v>
      </c>
      <c r="M399" t="inlineStr">
        <is>
          <t>INR</t>
        </is>
      </c>
      <c r="N399" t="inlineStr">
        <is>
          <t>2025-06-13 08:08:28</t>
        </is>
      </c>
    </row>
    <row r="400">
      <c r="A400" t="inlineStr">
        <is>
          <t>TXN00111784</t>
        </is>
      </c>
      <c r="B400" t="inlineStr">
        <is>
          <t>MER00189</t>
        </is>
      </c>
      <c r="C400" s="8" t="n">
        <v>45837</v>
      </c>
      <c r="D400" t="inlineStr">
        <is>
          <t>ORD00111784</t>
        </is>
      </c>
      <c r="E400" t="n">
        <v>388.52</v>
      </c>
      <c r="F400" t="n">
        <v>2.81</v>
      </c>
      <c r="G400" t="n">
        <v>10.92</v>
      </c>
      <c r="H400" t="inlineStr">
        <is>
          <t>Card</t>
        </is>
      </c>
      <c r="I400" t="inlineStr">
        <is>
          <t>Pending</t>
        </is>
      </c>
      <c r="J400" t="inlineStr">
        <is>
          <t>Processing</t>
        </is>
      </c>
      <c r="K400" t="n">
        <v>0</v>
      </c>
      <c r="L400" t="n">
        <v>0</v>
      </c>
      <c r="M400" t="inlineStr">
        <is>
          <t>INR</t>
        </is>
      </c>
      <c r="N400" t="inlineStr">
        <is>
          <t>2025-06-29 06:24:53</t>
        </is>
      </c>
    </row>
    <row r="401">
      <c r="A401" t="inlineStr">
        <is>
          <t>TXN00137743</t>
        </is>
      </c>
      <c r="B401" t="inlineStr">
        <is>
          <t>MER00189</t>
        </is>
      </c>
      <c r="C401" s="8" t="n">
        <v>45914</v>
      </c>
      <c r="D401" t="inlineStr">
        <is>
          <t>ORD00137743</t>
        </is>
      </c>
      <c r="E401" t="n">
        <v>1778.75</v>
      </c>
      <c r="F401" t="n">
        <v>2.81</v>
      </c>
      <c r="G401" t="n">
        <v>49.98</v>
      </c>
      <c r="H401" t="inlineStr">
        <is>
          <t>UPI</t>
        </is>
      </c>
      <c r="I401" t="inlineStr">
        <is>
          <t>Failed</t>
        </is>
      </c>
      <c r="J401" t="inlineStr">
        <is>
          <t>Cancelled</t>
        </is>
      </c>
      <c r="K401" t="n">
        <v>0</v>
      </c>
      <c r="L401" t="n">
        <v>0</v>
      </c>
      <c r="M401" t="inlineStr">
        <is>
          <t>INR</t>
        </is>
      </c>
      <c r="N401" t="inlineStr">
        <is>
          <t>2025-09-14 09:05:32</t>
        </is>
      </c>
    </row>
    <row r="402">
      <c r="A402" t="inlineStr">
        <is>
          <t>TXN00139466</t>
        </is>
      </c>
      <c r="B402" t="inlineStr">
        <is>
          <t>MER00189</t>
        </is>
      </c>
      <c r="C402" s="8" t="n">
        <v>45919</v>
      </c>
      <c r="D402" t="inlineStr">
        <is>
          <t>ORD00139466</t>
        </is>
      </c>
      <c r="E402" t="n">
        <v>504.54</v>
      </c>
      <c r="F402" t="n">
        <v>2.81</v>
      </c>
      <c r="G402" t="n">
        <v>14.18</v>
      </c>
      <c r="H402" t="inlineStr">
        <is>
          <t>Card</t>
        </is>
      </c>
      <c r="I402" t="inlineStr">
        <is>
          <t>Failed</t>
        </is>
      </c>
      <c r="J402" t="inlineStr">
        <is>
          <t>Processing</t>
        </is>
      </c>
      <c r="K402" t="n">
        <v>0</v>
      </c>
      <c r="L402" t="n">
        <v>0</v>
      </c>
      <c r="M402" t="inlineStr">
        <is>
          <t>INR</t>
        </is>
      </c>
      <c r="N402" t="inlineStr">
        <is>
          <t>2025-09-19 18:17:02</t>
        </is>
      </c>
    </row>
    <row r="403">
      <c r="A403" t="inlineStr">
        <is>
          <t>TXN00141071</t>
        </is>
      </c>
      <c r="B403" t="inlineStr">
        <is>
          <t>MER00189</t>
        </is>
      </c>
      <c r="C403" s="8" t="n">
        <v>45923</v>
      </c>
      <c r="D403" t="inlineStr">
        <is>
          <t>ORD00141071</t>
        </is>
      </c>
      <c r="E403" t="n">
        <v>569.87</v>
      </c>
      <c r="F403" t="n">
        <v>2.81</v>
      </c>
      <c r="G403" t="n">
        <v>16.01</v>
      </c>
      <c r="H403" t="inlineStr">
        <is>
          <t>UPI</t>
        </is>
      </c>
      <c r="I403" t="inlineStr">
        <is>
          <t>Success</t>
        </is>
      </c>
      <c r="J403" t="inlineStr">
        <is>
          <t>Delivered</t>
        </is>
      </c>
      <c r="K403" t="n">
        <v>0</v>
      </c>
      <c r="L403" t="n">
        <v>0</v>
      </c>
      <c r="M403" t="inlineStr">
        <is>
          <t>INR</t>
        </is>
      </c>
      <c r="N403" t="inlineStr">
        <is>
          <t>2025-09-23 12:22:32</t>
        </is>
      </c>
    </row>
    <row r="404">
      <c r="A404" t="inlineStr">
        <is>
          <t>TXN00154245</t>
        </is>
      </c>
      <c r="B404" t="inlineStr">
        <is>
          <t>MER00189</t>
        </is>
      </c>
      <c r="C404" s="8" t="n">
        <v>45953</v>
      </c>
      <c r="D404" t="inlineStr">
        <is>
          <t>ORD00154245</t>
        </is>
      </c>
      <c r="E404" t="n">
        <v>821.36</v>
      </c>
      <c r="F404" t="n">
        <v>2.81</v>
      </c>
      <c r="G404" t="n">
        <v>23.08</v>
      </c>
      <c r="H404" t="inlineStr">
        <is>
          <t>Card</t>
        </is>
      </c>
      <c r="I404" t="inlineStr">
        <is>
          <t>Success</t>
        </is>
      </c>
      <c r="J404" t="inlineStr">
        <is>
          <t>Processing</t>
        </is>
      </c>
      <c r="K404" t="n">
        <v>0</v>
      </c>
      <c r="L404" t="n">
        <v>0</v>
      </c>
      <c r="M404" t="inlineStr">
        <is>
          <t>INR</t>
        </is>
      </c>
      <c r="N404" t="inlineStr">
        <is>
          <t>2025-10-23 20:02:46</t>
        </is>
      </c>
    </row>
    <row r="405">
      <c r="A405" t="inlineStr">
        <is>
          <t>TXN00158720</t>
        </is>
      </c>
      <c r="B405" t="inlineStr">
        <is>
          <t>MER00189</t>
        </is>
      </c>
      <c r="C405" s="8" t="n">
        <v>45963</v>
      </c>
      <c r="D405" t="inlineStr">
        <is>
          <t>ORD00158720</t>
        </is>
      </c>
      <c r="E405" t="n">
        <v>483.72</v>
      </c>
      <c r="F405" t="n">
        <v>2.81</v>
      </c>
      <c r="G405" t="n">
        <v>13.59</v>
      </c>
      <c r="H405" t="inlineStr">
        <is>
          <t>Card</t>
        </is>
      </c>
      <c r="I405" t="inlineStr">
        <is>
          <t>Success</t>
        </is>
      </c>
      <c r="J405" t="inlineStr">
        <is>
          <t>Cancelled</t>
        </is>
      </c>
      <c r="K405" t="n">
        <v>463.03</v>
      </c>
      <c r="L405" t="n">
        <v>0</v>
      </c>
      <c r="M405" t="inlineStr">
        <is>
          <t>INR</t>
        </is>
      </c>
      <c r="N405" t="inlineStr">
        <is>
          <t>2025-11-02 00:34:19</t>
        </is>
      </c>
    </row>
    <row r="406">
      <c r="A406" t="inlineStr">
        <is>
          <t>TXN00168335</t>
        </is>
      </c>
      <c r="B406" t="inlineStr">
        <is>
          <t>MER00189</t>
        </is>
      </c>
      <c r="C406" s="8" t="n">
        <v>45980</v>
      </c>
      <c r="D406" t="inlineStr">
        <is>
          <t>ORD00168335</t>
        </is>
      </c>
      <c r="E406" t="n">
        <v>491.79</v>
      </c>
      <c r="F406" t="n">
        <v>2.81</v>
      </c>
      <c r="G406" t="n">
        <v>13.82</v>
      </c>
      <c r="H406" t="inlineStr">
        <is>
          <t>UPI</t>
        </is>
      </c>
      <c r="I406" t="inlineStr">
        <is>
          <t>Success</t>
        </is>
      </c>
      <c r="J406" t="inlineStr">
        <is>
          <t>Delivered</t>
        </is>
      </c>
      <c r="K406" t="n">
        <v>0</v>
      </c>
      <c r="L406" t="n">
        <v>72.06999999999999</v>
      </c>
      <c r="M406" t="inlineStr">
        <is>
          <t>INR</t>
        </is>
      </c>
      <c r="N406" t="inlineStr">
        <is>
          <t>2025-11-19 10:04:17</t>
        </is>
      </c>
    </row>
    <row r="407">
      <c r="A407" t="inlineStr">
        <is>
          <t>TXN00178479</t>
        </is>
      </c>
      <c r="B407" t="inlineStr">
        <is>
          <t>MER00189</t>
        </is>
      </c>
      <c r="C407" s="8" t="n">
        <v>46002</v>
      </c>
      <c r="D407" t="inlineStr">
        <is>
          <t>ORD00178479</t>
        </is>
      </c>
      <c r="E407" t="n">
        <v>792.62</v>
      </c>
      <c r="F407" t="n">
        <v>2.81</v>
      </c>
      <c r="G407" t="n">
        <v>22.27</v>
      </c>
      <c r="H407" t="inlineStr">
        <is>
          <t>Card</t>
        </is>
      </c>
      <c r="I407" t="inlineStr">
        <is>
          <t>Success</t>
        </is>
      </c>
      <c r="J407" t="inlineStr">
        <is>
          <t>Delivered</t>
        </is>
      </c>
      <c r="K407" t="n">
        <v>0</v>
      </c>
      <c r="L407" t="n">
        <v>0</v>
      </c>
      <c r="M407" t="inlineStr">
        <is>
          <t>INR</t>
        </is>
      </c>
      <c r="N407" t="inlineStr">
        <is>
          <t>2025-12-11 04:02:05</t>
        </is>
      </c>
    </row>
    <row r="408">
      <c r="A408" t="inlineStr">
        <is>
          <t>TXN00201639</t>
        </is>
      </c>
      <c r="B408" t="inlineStr">
        <is>
          <t>MER00189</t>
        </is>
      </c>
      <c r="C408" s="8" t="n">
        <v>46057</v>
      </c>
      <c r="D408" t="inlineStr">
        <is>
          <t>ORD00201639</t>
        </is>
      </c>
      <c r="E408" t="n">
        <v>706.13</v>
      </c>
      <c r="F408" t="n">
        <v>2.81</v>
      </c>
      <c r="G408" t="n">
        <v>19.84</v>
      </c>
      <c r="H408" t="inlineStr">
        <is>
          <t>UPI</t>
        </is>
      </c>
      <c r="I408" t="inlineStr">
        <is>
          <t>Success</t>
        </is>
      </c>
      <c r="J408" t="inlineStr">
        <is>
          <t>Delivered</t>
        </is>
      </c>
      <c r="K408" t="n">
        <v>0</v>
      </c>
      <c r="L408" t="n">
        <v>0</v>
      </c>
      <c r="M408" t="inlineStr">
        <is>
          <t>INR</t>
        </is>
      </c>
      <c r="N408" t="inlineStr">
        <is>
          <t>2026-02-04 23:51:21</t>
        </is>
      </c>
    </row>
    <row r="409">
      <c r="A409" t="inlineStr">
        <is>
          <t>TXN00217710</t>
        </is>
      </c>
      <c r="B409" t="inlineStr">
        <is>
          <t>MER00189</t>
        </is>
      </c>
      <c r="C409" s="8" t="n">
        <v>46098</v>
      </c>
      <c r="D409" t="inlineStr">
        <is>
          <t>ORD00217710</t>
        </is>
      </c>
      <c r="E409" t="n">
        <v>548.03</v>
      </c>
      <c r="F409" t="n">
        <v>2.81</v>
      </c>
      <c r="G409" t="n">
        <v>15.4</v>
      </c>
      <c r="H409" t="inlineStr">
        <is>
          <t>Wallet</t>
        </is>
      </c>
      <c r="I409" t="inlineStr">
        <is>
          <t>Success</t>
        </is>
      </c>
      <c r="J409" t="inlineStr">
        <is>
          <t>Returned</t>
        </is>
      </c>
      <c r="K409" t="n">
        <v>548.03</v>
      </c>
      <c r="L409" t="n">
        <v>0</v>
      </c>
      <c r="M409" t="inlineStr">
        <is>
          <t>INR</t>
        </is>
      </c>
      <c r="N409" t="inlineStr">
        <is>
          <t>2026-03-17 03:11:30</t>
        </is>
      </c>
    </row>
    <row r="410">
      <c r="A410" t="inlineStr">
        <is>
          <t>TXN00221651</t>
        </is>
      </c>
      <c r="B410" t="inlineStr">
        <is>
          <t>MER00189</t>
        </is>
      </c>
      <c r="C410" s="8" t="n">
        <v>46108</v>
      </c>
      <c r="D410" t="inlineStr">
        <is>
          <t>ORD00221651</t>
        </is>
      </c>
      <c r="E410" t="n">
        <v>593.21</v>
      </c>
      <c r="F410" t="n">
        <v>2.81</v>
      </c>
      <c r="G410" t="n">
        <v>16.67</v>
      </c>
      <c r="H410" t="inlineStr">
        <is>
          <t>Wallet</t>
        </is>
      </c>
      <c r="I410" t="inlineStr">
        <is>
          <t>Success</t>
        </is>
      </c>
      <c r="J410" t="inlineStr">
        <is>
          <t>Delivered</t>
        </is>
      </c>
      <c r="K410" t="n">
        <v>0</v>
      </c>
      <c r="L410" t="n">
        <v>0</v>
      </c>
      <c r="M410" t="inlineStr">
        <is>
          <t>INR</t>
        </is>
      </c>
      <c r="N410" t="inlineStr">
        <is>
          <t>2026-03-27 10:02:51</t>
        </is>
      </c>
    </row>
    <row r="411">
      <c r="A411" t="inlineStr">
        <is>
          <t>TXN00227808</t>
        </is>
      </c>
      <c r="B411" t="inlineStr">
        <is>
          <t>MER00189</t>
        </is>
      </c>
      <c r="C411" s="8" t="n">
        <v>46125</v>
      </c>
      <c r="D411" t="inlineStr">
        <is>
          <t>ORD00227808</t>
        </is>
      </c>
      <c r="E411" t="n">
        <v>1053.64</v>
      </c>
      <c r="F411" t="n">
        <v>2.81</v>
      </c>
      <c r="G411" t="n">
        <v>29.61</v>
      </c>
      <c r="H411" t="inlineStr">
        <is>
          <t>COD</t>
        </is>
      </c>
      <c r="I411" t="inlineStr">
        <is>
          <t>Success</t>
        </is>
      </c>
      <c r="J411" t="inlineStr">
        <is>
          <t>Returned</t>
        </is>
      </c>
      <c r="K411" t="n">
        <v>1053.64</v>
      </c>
      <c r="L411" t="n">
        <v>0</v>
      </c>
      <c r="M411" t="inlineStr">
        <is>
          <t>INR</t>
        </is>
      </c>
      <c r="N411" t="inlineStr">
        <is>
          <t>2026-04-13 20:30:46</t>
        </is>
      </c>
    </row>
    <row r="412">
      <c r="A412" t="inlineStr">
        <is>
          <t>TXN00231712</t>
        </is>
      </c>
      <c r="B412" t="inlineStr">
        <is>
          <t>MER00189</t>
        </is>
      </c>
      <c r="C412" s="8" t="n">
        <v>46135</v>
      </c>
      <c r="D412" t="inlineStr">
        <is>
          <t>ORD00231712</t>
        </is>
      </c>
      <c r="E412" t="n">
        <v>2519.55</v>
      </c>
      <c r="F412" t="n">
        <v>2.81</v>
      </c>
      <c r="G412" t="n">
        <v>70.8</v>
      </c>
      <c r="H412" t="inlineStr">
        <is>
          <t>UPI</t>
        </is>
      </c>
      <c r="I412" t="inlineStr">
        <is>
          <t>Success</t>
        </is>
      </c>
      <c r="J412" t="inlineStr">
        <is>
          <t>Delivered</t>
        </is>
      </c>
      <c r="K412" t="n">
        <v>0</v>
      </c>
      <c r="L412" t="n">
        <v>0</v>
      </c>
      <c r="M412" t="inlineStr">
        <is>
          <t>INR</t>
        </is>
      </c>
      <c r="N412" t="inlineStr">
        <is>
          <t>2026-04-23 20:59:33</t>
        </is>
      </c>
    </row>
    <row r="413">
      <c r="A413" t="inlineStr">
        <is>
          <t>TXN00240897</t>
        </is>
      </c>
      <c r="B413" t="inlineStr">
        <is>
          <t>MER00189</t>
        </is>
      </c>
      <c r="C413" s="8" t="n">
        <v>46159</v>
      </c>
      <c r="D413" t="inlineStr">
        <is>
          <t>ORD00240897</t>
        </is>
      </c>
      <c r="E413" t="n">
        <v>1339.81</v>
      </c>
      <c r="F413" t="n">
        <v>2.38</v>
      </c>
      <c r="G413" t="n">
        <v>37.65</v>
      </c>
      <c r="H413" t="inlineStr">
        <is>
          <t>UPI</t>
        </is>
      </c>
      <c r="I413" t="inlineStr">
        <is>
          <t>Success</t>
        </is>
      </c>
      <c r="J413" t="inlineStr">
        <is>
          <t>Cancelled</t>
        </is>
      </c>
      <c r="K413" t="n">
        <v>1296.75</v>
      </c>
      <c r="L413" t="n">
        <v>0</v>
      </c>
      <c r="M413" t="inlineStr">
        <is>
          <t>INR</t>
        </is>
      </c>
      <c r="N413" t="inlineStr">
        <is>
          <t>2026-05-17 07:48:10</t>
        </is>
      </c>
    </row>
    <row r="414">
      <c r="A414" t="inlineStr">
        <is>
          <t>TXN00248747</t>
        </is>
      </c>
      <c r="B414" t="inlineStr">
        <is>
          <t>MER00189</t>
        </is>
      </c>
      <c r="C414" s="8" t="n">
        <v>46180</v>
      </c>
      <c r="D414" t="inlineStr">
        <is>
          <t>ORD00248747</t>
        </is>
      </c>
      <c r="E414" t="n">
        <v>612.71</v>
      </c>
      <c r="F414" t="n">
        <v>2.81</v>
      </c>
      <c r="G414" t="n">
        <v>17.22</v>
      </c>
      <c r="H414" t="inlineStr">
        <is>
          <t>UPI</t>
        </is>
      </c>
      <c r="I414" t="inlineStr">
        <is>
          <t>Success</t>
        </is>
      </c>
      <c r="J414" t="inlineStr">
        <is>
          <t>Delivered</t>
        </is>
      </c>
      <c r="K414" t="n">
        <v>0</v>
      </c>
      <c r="L414" t="n">
        <v>0</v>
      </c>
      <c r="M414" t="inlineStr">
        <is>
          <t>INR</t>
        </is>
      </c>
      <c r="N414" t="inlineStr">
        <is>
          <t>2026-06-07 09:54:05</t>
        </is>
      </c>
    </row>
    <row r="415">
      <c r="A415" t="inlineStr">
        <is>
          <t>TXN00251480</t>
        </is>
      </c>
      <c r="B415" t="inlineStr">
        <is>
          <t>MER00189</t>
        </is>
      </c>
      <c r="C415" s="8" t="n">
        <v>46186</v>
      </c>
      <c r="D415" t="inlineStr">
        <is>
          <t>ORD00251480</t>
        </is>
      </c>
      <c r="E415" t="n">
        <v>533.1</v>
      </c>
      <c r="F415" t="n">
        <v>2.81</v>
      </c>
      <c r="G415" t="n">
        <v>14.98</v>
      </c>
      <c r="H415" t="inlineStr">
        <is>
          <t>Card</t>
        </is>
      </c>
      <c r="I415" t="inlineStr">
        <is>
          <t>Success</t>
        </is>
      </c>
      <c r="J415" t="inlineStr">
        <is>
          <t>Delivered</t>
        </is>
      </c>
      <c r="K415" t="n">
        <v>0</v>
      </c>
      <c r="L415" t="n">
        <v>0</v>
      </c>
      <c r="M415" t="inlineStr">
        <is>
          <t>INR</t>
        </is>
      </c>
      <c r="N415" t="inlineStr">
        <is>
          <t>2026-06-13 03:51:47</t>
        </is>
      </c>
    </row>
    <row r="416">
      <c r="A416" t="inlineStr">
        <is>
          <t>TXN00263964</t>
        </is>
      </c>
      <c r="B416" t="inlineStr">
        <is>
          <t>MER00189</t>
        </is>
      </c>
      <c r="C416" s="8" t="n">
        <v>46218</v>
      </c>
      <c r="D416" t="inlineStr">
        <is>
          <t>ORD00263964</t>
        </is>
      </c>
      <c r="E416" t="n">
        <v>682.84</v>
      </c>
      <c r="F416" t="n">
        <v>2.81</v>
      </c>
      <c r="G416" t="n">
        <v>19.19</v>
      </c>
      <c r="H416" t="inlineStr">
        <is>
          <t>NetBanking</t>
        </is>
      </c>
      <c r="I416" t="inlineStr">
        <is>
          <t>Success</t>
        </is>
      </c>
      <c r="J416" t="inlineStr">
        <is>
          <t>Delivered</t>
        </is>
      </c>
      <c r="K416" t="n">
        <v>0</v>
      </c>
      <c r="L416" t="n">
        <v>0</v>
      </c>
      <c r="M416" t="inlineStr">
        <is>
          <t>INR</t>
        </is>
      </c>
      <c r="N416" t="inlineStr">
        <is>
          <t>2026-07-15 01:23:35</t>
        </is>
      </c>
    </row>
    <row r="417">
      <c r="A417" t="inlineStr">
        <is>
          <t>TXN00003525</t>
        </is>
      </c>
      <c r="B417" t="inlineStr">
        <is>
          <t>MER00203</t>
        </is>
      </c>
      <c r="C417" s="8" t="n">
        <v>45519</v>
      </c>
      <c r="D417" t="inlineStr">
        <is>
          <t>ORD00003525</t>
        </is>
      </c>
      <c r="E417" t="n">
        <v>5547.56</v>
      </c>
      <c r="F417" t="n">
        <v>2.5</v>
      </c>
      <c r="G417" t="n">
        <v>138.69</v>
      </c>
      <c r="H417" t="inlineStr">
        <is>
          <t>COD</t>
        </is>
      </c>
      <c r="I417" t="inlineStr">
        <is>
          <t>Pending</t>
        </is>
      </c>
      <c r="J417" t="inlineStr">
        <is>
          <t>Processing</t>
        </is>
      </c>
      <c r="K417" t="n">
        <v>0</v>
      </c>
      <c r="L417" t="n">
        <v>0</v>
      </c>
      <c r="M417" t="inlineStr">
        <is>
          <t>INR</t>
        </is>
      </c>
      <c r="N417" t="inlineStr">
        <is>
          <t>2024-08-15 12:23:05</t>
        </is>
      </c>
    </row>
    <row r="418">
      <c r="A418" t="inlineStr">
        <is>
          <t>TXN00004262</t>
        </is>
      </c>
      <c r="B418" t="inlineStr">
        <is>
          <t>MER00203</t>
        </is>
      </c>
      <c r="C418" s="8" t="n">
        <v>45522</v>
      </c>
      <c r="D418" t="inlineStr">
        <is>
          <t>ORD00004262</t>
        </is>
      </c>
      <c r="E418" t="n">
        <v>6022.75</v>
      </c>
      <c r="F418" t="n">
        <v>2.69</v>
      </c>
      <c r="G418" t="n">
        <v>162.01</v>
      </c>
      <c r="H418" t="inlineStr">
        <is>
          <t>NetBanking</t>
        </is>
      </c>
      <c r="I418" t="inlineStr">
        <is>
          <t>Success</t>
        </is>
      </c>
      <c r="J418" t="inlineStr">
        <is>
          <t>Delivered</t>
        </is>
      </c>
      <c r="K418" t="n">
        <v>0</v>
      </c>
      <c r="L418" t="n">
        <v>0</v>
      </c>
      <c r="M418" t="inlineStr">
        <is>
          <t>INR</t>
        </is>
      </c>
      <c r="N418" t="inlineStr">
        <is>
          <t>2024-08-18 20:30:21</t>
        </is>
      </c>
    </row>
    <row r="419">
      <c r="A419" t="inlineStr">
        <is>
          <t>TXN00009259</t>
        </is>
      </c>
      <c r="B419" t="inlineStr">
        <is>
          <t>MER00203</t>
        </is>
      </c>
      <c r="C419" s="8" t="n">
        <v>45542</v>
      </c>
      <c r="D419" t="inlineStr">
        <is>
          <t>ORD00009259</t>
        </is>
      </c>
      <c r="E419" t="n">
        <v>5252.76</v>
      </c>
      <c r="F419" t="n">
        <v>2.69</v>
      </c>
      <c r="G419" t="n">
        <v>141.3</v>
      </c>
      <c r="H419" t="inlineStr">
        <is>
          <t>UPI</t>
        </is>
      </c>
      <c r="I419" t="inlineStr">
        <is>
          <t>Success</t>
        </is>
      </c>
      <c r="J419" t="inlineStr">
        <is>
          <t>Delivered</t>
        </is>
      </c>
      <c r="K419" t="n">
        <v>0</v>
      </c>
      <c r="L419" t="n">
        <v>640.72</v>
      </c>
      <c r="M419" t="inlineStr">
        <is>
          <t>INR</t>
        </is>
      </c>
      <c r="N419" t="inlineStr">
        <is>
          <t>2024-09-07 03:25:40</t>
        </is>
      </c>
    </row>
    <row r="420">
      <c r="A420" t="inlineStr">
        <is>
          <t>TXN00012941</t>
        </is>
      </c>
      <c r="B420" t="inlineStr">
        <is>
          <t>MER00203</t>
        </is>
      </c>
      <c r="C420" s="8" t="n">
        <v>45555</v>
      </c>
      <c r="D420" t="inlineStr">
        <is>
          <t>ORD00012941</t>
        </is>
      </c>
      <c r="E420" t="n">
        <v>9346.91</v>
      </c>
      <c r="F420" t="n">
        <v>2.69</v>
      </c>
      <c r="G420" t="n">
        <v>251.43</v>
      </c>
      <c r="H420" t="inlineStr">
        <is>
          <t>UPI</t>
        </is>
      </c>
      <c r="I420" t="inlineStr">
        <is>
          <t>Success</t>
        </is>
      </c>
      <c r="J420" t="inlineStr">
        <is>
          <t>Returned</t>
        </is>
      </c>
      <c r="K420" t="n">
        <v>9346.91</v>
      </c>
      <c r="L420" t="n">
        <v>0</v>
      </c>
      <c r="M420" t="inlineStr">
        <is>
          <t>INR</t>
        </is>
      </c>
      <c r="N420" t="inlineStr">
        <is>
          <t>2024-09-20 18:12:50</t>
        </is>
      </c>
    </row>
    <row r="421">
      <c r="A421" t="inlineStr">
        <is>
          <t>TXN00014638</t>
        </is>
      </c>
      <c r="B421" t="inlineStr">
        <is>
          <t>MER00203</t>
        </is>
      </c>
      <c r="C421" s="8" t="n">
        <v>45560</v>
      </c>
      <c r="D421" t="inlineStr">
        <is>
          <t>ORD00014638</t>
        </is>
      </c>
      <c r="E421" t="n">
        <v>7025.16</v>
      </c>
      <c r="F421" t="n">
        <v>2.69</v>
      </c>
      <c r="G421" t="n">
        <v>188.98</v>
      </c>
      <c r="H421" t="inlineStr">
        <is>
          <t>UPI</t>
        </is>
      </c>
      <c r="I421" t="inlineStr">
        <is>
          <t>Success</t>
        </is>
      </c>
      <c r="J421" t="inlineStr">
        <is>
          <t>Delivered</t>
        </is>
      </c>
      <c r="K421" t="n">
        <v>0</v>
      </c>
      <c r="L421" t="n">
        <v>631.91</v>
      </c>
      <c r="M421" t="inlineStr">
        <is>
          <t>INR</t>
        </is>
      </c>
      <c r="N421" t="inlineStr">
        <is>
          <t>2024-09-25 12:03:09</t>
        </is>
      </c>
    </row>
    <row r="422">
      <c r="A422" t="inlineStr">
        <is>
          <t>TXN00014677</t>
        </is>
      </c>
      <c r="B422" t="inlineStr">
        <is>
          <t>MER00203</t>
        </is>
      </c>
      <c r="C422" s="8" t="n">
        <v>45561</v>
      </c>
      <c r="D422" t="inlineStr">
        <is>
          <t>ORD00014677</t>
        </is>
      </c>
      <c r="E422" t="n">
        <v>2677.69</v>
      </c>
      <c r="F422" t="n">
        <v>2.69</v>
      </c>
      <c r="G422" t="n">
        <v>72.03</v>
      </c>
      <c r="H422" t="inlineStr">
        <is>
          <t>UPI</t>
        </is>
      </c>
      <c r="I422" t="inlineStr">
        <is>
          <t>Success</t>
        </is>
      </c>
      <c r="J422" t="inlineStr">
        <is>
          <t>Delivered</t>
        </is>
      </c>
      <c r="K422" t="n">
        <v>0</v>
      </c>
      <c r="L422" t="n">
        <v>0</v>
      </c>
      <c r="M422" t="inlineStr">
        <is>
          <t>INR</t>
        </is>
      </c>
      <c r="N422" t="inlineStr">
        <is>
          <t>2024-09-26 07:37:49</t>
        </is>
      </c>
    </row>
    <row r="423">
      <c r="A423" t="inlineStr">
        <is>
          <t>TXN00017751</t>
        </is>
      </c>
      <c r="B423" t="inlineStr">
        <is>
          <t>MER00203</t>
        </is>
      </c>
      <c r="C423" s="8" t="n">
        <v>45570</v>
      </c>
      <c r="D423" t="inlineStr">
        <is>
          <t>ORD00017751</t>
        </is>
      </c>
      <c r="E423" t="n">
        <v>6566.93</v>
      </c>
      <c r="F423" t="n">
        <v>2.69</v>
      </c>
      <c r="G423" t="n">
        <v>176.65</v>
      </c>
      <c r="H423" t="inlineStr">
        <is>
          <t>UPI</t>
        </is>
      </c>
      <c r="I423" t="inlineStr">
        <is>
          <t>Success</t>
        </is>
      </c>
      <c r="J423" t="inlineStr">
        <is>
          <t>Cancelled</t>
        </is>
      </c>
      <c r="K423" t="n">
        <v>6115.44</v>
      </c>
      <c r="L423" t="n">
        <v>0</v>
      </c>
      <c r="M423" t="inlineStr">
        <is>
          <t>INR</t>
        </is>
      </c>
      <c r="N423" t="inlineStr">
        <is>
          <t>2024-10-05 06:41:29</t>
        </is>
      </c>
    </row>
    <row r="424">
      <c r="A424" t="inlineStr">
        <is>
          <t>TXN00018302</t>
        </is>
      </c>
      <c r="B424" t="inlineStr">
        <is>
          <t>MER00203</t>
        </is>
      </c>
      <c r="C424" s="8" t="n">
        <v>45571</v>
      </c>
      <c r="D424" t="inlineStr">
        <is>
          <t>ORD00018302</t>
        </is>
      </c>
      <c r="E424" t="n">
        <v>4651.68</v>
      </c>
      <c r="F424" t="n">
        <v>2</v>
      </c>
      <c r="G424" t="n">
        <v>125.13</v>
      </c>
      <c r="H424" t="inlineStr">
        <is>
          <t>UPI</t>
        </is>
      </c>
      <c r="I424" t="inlineStr">
        <is>
          <t>Success</t>
        </is>
      </c>
      <c r="J424" t="inlineStr">
        <is>
          <t>Delivered</t>
        </is>
      </c>
      <c r="K424" t="n">
        <v>0</v>
      </c>
      <c r="L424" t="n">
        <v>0</v>
      </c>
      <c r="M424" t="inlineStr">
        <is>
          <t>INR</t>
        </is>
      </c>
      <c r="N424" t="inlineStr">
        <is>
          <t>2024-10-06 03:06:08</t>
        </is>
      </c>
    </row>
    <row r="425">
      <c r="A425" t="inlineStr">
        <is>
          <t>TXN00020341</t>
        </is>
      </c>
      <c r="B425" t="inlineStr">
        <is>
          <t>MER00203</t>
        </is>
      </c>
      <c r="C425" s="8" t="n">
        <v>45576</v>
      </c>
      <c r="D425" t="inlineStr">
        <is>
          <t>ORD00020341</t>
        </is>
      </c>
      <c r="E425" t="n">
        <v>4570.56</v>
      </c>
      <c r="F425" t="n">
        <v>2.69</v>
      </c>
      <c r="G425" t="n">
        <v>122.95</v>
      </c>
      <c r="H425" t="inlineStr">
        <is>
          <t>Wallet</t>
        </is>
      </c>
      <c r="I425" t="inlineStr">
        <is>
          <t>Success</t>
        </is>
      </c>
      <c r="J425" t="inlineStr">
        <is>
          <t>Returned</t>
        </is>
      </c>
      <c r="K425" t="n">
        <v>4570.56</v>
      </c>
      <c r="L425" t="n">
        <v>0</v>
      </c>
      <c r="M425" t="inlineStr">
        <is>
          <t>INR</t>
        </is>
      </c>
      <c r="N425" t="inlineStr">
        <is>
          <t>2024-10-11 09:35:42</t>
        </is>
      </c>
    </row>
    <row r="426">
      <c r="A426" t="inlineStr">
        <is>
          <t>TXN00025358</t>
        </is>
      </c>
      <c r="B426" t="inlineStr">
        <is>
          <t>MER00203</t>
        </is>
      </c>
      <c r="C426" s="8" t="n">
        <v>45590</v>
      </c>
      <c r="D426" t="inlineStr">
        <is>
          <t>ORD00025358</t>
        </is>
      </c>
      <c r="E426" t="n">
        <v>1733.87</v>
      </c>
      <c r="F426" t="n">
        <v>2.69</v>
      </c>
      <c r="G426" t="n">
        <v>46.64</v>
      </c>
      <c r="H426" t="inlineStr">
        <is>
          <t>UPI</t>
        </is>
      </c>
      <c r="I426" t="inlineStr">
        <is>
          <t>Success</t>
        </is>
      </c>
      <c r="J426" t="inlineStr">
        <is>
          <t>Returned</t>
        </is>
      </c>
      <c r="K426" t="n">
        <v>1015.43</v>
      </c>
      <c r="L426" t="n">
        <v>0</v>
      </c>
      <c r="M426" t="inlineStr">
        <is>
          <t>INR</t>
        </is>
      </c>
      <c r="N426" t="inlineStr">
        <is>
          <t>2024-10-25 19:14:12</t>
        </is>
      </c>
    </row>
    <row r="427">
      <c r="A427" t="inlineStr">
        <is>
          <t>TXN00027216</t>
        </is>
      </c>
      <c r="B427" t="inlineStr">
        <is>
          <t>MER00203</t>
        </is>
      </c>
      <c r="C427" s="8" t="n">
        <v>45594</v>
      </c>
      <c r="D427" t="inlineStr">
        <is>
          <t>ORD00027216</t>
        </is>
      </c>
      <c r="E427" t="n">
        <v>2903.73</v>
      </c>
      <c r="F427" t="n">
        <v>2.69</v>
      </c>
      <c r="G427" t="n">
        <v>78.11</v>
      </c>
      <c r="H427" t="inlineStr">
        <is>
          <t>UPI</t>
        </is>
      </c>
      <c r="I427" t="inlineStr">
        <is>
          <t>Success</t>
        </is>
      </c>
      <c r="J427" t="inlineStr">
        <is>
          <t>Delivered</t>
        </is>
      </c>
      <c r="K427" t="n">
        <v>0</v>
      </c>
      <c r="L427" t="n">
        <v>0</v>
      </c>
      <c r="M427" t="inlineStr">
        <is>
          <t>INR</t>
        </is>
      </c>
      <c r="N427" t="inlineStr">
        <is>
          <t>2024-10-29 21:01:14</t>
        </is>
      </c>
    </row>
    <row r="428">
      <c r="A428" t="inlineStr">
        <is>
          <t>TXN00038869</t>
        </is>
      </c>
      <c r="B428" t="inlineStr">
        <is>
          <t>MER00203</t>
        </is>
      </c>
      <c r="C428" s="8" t="n">
        <v>45620</v>
      </c>
      <c r="D428" t="inlineStr">
        <is>
          <t>ORD00038869</t>
        </is>
      </c>
      <c r="E428" t="n">
        <v>2093.84</v>
      </c>
      <c r="F428" t="n">
        <v>2.69</v>
      </c>
      <c r="G428" t="n">
        <v>56.32</v>
      </c>
      <c r="H428" t="inlineStr">
        <is>
          <t>UPI</t>
        </is>
      </c>
      <c r="I428" t="inlineStr">
        <is>
          <t>Success</t>
        </is>
      </c>
      <c r="J428" t="inlineStr">
        <is>
          <t>Returned</t>
        </is>
      </c>
      <c r="K428" t="n">
        <v>2093.84</v>
      </c>
      <c r="L428" t="n">
        <v>304.61</v>
      </c>
      <c r="M428" t="inlineStr">
        <is>
          <t>INR</t>
        </is>
      </c>
      <c r="N428" t="inlineStr">
        <is>
          <t>2024-11-24 17:04:30</t>
        </is>
      </c>
    </row>
    <row r="429">
      <c r="A429" t="inlineStr">
        <is>
          <t>TXN00038980</t>
        </is>
      </c>
      <c r="B429" t="inlineStr">
        <is>
          <t>MER00203</t>
        </is>
      </c>
      <c r="C429" s="8" t="n">
        <v>45621</v>
      </c>
      <c r="D429" t="inlineStr">
        <is>
          <t>ORD00038980</t>
        </is>
      </c>
      <c r="E429" t="n">
        <v>6315.6</v>
      </c>
      <c r="F429" t="n">
        <v>2.69</v>
      </c>
      <c r="G429" t="n">
        <v>169.89</v>
      </c>
      <c r="H429" t="inlineStr">
        <is>
          <t>Wallet</t>
        </is>
      </c>
      <c r="I429" t="inlineStr">
        <is>
          <t>Success</t>
        </is>
      </c>
      <c r="J429" t="inlineStr">
        <is>
          <t>Delivered</t>
        </is>
      </c>
      <c r="K429" t="n">
        <v>0</v>
      </c>
      <c r="L429" t="n">
        <v>1005.1</v>
      </c>
      <c r="M429" t="inlineStr">
        <is>
          <t>INR</t>
        </is>
      </c>
      <c r="N429" t="inlineStr">
        <is>
          <t>2024-11-25 03:25:49</t>
        </is>
      </c>
    </row>
    <row r="430">
      <c r="A430" t="inlineStr">
        <is>
          <t>TXN00047005</t>
        </is>
      </c>
      <c r="B430" t="inlineStr">
        <is>
          <t>MER00203</t>
        </is>
      </c>
      <c r="C430" s="8" t="n">
        <v>45644</v>
      </c>
      <c r="D430" t="inlineStr">
        <is>
          <t>ORD00047005</t>
        </is>
      </c>
      <c r="E430" t="n">
        <v>2524.54</v>
      </c>
      <c r="F430" t="n">
        <v>2.69</v>
      </c>
      <c r="G430" t="n">
        <v>67.91</v>
      </c>
      <c r="H430" t="inlineStr">
        <is>
          <t>COD</t>
        </is>
      </c>
      <c r="I430" t="inlineStr">
        <is>
          <t>Success</t>
        </is>
      </c>
      <c r="J430" t="inlineStr">
        <is>
          <t>Delivered</t>
        </is>
      </c>
      <c r="K430" t="n">
        <v>0</v>
      </c>
      <c r="L430" t="n">
        <v>318.25</v>
      </c>
      <c r="M430" t="inlineStr">
        <is>
          <t>INR</t>
        </is>
      </c>
      <c r="N430" t="inlineStr">
        <is>
          <t>2024-12-18 23:21:25</t>
        </is>
      </c>
    </row>
    <row r="431">
      <c r="A431" t="inlineStr">
        <is>
          <t>TXN00047633</t>
        </is>
      </c>
      <c r="B431" t="inlineStr">
        <is>
          <t>MER00203</t>
        </is>
      </c>
      <c r="C431" s="8" t="n">
        <v>45646</v>
      </c>
      <c r="D431" t="inlineStr">
        <is>
          <t>ORD00047633</t>
        </is>
      </c>
      <c r="E431" t="n">
        <v>14806.71</v>
      </c>
      <c r="F431" t="n">
        <v>2.69</v>
      </c>
      <c r="G431" t="n">
        <v>398.3</v>
      </c>
      <c r="H431" t="inlineStr">
        <is>
          <t>UPI</t>
        </is>
      </c>
      <c r="I431" t="inlineStr">
        <is>
          <t>Success</t>
        </is>
      </c>
      <c r="J431" t="inlineStr">
        <is>
          <t>Processing</t>
        </is>
      </c>
      <c r="K431" t="n">
        <v>0</v>
      </c>
      <c r="L431" t="n">
        <v>0</v>
      </c>
      <c r="M431" t="inlineStr">
        <is>
          <t>INR</t>
        </is>
      </c>
      <c r="N431" t="inlineStr">
        <is>
          <t>2024-12-20 03:42:19</t>
        </is>
      </c>
    </row>
    <row r="432">
      <c r="A432" t="inlineStr">
        <is>
          <t>TXN00047930</t>
        </is>
      </c>
      <c r="B432" t="inlineStr">
        <is>
          <t>MER00203</t>
        </is>
      </c>
      <c r="C432" s="8" t="n">
        <v>45647</v>
      </c>
      <c r="D432" t="inlineStr">
        <is>
          <t>ORD00047930</t>
        </is>
      </c>
      <c r="E432" t="n">
        <v>3281</v>
      </c>
      <c r="F432" t="n">
        <v>2.69</v>
      </c>
      <c r="G432" t="n">
        <v>88.26000000000001</v>
      </c>
      <c r="H432" t="inlineStr">
        <is>
          <t>UPI</t>
        </is>
      </c>
      <c r="I432" t="inlineStr">
        <is>
          <t>Success</t>
        </is>
      </c>
      <c r="J432" t="inlineStr">
        <is>
          <t>Delivered</t>
        </is>
      </c>
      <c r="K432" t="n">
        <v>0</v>
      </c>
      <c r="L432" t="n">
        <v>251.74</v>
      </c>
      <c r="M432" t="inlineStr">
        <is>
          <t>INR</t>
        </is>
      </c>
      <c r="N432" t="inlineStr">
        <is>
          <t>2024-12-21 04:17:58</t>
        </is>
      </c>
    </row>
    <row r="433">
      <c r="A433" t="inlineStr">
        <is>
          <t>TXN00049565</t>
        </is>
      </c>
      <c r="B433" t="inlineStr">
        <is>
          <t>MER00203</t>
        </is>
      </c>
      <c r="C433" s="8" t="n">
        <v>45652</v>
      </c>
      <c r="D433" t="inlineStr">
        <is>
          <t>ORD00049565</t>
        </is>
      </c>
      <c r="E433" t="n">
        <v>3747.01</v>
      </c>
      <c r="F433" t="n">
        <v>2.69</v>
      </c>
      <c r="G433" t="n">
        <v>100.79</v>
      </c>
      <c r="H433" t="inlineStr">
        <is>
          <t>UPI</t>
        </is>
      </c>
      <c r="I433" t="inlineStr">
        <is>
          <t>Success</t>
        </is>
      </c>
      <c r="J433" t="inlineStr">
        <is>
          <t>Delivered</t>
        </is>
      </c>
      <c r="K433" t="n">
        <v>0</v>
      </c>
      <c r="L433" t="n">
        <v>0</v>
      </c>
      <c r="M433" t="inlineStr">
        <is>
          <t>INR</t>
        </is>
      </c>
      <c r="N433" t="inlineStr">
        <is>
          <t>2024-12-26 15:49:13</t>
        </is>
      </c>
    </row>
    <row r="434">
      <c r="A434" t="inlineStr">
        <is>
          <t>TXN00052754</t>
        </is>
      </c>
      <c r="B434" t="inlineStr">
        <is>
          <t>MER00203</t>
        </is>
      </c>
      <c r="C434" s="8" t="n">
        <v>45661</v>
      </c>
      <c r="D434" t="inlineStr">
        <is>
          <t>ORD00052754</t>
        </is>
      </c>
      <c r="E434" t="n">
        <v>6297.41</v>
      </c>
      <c r="F434" t="n">
        <v>2.69</v>
      </c>
      <c r="G434" t="n">
        <v>169.4</v>
      </c>
      <c r="H434" t="inlineStr">
        <is>
          <t>UPI</t>
        </is>
      </c>
      <c r="I434" t="inlineStr">
        <is>
          <t>Success</t>
        </is>
      </c>
      <c r="J434" t="inlineStr">
        <is>
          <t>Delivered</t>
        </is>
      </c>
      <c r="K434" t="n">
        <v>0</v>
      </c>
      <c r="L434" t="n">
        <v>0</v>
      </c>
      <c r="M434" t="inlineStr">
        <is>
          <t>INR</t>
        </is>
      </c>
      <c r="N434" t="inlineStr">
        <is>
          <t>2025-01-04 13:52:13</t>
        </is>
      </c>
    </row>
    <row r="435">
      <c r="A435" t="inlineStr">
        <is>
          <t>TXN00059480</t>
        </is>
      </c>
      <c r="B435" t="inlineStr">
        <is>
          <t>MER00203</t>
        </is>
      </c>
      <c r="C435" s="8" t="n">
        <v>45679</v>
      </c>
      <c r="D435" t="inlineStr">
        <is>
          <t>ORD00059480</t>
        </is>
      </c>
      <c r="E435" t="n">
        <v>4618.53</v>
      </c>
      <c r="F435" t="n">
        <v>2.69</v>
      </c>
      <c r="G435" t="n">
        <v>124.24</v>
      </c>
      <c r="H435" t="inlineStr">
        <is>
          <t>Wallet</t>
        </is>
      </c>
      <c r="I435" t="inlineStr">
        <is>
          <t>Success</t>
        </is>
      </c>
      <c r="J435" t="inlineStr">
        <is>
          <t>Delivered</t>
        </is>
      </c>
      <c r="K435" t="n">
        <v>0</v>
      </c>
      <c r="L435" t="n">
        <v>0</v>
      </c>
      <c r="M435" t="inlineStr">
        <is>
          <t>INR</t>
        </is>
      </c>
      <c r="N435" t="inlineStr">
        <is>
          <t>2025-01-22 20:42:15</t>
        </is>
      </c>
    </row>
    <row r="436">
      <c r="A436" t="inlineStr">
        <is>
          <t>TXN00061139</t>
        </is>
      </c>
      <c r="B436" t="inlineStr">
        <is>
          <t>MER00203</t>
        </is>
      </c>
      <c r="C436" s="8" t="n">
        <v>45684</v>
      </c>
      <c r="D436" t="inlineStr">
        <is>
          <t>ORD00061139</t>
        </is>
      </c>
      <c r="E436" t="n">
        <v>11892.86</v>
      </c>
      <c r="F436" t="n">
        <v>2.69</v>
      </c>
      <c r="G436" t="n">
        <v>319.92</v>
      </c>
      <c r="H436" t="inlineStr">
        <is>
          <t>Wallet</t>
        </is>
      </c>
      <c r="I436" t="inlineStr">
        <is>
          <t>Success</t>
        </is>
      </c>
      <c r="J436" t="inlineStr">
        <is>
          <t>Delivered</t>
        </is>
      </c>
      <c r="K436" t="n">
        <v>0</v>
      </c>
      <c r="L436" t="n">
        <v>0</v>
      </c>
      <c r="M436" t="inlineStr">
        <is>
          <t>INR</t>
        </is>
      </c>
      <c r="N436" t="inlineStr">
        <is>
          <t>2025-01-27 20:50:27</t>
        </is>
      </c>
    </row>
    <row r="437">
      <c r="A437" t="inlineStr">
        <is>
          <t>TXN00063742</t>
        </is>
      </c>
      <c r="B437" t="inlineStr">
        <is>
          <t>MER00203</t>
        </is>
      </c>
      <c r="C437" s="8" t="n">
        <v>45691</v>
      </c>
      <c r="D437" t="inlineStr">
        <is>
          <t>ORD00063742</t>
        </is>
      </c>
      <c r="E437" t="n">
        <v>4560.15</v>
      </c>
      <c r="F437" t="n">
        <v>2.69</v>
      </c>
      <c r="G437" t="n">
        <v>122.67</v>
      </c>
      <c r="H437" t="inlineStr">
        <is>
          <t>UPI</t>
        </is>
      </c>
      <c r="I437" t="inlineStr">
        <is>
          <t>Success</t>
        </is>
      </c>
      <c r="J437" t="inlineStr">
        <is>
          <t>Delivered</t>
        </is>
      </c>
      <c r="K437" t="n">
        <v>0</v>
      </c>
      <c r="L437" t="n">
        <v>0</v>
      </c>
      <c r="M437" t="inlineStr">
        <is>
          <t>INR</t>
        </is>
      </c>
      <c r="N437" t="inlineStr">
        <is>
          <t>2025-02-03 04:21:09</t>
        </is>
      </c>
    </row>
    <row r="438">
      <c r="A438" t="inlineStr">
        <is>
          <t>TXN00068490</t>
        </is>
      </c>
      <c r="B438" t="inlineStr">
        <is>
          <t>MER00203</t>
        </is>
      </c>
      <c r="C438" s="8" t="n">
        <v>45705</v>
      </c>
      <c r="D438" t="inlineStr">
        <is>
          <t>ORD00068490</t>
        </is>
      </c>
      <c r="E438" t="n">
        <v>5634.4</v>
      </c>
      <c r="F438" t="n">
        <v>2.69</v>
      </c>
      <c r="G438" t="n">
        <v>151.57</v>
      </c>
      <c r="H438" t="inlineStr">
        <is>
          <t>UPI</t>
        </is>
      </c>
      <c r="I438" t="inlineStr">
        <is>
          <t>Pending</t>
        </is>
      </c>
      <c r="J438" t="inlineStr">
        <is>
          <t>Processing</t>
        </is>
      </c>
      <c r="K438" t="n">
        <v>0</v>
      </c>
      <c r="L438" t="n">
        <v>0</v>
      </c>
      <c r="M438" t="inlineStr">
        <is>
          <t>INR</t>
        </is>
      </c>
      <c r="N438" t="inlineStr">
        <is>
          <t>2025-02-17 08:22:43</t>
        </is>
      </c>
    </row>
    <row r="439">
      <c r="A439" t="inlineStr">
        <is>
          <t>TXN00069303</t>
        </is>
      </c>
      <c r="B439" t="inlineStr">
        <is>
          <t>MER00203</t>
        </is>
      </c>
      <c r="C439" s="8" t="n">
        <v>45707</v>
      </c>
      <c r="D439" t="inlineStr">
        <is>
          <t>ORD00069303</t>
        </is>
      </c>
      <c r="E439" t="n">
        <v>3532.92</v>
      </c>
      <c r="F439" t="n">
        <v>2.69</v>
      </c>
      <c r="G439" t="n">
        <v>95.04000000000001</v>
      </c>
      <c r="H439" t="inlineStr">
        <is>
          <t>Card</t>
        </is>
      </c>
      <c r="I439" t="inlineStr">
        <is>
          <t>Success</t>
        </is>
      </c>
      <c r="J439" t="inlineStr">
        <is>
          <t>Delivered</t>
        </is>
      </c>
      <c r="K439" t="n">
        <v>0</v>
      </c>
      <c r="L439" t="n">
        <v>0</v>
      </c>
      <c r="M439" t="inlineStr">
        <is>
          <t>INR</t>
        </is>
      </c>
      <c r="N439" t="inlineStr">
        <is>
          <t>2025-02-19 15:35:19</t>
        </is>
      </c>
    </row>
    <row r="440">
      <c r="A440" t="inlineStr">
        <is>
          <t>TXN00072695</t>
        </is>
      </c>
      <c r="B440" t="inlineStr">
        <is>
          <t>MER00203</t>
        </is>
      </c>
      <c r="C440" s="8" t="n">
        <v>45717</v>
      </c>
      <c r="D440" t="inlineStr">
        <is>
          <t>ORD00072695</t>
        </is>
      </c>
      <c r="E440" t="n">
        <v>7511.98</v>
      </c>
      <c r="F440" t="n">
        <v>2.69</v>
      </c>
      <c r="G440" t="n">
        <v>202.07</v>
      </c>
      <c r="H440" t="inlineStr">
        <is>
          <t>UPI</t>
        </is>
      </c>
      <c r="I440" t="inlineStr">
        <is>
          <t>Success</t>
        </is>
      </c>
      <c r="J440" t="inlineStr">
        <is>
          <t>Delivered</t>
        </is>
      </c>
      <c r="K440" t="n">
        <v>0</v>
      </c>
      <c r="L440" t="n">
        <v>0</v>
      </c>
      <c r="M440" t="inlineStr">
        <is>
          <t>INR</t>
        </is>
      </c>
      <c r="N440" t="inlineStr">
        <is>
          <t>2025-03-01 03:49:09</t>
        </is>
      </c>
    </row>
    <row r="441">
      <c r="A441" t="inlineStr">
        <is>
          <t>TXN00074226</t>
        </is>
      </c>
      <c r="B441" t="inlineStr">
        <is>
          <t>MER00203</t>
        </is>
      </c>
      <c r="C441" s="8" t="n">
        <v>45722</v>
      </c>
      <c r="D441" t="inlineStr">
        <is>
          <t>ORD00074226</t>
        </is>
      </c>
      <c r="E441" t="n">
        <v>5478.1</v>
      </c>
      <c r="F441" t="n">
        <v>2.69</v>
      </c>
      <c r="G441" t="n">
        <v>147.36</v>
      </c>
      <c r="H441" t="inlineStr">
        <is>
          <t>COD</t>
        </is>
      </c>
      <c r="I441" t="inlineStr">
        <is>
          <t>Success</t>
        </is>
      </c>
      <c r="J441" t="inlineStr">
        <is>
          <t>Delivered</t>
        </is>
      </c>
      <c r="K441" t="n">
        <v>0</v>
      </c>
      <c r="L441" t="n">
        <v>0</v>
      </c>
      <c r="M441" t="inlineStr">
        <is>
          <t>INR</t>
        </is>
      </c>
      <c r="N441" t="inlineStr">
        <is>
          <t>2025-03-06 20:42:51</t>
        </is>
      </c>
    </row>
    <row r="442">
      <c r="A442" t="inlineStr">
        <is>
          <t>TXN00075859</t>
        </is>
      </c>
      <c r="B442" t="inlineStr">
        <is>
          <t>MER00203</t>
        </is>
      </c>
      <c r="C442" s="8" t="n">
        <v>45727</v>
      </c>
      <c r="D442" t="inlineStr">
        <is>
          <t>ORD00075859</t>
        </is>
      </c>
      <c r="E442" t="n">
        <v>1227.41</v>
      </c>
      <c r="F442" t="n">
        <v>2.69</v>
      </c>
      <c r="G442" t="n">
        <v>33.02</v>
      </c>
      <c r="H442" t="inlineStr">
        <is>
          <t>Card</t>
        </is>
      </c>
      <c r="I442" t="inlineStr">
        <is>
          <t>Failed</t>
        </is>
      </c>
      <c r="J442" t="inlineStr">
        <is>
          <t>Cancelled</t>
        </is>
      </c>
      <c r="K442" t="n">
        <v>0</v>
      </c>
      <c r="L442" t="n">
        <v>0</v>
      </c>
      <c r="M442" t="inlineStr">
        <is>
          <t>INR</t>
        </is>
      </c>
      <c r="N442" t="inlineStr">
        <is>
          <t>2025-03-11 19:39:25</t>
        </is>
      </c>
    </row>
    <row r="443">
      <c r="A443" t="inlineStr">
        <is>
          <t>TXN00083494</t>
        </is>
      </c>
      <c r="B443" t="inlineStr">
        <is>
          <t>MER00203</t>
        </is>
      </c>
      <c r="C443" s="8" t="n">
        <v>45752</v>
      </c>
      <c r="D443" t="inlineStr">
        <is>
          <t>ORD00083494</t>
        </is>
      </c>
      <c r="E443" t="n">
        <v>3176.02</v>
      </c>
      <c r="F443" t="n">
        <v>2.69</v>
      </c>
      <c r="G443" t="n">
        <v>85.43000000000001</v>
      </c>
      <c r="H443" t="inlineStr">
        <is>
          <t>UPI</t>
        </is>
      </c>
      <c r="I443" t="inlineStr">
        <is>
          <t>Success</t>
        </is>
      </c>
      <c r="J443" t="inlineStr">
        <is>
          <t>Delivered</t>
        </is>
      </c>
      <c r="K443" t="n">
        <v>0</v>
      </c>
      <c r="L443" t="n">
        <v>0</v>
      </c>
      <c r="M443" t="inlineStr">
        <is>
          <t>INR</t>
        </is>
      </c>
      <c r="N443" t="inlineStr">
        <is>
          <t>2025-04-05 03:48:14</t>
        </is>
      </c>
    </row>
    <row r="444">
      <c r="A444" t="inlineStr">
        <is>
          <t>TXN00086929</t>
        </is>
      </c>
      <c r="B444" t="inlineStr">
        <is>
          <t>MER00203</t>
        </is>
      </c>
      <c r="C444" s="8" t="n">
        <v>45762</v>
      </c>
      <c r="D444" t="inlineStr">
        <is>
          <t>ORD00086929</t>
        </is>
      </c>
      <c r="E444" t="n">
        <v>6145.18</v>
      </c>
      <c r="F444" t="n">
        <v>2.69</v>
      </c>
      <c r="G444" t="n">
        <v>165.31</v>
      </c>
      <c r="H444" t="inlineStr">
        <is>
          <t>COD</t>
        </is>
      </c>
      <c r="I444" t="inlineStr">
        <is>
          <t>Success</t>
        </is>
      </c>
      <c r="J444" t="inlineStr">
        <is>
          <t>Returned</t>
        </is>
      </c>
      <c r="K444" t="n">
        <v>6145.18</v>
      </c>
      <c r="L444" t="n">
        <v>0</v>
      </c>
      <c r="M444" t="inlineStr">
        <is>
          <t>INR</t>
        </is>
      </c>
      <c r="N444" t="inlineStr">
        <is>
          <t>2025-04-15 08:31:10</t>
        </is>
      </c>
    </row>
    <row r="445">
      <c r="A445" t="inlineStr">
        <is>
          <t>TXN00088063</t>
        </is>
      </c>
      <c r="B445" t="inlineStr">
        <is>
          <t>MER00203</t>
        </is>
      </c>
      <c r="C445" s="8" t="n">
        <v>45765</v>
      </c>
      <c r="D445" t="inlineStr">
        <is>
          <t>ORD00088063</t>
        </is>
      </c>
      <c r="E445" t="n">
        <v>4350.38</v>
      </c>
      <c r="F445" t="n">
        <v>2.69</v>
      </c>
      <c r="G445" t="n">
        <v>117.03</v>
      </c>
      <c r="H445" t="inlineStr">
        <is>
          <t>Card</t>
        </is>
      </c>
      <c r="I445" t="inlineStr">
        <is>
          <t>Success</t>
        </is>
      </c>
      <c r="J445" t="inlineStr">
        <is>
          <t>Cancelled</t>
        </is>
      </c>
      <c r="K445" t="n">
        <v>4170.44</v>
      </c>
      <c r="L445" t="n">
        <v>0</v>
      </c>
      <c r="M445" t="inlineStr">
        <is>
          <t>INR</t>
        </is>
      </c>
      <c r="N445" t="inlineStr">
        <is>
          <t>2025-04-18 03:15:03</t>
        </is>
      </c>
    </row>
    <row r="446">
      <c r="A446" t="inlineStr">
        <is>
          <t>TXN00097378</t>
        </is>
      </c>
      <c r="B446" t="inlineStr">
        <is>
          <t>MER00203</t>
        </is>
      </c>
      <c r="C446" s="8" t="n">
        <v>45794</v>
      </c>
      <c r="D446" t="inlineStr">
        <is>
          <t>ORD00097378</t>
        </is>
      </c>
      <c r="E446" t="n">
        <v>2576.74</v>
      </c>
      <c r="F446" t="n">
        <v>2.69</v>
      </c>
      <c r="G446" t="n">
        <v>69.31</v>
      </c>
      <c r="H446" t="inlineStr">
        <is>
          <t>UPI</t>
        </is>
      </c>
      <c r="I446" t="inlineStr">
        <is>
          <t>Success</t>
        </is>
      </c>
      <c r="J446" t="inlineStr">
        <is>
          <t>Returned</t>
        </is>
      </c>
      <c r="K446" t="n">
        <v>878.6900000000001</v>
      </c>
      <c r="L446" t="n">
        <v>0</v>
      </c>
      <c r="M446" t="inlineStr">
        <is>
          <t>INR</t>
        </is>
      </c>
      <c r="N446" t="inlineStr">
        <is>
          <t>2025-05-17 05:52:33</t>
        </is>
      </c>
    </row>
    <row r="447">
      <c r="A447" t="inlineStr">
        <is>
          <t>TXN00097896</t>
        </is>
      </c>
      <c r="B447" t="inlineStr">
        <is>
          <t>MER00203</t>
        </is>
      </c>
      <c r="C447" s="8" t="n">
        <v>45795</v>
      </c>
      <c r="D447" t="inlineStr">
        <is>
          <t>ORD00097896</t>
        </is>
      </c>
      <c r="E447" t="n">
        <v>3733.18</v>
      </c>
      <c r="F447" t="n">
        <v>2.69</v>
      </c>
      <c r="G447" t="n">
        <v>100.42</v>
      </c>
      <c r="H447" t="inlineStr">
        <is>
          <t>COD</t>
        </is>
      </c>
      <c r="I447" t="inlineStr">
        <is>
          <t>Success</t>
        </is>
      </c>
      <c r="J447" t="inlineStr">
        <is>
          <t>Delivered</t>
        </is>
      </c>
      <c r="K447" t="n">
        <v>0</v>
      </c>
      <c r="L447" t="n">
        <v>0</v>
      </c>
      <c r="M447" t="inlineStr">
        <is>
          <t>INR</t>
        </is>
      </c>
      <c r="N447" t="inlineStr">
        <is>
          <t>2025-05-18 02:33:35</t>
        </is>
      </c>
    </row>
    <row r="448">
      <c r="A448" t="inlineStr">
        <is>
          <t>TXN00098600</t>
        </is>
      </c>
      <c r="B448" t="inlineStr">
        <is>
          <t>MER00203</t>
        </is>
      </c>
      <c r="C448" s="8" t="n">
        <v>45798</v>
      </c>
      <c r="D448" t="inlineStr">
        <is>
          <t>ORD00098600</t>
        </is>
      </c>
      <c r="E448" t="n">
        <v>7149.13</v>
      </c>
      <c r="F448" t="n">
        <v>2.69</v>
      </c>
      <c r="G448" t="n">
        <v>192.31</v>
      </c>
      <c r="H448" t="inlineStr">
        <is>
          <t>Wallet</t>
        </is>
      </c>
      <c r="I448" t="inlineStr">
        <is>
          <t>Success</t>
        </is>
      </c>
      <c r="J448" t="inlineStr">
        <is>
          <t>Delivered</t>
        </is>
      </c>
      <c r="K448" t="n">
        <v>0</v>
      </c>
      <c r="L448" t="n">
        <v>466.97</v>
      </c>
      <c r="M448" t="inlineStr">
        <is>
          <t>INR</t>
        </is>
      </c>
      <c r="N448" t="inlineStr">
        <is>
          <t>2025-05-21 11:16:51</t>
        </is>
      </c>
    </row>
    <row r="449">
      <c r="A449" t="inlineStr">
        <is>
          <t>TXN00102451</t>
        </is>
      </c>
      <c r="B449" t="inlineStr">
        <is>
          <t>MER00203</t>
        </is>
      </c>
      <c r="C449" s="8" t="n">
        <v>45809</v>
      </c>
      <c r="D449" t="inlineStr">
        <is>
          <t>ORD00102451</t>
        </is>
      </c>
      <c r="E449" t="n">
        <v>5550.4</v>
      </c>
      <c r="F449" t="n">
        <v>2.69</v>
      </c>
      <c r="G449" t="n">
        <v>149.31</v>
      </c>
      <c r="H449" t="inlineStr">
        <is>
          <t>UPI</t>
        </is>
      </c>
      <c r="I449" t="inlineStr">
        <is>
          <t>Success</t>
        </is>
      </c>
      <c r="J449" t="inlineStr">
        <is>
          <t>Delivered</t>
        </is>
      </c>
      <c r="K449" t="n">
        <v>0</v>
      </c>
      <c r="L449" t="n">
        <v>0</v>
      </c>
      <c r="M449" t="inlineStr">
        <is>
          <t>INR</t>
        </is>
      </c>
      <c r="N449" t="inlineStr">
        <is>
          <t>2025-06-01 21:17:05</t>
        </is>
      </c>
    </row>
    <row r="450">
      <c r="A450" t="inlineStr">
        <is>
          <t>TXN00111402</t>
        </is>
      </c>
      <c r="B450" t="inlineStr">
        <is>
          <t>MER00203</t>
        </is>
      </c>
      <c r="C450" s="8" t="n">
        <v>45836</v>
      </c>
      <c r="D450" t="inlineStr">
        <is>
          <t>ORD00111402</t>
        </is>
      </c>
      <c r="E450" t="n">
        <v>3883.85</v>
      </c>
      <c r="F450" t="n">
        <v>2.69</v>
      </c>
      <c r="G450" t="n">
        <v>104.48</v>
      </c>
      <c r="H450" t="inlineStr">
        <is>
          <t>Card</t>
        </is>
      </c>
      <c r="I450" t="inlineStr">
        <is>
          <t>Success</t>
        </is>
      </c>
      <c r="J450" t="inlineStr">
        <is>
          <t>Delivered</t>
        </is>
      </c>
      <c r="K450" t="n">
        <v>0</v>
      </c>
      <c r="L450" t="n">
        <v>0</v>
      </c>
      <c r="M450" t="inlineStr">
        <is>
          <t>INR</t>
        </is>
      </c>
      <c r="N450" t="inlineStr">
        <is>
          <t>2025-06-28 10:06:01</t>
        </is>
      </c>
    </row>
    <row r="451">
      <c r="A451" t="inlineStr">
        <is>
          <t>TXN00113595</t>
        </is>
      </c>
      <c r="B451" t="inlineStr">
        <is>
          <t>MER00203</t>
        </is>
      </c>
      <c r="C451" s="8" t="n">
        <v>45842</v>
      </c>
      <c r="D451" t="inlineStr">
        <is>
          <t>ORD00113595</t>
        </is>
      </c>
      <c r="E451" t="n">
        <v>4616.63</v>
      </c>
      <c r="F451" t="n">
        <v>2.69</v>
      </c>
      <c r="G451" t="n">
        <v>124.19</v>
      </c>
      <c r="H451" t="inlineStr">
        <is>
          <t>COD</t>
        </is>
      </c>
      <c r="I451" t="inlineStr">
        <is>
          <t>Success</t>
        </is>
      </c>
      <c r="J451" t="inlineStr">
        <is>
          <t>Delivered</t>
        </is>
      </c>
      <c r="K451" t="n">
        <v>0</v>
      </c>
      <c r="L451" t="n">
        <v>0</v>
      </c>
      <c r="M451" t="inlineStr">
        <is>
          <t>INR</t>
        </is>
      </c>
      <c r="N451" t="inlineStr">
        <is>
          <t>2025-07-04 18:28:36</t>
        </is>
      </c>
    </row>
    <row r="452">
      <c r="A452" t="inlineStr">
        <is>
          <t>TXN00117619</t>
        </is>
      </c>
      <c r="B452" t="inlineStr">
        <is>
          <t>MER00203</t>
        </is>
      </c>
      <c r="C452" s="8" t="n">
        <v>45854</v>
      </c>
      <c r="D452" t="inlineStr">
        <is>
          <t>ORD00117619</t>
        </is>
      </c>
      <c r="E452" t="n">
        <v>10716.97</v>
      </c>
      <c r="F452" t="n">
        <v>2.69</v>
      </c>
      <c r="G452" t="n">
        <v>288.29</v>
      </c>
      <c r="H452" t="inlineStr">
        <is>
          <t>Card</t>
        </is>
      </c>
      <c r="I452" t="inlineStr">
        <is>
          <t>Success</t>
        </is>
      </c>
      <c r="J452" t="inlineStr">
        <is>
          <t>Cancelled</t>
        </is>
      </c>
      <c r="K452" t="n">
        <v>10285.43</v>
      </c>
      <c r="L452" t="n">
        <v>0</v>
      </c>
      <c r="M452" t="inlineStr">
        <is>
          <t>INR</t>
        </is>
      </c>
      <c r="N452" t="inlineStr">
        <is>
          <t>2025-07-16 05:09:12</t>
        </is>
      </c>
    </row>
    <row r="453">
      <c r="A453" t="inlineStr">
        <is>
          <t>TXN00129498</t>
        </is>
      </c>
      <c r="B453" t="inlineStr">
        <is>
          <t>MER00203</t>
        </is>
      </c>
      <c r="C453" s="8" t="n">
        <v>45890</v>
      </c>
      <c r="D453" t="inlineStr">
        <is>
          <t>ORD00129498</t>
        </is>
      </c>
      <c r="E453" t="n">
        <v>5382.29</v>
      </c>
      <c r="F453" t="n">
        <v>2.69</v>
      </c>
      <c r="G453" t="n">
        <v>144.78</v>
      </c>
      <c r="H453" t="inlineStr">
        <is>
          <t>UPI</t>
        </is>
      </c>
      <c r="I453" t="inlineStr">
        <is>
          <t>Success</t>
        </is>
      </c>
      <c r="J453" t="inlineStr">
        <is>
          <t>Delivered</t>
        </is>
      </c>
      <c r="K453" t="n">
        <v>0</v>
      </c>
      <c r="L453" t="n">
        <v>0</v>
      </c>
      <c r="M453" t="inlineStr">
        <is>
          <t>INR</t>
        </is>
      </c>
      <c r="N453" t="inlineStr">
        <is>
          <t>2025-08-21 03:20:01</t>
        </is>
      </c>
    </row>
    <row r="454">
      <c r="A454" t="inlineStr">
        <is>
          <t>TXN00132371</t>
        </is>
      </c>
      <c r="B454" t="inlineStr">
        <is>
          <t>MER00203</t>
        </is>
      </c>
      <c r="C454" s="8" t="n">
        <v>45899</v>
      </c>
      <c r="D454" t="inlineStr">
        <is>
          <t>ORD00132371</t>
        </is>
      </c>
      <c r="E454" t="n">
        <v>5965.15</v>
      </c>
      <c r="F454" t="n">
        <v>2.69</v>
      </c>
      <c r="G454" t="n">
        <v>160.46</v>
      </c>
      <c r="H454" t="inlineStr">
        <is>
          <t>Wallet</t>
        </is>
      </c>
      <c r="I454" t="inlineStr">
        <is>
          <t>Success</t>
        </is>
      </c>
      <c r="J454" t="inlineStr">
        <is>
          <t>Delivered</t>
        </is>
      </c>
      <c r="K454" t="n">
        <v>0</v>
      </c>
      <c r="L454" t="n">
        <v>0</v>
      </c>
      <c r="M454" t="inlineStr">
        <is>
          <t>INR</t>
        </is>
      </c>
      <c r="N454" t="inlineStr">
        <is>
          <t>2025-08-30 23:03:24</t>
        </is>
      </c>
    </row>
    <row r="455">
      <c r="A455" t="inlineStr">
        <is>
          <t>TXN00132686</t>
        </is>
      </c>
      <c r="B455" t="inlineStr">
        <is>
          <t>MER00203</t>
        </is>
      </c>
      <c r="C455" s="8" t="n">
        <v>45900</v>
      </c>
      <c r="D455" t="inlineStr">
        <is>
          <t>ORD00132686</t>
        </is>
      </c>
      <c r="E455" t="n">
        <v>4294.14</v>
      </c>
      <c r="F455" t="n">
        <v>2.69</v>
      </c>
      <c r="G455" t="n">
        <v>115.51</v>
      </c>
      <c r="H455" t="inlineStr">
        <is>
          <t>Wallet</t>
        </is>
      </c>
      <c r="I455" t="inlineStr">
        <is>
          <t>Success</t>
        </is>
      </c>
      <c r="J455" t="inlineStr">
        <is>
          <t>Delivered</t>
        </is>
      </c>
      <c r="K455" t="n">
        <v>0</v>
      </c>
      <c r="L455" t="n">
        <v>0</v>
      </c>
      <c r="M455" t="inlineStr">
        <is>
          <t>INR</t>
        </is>
      </c>
      <c r="N455" t="inlineStr">
        <is>
          <t>2025-08-31 01:20:53</t>
        </is>
      </c>
    </row>
    <row r="456">
      <c r="A456" t="inlineStr">
        <is>
          <t>TXN00149855</t>
        </is>
      </c>
      <c r="B456" t="inlineStr">
        <is>
          <t>MER00203</t>
        </is>
      </c>
      <c r="C456" s="8" t="n">
        <v>45944</v>
      </c>
      <c r="D456" t="inlineStr">
        <is>
          <t>ORD00149855</t>
        </is>
      </c>
      <c r="E456" t="n">
        <v>4582.93</v>
      </c>
      <c r="F456" t="n">
        <v>2.69</v>
      </c>
      <c r="G456" t="n">
        <v>123.28</v>
      </c>
      <c r="H456" t="inlineStr">
        <is>
          <t>UPI</t>
        </is>
      </c>
      <c r="I456" t="inlineStr">
        <is>
          <t>Success</t>
        </is>
      </c>
      <c r="J456" t="inlineStr">
        <is>
          <t>Delivered</t>
        </is>
      </c>
      <c r="K456" t="n">
        <v>0</v>
      </c>
      <c r="L456" t="n">
        <v>0</v>
      </c>
      <c r="M456" t="inlineStr">
        <is>
          <t>INR</t>
        </is>
      </c>
      <c r="N456" t="inlineStr">
        <is>
          <t>2025-10-14 13:15:54</t>
        </is>
      </c>
    </row>
    <row r="457">
      <c r="A457" t="inlineStr">
        <is>
          <t>TXN00150454</t>
        </is>
      </c>
      <c r="B457" t="inlineStr">
        <is>
          <t>MER00203</t>
        </is>
      </c>
      <c r="C457" s="8" t="n">
        <v>45945</v>
      </c>
      <c r="D457" t="inlineStr">
        <is>
          <t>ORD00150454</t>
        </is>
      </c>
      <c r="E457" t="n">
        <v>5610.48</v>
      </c>
      <c r="F457" t="n">
        <v>2.69</v>
      </c>
      <c r="G457" t="n">
        <v>150.92</v>
      </c>
      <c r="H457" t="inlineStr">
        <is>
          <t>Card</t>
        </is>
      </c>
      <c r="I457" t="inlineStr">
        <is>
          <t>Success</t>
        </is>
      </c>
      <c r="J457" t="inlineStr">
        <is>
          <t>Delivered</t>
        </is>
      </c>
      <c r="K457" t="n">
        <v>0</v>
      </c>
      <c r="L457" t="n">
        <v>0</v>
      </c>
      <c r="M457" t="inlineStr">
        <is>
          <t>INR</t>
        </is>
      </c>
      <c r="N457" t="inlineStr">
        <is>
          <t>2025-10-15 02:22:16</t>
        </is>
      </c>
    </row>
    <row r="458">
      <c r="A458" t="inlineStr">
        <is>
          <t>TXN00150462</t>
        </is>
      </c>
      <c r="B458" t="inlineStr">
        <is>
          <t>MER00203</t>
        </is>
      </c>
      <c r="C458" s="8" t="n">
        <v>45945</v>
      </c>
      <c r="D458" t="inlineStr">
        <is>
          <t>ORD00150462</t>
        </is>
      </c>
      <c r="E458" t="n">
        <v>2229.75</v>
      </c>
      <c r="F458" t="n">
        <v>2.69</v>
      </c>
      <c r="G458" t="n">
        <v>59.98</v>
      </c>
      <c r="H458" t="inlineStr">
        <is>
          <t>UPI</t>
        </is>
      </c>
      <c r="I458" t="inlineStr">
        <is>
          <t>Success</t>
        </is>
      </c>
      <c r="J458" t="inlineStr">
        <is>
          <t>Delivered</t>
        </is>
      </c>
      <c r="K458" t="n">
        <v>0</v>
      </c>
      <c r="L458" t="n">
        <v>0</v>
      </c>
      <c r="M458" t="inlineStr">
        <is>
          <t>INR</t>
        </is>
      </c>
      <c r="N458" t="inlineStr">
        <is>
          <t>2025-10-15 08:17:50</t>
        </is>
      </c>
    </row>
    <row r="459">
      <c r="A459" t="inlineStr">
        <is>
          <t>TXN00152012</t>
        </is>
      </c>
      <c r="B459" t="inlineStr">
        <is>
          <t>MER00203</t>
        </is>
      </c>
      <c r="C459" s="8" t="n">
        <v>45949</v>
      </c>
      <c r="D459" t="inlineStr">
        <is>
          <t>ORD00152012</t>
        </is>
      </c>
      <c r="E459" t="n">
        <v>1765.29</v>
      </c>
      <c r="F459" t="n">
        <v>2.69</v>
      </c>
      <c r="G459" t="n">
        <v>47.49</v>
      </c>
      <c r="H459" t="inlineStr">
        <is>
          <t>UPI</t>
        </is>
      </c>
      <c r="I459" t="inlineStr">
        <is>
          <t>Success</t>
        </is>
      </c>
      <c r="J459" t="inlineStr">
        <is>
          <t>Cancelled</t>
        </is>
      </c>
      <c r="K459" t="n">
        <v>1686.96</v>
      </c>
      <c r="L459" t="n">
        <v>0</v>
      </c>
      <c r="M459" t="inlineStr">
        <is>
          <t>INR</t>
        </is>
      </c>
      <c r="N459" t="inlineStr">
        <is>
          <t>2025-10-19 09:02:29</t>
        </is>
      </c>
    </row>
    <row r="460">
      <c r="A460" t="inlineStr">
        <is>
          <t>TXN00154739</t>
        </is>
      </c>
      <c r="B460" t="inlineStr">
        <is>
          <t>MER00203</t>
        </is>
      </c>
      <c r="C460" s="8" t="n">
        <v>45954</v>
      </c>
      <c r="D460" t="inlineStr">
        <is>
          <t>ORD00154739</t>
        </is>
      </c>
      <c r="E460" t="n">
        <v>1631.61</v>
      </c>
      <c r="F460" t="n">
        <v>2.69</v>
      </c>
      <c r="G460" t="n">
        <v>43.89</v>
      </c>
      <c r="H460" t="inlineStr">
        <is>
          <t>NetBanking</t>
        </is>
      </c>
      <c r="I460" t="inlineStr">
        <is>
          <t>Success</t>
        </is>
      </c>
      <c r="J460" t="inlineStr">
        <is>
          <t>Delivered</t>
        </is>
      </c>
      <c r="K460" t="n">
        <v>0</v>
      </c>
      <c r="L460" t="n">
        <v>0</v>
      </c>
      <c r="M460" t="inlineStr">
        <is>
          <t>INR</t>
        </is>
      </c>
      <c r="N460" t="inlineStr">
        <is>
          <t>2025-10-24 21:54:45</t>
        </is>
      </c>
    </row>
    <row r="461">
      <c r="A461" t="inlineStr">
        <is>
          <t>TXN00166674</t>
        </is>
      </c>
      <c r="B461" t="inlineStr">
        <is>
          <t>MER00203</t>
        </is>
      </c>
      <c r="C461" s="8" t="n">
        <v>45977</v>
      </c>
      <c r="D461" t="inlineStr">
        <is>
          <t>ORD00166674</t>
        </is>
      </c>
      <c r="E461" t="n">
        <v>2432.09</v>
      </c>
      <c r="F461" t="n">
        <v>2.69</v>
      </c>
      <c r="G461" t="n">
        <v>65.42</v>
      </c>
      <c r="H461" t="inlineStr">
        <is>
          <t>Wallet</t>
        </is>
      </c>
      <c r="I461" t="inlineStr">
        <is>
          <t>Success</t>
        </is>
      </c>
      <c r="J461" t="inlineStr">
        <is>
          <t>Delivered</t>
        </is>
      </c>
      <c r="K461" t="n">
        <v>0</v>
      </c>
      <c r="L461" t="n">
        <v>0</v>
      </c>
      <c r="M461" t="inlineStr">
        <is>
          <t>INR</t>
        </is>
      </c>
      <c r="N461" t="inlineStr">
        <is>
          <t>2025-11-16 06:49:01</t>
        </is>
      </c>
    </row>
    <row r="462">
      <c r="A462" t="inlineStr">
        <is>
          <t>TXN00168982</t>
        </is>
      </c>
      <c r="B462" t="inlineStr">
        <is>
          <t>MER00203</t>
        </is>
      </c>
      <c r="C462" s="8" t="n">
        <v>45981</v>
      </c>
      <c r="D462" t="inlineStr">
        <is>
          <t>ORD00168982</t>
        </is>
      </c>
      <c r="E462" t="n">
        <v>4863.8</v>
      </c>
      <c r="F462" t="n">
        <v>2.69</v>
      </c>
      <c r="G462" t="n">
        <v>130.84</v>
      </c>
      <c r="H462" t="inlineStr">
        <is>
          <t>UPI</t>
        </is>
      </c>
      <c r="I462" t="inlineStr">
        <is>
          <t>Success</t>
        </is>
      </c>
      <c r="J462" t="inlineStr">
        <is>
          <t>Delivered</t>
        </is>
      </c>
      <c r="K462" t="n">
        <v>0</v>
      </c>
      <c r="L462" t="n">
        <v>0</v>
      </c>
      <c r="M462" t="inlineStr">
        <is>
          <t>INR</t>
        </is>
      </c>
      <c r="N462" t="inlineStr">
        <is>
          <t>2025-11-20 13:27:16</t>
        </is>
      </c>
    </row>
    <row r="463">
      <c r="A463" t="inlineStr">
        <is>
          <t>TXN00171020</t>
        </is>
      </c>
      <c r="B463" t="inlineStr">
        <is>
          <t>MER00203</t>
        </is>
      </c>
      <c r="C463" s="8" t="n">
        <v>45985</v>
      </c>
      <c r="D463" t="inlineStr">
        <is>
          <t>ORD00171020</t>
        </is>
      </c>
      <c r="E463" t="n">
        <v>8560.639999999999</v>
      </c>
      <c r="F463" t="n">
        <v>2.69</v>
      </c>
      <c r="G463" t="n">
        <v>230.28</v>
      </c>
      <c r="H463" t="inlineStr">
        <is>
          <t>UPI</t>
        </is>
      </c>
      <c r="I463" t="inlineStr">
        <is>
          <t>Success</t>
        </is>
      </c>
      <c r="J463" t="inlineStr">
        <is>
          <t>Delivered</t>
        </is>
      </c>
      <c r="K463" t="n">
        <v>0</v>
      </c>
      <c r="L463" t="n">
        <v>0</v>
      </c>
      <c r="M463" t="inlineStr">
        <is>
          <t>INR</t>
        </is>
      </c>
      <c r="N463" t="inlineStr">
        <is>
          <t>2025-11-24 16:52:46</t>
        </is>
      </c>
    </row>
    <row r="464">
      <c r="A464" t="inlineStr">
        <is>
          <t>TXN00172386</t>
        </is>
      </c>
      <c r="B464" t="inlineStr">
        <is>
          <t>MER00203</t>
        </is>
      </c>
      <c r="C464" s="8" t="n">
        <v>45988</v>
      </c>
      <c r="D464" t="inlineStr">
        <is>
          <t>ORD00172386</t>
        </is>
      </c>
      <c r="E464" t="n">
        <v>2583.78</v>
      </c>
      <c r="F464" t="n">
        <v>2.69</v>
      </c>
      <c r="G464" t="n">
        <v>69.5</v>
      </c>
      <c r="H464" t="inlineStr">
        <is>
          <t>UPI</t>
        </is>
      </c>
      <c r="I464" t="inlineStr">
        <is>
          <t>Success</t>
        </is>
      </c>
      <c r="J464" t="inlineStr">
        <is>
          <t>Delivered</t>
        </is>
      </c>
      <c r="K464" t="n">
        <v>0</v>
      </c>
      <c r="L464" t="n">
        <v>0</v>
      </c>
      <c r="M464" t="inlineStr">
        <is>
          <t>INR</t>
        </is>
      </c>
      <c r="N464" t="inlineStr">
        <is>
          <t>2025-11-27 20:10:04</t>
        </is>
      </c>
    </row>
    <row r="465">
      <c r="A465" t="inlineStr">
        <is>
          <t>TXN00184888</t>
        </is>
      </c>
      <c r="B465" t="inlineStr">
        <is>
          <t>MER00203</t>
        </is>
      </c>
      <c r="C465" s="8" t="n">
        <v>46019</v>
      </c>
      <c r="D465" t="inlineStr">
        <is>
          <t>ORD00184888</t>
        </is>
      </c>
      <c r="E465" t="n">
        <v>3613.59</v>
      </c>
      <c r="F465" t="n">
        <v>2.69</v>
      </c>
      <c r="G465" t="n">
        <v>97.20999999999999</v>
      </c>
      <c r="H465" t="inlineStr">
        <is>
          <t>UPI</t>
        </is>
      </c>
      <c r="I465" t="inlineStr">
        <is>
          <t>Success</t>
        </is>
      </c>
      <c r="J465" t="inlineStr">
        <is>
          <t>Delivered</t>
        </is>
      </c>
      <c r="K465" t="n">
        <v>0</v>
      </c>
      <c r="L465" t="n">
        <v>0</v>
      </c>
      <c r="M465" t="inlineStr">
        <is>
          <t>INR</t>
        </is>
      </c>
      <c r="N465" t="inlineStr">
        <is>
          <t>2025-12-28 04:46:16</t>
        </is>
      </c>
    </row>
    <row r="466">
      <c r="A466" t="inlineStr">
        <is>
          <t>TXN00187419</t>
        </is>
      </c>
      <c r="B466" t="inlineStr">
        <is>
          <t>MER00203</t>
        </is>
      </c>
      <c r="C466" s="8" t="n">
        <v>46025</v>
      </c>
      <c r="D466" t="inlineStr">
        <is>
          <t>ORD00187419</t>
        </is>
      </c>
      <c r="E466" t="n">
        <v>5700.29</v>
      </c>
      <c r="F466" t="n">
        <v>2.69</v>
      </c>
      <c r="G466" t="n">
        <v>153.34</v>
      </c>
      <c r="H466" t="inlineStr">
        <is>
          <t>Card</t>
        </is>
      </c>
      <c r="I466" t="inlineStr">
        <is>
          <t>Pending</t>
        </is>
      </c>
      <c r="J466" t="inlineStr">
        <is>
          <t>Cancelled</t>
        </is>
      </c>
      <c r="K466" t="n">
        <v>0</v>
      </c>
      <c r="L466" t="n">
        <v>0</v>
      </c>
      <c r="M466" t="inlineStr">
        <is>
          <t>INR</t>
        </is>
      </c>
      <c r="N466" t="inlineStr">
        <is>
          <t>2026-01-03 15:23:31</t>
        </is>
      </c>
    </row>
    <row r="467">
      <c r="A467" t="inlineStr">
        <is>
          <t>TXN00197338</t>
        </is>
      </c>
      <c r="B467" t="inlineStr">
        <is>
          <t>MER00203</t>
        </is>
      </c>
      <c r="C467" s="8" t="n">
        <v>46047</v>
      </c>
      <c r="D467" t="inlineStr">
        <is>
          <t>ORD00197338</t>
        </is>
      </c>
      <c r="E467" t="n">
        <v>3366.88</v>
      </c>
      <c r="F467" t="n">
        <v>2.69</v>
      </c>
      <c r="G467" t="n">
        <v>90.56999999999999</v>
      </c>
      <c r="H467" t="inlineStr">
        <is>
          <t>Card</t>
        </is>
      </c>
      <c r="I467" t="inlineStr">
        <is>
          <t>Success</t>
        </is>
      </c>
      <c r="J467" t="inlineStr">
        <is>
          <t>Delivered</t>
        </is>
      </c>
      <c r="K467" t="n">
        <v>0</v>
      </c>
      <c r="L467" t="n">
        <v>0</v>
      </c>
      <c r="M467" t="inlineStr">
        <is>
          <t>INR</t>
        </is>
      </c>
      <c r="N467" t="inlineStr">
        <is>
          <t>2026-01-25 08:50:24</t>
        </is>
      </c>
    </row>
    <row r="468">
      <c r="A468" t="inlineStr">
        <is>
          <t>TXN00197973</t>
        </is>
      </c>
      <c r="B468" t="inlineStr">
        <is>
          <t>MER00203</t>
        </is>
      </c>
      <c r="C468" s="8" t="n">
        <v>46048</v>
      </c>
      <c r="D468" t="inlineStr">
        <is>
          <t>ORD00197973</t>
        </is>
      </c>
      <c r="E468" t="n">
        <v>12038.32</v>
      </c>
      <c r="F468" t="n">
        <v>2.69</v>
      </c>
      <c r="G468" t="n">
        <v>323.83</v>
      </c>
      <c r="H468" t="inlineStr">
        <is>
          <t>Wallet</t>
        </is>
      </c>
      <c r="I468" t="inlineStr">
        <is>
          <t>Success</t>
        </is>
      </c>
      <c r="J468" t="inlineStr">
        <is>
          <t>Delivered</t>
        </is>
      </c>
      <c r="K468" t="n">
        <v>0</v>
      </c>
      <c r="L468" t="n">
        <v>0</v>
      </c>
      <c r="M468" t="inlineStr">
        <is>
          <t>INR</t>
        </is>
      </c>
      <c r="N468" t="inlineStr">
        <is>
          <t>2026-01-26 18:05:43</t>
        </is>
      </c>
    </row>
    <row r="469">
      <c r="A469" t="inlineStr">
        <is>
          <t>TXN00198996</t>
        </is>
      </c>
      <c r="B469" t="inlineStr">
        <is>
          <t>MER00203</t>
        </is>
      </c>
      <c r="C469" s="8" t="n">
        <v>46051</v>
      </c>
      <c r="D469" t="inlineStr">
        <is>
          <t>ORD00198996</t>
        </is>
      </c>
      <c r="E469" t="n">
        <v>3063.18</v>
      </c>
      <c r="F469" t="n">
        <v>2.69</v>
      </c>
      <c r="G469" t="n">
        <v>82.40000000000001</v>
      </c>
      <c r="H469" t="inlineStr">
        <is>
          <t>Card</t>
        </is>
      </c>
      <c r="I469" t="inlineStr">
        <is>
          <t>Success</t>
        </is>
      </c>
      <c r="J469" t="inlineStr">
        <is>
          <t>Processing</t>
        </is>
      </c>
      <c r="K469" t="n">
        <v>0</v>
      </c>
      <c r="L469" t="n">
        <v>0</v>
      </c>
      <c r="M469" t="inlineStr">
        <is>
          <t>INR</t>
        </is>
      </c>
      <c r="N469" t="inlineStr">
        <is>
          <t>2026-01-29 18:03:51</t>
        </is>
      </c>
    </row>
    <row r="470">
      <c r="A470" t="inlineStr">
        <is>
          <t>TXN00200007</t>
        </is>
      </c>
      <c r="B470" t="inlineStr">
        <is>
          <t>MER00203</t>
        </is>
      </c>
      <c r="C470" s="8" t="n">
        <v>46053</v>
      </c>
      <c r="D470" t="inlineStr">
        <is>
          <t>ORD00200007</t>
        </is>
      </c>
      <c r="E470" t="n">
        <v>3406</v>
      </c>
      <c r="F470" t="n">
        <v>2.69</v>
      </c>
      <c r="G470" t="n">
        <v>91.62</v>
      </c>
      <c r="H470" t="inlineStr">
        <is>
          <t>UPI</t>
        </is>
      </c>
      <c r="I470" t="inlineStr">
        <is>
          <t>Success</t>
        </is>
      </c>
      <c r="J470" t="inlineStr">
        <is>
          <t>Processing</t>
        </is>
      </c>
      <c r="K470" t="n">
        <v>0</v>
      </c>
      <c r="L470" t="n">
        <v>0</v>
      </c>
      <c r="M470" t="inlineStr">
        <is>
          <t>INR</t>
        </is>
      </c>
      <c r="N470" t="inlineStr">
        <is>
          <t>2026-01-31 00:42:53</t>
        </is>
      </c>
    </row>
    <row r="471">
      <c r="A471" t="inlineStr">
        <is>
          <t>TXN00203382</t>
        </is>
      </c>
      <c r="B471" t="inlineStr">
        <is>
          <t>MER00203</t>
        </is>
      </c>
      <c r="C471" s="8" t="n">
        <v>46061</v>
      </c>
      <c r="D471" t="inlineStr">
        <is>
          <t>ORD00203382</t>
        </is>
      </c>
      <c r="E471" t="n">
        <v>998.33</v>
      </c>
      <c r="F471" t="n">
        <v>2.69</v>
      </c>
      <c r="G471" t="n">
        <v>26.86</v>
      </c>
      <c r="H471" t="inlineStr">
        <is>
          <t>Wallet</t>
        </is>
      </c>
      <c r="I471" t="inlineStr">
        <is>
          <t>Success</t>
        </is>
      </c>
      <c r="J471" t="inlineStr">
        <is>
          <t>Delivered</t>
        </is>
      </c>
      <c r="K471" t="n">
        <v>0</v>
      </c>
      <c r="L471" t="n">
        <v>0</v>
      </c>
      <c r="M471" t="inlineStr">
        <is>
          <t>INR</t>
        </is>
      </c>
      <c r="N471" t="inlineStr">
        <is>
          <t>2026-02-08 05:45:31</t>
        </is>
      </c>
    </row>
    <row r="472">
      <c r="A472" t="inlineStr">
        <is>
          <t>TXN00207805</t>
        </is>
      </c>
      <c r="B472" t="inlineStr">
        <is>
          <t>MER00203</t>
        </is>
      </c>
      <c r="C472" s="8" t="n">
        <v>46072</v>
      </c>
      <c r="D472" t="inlineStr">
        <is>
          <t>ORD00207805</t>
        </is>
      </c>
      <c r="E472" t="n">
        <v>6480.51</v>
      </c>
      <c r="F472" t="n">
        <v>2.69</v>
      </c>
      <c r="G472" t="n">
        <v>174.33</v>
      </c>
      <c r="H472" t="inlineStr">
        <is>
          <t>UPI</t>
        </is>
      </c>
      <c r="I472" t="inlineStr">
        <is>
          <t>Success</t>
        </is>
      </c>
      <c r="J472" t="inlineStr">
        <is>
          <t>Processing</t>
        </is>
      </c>
      <c r="K472" t="n">
        <v>0</v>
      </c>
      <c r="L472" t="n">
        <v>0</v>
      </c>
      <c r="M472" t="inlineStr">
        <is>
          <t>INR</t>
        </is>
      </c>
      <c r="N472" t="inlineStr">
        <is>
          <t>2026-02-19 08:11:56</t>
        </is>
      </c>
    </row>
    <row r="473">
      <c r="A473" t="inlineStr">
        <is>
          <t>TXN00212076</t>
        </is>
      </c>
      <c r="B473" t="inlineStr">
        <is>
          <t>MER00203</t>
        </is>
      </c>
      <c r="C473" s="8" t="n">
        <v>46082</v>
      </c>
      <c r="D473" t="inlineStr">
        <is>
          <t>ORD00212076</t>
        </is>
      </c>
      <c r="E473" t="n">
        <v>8557.290000000001</v>
      </c>
      <c r="F473" t="n">
        <v>2.69</v>
      </c>
      <c r="G473" t="n">
        <v>230.19</v>
      </c>
      <c r="H473" t="inlineStr">
        <is>
          <t>Card</t>
        </is>
      </c>
      <c r="I473" t="inlineStr">
        <is>
          <t>Success</t>
        </is>
      </c>
      <c r="J473" t="inlineStr">
        <is>
          <t>Delivered</t>
        </is>
      </c>
      <c r="K473" t="n">
        <v>0</v>
      </c>
      <c r="L473" t="n">
        <v>0</v>
      </c>
      <c r="M473" t="inlineStr">
        <is>
          <t>INR</t>
        </is>
      </c>
      <c r="N473" t="inlineStr">
        <is>
          <t>2026-03-01 06:58:03</t>
        </is>
      </c>
    </row>
    <row r="474">
      <c r="A474" t="inlineStr">
        <is>
          <t>TXN00217731</t>
        </is>
      </c>
      <c r="B474" t="inlineStr">
        <is>
          <t>MER00203</t>
        </is>
      </c>
      <c r="C474" s="8" t="n">
        <v>46098</v>
      </c>
      <c r="D474" t="inlineStr">
        <is>
          <t>ORD00217731</t>
        </is>
      </c>
      <c r="E474" t="n">
        <v>3333.95</v>
      </c>
      <c r="F474" t="n">
        <v>2.69</v>
      </c>
      <c r="G474" t="n">
        <v>89.68000000000001</v>
      </c>
      <c r="H474" t="inlineStr">
        <is>
          <t>NetBanking</t>
        </is>
      </c>
      <c r="I474" t="inlineStr">
        <is>
          <t>Success</t>
        </is>
      </c>
      <c r="J474" t="inlineStr">
        <is>
          <t>Delivered</t>
        </is>
      </c>
      <c r="K474" t="n">
        <v>0</v>
      </c>
      <c r="L474" t="n">
        <v>0</v>
      </c>
      <c r="M474" t="inlineStr">
        <is>
          <t>INR</t>
        </is>
      </c>
      <c r="N474" t="inlineStr">
        <is>
          <t>2026-03-17 11:10:35</t>
        </is>
      </c>
    </row>
    <row r="475">
      <c r="A475" t="inlineStr">
        <is>
          <t>TXN00221720</t>
        </is>
      </c>
      <c r="B475" t="inlineStr">
        <is>
          <t>MER00203</t>
        </is>
      </c>
      <c r="C475" s="8" t="n">
        <v>46109</v>
      </c>
      <c r="D475" t="inlineStr">
        <is>
          <t>ORD00221720</t>
        </is>
      </c>
      <c r="E475" t="n">
        <v>2570.9</v>
      </c>
      <c r="F475" t="n">
        <v>2.69</v>
      </c>
      <c r="G475" t="n">
        <v>69.16</v>
      </c>
      <c r="H475" t="inlineStr">
        <is>
          <t>NetBanking</t>
        </is>
      </c>
      <c r="I475" t="inlineStr">
        <is>
          <t>Success</t>
        </is>
      </c>
      <c r="J475" t="inlineStr">
        <is>
          <t>Delivered</t>
        </is>
      </c>
      <c r="K475" t="n">
        <v>0</v>
      </c>
      <c r="L475" t="n">
        <v>0</v>
      </c>
      <c r="M475" t="inlineStr">
        <is>
          <t>INR</t>
        </is>
      </c>
      <c r="N475" t="inlineStr">
        <is>
          <t>2026-03-28 21:58:56</t>
        </is>
      </c>
    </row>
    <row r="476">
      <c r="A476" t="inlineStr">
        <is>
          <t>TXN00226535</t>
        </is>
      </c>
      <c r="B476" t="inlineStr">
        <is>
          <t>MER00203</t>
        </is>
      </c>
      <c r="C476" s="8" t="n">
        <v>46121</v>
      </c>
      <c r="D476" t="inlineStr">
        <is>
          <t>ORD00226535</t>
        </is>
      </c>
      <c r="E476" t="n">
        <v>3288.93</v>
      </c>
      <c r="F476" t="n">
        <v>2.69</v>
      </c>
      <c r="G476" t="n">
        <v>88.47</v>
      </c>
      <c r="H476" t="inlineStr">
        <is>
          <t>UPI</t>
        </is>
      </c>
      <c r="I476" t="inlineStr">
        <is>
          <t>Success</t>
        </is>
      </c>
      <c r="J476" t="inlineStr">
        <is>
          <t>Delivered</t>
        </is>
      </c>
      <c r="K476" t="n">
        <v>0</v>
      </c>
      <c r="L476" t="n">
        <v>0</v>
      </c>
      <c r="M476" t="inlineStr">
        <is>
          <t>INR</t>
        </is>
      </c>
      <c r="N476" t="inlineStr">
        <is>
          <t>2026-04-09 13:04:17</t>
        </is>
      </c>
    </row>
    <row r="477">
      <c r="A477" t="inlineStr">
        <is>
          <t>TXN00231088</t>
        </is>
      </c>
      <c r="B477" t="inlineStr">
        <is>
          <t>MER00203</t>
        </is>
      </c>
      <c r="C477" s="8" t="n">
        <v>46133</v>
      </c>
      <c r="D477" t="inlineStr">
        <is>
          <t>ORD00231088</t>
        </is>
      </c>
      <c r="E477" t="n">
        <v>11748.22</v>
      </c>
      <c r="F477" t="n">
        <v>2.69</v>
      </c>
      <c r="G477" t="n">
        <v>316.03</v>
      </c>
      <c r="H477" t="inlineStr">
        <is>
          <t>UPI</t>
        </is>
      </c>
      <c r="I477" t="inlineStr">
        <is>
          <t>Success</t>
        </is>
      </c>
      <c r="J477" t="inlineStr">
        <is>
          <t>Returned</t>
        </is>
      </c>
      <c r="K477" t="n">
        <v>9259.549999999999</v>
      </c>
      <c r="L477" t="n">
        <v>0</v>
      </c>
      <c r="M477" t="inlineStr">
        <is>
          <t>INR</t>
        </is>
      </c>
      <c r="N477" t="inlineStr">
        <is>
          <t>2026-04-21 18:36:24</t>
        </is>
      </c>
    </row>
    <row r="478">
      <c r="A478" t="inlineStr">
        <is>
          <t>TXN00236447</t>
        </is>
      </c>
      <c r="B478" t="inlineStr">
        <is>
          <t>MER00203</t>
        </is>
      </c>
      <c r="C478" s="8" t="n">
        <v>46148</v>
      </c>
      <c r="D478" t="inlineStr">
        <is>
          <t>ORD00236447</t>
        </is>
      </c>
      <c r="E478" t="n">
        <v>4443.48</v>
      </c>
      <c r="F478" t="n">
        <v>2.69</v>
      </c>
      <c r="G478" t="n">
        <v>119.53</v>
      </c>
      <c r="H478" t="inlineStr">
        <is>
          <t>UPI</t>
        </is>
      </c>
      <c r="I478" t="inlineStr">
        <is>
          <t>Failed</t>
        </is>
      </c>
      <c r="J478" t="inlineStr">
        <is>
          <t>Processing</t>
        </is>
      </c>
      <c r="K478" t="n">
        <v>0</v>
      </c>
      <c r="L478" t="n">
        <v>0</v>
      </c>
      <c r="M478" t="inlineStr">
        <is>
          <t>INR</t>
        </is>
      </c>
      <c r="N478" t="inlineStr">
        <is>
          <t>2026-05-06 21:33:14</t>
        </is>
      </c>
    </row>
    <row r="479">
      <c r="A479" t="inlineStr">
        <is>
          <t>TXN00245363</t>
        </is>
      </c>
      <c r="B479" t="inlineStr">
        <is>
          <t>MER00203</t>
        </is>
      </c>
      <c r="C479" s="8" t="n">
        <v>46171</v>
      </c>
      <c r="D479" t="inlineStr">
        <is>
          <t>ORD00245363</t>
        </is>
      </c>
      <c r="E479" t="n">
        <v>4238.62</v>
      </c>
      <c r="F479" t="n">
        <v>2.69</v>
      </c>
      <c r="G479" t="n">
        <v>114.02</v>
      </c>
      <c r="H479" t="inlineStr">
        <is>
          <t>UPI</t>
        </is>
      </c>
      <c r="I479" t="inlineStr">
        <is>
          <t>Success</t>
        </is>
      </c>
      <c r="J479" t="inlineStr">
        <is>
          <t>Delivered</t>
        </is>
      </c>
      <c r="K479" t="n">
        <v>0</v>
      </c>
      <c r="L479" t="n">
        <v>0</v>
      </c>
      <c r="M479" t="inlineStr">
        <is>
          <t>INR</t>
        </is>
      </c>
      <c r="N479" t="inlineStr">
        <is>
          <t>2026-05-29 02:59:14</t>
        </is>
      </c>
    </row>
    <row r="480">
      <c r="A480" t="inlineStr">
        <is>
          <t>TXN00257089</t>
        </is>
      </c>
      <c r="B480" t="inlineStr">
        <is>
          <t>MER00203</t>
        </is>
      </c>
      <c r="C480" s="8" t="n">
        <v>46200</v>
      </c>
      <c r="D480" t="inlineStr">
        <is>
          <t>ORD00257089</t>
        </is>
      </c>
      <c r="E480" t="n">
        <v>17896.74</v>
      </c>
      <c r="F480" t="n">
        <v>2.69</v>
      </c>
      <c r="G480" t="n">
        <v>481.42</v>
      </c>
      <c r="H480" t="inlineStr">
        <is>
          <t>Card</t>
        </is>
      </c>
      <c r="I480" t="inlineStr">
        <is>
          <t>Success</t>
        </is>
      </c>
      <c r="J480" t="inlineStr">
        <is>
          <t>Returned</t>
        </is>
      </c>
      <c r="K480" t="n">
        <v>17896.74</v>
      </c>
      <c r="L480" t="n">
        <v>3048.41</v>
      </c>
      <c r="M480" t="inlineStr">
        <is>
          <t>INR</t>
        </is>
      </c>
      <c r="N480" t="inlineStr">
        <is>
          <t>2026-06-27 06:02:34</t>
        </is>
      </c>
    </row>
    <row r="481">
      <c r="A481" t="inlineStr">
        <is>
          <t>TXN00259564</t>
        </is>
      </c>
      <c r="B481" t="inlineStr">
        <is>
          <t>MER00203</t>
        </is>
      </c>
      <c r="C481" s="8" t="n">
        <v>46206</v>
      </c>
      <c r="D481" t="inlineStr">
        <is>
          <t>ORD00259564</t>
        </is>
      </c>
      <c r="E481" t="n">
        <v>6918.81</v>
      </c>
      <c r="F481" t="n">
        <v>2.69</v>
      </c>
      <c r="G481" t="n">
        <v>186.12</v>
      </c>
      <c r="H481" t="inlineStr">
        <is>
          <t>UPI</t>
        </is>
      </c>
      <c r="I481" t="inlineStr">
        <is>
          <t>Success</t>
        </is>
      </c>
      <c r="J481" t="inlineStr">
        <is>
          <t>Returned</t>
        </is>
      </c>
      <c r="K481" t="n">
        <v>6918.81</v>
      </c>
      <c r="L481" t="n">
        <v>785.16</v>
      </c>
      <c r="M481" t="inlineStr">
        <is>
          <t>INR</t>
        </is>
      </c>
      <c r="N481" t="inlineStr">
        <is>
          <t>2026-07-03 01:02:03</t>
        </is>
      </c>
    </row>
    <row r="482">
      <c r="A482" t="inlineStr">
        <is>
          <t>TXN00262753</t>
        </is>
      </c>
      <c r="B482" t="inlineStr">
        <is>
          <t>MER00203</t>
        </is>
      </c>
      <c r="C482" s="8" t="n">
        <v>46215</v>
      </c>
      <c r="D482" t="inlineStr">
        <is>
          <t>ORD00262753</t>
        </is>
      </c>
      <c r="E482" t="n">
        <v>3144.58</v>
      </c>
      <c r="F482" t="n">
        <v>2.69</v>
      </c>
      <c r="G482" t="n">
        <v>84.59</v>
      </c>
      <c r="H482" t="inlineStr">
        <is>
          <t>Card</t>
        </is>
      </c>
      <c r="I482" t="inlineStr">
        <is>
          <t>Unknown</t>
        </is>
      </c>
      <c r="J482" t="inlineStr">
        <is>
          <t>Cancelled</t>
        </is>
      </c>
      <c r="K482" t="n">
        <v>2952.21</v>
      </c>
      <c r="L482" t="n">
        <v>0</v>
      </c>
      <c r="M482" t="inlineStr">
        <is>
          <t>INR</t>
        </is>
      </c>
      <c r="N482" t="inlineStr">
        <is>
          <t>2026-07-12 11:46:36</t>
        </is>
      </c>
    </row>
    <row r="483">
      <c r="A483" t="inlineStr">
        <is>
          <t>TXN00020893</t>
        </is>
      </c>
      <c r="B483" t="inlineStr">
        <is>
          <t>MER00346</t>
        </is>
      </c>
      <c r="C483" s="8" t="n">
        <v>45578</v>
      </c>
      <c r="D483" t="inlineStr">
        <is>
          <t>ORD00020893</t>
        </is>
      </c>
      <c r="E483" t="n">
        <v>1795.23</v>
      </c>
      <c r="F483" t="n">
        <v>3.34</v>
      </c>
      <c r="G483" t="n">
        <v>59.96</v>
      </c>
      <c r="H483" t="inlineStr">
        <is>
          <t>UPI</t>
        </is>
      </c>
      <c r="I483" t="inlineStr">
        <is>
          <t>Unknown</t>
        </is>
      </c>
      <c r="J483" t="inlineStr">
        <is>
          <t>Delivered</t>
        </is>
      </c>
      <c r="K483" t="n">
        <v>0</v>
      </c>
      <c r="L483" t="n">
        <v>0</v>
      </c>
      <c r="M483" t="inlineStr">
        <is>
          <t>INR</t>
        </is>
      </c>
      <c r="N483" t="inlineStr">
        <is>
          <t>2024-10-13 12:37:49</t>
        </is>
      </c>
    </row>
    <row r="484">
      <c r="A484" t="inlineStr">
        <is>
          <t>TXN00025259</t>
        </is>
      </c>
      <c r="B484" t="inlineStr">
        <is>
          <t>MER00346</t>
        </is>
      </c>
      <c r="C484" s="8" t="n">
        <v>45589</v>
      </c>
      <c r="D484" t="inlineStr">
        <is>
          <t>ORD00025259</t>
        </is>
      </c>
      <c r="E484" t="n">
        <v>1120.44</v>
      </c>
      <c r="F484" t="n">
        <v>2.7</v>
      </c>
      <c r="G484" t="n">
        <v>37.42</v>
      </c>
      <c r="H484" t="inlineStr">
        <is>
          <t>UPI</t>
        </is>
      </c>
      <c r="I484" t="inlineStr">
        <is>
          <t>Success</t>
        </is>
      </c>
      <c r="J484" t="inlineStr">
        <is>
          <t>Delivered</t>
        </is>
      </c>
      <c r="K484" t="n">
        <v>0</v>
      </c>
      <c r="L484" t="n">
        <v>0</v>
      </c>
      <c r="M484" t="inlineStr">
        <is>
          <t>INR</t>
        </is>
      </c>
      <c r="N484" t="inlineStr">
        <is>
          <t>2024-10-24 20:34:11</t>
        </is>
      </c>
    </row>
    <row r="485">
      <c r="A485" t="inlineStr">
        <is>
          <t>TXN00029452</t>
        </is>
      </c>
      <c r="B485" t="inlineStr">
        <is>
          <t>MER00346</t>
        </is>
      </c>
      <c r="C485" s="8" t="n">
        <v>45600</v>
      </c>
      <c r="D485" t="inlineStr">
        <is>
          <t>ORD00029452</t>
        </is>
      </c>
      <c r="E485" t="n">
        <v>1732.05</v>
      </c>
      <c r="F485" t="n">
        <v>3.34</v>
      </c>
      <c r="G485" t="n">
        <v>57.85</v>
      </c>
      <c r="H485" t="inlineStr">
        <is>
          <t>UPI</t>
        </is>
      </c>
      <c r="I485" t="inlineStr">
        <is>
          <t>Success</t>
        </is>
      </c>
      <c r="J485" t="inlineStr">
        <is>
          <t>Returned</t>
        </is>
      </c>
      <c r="K485" t="n">
        <v>1732.05</v>
      </c>
      <c r="L485" t="n">
        <v>0</v>
      </c>
      <c r="M485" t="inlineStr">
        <is>
          <t>INR</t>
        </is>
      </c>
      <c r="N485" t="inlineStr">
        <is>
          <t>2024-11-04 00:06:59</t>
        </is>
      </c>
    </row>
    <row r="486">
      <c r="A486" t="inlineStr">
        <is>
          <t>TXN00054683</t>
        </is>
      </c>
      <c r="B486" t="inlineStr">
        <is>
          <t>MER00346</t>
        </is>
      </c>
      <c r="C486" s="8" t="n">
        <v>45667</v>
      </c>
      <c r="D486" t="inlineStr">
        <is>
          <t>ORD00054683</t>
        </is>
      </c>
      <c r="E486" t="n">
        <v>671.4</v>
      </c>
      <c r="F486" t="n">
        <v>3.34</v>
      </c>
      <c r="G486" t="n">
        <v>22.42</v>
      </c>
      <c r="H486" t="inlineStr">
        <is>
          <t>UPI</t>
        </is>
      </c>
      <c r="I486" t="inlineStr">
        <is>
          <t>Success</t>
        </is>
      </c>
      <c r="J486" t="inlineStr">
        <is>
          <t>Delivered</t>
        </is>
      </c>
      <c r="K486" t="n">
        <v>0</v>
      </c>
      <c r="L486" t="n">
        <v>0</v>
      </c>
      <c r="M486" t="inlineStr">
        <is>
          <t>INR</t>
        </is>
      </c>
      <c r="N486" t="inlineStr">
        <is>
          <t>2025-01-10 01:33:41</t>
        </is>
      </c>
    </row>
    <row r="487">
      <c r="A487" t="inlineStr">
        <is>
          <t>TXN00067959</t>
        </is>
      </c>
      <c r="B487" t="inlineStr">
        <is>
          <t>MER00346</t>
        </is>
      </c>
      <c r="C487" s="8" t="n">
        <v>45703</v>
      </c>
      <c r="D487" t="inlineStr">
        <is>
          <t>ORD00067959</t>
        </is>
      </c>
      <c r="E487" t="n">
        <v>531.1799999999999</v>
      </c>
      <c r="F487" t="n">
        <v>3.34</v>
      </c>
      <c r="G487" t="n">
        <v>17.74</v>
      </c>
      <c r="H487" t="inlineStr">
        <is>
          <t>UPI</t>
        </is>
      </c>
      <c r="I487" t="inlineStr">
        <is>
          <t>Success</t>
        </is>
      </c>
      <c r="J487" t="inlineStr">
        <is>
          <t>Delivered</t>
        </is>
      </c>
      <c r="K487" t="n">
        <v>0</v>
      </c>
      <c r="L487" t="n">
        <v>0</v>
      </c>
      <c r="M487" t="inlineStr">
        <is>
          <t>INR</t>
        </is>
      </c>
      <c r="N487" t="inlineStr">
        <is>
          <t>2025-02-15 23:44:15</t>
        </is>
      </c>
    </row>
    <row r="488">
      <c r="A488" t="inlineStr">
        <is>
          <t>TXN00078495</t>
        </is>
      </c>
      <c r="B488" t="inlineStr">
        <is>
          <t>MER00346</t>
        </is>
      </c>
      <c r="C488" s="8" t="n">
        <v>45736</v>
      </c>
      <c r="D488" t="inlineStr">
        <is>
          <t>ORD00078495</t>
        </is>
      </c>
      <c r="E488" t="n">
        <v>2421.74</v>
      </c>
      <c r="F488" t="n">
        <v>3.34</v>
      </c>
      <c r="G488" t="n">
        <v>80.89</v>
      </c>
      <c r="H488" t="inlineStr">
        <is>
          <t>UPI</t>
        </is>
      </c>
      <c r="I488" t="inlineStr">
        <is>
          <t>Success</t>
        </is>
      </c>
      <c r="J488" t="inlineStr">
        <is>
          <t>Delivered</t>
        </is>
      </c>
      <c r="K488" t="n">
        <v>0</v>
      </c>
      <c r="L488" t="n">
        <v>0</v>
      </c>
      <c r="M488" t="inlineStr">
        <is>
          <t>INR</t>
        </is>
      </c>
      <c r="N488" t="inlineStr">
        <is>
          <t>2025-03-20 17:10:48</t>
        </is>
      </c>
    </row>
    <row r="489">
      <c r="A489" t="inlineStr">
        <is>
          <t>TXN00082805</t>
        </is>
      </c>
      <c r="B489" t="inlineStr">
        <is>
          <t>MER00346</t>
        </is>
      </c>
      <c r="C489" s="8" t="n">
        <v>45749</v>
      </c>
      <c r="D489" t="inlineStr">
        <is>
          <t>ORD00082805</t>
        </is>
      </c>
      <c r="E489" t="n">
        <v>840.08</v>
      </c>
      <c r="F489" t="n">
        <v>3.34</v>
      </c>
      <c r="G489" t="n">
        <v>28.06</v>
      </c>
      <c r="H489" t="inlineStr">
        <is>
          <t>Card</t>
        </is>
      </c>
      <c r="I489" t="inlineStr">
        <is>
          <t>Pending</t>
        </is>
      </c>
      <c r="J489" t="inlineStr">
        <is>
          <t>Processing</t>
        </is>
      </c>
      <c r="K489" t="n">
        <v>0</v>
      </c>
      <c r="L489" t="n">
        <v>0</v>
      </c>
      <c r="M489" t="inlineStr">
        <is>
          <t>INR</t>
        </is>
      </c>
      <c r="N489" t="inlineStr">
        <is>
          <t>2025-04-02 18:29:01</t>
        </is>
      </c>
    </row>
    <row r="490">
      <c r="A490" t="inlineStr">
        <is>
          <t>TXN00088236</t>
        </is>
      </c>
      <c r="B490" t="inlineStr">
        <is>
          <t>MER00346</t>
        </is>
      </c>
      <c r="C490" s="8" t="n">
        <v>45766</v>
      </c>
      <c r="D490" t="inlineStr">
        <is>
          <t>ORD00088236</t>
        </is>
      </c>
      <c r="E490" t="n">
        <v>945</v>
      </c>
      <c r="F490" t="n">
        <v>3.34</v>
      </c>
      <c r="G490" t="n">
        <v>31.56</v>
      </c>
      <c r="H490" t="inlineStr">
        <is>
          <t>UPI</t>
        </is>
      </c>
      <c r="I490" t="inlineStr">
        <is>
          <t>Success</t>
        </is>
      </c>
      <c r="J490" t="inlineStr">
        <is>
          <t>Delivered</t>
        </is>
      </c>
      <c r="K490" t="n">
        <v>0</v>
      </c>
      <c r="L490" t="n">
        <v>129.27</v>
      </c>
      <c r="M490" t="inlineStr">
        <is>
          <t>INR</t>
        </is>
      </c>
      <c r="N490" t="inlineStr">
        <is>
          <t>2025-04-19 02:17:42</t>
        </is>
      </c>
    </row>
    <row r="491">
      <c r="A491" t="inlineStr">
        <is>
          <t>TXN00098645</t>
        </is>
      </c>
      <c r="B491" t="inlineStr">
        <is>
          <t>MER00346</t>
        </is>
      </c>
      <c r="C491" s="8" t="n">
        <v>45798</v>
      </c>
      <c r="D491" t="inlineStr">
        <is>
          <t>ORD00098645</t>
        </is>
      </c>
      <c r="E491" t="n">
        <v>1873.68</v>
      </c>
      <c r="F491" t="n">
        <v>3.34</v>
      </c>
      <c r="G491" t="n">
        <v>62.58</v>
      </c>
      <c r="H491" t="inlineStr">
        <is>
          <t>UPI</t>
        </is>
      </c>
      <c r="I491" t="inlineStr">
        <is>
          <t>Success</t>
        </is>
      </c>
      <c r="J491" t="inlineStr">
        <is>
          <t>Delivered</t>
        </is>
      </c>
      <c r="K491" t="n">
        <v>0</v>
      </c>
      <c r="L491" t="n">
        <v>0</v>
      </c>
      <c r="M491" t="inlineStr">
        <is>
          <t>INR</t>
        </is>
      </c>
      <c r="N491" t="inlineStr">
        <is>
          <t>2025-05-21 06:50:37</t>
        </is>
      </c>
    </row>
    <row r="492">
      <c r="A492" t="inlineStr">
        <is>
          <t>TXN00109338</t>
        </is>
      </c>
      <c r="B492" t="inlineStr">
        <is>
          <t>MER00346</t>
        </is>
      </c>
      <c r="C492" s="8" t="n">
        <v>45830</v>
      </c>
      <c r="D492" t="inlineStr">
        <is>
          <t>ORD00109338</t>
        </is>
      </c>
      <c r="E492" t="n">
        <v>2113.58</v>
      </c>
      <c r="F492" t="n">
        <v>3.34</v>
      </c>
      <c r="G492" t="n">
        <v>70.59</v>
      </c>
      <c r="H492" t="inlineStr">
        <is>
          <t>UPI</t>
        </is>
      </c>
      <c r="I492" t="inlineStr">
        <is>
          <t>Pending</t>
        </is>
      </c>
      <c r="J492" t="inlineStr">
        <is>
          <t>Processing</t>
        </is>
      </c>
      <c r="K492" t="n">
        <v>0</v>
      </c>
      <c r="L492" t="n">
        <v>0</v>
      </c>
      <c r="M492" t="inlineStr">
        <is>
          <t>INR</t>
        </is>
      </c>
      <c r="N492" t="inlineStr">
        <is>
          <t>2025-06-22 23:42:25</t>
        </is>
      </c>
    </row>
    <row r="493">
      <c r="A493" t="inlineStr">
        <is>
          <t>TXN00148601</t>
        </is>
      </c>
      <c r="B493" t="inlineStr">
        <is>
          <t>MER00346</t>
        </is>
      </c>
      <c r="C493" s="8" t="n">
        <v>45941</v>
      </c>
      <c r="D493" t="inlineStr">
        <is>
          <t>ORD00148601</t>
        </is>
      </c>
      <c r="E493" t="n">
        <v>300.19</v>
      </c>
      <c r="F493" t="n">
        <v>3.34</v>
      </c>
      <c r="G493" t="n">
        <v>10.03</v>
      </c>
      <c r="H493" t="inlineStr">
        <is>
          <t>UPI</t>
        </is>
      </c>
      <c r="I493" t="inlineStr">
        <is>
          <t>Success</t>
        </is>
      </c>
      <c r="J493" t="inlineStr">
        <is>
          <t>Delivered</t>
        </is>
      </c>
      <c r="K493" t="n">
        <v>0</v>
      </c>
      <c r="L493" t="n">
        <v>0</v>
      </c>
      <c r="M493" t="inlineStr">
        <is>
          <t>INR</t>
        </is>
      </c>
      <c r="N493" t="inlineStr">
        <is>
          <t>2025-10-11 02:34:54</t>
        </is>
      </c>
    </row>
    <row r="494">
      <c r="A494" t="inlineStr">
        <is>
          <t>TXN00150343</t>
        </is>
      </c>
      <c r="B494" t="inlineStr">
        <is>
          <t>MER00346</t>
        </is>
      </c>
      <c r="C494" s="8" t="n">
        <v>45945</v>
      </c>
      <c r="D494" t="inlineStr">
        <is>
          <t>ORD00150343</t>
        </is>
      </c>
      <c r="E494" t="n">
        <v>1100.09</v>
      </c>
      <c r="F494" t="n">
        <v>3.34</v>
      </c>
      <c r="G494" t="n">
        <v>36.74</v>
      </c>
      <c r="H494" t="inlineStr">
        <is>
          <t>Card</t>
        </is>
      </c>
      <c r="I494" t="inlineStr">
        <is>
          <t>Success</t>
        </is>
      </c>
      <c r="J494" t="inlineStr">
        <is>
          <t>Returned</t>
        </is>
      </c>
      <c r="K494" t="n">
        <v>1100.09</v>
      </c>
      <c r="L494" t="n">
        <v>152.93</v>
      </c>
      <c r="M494" t="inlineStr">
        <is>
          <t>INR</t>
        </is>
      </c>
      <c r="N494" t="inlineStr">
        <is>
          <t>2025-10-15 18:25:54</t>
        </is>
      </c>
    </row>
    <row r="495">
      <c r="A495" t="inlineStr">
        <is>
          <t>TXN00176010</t>
        </is>
      </c>
      <c r="B495" t="inlineStr">
        <is>
          <t>MER00346</t>
        </is>
      </c>
      <c r="C495" s="8" t="n">
        <v>45995</v>
      </c>
      <c r="D495" t="inlineStr">
        <is>
          <t>ORD00176010</t>
        </is>
      </c>
      <c r="E495" t="n">
        <v>1311.7</v>
      </c>
      <c r="F495" t="n">
        <v>3.34</v>
      </c>
      <c r="G495" t="n">
        <v>43.81</v>
      </c>
      <c r="H495" t="inlineStr">
        <is>
          <t>UPI</t>
        </is>
      </c>
      <c r="I495" t="inlineStr">
        <is>
          <t>Success</t>
        </is>
      </c>
      <c r="J495" t="inlineStr">
        <is>
          <t>Delivered</t>
        </is>
      </c>
      <c r="K495" t="n">
        <v>0</v>
      </c>
      <c r="L495" t="n">
        <v>0</v>
      </c>
      <c r="M495" t="inlineStr">
        <is>
          <t>INR</t>
        </is>
      </c>
      <c r="N495" t="inlineStr">
        <is>
          <t>2025-12-04 16:25:05</t>
        </is>
      </c>
    </row>
    <row r="496">
      <c r="A496" t="inlineStr">
        <is>
          <t>TXN00184843</t>
        </is>
      </c>
      <c r="B496" t="inlineStr">
        <is>
          <t>MER00346</t>
        </is>
      </c>
      <c r="C496" s="8" t="n">
        <v>46019</v>
      </c>
      <c r="D496" t="inlineStr">
        <is>
          <t>ORD00184843</t>
        </is>
      </c>
      <c r="E496" t="n">
        <v>680.89</v>
      </c>
      <c r="F496" t="n">
        <v>3.34</v>
      </c>
      <c r="G496" t="n">
        <v>22.74</v>
      </c>
      <c r="H496" t="inlineStr">
        <is>
          <t>Card</t>
        </is>
      </c>
      <c r="I496" t="inlineStr">
        <is>
          <t>Success</t>
        </is>
      </c>
      <c r="J496" t="inlineStr">
        <is>
          <t>Delivered</t>
        </is>
      </c>
      <c r="K496" t="n">
        <v>0</v>
      </c>
      <c r="L496" t="n">
        <v>0</v>
      </c>
      <c r="M496" t="inlineStr">
        <is>
          <t>INR</t>
        </is>
      </c>
      <c r="N496" t="inlineStr">
        <is>
          <t>2025-12-28 10:52:16</t>
        </is>
      </c>
    </row>
    <row r="497">
      <c r="A497" t="inlineStr">
        <is>
          <t>TXN00186748</t>
        </is>
      </c>
      <c r="B497" t="inlineStr">
        <is>
          <t>MER00346</t>
        </is>
      </c>
      <c r="C497" s="8" t="n">
        <v>46023</v>
      </c>
      <c r="D497" t="inlineStr">
        <is>
          <t>ORD00186748</t>
        </is>
      </c>
      <c r="E497" t="n">
        <v>939.16</v>
      </c>
      <c r="F497" t="n">
        <v>3.34</v>
      </c>
      <c r="G497" t="n">
        <v>31.37</v>
      </c>
      <c r="H497" t="inlineStr">
        <is>
          <t>Card</t>
        </is>
      </c>
      <c r="I497" t="inlineStr">
        <is>
          <t>Success</t>
        </is>
      </c>
      <c r="J497" t="inlineStr">
        <is>
          <t>Delivered</t>
        </is>
      </c>
      <c r="K497" t="n">
        <v>0</v>
      </c>
      <c r="L497" t="n">
        <v>138.88</v>
      </c>
      <c r="M497" t="inlineStr">
        <is>
          <t>INR</t>
        </is>
      </c>
      <c r="N497" t="inlineStr">
        <is>
          <t>2026-01-01 05:38:11</t>
        </is>
      </c>
    </row>
    <row r="498">
      <c r="A498" t="inlineStr">
        <is>
          <t>TXN00195142</t>
        </is>
      </c>
      <c r="B498" t="inlineStr">
        <is>
          <t>MER00346</t>
        </is>
      </c>
      <c r="C498" s="8" t="n">
        <v>46042</v>
      </c>
      <c r="D498" t="inlineStr">
        <is>
          <t>ORD00195142</t>
        </is>
      </c>
      <c r="E498" t="n">
        <v>710.37</v>
      </c>
      <c r="F498" t="n">
        <v>3.34</v>
      </c>
      <c r="G498" t="n">
        <v>23.73</v>
      </c>
      <c r="H498" t="inlineStr">
        <is>
          <t>UPI</t>
        </is>
      </c>
      <c r="I498" t="inlineStr">
        <is>
          <t>Success</t>
        </is>
      </c>
      <c r="J498" t="inlineStr">
        <is>
          <t>Delivered</t>
        </is>
      </c>
      <c r="K498" t="n">
        <v>0</v>
      </c>
      <c r="L498" t="n">
        <v>0</v>
      </c>
      <c r="M498" t="inlineStr">
        <is>
          <t>INR</t>
        </is>
      </c>
      <c r="N498" t="inlineStr">
        <is>
          <t>2026-01-20 04:39:46</t>
        </is>
      </c>
    </row>
    <row r="499">
      <c r="A499" t="inlineStr">
        <is>
          <t>TXN00199604</t>
        </is>
      </c>
      <c r="B499" t="inlineStr">
        <is>
          <t>MER00346</t>
        </is>
      </c>
      <c r="C499" s="8" t="n">
        <v>46052</v>
      </c>
      <c r="D499" t="inlineStr">
        <is>
          <t>ORD00199604</t>
        </is>
      </c>
      <c r="E499" t="n">
        <v>775.89</v>
      </c>
      <c r="F499" t="n">
        <v>3.34</v>
      </c>
      <c r="G499" t="n">
        <v>25.91</v>
      </c>
      <c r="H499" t="inlineStr">
        <is>
          <t>UPI</t>
        </is>
      </c>
      <c r="I499" t="inlineStr">
        <is>
          <t>Success</t>
        </is>
      </c>
      <c r="J499" t="inlineStr">
        <is>
          <t>Delivered</t>
        </is>
      </c>
      <c r="K499" t="n">
        <v>0</v>
      </c>
      <c r="L499" t="n">
        <v>0</v>
      </c>
      <c r="M499" t="inlineStr">
        <is>
          <t>INR</t>
        </is>
      </c>
      <c r="N499" t="inlineStr">
        <is>
          <t>2026-01-30 00:44:30</t>
        </is>
      </c>
    </row>
    <row r="500">
      <c r="A500" t="inlineStr">
        <is>
          <t>TXN00221145</t>
        </is>
      </c>
      <c r="B500" t="inlineStr">
        <is>
          <t>MER00346</t>
        </is>
      </c>
      <c r="C500" s="8" t="n">
        <v>46107</v>
      </c>
      <c r="D500" t="inlineStr">
        <is>
          <t>ORD00221145</t>
        </is>
      </c>
      <c r="E500" t="n">
        <v>1132.19</v>
      </c>
      <c r="F500" t="n">
        <v>3.34</v>
      </c>
      <c r="G500" t="n">
        <v>37.82</v>
      </c>
      <c r="H500" t="inlineStr">
        <is>
          <t>UPI</t>
        </is>
      </c>
      <c r="I500" t="inlineStr">
        <is>
          <t>Success</t>
        </is>
      </c>
      <c r="J500" t="inlineStr">
        <is>
          <t>Delivered</t>
        </is>
      </c>
      <c r="K500" t="n">
        <v>0</v>
      </c>
      <c r="L500" t="n">
        <v>0</v>
      </c>
      <c r="M500" t="inlineStr">
        <is>
          <t>INR</t>
        </is>
      </c>
      <c r="N500" t="inlineStr">
        <is>
          <t>2026-03-26 19:44:17</t>
        </is>
      </c>
    </row>
    <row r="501">
      <c r="A501" t="inlineStr">
        <is>
          <t>TXN00227121</t>
        </is>
      </c>
      <c r="B501" t="inlineStr">
        <is>
          <t>MER00346</t>
        </is>
      </c>
      <c r="C501" s="8" t="n">
        <v>46123</v>
      </c>
      <c r="D501" t="inlineStr">
        <is>
          <t>ORD00227121</t>
        </is>
      </c>
      <c r="E501" t="n">
        <v>1319.8</v>
      </c>
      <c r="F501" t="n">
        <v>3.34</v>
      </c>
      <c r="G501" t="n">
        <v>44.08</v>
      </c>
      <c r="H501" t="inlineStr">
        <is>
          <t>Wallet</t>
        </is>
      </c>
      <c r="I501" t="inlineStr">
        <is>
          <t>Success</t>
        </is>
      </c>
      <c r="J501" t="inlineStr">
        <is>
          <t>Cancelled</t>
        </is>
      </c>
      <c r="K501" t="n">
        <v>1193.29</v>
      </c>
      <c r="L501" t="n">
        <v>216.33</v>
      </c>
      <c r="M501" t="inlineStr">
        <is>
          <t>INR</t>
        </is>
      </c>
      <c r="N501" t="inlineStr">
        <is>
          <t>2026-04-11 08:25:52</t>
        </is>
      </c>
    </row>
    <row r="502">
      <c r="A502" t="inlineStr">
        <is>
          <t>TXN00250961</t>
        </is>
      </c>
      <c r="B502" t="inlineStr">
        <is>
          <t>MER00346</t>
        </is>
      </c>
      <c r="C502" s="8" t="n">
        <v>46185</v>
      </c>
      <c r="D502" t="inlineStr">
        <is>
          <t>ORD00250961</t>
        </is>
      </c>
      <c r="E502" t="n">
        <v>1407.25</v>
      </c>
      <c r="F502" t="n">
        <v>3.34</v>
      </c>
      <c r="G502" t="n">
        <v>47</v>
      </c>
      <c r="H502" t="inlineStr">
        <is>
          <t>UPI</t>
        </is>
      </c>
      <c r="I502" t="inlineStr">
        <is>
          <t>Success</t>
        </is>
      </c>
      <c r="J502" t="inlineStr">
        <is>
          <t>Returned</t>
        </is>
      </c>
      <c r="K502" t="n">
        <v>1407.25</v>
      </c>
      <c r="L502" t="n">
        <v>0</v>
      </c>
      <c r="M502" t="inlineStr">
        <is>
          <t>INR</t>
        </is>
      </c>
      <c r="N502" t="inlineStr">
        <is>
          <t>2026-06-12 16:16:03</t>
        </is>
      </c>
    </row>
    <row r="503">
      <c r="A503" t="inlineStr">
        <is>
          <t>TXN00265441</t>
        </is>
      </c>
      <c r="B503" t="inlineStr">
        <is>
          <t>MER00346</t>
        </is>
      </c>
      <c r="C503" s="8" t="n">
        <v>46222</v>
      </c>
      <c r="D503" t="inlineStr">
        <is>
          <t>ORD00265441</t>
        </is>
      </c>
      <c r="E503" t="n">
        <v>3523.62</v>
      </c>
      <c r="F503" t="n">
        <v>3.34</v>
      </c>
      <c r="G503" t="n">
        <v>117.69</v>
      </c>
      <c r="H503" t="inlineStr">
        <is>
          <t>UPI</t>
        </is>
      </c>
      <c r="I503" t="inlineStr">
        <is>
          <t>Success</t>
        </is>
      </c>
      <c r="J503" t="inlineStr">
        <is>
          <t>Delivered</t>
        </is>
      </c>
      <c r="K503" t="n">
        <v>0</v>
      </c>
      <c r="L503" t="n">
        <v>0</v>
      </c>
      <c r="M503" t="inlineStr">
        <is>
          <t>INR</t>
        </is>
      </c>
      <c r="N503" t="inlineStr">
        <is>
          <t>2026-07-19 17:25:54</t>
        </is>
      </c>
    </row>
    <row r="504">
      <c r="A504" t="inlineStr">
        <is>
          <t>TXN00258494</t>
        </is>
      </c>
      <c r="B504" t="inlineStr">
        <is>
          <t>MER00347</t>
        </is>
      </c>
      <c r="C504" s="8" t="n">
        <v>46204</v>
      </c>
      <c r="D504" t="inlineStr">
        <is>
          <t>ORD00258494</t>
        </is>
      </c>
      <c r="E504" t="n">
        <v>4094.42</v>
      </c>
      <c r="F504" t="n">
        <v>2.4</v>
      </c>
      <c r="G504" t="n">
        <v>98.27</v>
      </c>
      <c r="H504" t="inlineStr">
        <is>
          <t>UPI</t>
        </is>
      </c>
      <c r="I504" t="inlineStr">
        <is>
          <t>Success</t>
        </is>
      </c>
      <c r="J504" t="inlineStr">
        <is>
          <t>Returned</t>
        </is>
      </c>
      <c r="K504" t="n">
        <v>4094.42</v>
      </c>
      <c r="L504" t="n">
        <v>0</v>
      </c>
      <c r="M504" t="inlineStr">
        <is>
          <t>INR</t>
        </is>
      </c>
      <c r="N504" t="inlineStr">
        <is>
          <t>2026-07-01 07:51:51</t>
        </is>
      </c>
    </row>
    <row r="505">
      <c r="A505" t="inlineStr">
        <is>
          <t>TXN00005052</t>
        </is>
      </c>
      <c r="B505" t="inlineStr">
        <is>
          <t>MER00355</t>
        </is>
      </c>
      <c r="C505" s="8" t="n">
        <v>45525</v>
      </c>
      <c r="D505" t="inlineStr">
        <is>
          <t>ORD00005052</t>
        </is>
      </c>
      <c r="E505" t="n">
        <v>760.88</v>
      </c>
      <c r="F505" t="n">
        <v>2.5</v>
      </c>
      <c r="G505" t="n">
        <v>19.02</v>
      </c>
      <c r="H505" t="inlineStr">
        <is>
          <t>Card</t>
        </is>
      </c>
      <c r="I505" t="inlineStr">
        <is>
          <t>Success</t>
        </is>
      </c>
      <c r="J505" t="inlineStr">
        <is>
          <t>Delivered</t>
        </is>
      </c>
      <c r="K505" t="n">
        <v>0</v>
      </c>
      <c r="L505" t="n">
        <v>0</v>
      </c>
      <c r="M505" t="inlineStr">
        <is>
          <t>INR</t>
        </is>
      </c>
      <c r="N505" t="inlineStr">
        <is>
          <t>2024-08-21 23:12:35</t>
        </is>
      </c>
    </row>
    <row r="506">
      <c r="A506" t="inlineStr">
        <is>
          <t>TXN00010210</t>
        </is>
      </c>
      <c r="B506" t="inlineStr">
        <is>
          <t>MER00355</t>
        </is>
      </c>
      <c r="C506" s="8" t="n">
        <v>45545</v>
      </c>
      <c r="D506" t="inlineStr">
        <is>
          <t>ORD00010210</t>
        </is>
      </c>
      <c r="E506" t="n">
        <v>1236.55</v>
      </c>
      <c r="F506" t="n">
        <v>2.51</v>
      </c>
      <c r="G506" t="n">
        <v>31.04</v>
      </c>
      <c r="H506" t="inlineStr">
        <is>
          <t>UPI</t>
        </is>
      </c>
      <c r="I506" t="inlineStr">
        <is>
          <t>Success</t>
        </is>
      </c>
      <c r="J506" t="inlineStr">
        <is>
          <t>Delivered</t>
        </is>
      </c>
      <c r="K506" t="n">
        <v>0</v>
      </c>
      <c r="L506" t="n">
        <v>0</v>
      </c>
      <c r="M506" t="inlineStr">
        <is>
          <t>INR</t>
        </is>
      </c>
      <c r="N506" t="inlineStr">
        <is>
          <t>2024-09-10 16:26:11</t>
        </is>
      </c>
    </row>
    <row r="507">
      <c r="A507" t="inlineStr">
        <is>
          <t>TXN00014299</t>
        </is>
      </c>
      <c r="B507" t="inlineStr">
        <is>
          <t>MER00355</t>
        </is>
      </c>
      <c r="C507" s="8" t="n">
        <v>45559</v>
      </c>
      <c r="D507" t="inlineStr">
        <is>
          <t>ORD00014299</t>
        </is>
      </c>
      <c r="E507" t="n">
        <v>985.53</v>
      </c>
      <c r="F507" t="n">
        <v>2.51</v>
      </c>
      <c r="G507" t="n">
        <v>24.74</v>
      </c>
      <c r="H507" t="inlineStr">
        <is>
          <t>Wallet</t>
        </is>
      </c>
      <c r="I507" t="inlineStr">
        <is>
          <t>Success</t>
        </is>
      </c>
      <c r="J507" t="inlineStr">
        <is>
          <t>Delivered</t>
        </is>
      </c>
      <c r="K507" t="n">
        <v>0</v>
      </c>
      <c r="L507" t="n">
        <v>141.95</v>
      </c>
      <c r="M507" t="inlineStr">
        <is>
          <t>INR</t>
        </is>
      </c>
      <c r="N507" t="inlineStr">
        <is>
          <t>2024-09-24 16:39:18</t>
        </is>
      </c>
    </row>
    <row r="508">
      <c r="A508" t="inlineStr">
        <is>
          <t>TXN00021538</t>
        </is>
      </c>
      <c r="B508" t="inlineStr">
        <is>
          <t>MER00355</t>
        </is>
      </c>
      <c r="C508" s="8" t="n">
        <v>45579</v>
      </c>
      <c r="D508" t="inlineStr">
        <is>
          <t>ORD00021538</t>
        </is>
      </c>
      <c r="E508" t="n">
        <v>4792.59</v>
      </c>
      <c r="F508" t="n">
        <v>2.51</v>
      </c>
      <c r="G508" t="n">
        <v>120.29</v>
      </c>
      <c r="H508" t="inlineStr">
        <is>
          <t>Card</t>
        </is>
      </c>
      <c r="I508" t="inlineStr">
        <is>
          <t>Success</t>
        </is>
      </c>
      <c r="J508" t="inlineStr">
        <is>
          <t>Delivered</t>
        </is>
      </c>
      <c r="K508" t="n">
        <v>0</v>
      </c>
      <c r="L508" t="n">
        <v>0</v>
      </c>
      <c r="M508" t="inlineStr">
        <is>
          <t>INR</t>
        </is>
      </c>
      <c r="N508" t="inlineStr">
        <is>
          <t>2024-10-14 23:34:57</t>
        </is>
      </c>
    </row>
    <row r="509">
      <c r="A509" t="inlineStr">
        <is>
          <t>TXN00031734</t>
        </is>
      </c>
      <c r="B509" t="inlineStr">
        <is>
          <t>MER00355</t>
        </is>
      </c>
      <c r="C509" s="8" t="n">
        <v>45605</v>
      </c>
      <c r="D509" t="inlineStr">
        <is>
          <t>ORD00031734</t>
        </is>
      </c>
      <c r="E509" t="n">
        <v>5003.45</v>
      </c>
      <c r="F509" t="n">
        <v>2.51</v>
      </c>
      <c r="G509" t="n">
        <v>125.59</v>
      </c>
      <c r="H509" t="inlineStr">
        <is>
          <t>UPI</t>
        </is>
      </c>
      <c r="I509" t="inlineStr">
        <is>
          <t>Success</t>
        </is>
      </c>
      <c r="J509" t="inlineStr">
        <is>
          <t>Delivered</t>
        </is>
      </c>
      <c r="K509" t="n">
        <v>0</v>
      </c>
      <c r="L509" t="n">
        <v>325.94</v>
      </c>
      <c r="M509" t="inlineStr">
        <is>
          <t>INR</t>
        </is>
      </c>
      <c r="N509" t="inlineStr">
        <is>
          <t>2024-11-09 21:19:20</t>
        </is>
      </c>
    </row>
    <row r="510">
      <c r="A510" t="inlineStr">
        <is>
          <t>TXN00041309</t>
        </is>
      </c>
      <c r="B510" t="inlineStr">
        <is>
          <t>MER00355</t>
        </is>
      </c>
      <c r="C510" s="8" t="n">
        <v>45626</v>
      </c>
      <c r="D510" t="inlineStr">
        <is>
          <t>ORD00041309</t>
        </is>
      </c>
      <c r="E510" t="n">
        <v>2301.2</v>
      </c>
      <c r="F510" t="n">
        <v>2.51</v>
      </c>
      <c r="G510" t="n">
        <v>57.76</v>
      </c>
      <c r="H510" t="inlineStr">
        <is>
          <t>UPI</t>
        </is>
      </c>
      <c r="I510" t="inlineStr">
        <is>
          <t>Success</t>
        </is>
      </c>
      <c r="J510" t="inlineStr">
        <is>
          <t>Delivered</t>
        </is>
      </c>
      <c r="K510" t="n">
        <v>0</v>
      </c>
      <c r="L510" t="n">
        <v>289.97</v>
      </c>
      <c r="M510" t="inlineStr">
        <is>
          <t>INR</t>
        </is>
      </c>
      <c r="N510" t="inlineStr">
        <is>
          <t>2024-11-30 01:02:35</t>
        </is>
      </c>
    </row>
    <row r="511">
      <c r="A511" t="inlineStr">
        <is>
          <t>TXN00056968</t>
        </is>
      </c>
      <c r="B511" t="inlineStr">
        <is>
          <t>MER00355</t>
        </is>
      </c>
      <c r="C511" s="8" t="n">
        <v>45673</v>
      </c>
      <c r="D511" t="inlineStr">
        <is>
          <t>ORD00056968</t>
        </is>
      </c>
      <c r="E511" t="n">
        <v>3619.52</v>
      </c>
      <c r="F511" t="n">
        <v>2.51</v>
      </c>
      <c r="G511" t="n">
        <v>90.84999999999999</v>
      </c>
      <c r="H511" t="inlineStr">
        <is>
          <t>UPI</t>
        </is>
      </c>
      <c r="I511" t="inlineStr">
        <is>
          <t>Success</t>
        </is>
      </c>
      <c r="J511" t="inlineStr">
        <is>
          <t>Delivered</t>
        </is>
      </c>
      <c r="K511" t="n">
        <v>0</v>
      </c>
      <c r="L511" t="n">
        <v>0</v>
      </c>
      <c r="M511" t="inlineStr">
        <is>
          <t>INR</t>
        </is>
      </c>
      <c r="N511" t="inlineStr">
        <is>
          <t>2025-01-16 04:33:45</t>
        </is>
      </c>
    </row>
    <row r="512">
      <c r="A512" t="inlineStr">
        <is>
          <t>TXN00057972</t>
        </is>
      </c>
      <c r="B512" t="inlineStr">
        <is>
          <t>MER00355</t>
        </is>
      </c>
      <c r="C512" s="8" t="n">
        <v>45675</v>
      </c>
      <c r="D512" t="inlineStr">
        <is>
          <t>ORD00057972</t>
        </is>
      </c>
      <c r="E512" t="n">
        <v>4895.23</v>
      </c>
      <c r="F512" t="n">
        <v>2.51</v>
      </c>
      <c r="G512" t="n">
        <v>122.87</v>
      </c>
      <c r="H512" t="inlineStr">
        <is>
          <t>Card</t>
        </is>
      </c>
      <c r="I512" t="inlineStr">
        <is>
          <t>Success</t>
        </is>
      </c>
      <c r="J512" t="inlineStr">
        <is>
          <t>Delivered</t>
        </is>
      </c>
      <c r="K512" t="n">
        <v>0</v>
      </c>
      <c r="L512" t="n">
        <v>0</v>
      </c>
      <c r="M512" t="inlineStr">
        <is>
          <t>INR</t>
        </is>
      </c>
      <c r="N512" t="inlineStr">
        <is>
          <t>2025-01-18 17:22:26</t>
        </is>
      </c>
    </row>
    <row r="513">
      <c r="A513" t="inlineStr">
        <is>
          <t>TXN00065058</t>
        </is>
      </c>
      <c r="B513" t="inlineStr">
        <is>
          <t>MER00355</t>
        </is>
      </c>
      <c r="C513" s="8" t="n">
        <v>45695</v>
      </c>
      <c r="D513" t="inlineStr">
        <is>
          <t>ORD00065058</t>
        </is>
      </c>
      <c r="E513" t="n">
        <v>5270.35</v>
      </c>
      <c r="F513" t="n">
        <v>2.51</v>
      </c>
      <c r="G513" t="n">
        <v>132.29</v>
      </c>
      <c r="H513" t="inlineStr">
        <is>
          <t>NetBanking</t>
        </is>
      </c>
      <c r="I513" t="inlineStr">
        <is>
          <t>Success</t>
        </is>
      </c>
      <c r="J513" t="inlineStr">
        <is>
          <t>Delivered</t>
        </is>
      </c>
      <c r="K513" t="n">
        <v>0</v>
      </c>
      <c r="L513" t="n">
        <v>0</v>
      </c>
      <c r="M513" t="inlineStr">
        <is>
          <t>INR</t>
        </is>
      </c>
      <c r="N513" t="inlineStr">
        <is>
          <t>2025-02-07 21:43:04</t>
        </is>
      </c>
    </row>
    <row r="514">
      <c r="A514" t="inlineStr">
        <is>
          <t>TXN00088387</t>
        </is>
      </c>
      <c r="B514" t="inlineStr">
        <is>
          <t>MER00355</t>
        </is>
      </c>
      <c r="C514" s="8" t="n">
        <v>45766</v>
      </c>
      <c r="D514" t="inlineStr">
        <is>
          <t>ORD00088387</t>
        </is>
      </c>
      <c r="E514" t="n">
        <v>1702.6</v>
      </c>
      <c r="F514" t="n">
        <v>2.51</v>
      </c>
      <c r="G514" t="n">
        <v>42.74</v>
      </c>
      <c r="H514" t="inlineStr">
        <is>
          <t>UPI</t>
        </is>
      </c>
      <c r="I514" t="inlineStr">
        <is>
          <t>Failed</t>
        </is>
      </c>
      <c r="J514" t="inlineStr">
        <is>
          <t>Cancelled</t>
        </is>
      </c>
      <c r="K514" t="n">
        <v>0</v>
      </c>
      <c r="L514" t="n">
        <v>0</v>
      </c>
      <c r="M514" t="inlineStr">
        <is>
          <t>INR</t>
        </is>
      </c>
      <c r="N514" t="inlineStr">
        <is>
          <t>2025-04-19 22:45:27</t>
        </is>
      </c>
    </row>
    <row r="515">
      <c r="A515" t="inlineStr">
        <is>
          <t>TXN00115294</t>
        </is>
      </c>
      <c r="B515" t="inlineStr">
        <is>
          <t>MER00355</t>
        </is>
      </c>
      <c r="C515" s="8" t="n">
        <v>45847</v>
      </c>
      <c r="D515" t="inlineStr">
        <is>
          <t>ORD00115294</t>
        </is>
      </c>
      <c r="E515" t="n">
        <v>1997.36</v>
      </c>
      <c r="F515" t="n">
        <v>2.51</v>
      </c>
      <c r="G515" t="n">
        <v>50.13</v>
      </c>
      <c r="H515" t="inlineStr">
        <is>
          <t>UPI</t>
        </is>
      </c>
      <c r="I515" t="inlineStr">
        <is>
          <t>Success</t>
        </is>
      </c>
      <c r="J515" t="inlineStr">
        <is>
          <t>Delivered</t>
        </is>
      </c>
      <c r="K515" t="n">
        <v>0</v>
      </c>
      <c r="L515" t="n">
        <v>0</v>
      </c>
      <c r="M515" t="inlineStr">
        <is>
          <t>INR</t>
        </is>
      </c>
      <c r="N515" t="inlineStr">
        <is>
          <t>2025-07-09 20:42:34</t>
        </is>
      </c>
    </row>
    <row r="516">
      <c r="A516" t="inlineStr">
        <is>
          <t>TXN00116835</t>
        </is>
      </c>
      <c r="B516" t="inlineStr">
        <is>
          <t>MER00355</t>
        </is>
      </c>
      <c r="C516" s="8" t="n">
        <v>45852</v>
      </c>
      <c r="D516" t="inlineStr">
        <is>
          <t>ORD00116835</t>
        </is>
      </c>
      <c r="E516" t="n">
        <v>1014.73</v>
      </c>
      <c r="F516" t="n">
        <v>2.51</v>
      </c>
      <c r="G516" t="n">
        <v>25.47</v>
      </c>
      <c r="H516" t="inlineStr">
        <is>
          <t>NetBanking</t>
        </is>
      </c>
      <c r="I516" t="inlineStr">
        <is>
          <t>Failed</t>
        </is>
      </c>
      <c r="J516" t="inlineStr">
        <is>
          <t>Cancelled</t>
        </is>
      </c>
      <c r="K516" t="n">
        <v>0</v>
      </c>
      <c r="L516" t="n">
        <v>0</v>
      </c>
      <c r="M516" t="inlineStr">
        <is>
          <t>INR</t>
        </is>
      </c>
      <c r="N516" t="inlineStr">
        <is>
          <t>2025-07-14 22:12:56</t>
        </is>
      </c>
    </row>
    <row r="517">
      <c r="A517" t="inlineStr">
        <is>
          <t>TXN00123041</t>
        </is>
      </c>
      <c r="B517" t="inlineStr">
        <is>
          <t>MER00355</t>
        </is>
      </c>
      <c r="C517" s="8" t="n">
        <v>45871</v>
      </c>
      <c r="D517" t="inlineStr">
        <is>
          <t>ORD00123041</t>
        </is>
      </c>
      <c r="E517" t="n">
        <v>2931.38</v>
      </c>
      <c r="F517" t="n">
        <v>2.51</v>
      </c>
      <c r="G517" t="n">
        <v>73.58</v>
      </c>
      <c r="H517" t="inlineStr">
        <is>
          <t>Card</t>
        </is>
      </c>
      <c r="I517" t="inlineStr">
        <is>
          <t>Success</t>
        </is>
      </c>
      <c r="J517" t="inlineStr">
        <is>
          <t>Returned</t>
        </is>
      </c>
      <c r="K517" t="n">
        <v>2931.38</v>
      </c>
      <c r="L517" t="n">
        <v>0</v>
      </c>
      <c r="M517" t="inlineStr">
        <is>
          <t>INR</t>
        </is>
      </c>
      <c r="N517" t="inlineStr">
        <is>
          <t>2025-08-02 16:54:13</t>
        </is>
      </c>
    </row>
    <row r="518">
      <c r="A518" t="inlineStr">
        <is>
          <t>TXN00124678</t>
        </is>
      </c>
      <c r="B518" t="inlineStr">
        <is>
          <t>MER00355</t>
        </is>
      </c>
      <c r="C518" s="8" t="n">
        <v>45875</v>
      </c>
      <c r="D518" t="inlineStr">
        <is>
          <t>ORD00124678</t>
        </is>
      </c>
      <c r="E518" t="n">
        <v>1289.33</v>
      </c>
      <c r="F518" t="n">
        <v>2.51</v>
      </c>
      <c r="G518" t="n">
        <v>32.36</v>
      </c>
      <c r="H518" t="inlineStr">
        <is>
          <t>Card</t>
        </is>
      </c>
      <c r="I518" t="inlineStr">
        <is>
          <t>Success</t>
        </is>
      </c>
      <c r="J518" t="inlineStr">
        <is>
          <t>Delivered</t>
        </is>
      </c>
      <c r="K518" t="n">
        <v>0</v>
      </c>
      <c r="L518" t="n">
        <v>0</v>
      </c>
      <c r="M518" t="inlineStr">
        <is>
          <t>INR</t>
        </is>
      </c>
      <c r="N518" t="inlineStr">
        <is>
          <t>2025-08-06 10:12:41</t>
        </is>
      </c>
    </row>
    <row r="519">
      <c r="A519" t="inlineStr">
        <is>
          <t>TXN00156638</t>
        </is>
      </c>
      <c r="B519" t="inlineStr">
        <is>
          <t>MER00355</t>
        </is>
      </c>
      <c r="C519" s="8" t="n">
        <v>45958</v>
      </c>
      <c r="D519" t="inlineStr">
        <is>
          <t>ORD00156638</t>
        </is>
      </c>
      <c r="E519" t="n">
        <v>2375.76</v>
      </c>
      <c r="F519" t="n">
        <v>2.06</v>
      </c>
      <c r="G519" t="n">
        <v>59.63</v>
      </c>
      <c r="H519" t="inlineStr">
        <is>
          <t>UPI</t>
        </is>
      </c>
      <c r="I519" t="inlineStr">
        <is>
          <t>Success</t>
        </is>
      </c>
      <c r="J519" t="inlineStr">
        <is>
          <t>Returned</t>
        </is>
      </c>
      <c r="K519" t="n">
        <v>2375.76</v>
      </c>
      <c r="L519" t="n">
        <v>0</v>
      </c>
      <c r="M519" t="inlineStr">
        <is>
          <t>INR</t>
        </is>
      </c>
      <c r="N519" t="inlineStr">
        <is>
          <t>2025-10-28 05:12:46</t>
        </is>
      </c>
    </row>
    <row r="520">
      <c r="A520" t="inlineStr">
        <is>
          <t>TXN00157296</t>
        </is>
      </c>
      <c r="B520" t="inlineStr">
        <is>
          <t>MER00355</t>
        </is>
      </c>
      <c r="C520" s="8" t="n">
        <v>45960</v>
      </c>
      <c r="D520" t="inlineStr">
        <is>
          <t>ORD00157296</t>
        </is>
      </c>
      <c r="E520" t="n">
        <v>813.67</v>
      </c>
      <c r="F520" t="n">
        <v>2.51</v>
      </c>
      <c r="G520" t="n">
        <v>20.42</v>
      </c>
      <c r="H520" t="inlineStr">
        <is>
          <t>Card</t>
        </is>
      </c>
      <c r="I520" t="inlineStr">
        <is>
          <t>Success</t>
        </is>
      </c>
      <c r="J520" t="inlineStr">
        <is>
          <t>Processing</t>
        </is>
      </c>
      <c r="K520" t="n">
        <v>0</v>
      </c>
      <c r="L520" t="n">
        <v>0</v>
      </c>
      <c r="M520" t="inlineStr">
        <is>
          <t>INR</t>
        </is>
      </c>
      <c r="N520" t="inlineStr">
        <is>
          <t>2025-10-30 23:28:56</t>
        </is>
      </c>
    </row>
    <row r="521">
      <c r="A521" t="inlineStr">
        <is>
          <t>TXN00159357</t>
        </is>
      </c>
      <c r="B521" t="inlineStr">
        <is>
          <t>MER00355</t>
        </is>
      </c>
      <c r="C521" s="8" t="n">
        <v>45964</v>
      </c>
      <c r="D521" t="inlineStr">
        <is>
          <t>ORD00159357</t>
        </is>
      </c>
      <c r="E521" t="n">
        <v>2965.09</v>
      </c>
      <c r="F521" t="n">
        <v>2.51</v>
      </c>
      <c r="G521" t="n">
        <v>74.42</v>
      </c>
      <c r="H521" t="inlineStr">
        <is>
          <t>UPI</t>
        </is>
      </c>
      <c r="I521" t="inlineStr">
        <is>
          <t>Success</t>
        </is>
      </c>
      <c r="J521" t="inlineStr">
        <is>
          <t>Delivered</t>
        </is>
      </c>
      <c r="K521" t="n">
        <v>0</v>
      </c>
      <c r="L521" t="n">
        <v>0</v>
      </c>
      <c r="M521" t="inlineStr">
        <is>
          <t>INR</t>
        </is>
      </c>
      <c r="N521" t="inlineStr">
        <is>
          <t>2025-11-03 18:16:00</t>
        </is>
      </c>
    </row>
    <row r="522">
      <c r="A522" t="inlineStr">
        <is>
          <t>TXN00166231</t>
        </is>
      </c>
      <c r="B522" t="inlineStr">
        <is>
          <t>MER00355</t>
        </is>
      </c>
      <c r="C522" s="8" t="n">
        <v>45976</v>
      </c>
      <c r="D522" t="inlineStr">
        <is>
          <t>ORD00166231</t>
        </is>
      </c>
      <c r="E522" t="n">
        <v>813.35</v>
      </c>
      <c r="F522" t="n">
        <v>2.51</v>
      </c>
      <c r="G522" t="n">
        <v>20.42</v>
      </c>
      <c r="H522" t="inlineStr">
        <is>
          <t>Card</t>
        </is>
      </c>
      <c r="I522" t="inlineStr">
        <is>
          <t>Success</t>
        </is>
      </c>
      <c r="J522" t="inlineStr">
        <is>
          <t>Delivered</t>
        </is>
      </c>
      <c r="K522" t="n">
        <v>0</v>
      </c>
      <c r="L522" t="n">
        <v>0</v>
      </c>
      <c r="M522" t="inlineStr">
        <is>
          <t>INR</t>
        </is>
      </c>
      <c r="N522" t="inlineStr">
        <is>
          <t>2025-11-15 12:47:54</t>
        </is>
      </c>
    </row>
    <row r="523">
      <c r="A523" t="inlineStr">
        <is>
          <t>TXN00199457</t>
        </is>
      </c>
      <c r="B523" t="inlineStr">
        <is>
          <t>MER00355</t>
        </is>
      </c>
      <c r="C523" s="8" t="n">
        <v>46052</v>
      </c>
      <c r="D523" t="inlineStr">
        <is>
          <t>ORD00199457</t>
        </is>
      </c>
      <c r="E523" t="n">
        <v>737.54</v>
      </c>
      <c r="F523" t="n">
        <v>2.65</v>
      </c>
      <c r="G523" t="n">
        <v>19.54</v>
      </c>
      <c r="H523" t="inlineStr">
        <is>
          <t>COD</t>
        </is>
      </c>
      <c r="I523" t="inlineStr">
        <is>
          <t>Success</t>
        </is>
      </c>
      <c r="J523" t="inlineStr">
        <is>
          <t>Delivered</t>
        </is>
      </c>
      <c r="K523" t="n">
        <v>0</v>
      </c>
      <c r="L523" t="n">
        <v>0</v>
      </c>
      <c r="M523" t="inlineStr">
        <is>
          <t>INR</t>
        </is>
      </c>
      <c r="N523" t="inlineStr">
        <is>
          <t>2026-01-30 03:42:35</t>
        </is>
      </c>
    </row>
    <row r="524">
      <c r="A524" t="inlineStr">
        <is>
          <t>TXN00202000</t>
        </is>
      </c>
      <c r="B524" t="inlineStr">
        <is>
          <t>MER00355</t>
        </is>
      </c>
      <c r="C524" s="8" t="n">
        <v>46058</v>
      </c>
      <c r="D524" t="inlineStr">
        <is>
          <t>ORD00202000</t>
        </is>
      </c>
      <c r="E524" t="n">
        <v>1907.62</v>
      </c>
      <c r="F524" t="n">
        <v>2.65</v>
      </c>
      <c r="G524" t="n">
        <v>50.55</v>
      </c>
      <c r="H524" t="inlineStr">
        <is>
          <t>UPI</t>
        </is>
      </c>
      <c r="I524" t="inlineStr">
        <is>
          <t>Success</t>
        </is>
      </c>
      <c r="J524" t="inlineStr">
        <is>
          <t>Delivered</t>
        </is>
      </c>
      <c r="K524" t="n">
        <v>0</v>
      </c>
      <c r="L524" t="n">
        <v>0</v>
      </c>
      <c r="M524" t="inlineStr">
        <is>
          <t>INR</t>
        </is>
      </c>
      <c r="N524" t="inlineStr">
        <is>
          <t>2026-02-05 10:31:23</t>
        </is>
      </c>
    </row>
    <row r="525">
      <c r="A525" t="inlineStr">
        <is>
          <t>TXN00208174</t>
        </is>
      </c>
      <c r="B525" t="inlineStr">
        <is>
          <t>MER00355</t>
        </is>
      </c>
      <c r="C525" s="8" t="n">
        <v>46073</v>
      </c>
      <c r="D525" t="inlineStr">
        <is>
          <t>ORD00208174</t>
        </is>
      </c>
      <c r="E525" t="n">
        <v>1738.38</v>
      </c>
      <c r="F525" t="n">
        <v>2.65</v>
      </c>
      <c r="G525" t="n">
        <v>46.07</v>
      </c>
      <c r="H525" t="inlineStr">
        <is>
          <t>Wallet</t>
        </is>
      </c>
      <c r="I525" t="inlineStr">
        <is>
          <t>Success</t>
        </is>
      </c>
      <c r="J525" t="inlineStr">
        <is>
          <t>Delivered</t>
        </is>
      </c>
      <c r="K525" t="n">
        <v>0</v>
      </c>
      <c r="L525" t="n">
        <v>0</v>
      </c>
      <c r="M525" t="inlineStr">
        <is>
          <t>INR</t>
        </is>
      </c>
      <c r="N525" t="inlineStr">
        <is>
          <t>2026-02-20 13:27:53</t>
        </is>
      </c>
    </row>
    <row r="526">
      <c r="A526" t="inlineStr">
        <is>
          <t>TXN00228826</t>
        </is>
      </c>
      <c r="B526" t="inlineStr">
        <is>
          <t>MER00355</t>
        </is>
      </c>
      <c r="C526" s="8" t="n">
        <v>46127</v>
      </c>
      <c r="D526" t="inlineStr">
        <is>
          <t>ORD00228826</t>
        </is>
      </c>
      <c r="E526" t="n">
        <v>2116.76</v>
      </c>
      <c r="F526" t="n">
        <v>2.47</v>
      </c>
      <c r="G526" t="n">
        <v>52.28</v>
      </c>
      <c r="H526" t="inlineStr">
        <is>
          <t>Card</t>
        </is>
      </c>
      <c r="I526" t="inlineStr">
        <is>
          <t>Success</t>
        </is>
      </c>
      <c r="J526" t="inlineStr">
        <is>
          <t>Returned</t>
        </is>
      </c>
      <c r="K526" t="n">
        <v>2116.76</v>
      </c>
      <c r="L526" t="n">
        <v>0</v>
      </c>
      <c r="M526" t="inlineStr">
        <is>
          <t>INR</t>
        </is>
      </c>
      <c r="N526" t="inlineStr">
        <is>
          <t>2026-04-15 08:51:07</t>
        </is>
      </c>
    </row>
    <row r="527">
      <c r="A527" t="inlineStr">
        <is>
          <t>TXN00230953</t>
        </is>
      </c>
      <c r="B527" t="inlineStr">
        <is>
          <t>MER00355</t>
        </is>
      </c>
      <c r="C527" s="8" t="n">
        <v>46133</v>
      </c>
      <c r="D527" t="inlineStr">
        <is>
          <t>ORD00230953</t>
        </is>
      </c>
      <c r="E527" t="n">
        <v>2771.25</v>
      </c>
      <c r="F527" t="n">
        <v>2.47</v>
      </c>
      <c r="G527" t="n">
        <v>68.45</v>
      </c>
      <c r="H527" t="inlineStr">
        <is>
          <t>UPI</t>
        </is>
      </c>
      <c r="I527" t="inlineStr">
        <is>
          <t>Success</t>
        </is>
      </c>
      <c r="J527" t="inlineStr">
        <is>
          <t>Delivered</t>
        </is>
      </c>
      <c r="K527" t="n">
        <v>0</v>
      </c>
      <c r="L527" t="n">
        <v>0</v>
      </c>
      <c r="M527" t="inlineStr">
        <is>
          <t>INR</t>
        </is>
      </c>
      <c r="N527" t="inlineStr">
        <is>
          <t>2026-04-21 12:58:37</t>
        </is>
      </c>
    </row>
    <row r="528">
      <c r="A528" t="inlineStr">
        <is>
          <t>TXN00238319</t>
        </is>
      </c>
      <c r="B528" t="inlineStr">
        <is>
          <t>MER00355</t>
        </is>
      </c>
      <c r="C528" s="8" t="n">
        <v>46152</v>
      </c>
      <c r="D528" t="inlineStr">
        <is>
          <t>ORD00238319</t>
        </is>
      </c>
      <c r="E528" t="n">
        <v>2567.73</v>
      </c>
      <c r="F528" t="n">
        <v>2.47</v>
      </c>
      <c r="G528" t="n">
        <v>63.42</v>
      </c>
      <c r="H528" t="inlineStr">
        <is>
          <t>Wallet</t>
        </is>
      </c>
      <c r="I528" t="inlineStr">
        <is>
          <t>Success</t>
        </is>
      </c>
      <c r="J528" t="inlineStr">
        <is>
          <t>Delivered</t>
        </is>
      </c>
      <c r="K528" t="n">
        <v>0</v>
      </c>
      <c r="L528" t="n">
        <v>0</v>
      </c>
      <c r="M528" t="inlineStr">
        <is>
          <t>INR</t>
        </is>
      </c>
      <c r="N528" t="inlineStr">
        <is>
          <t>2026-05-10 18:26:08</t>
        </is>
      </c>
    </row>
    <row r="529">
      <c r="A529" t="inlineStr">
        <is>
          <t>TXN00240111</t>
        </is>
      </c>
      <c r="B529" t="inlineStr">
        <is>
          <t>MER00355</t>
        </is>
      </c>
      <c r="C529" s="8" t="n">
        <v>46157</v>
      </c>
      <c r="D529" t="inlineStr">
        <is>
          <t>ORD00240111</t>
        </is>
      </c>
      <c r="E529" t="n">
        <v>3443.14</v>
      </c>
      <c r="F529" t="n">
        <v>2.47</v>
      </c>
      <c r="G529" t="n">
        <v>85.05</v>
      </c>
      <c r="H529" t="inlineStr">
        <is>
          <t>NetBanking</t>
        </is>
      </c>
      <c r="I529" t="inlineStr">
        <is>
          <t>Success</t>
        </is>
      </c>
      <c r="J529" t="inlineStr">
        <is>
          <t>Delivered</t>
        </is>
      </c>
      <c r="K529" t="n">
        <v>0</v>
      </c>
      <c r="L529" t="n">
        <v>0</v>
      </c>
      <c r="M529" t="inlineStr">
        <is>
          <t>INR</t>
        </is>
      </c>
      <c r="N529" t="inlineStr">
        <is>
          <t>2026-05-15 13:01:57</t>
        </is>
      </c>
    </row>
    <row r="530">
      <c r="A530" t="inlineStr">
        <is>
          <t>TXN00242456</t>
        </is>
      </c>
      <c r="B530" t="inlineStr">
        <is>
          <t>MER00355</t>
        </is>
      </c>
      <c r="C530" s="8" t="n">
        <v>46163</v>
      </c>
      <c r="D530" t="inlineStr">
        <is>
          <t>ORD00242456</t>
        </is>
      </c>
      <c r="E530" t="n">
        <v>1641.5</v>
      </c>
      <c r="F530" t="n">
        <v>2.47</v>
      </c>
      <c r="G530" t="n">
        <v>40.55</v>
      </c>
      <c r="H530" t="inlineStr">
        <is>
          <t>UPI</t>
        </is>
      </c>
      <c r="I530" t="inlineStr">
        <is>
          <t>Success</t>
        </is>
      </c>
      <c r="J530" t="inlineStr">
        <is>
          <t>Delivered</t>
        </is>
      </c>
      <c r="K530" t="n">
        <v>0</v>
      </c>
      <c r="L530" t="n">
        <v>0</v>
      </c>
      <c r="M530" t="inlineStr">
        <is>
          <t>INR</t>
        </is>
      </c>
      <c r="N530" t="inlineStr">
        <is>
          <t>2026-05-21 09:24:59</t>
        </is>
      </c>
    </row>
    <row r="531">
      <c r="A531" t="inlineStr">
        <is>
          <t>TXN00244665</t>
        </is>
      </c>
      <c r="B531" t="inlineStr">
        <is>
          <t>MER00355</t>
        </is>
      </c>
      <c r="C531" s="8" t="n">
        <v>46169</v>
      </c>
      <c r="D531" t="inlineStr">
        <is>
          <t>ORD00244665</t>
        </is>
      </c>
      <c r="E531" t="n">
        <v>3058.28</v>
      </c>
      <c r="F531" t="n">
        <v>2.47</v>
      </c>
      <c r="G531" t="n">
        <v>75.54000000000001</v>
      </c>
      <c r="H531" t="inlineStr">
        <is>
          <t>Card</t>
        </is>
      </c>
      <c r="I531" t="inlineStr">
        <is>
          <t>Success</t>
        </is>
      </c>
      <c r="J531" t="inlineStr">
        <is>
          <t>Delivered</t>
        </is>
      </c>
      <c r="K531" t="n">
        <v>0</v>
      </c>
      <c r="L531" t="n">
        <v>0</v>
      </c>
      <c r="M531" t="inlineStr">
        <is>
          <t>INR</t>
        </is>
      </c>
      <c r="N531" t="inlineStr">
        <is>
          <t>2026-05-27 16:19:59</t>
        </is>
      </c>
    </row>
    <row r="532">
      <c r="A532" t="inlineStr">
        <is>
          <t>TXN00245802</t>
        </is>
      </c>
      <c r="B532" t="inlineStr">
        <is>
          <t>MER00355</t>
        </is>
      </c>
      <c r="C532" s="8" t="n">
        <v>46172</v>
      </c>
      <c r="D532" t="inlineStr">
        <is>
          <t>ORD00245802</t>
        </is>
      </c>
      <c r="E532" t="n">
        <v>3287.67</v>
      </c>
      <c r="F532" t="n">
        <v>2.47</v>
      </c>
      <c r="G532" t="n">
        <v>81.20999999999999</v>
      </c>
      <c r="H532" t="inlineStr">
        <is>
          <t>UPI</t>
        </is>
      </c>
      <c r="I532" t="inlineStr">
        <is>
          <t>Success</t>
        </is>
      </c>
      <c r="J532" t="inlineStr">
        <is>
          <t>Delivered</t>
        </is>
      </c>
      <c r="K532" t="n">
        <v>0</v>
      </c>
      <c r="L532" t="n">
        <v>0</v>
      </c>
      <c r="M532" t="inlineStr">
        <is>
          <t>INR</t>
        </is>
      </c>
      <c r="N532" t="inlineStr">
        <is>
          <t>2026-05-30 10:00:04</t>
        </is>
      </c>
    </row>
    <row r="533">
      <c r="A533" t="inlineStr">
        <is>
          <t>TXN00259105</t>
        </is>
      </c>
      <c r="B533" t="inlineStr">
        <is>
          <t>MER00355</t>
        </is>
      </c>
      <c r="C533" s="8" t="n">
        <v>46205</v>
      </c>
      <c r="D533" t="inlineStr">
        <is>
          <t>ORD00259105</t>
        </is>
      </c>
      <c r="E533" t="n">
        <v>1729.34</v>
      </c>
      <c r="F533" t="n">
        <v>2.47</v>
      </c>
      <c r="G533" t="n">
        <v>42.71</v>
      </c>
      <c r="H533" t="inlineStr">
        <is>
          <t>UPI</t>
        </is>
      </c>
      <c r="I533" t="inlineStr">
        <is>
          <t>Success</t>
        </is>
      </c>
      <c r="J533" t="inlineStr">
        <is>
          <t>Delivered</t>
        </is>
      </c>
      <c r="K533" t="n">
        <v>0</v>
      </c>
      <c r="L533" t="n">
        <v>0</v>
      </c>
      <c r="M533" t="inlineStr">
        <is>
          <t>INR</t>
        </is>
      </c>
      <c r="N533" t="inlineStr">
        <is>
          <t>2026-07-02 08:00:36</t>
        </is>
      </c>
    </row>
    <row r="534">
      <c r="A534" t="inlineStr">
        <is>
          <t>TXN00265950</t>
        </is>
      </c>
      <c r="B534" t="inlineStr">
        <is>
          <t>MER00355</t>
        </is>
      </c>
      <c r="C534" s="8" t="n">
        <v>46223</v>
      </c>
      <c r="D534" t="inlineStr">
        <is>
          <t>ORD00265950</t>
        </is>
      </c>
      <c r="E534" t="n">
        <v>1085.45</v>
      </c>
      <c r="F534" t="n">
        <v>3.05</v>
      </c>
      <c r="G534" t="n">
        <v>26.81</v>
      </c>
      <c r="H534" t="inlineStr">
        <is>
          <t>UPI</t>
        </is>
      </c>
      <c r="I534" t="inlineStr">
        <is>
          <t>Success</t>
        </is>
      </c>
      <c r="J534" t="inlineStr">
        <is>
          <t>Delivered</t>
        </is>
      </c>
      <c r="K534" t="n">
        <v>0</v>
      </c>
      <c r="L534" t="n">
        <v>0</v>
      </c>
      <c r="M534" t="inlineStr">
        <is>
          <t>INR</t>
        </is>
      </c>
      <c r="N534" t="inlineStr">
        <is>
          <t>2026-07-20 04:19:30</t>
        </is>
      </c>
    </row>
    <row r="535">
      <c r="A535" t="inlineStr">
        <is>
          <t>TXN00015626</t>
        </is>
      </c>
      <c r="B535" t="inlineStr">
        <is>
          <t>MER00381</t>
        </is>
      </c>
      <c r="C535" s="8" t="n">
        <v>45564</v>
      </c>
      <c r="D535" t="inlineStr">
        <is>
          <t>ORD00015626</t>
        </is>
      </c>
      <c r="E535" t="n">
        <v>654.51</v>
      </c>
      <c r="F535" t="n">
        <v>2.71</v>
      </c>
      <c r="G535" t="n">
        <v>17.74</v>
      </c>
      <c r="H535" t="inlineStr">
        <is>
          <t>Card</t>
        </is>
      </c>
      <c r="I535" t="inlineStr">
        <is>
          <t>Success</t>
        </is>
      </c>
      <c r="J535" t="inlineStr">
        <is>
          <t>Delivered</t>
        </is>
      </c>
      <c r="K535" t="n">
        <v>0</v>
      </c>
      <c r="L535" t="n">
        <v>0</v>
      </c>
      <c r="M535" t="inlineStr">
        <is>
          <t>INR</t>
        </is>
      </c>
      <c r="N535" t="inlineStr">
        <is>
          <t>2024-09-29 14:39:33</t>
        </is>
      </c>
    </row>
    <row r="536">
      <c r="A536" t="inlineStr">
        <is>
          <t>TXN00019672</t>
        </is>
      </c>
      <c r="B536" t="inlineStr">
        <is>
          <t>MER00381</t>
        </is>
      </c>
      <c r="C536" s="8" t="n">
        <v>45575</v>
      </c>
      <c r="D536" t="inlineStr">
        <is>
          <t>ORD00019672</t>
        </is>
      </c>
      <c r="E536" t="n">
        <v>766.77</v>
      </c>
      <c r="F536" t="n">
        <v>2.71</v>
      </c>
      <c r="G536" t="n">
        <v>20.78</v>
      </c>
      <c r="H536" t="inlineStr">
        <is>
          <t>UPI</t>
        </is>
      </c>
      <c r="I536" t="inlineStr">
        <is>
          <t>Success</t>
        </is>
      </c>
      <c r="J536" t="inlineStr">
        <is>
          <t>Delivered</t>
        </is>
      </c>
      <c r="K536" t="n">
        <v>0</v>
      </c>
      <c r="L536" t="n">
        <v>64.09</v>
      </c>
      <c r="M536" t="inlineStr">
        <is>
          <t>INR</t>
        </is>
      </c>
      <c r="N536" t="inlineStr">
        <is>
          <t>2024-10-10 21:29:47</t>
        </is>
      </c>
    </row>
    <row r="537">
      <c r="A537" t="inlineStr">
        <is>
          <t>TXN00027451</t>
        </is>
      </c>
      <c r="B537" t="inlineStr">
        <is>
          <t>MER00381</t>
        </is>
      </c>
      <c r="C537" s="8" t="n">
        <v>45595</v>
      </c>
      <c r="D537" t="inlineStr">
        <is>
          <t>ORD00027451</t>
        </is>
      </c>
      <c r="E537" t="n">
        <v>1337.61</v>
      </c>
      <c r="F537" t="n">
        <v>2.71</v>
      </c>
      <c r="G537" t="n">
        <v>36.25</v>
      </c>
      <c r="H537" t="inlineStr">
        <is>
          <t>Card</t>
        </is>
      </c>
      <c r="I537" t="inlineStr">
        <is>
          <t>Pending</t>
        </is>
      </c>
      <c r="J537" t="inlineStr">
        <is>
          <t>Processing</t>
        </is>
      </c>
      <c r="K537" t="n">
        <v>0</v>
      </c>
      <c r="L537" t="n">
        <v>0</v>
      </c>
      <c r="M537" t="inlineStr">
        <is>
          <t>INR</t>
        </is>
      </c>
      <c r="N537" t="inlineStr">
        <is>
          <t>2024-10-30 05:08:54</t>
        </is>
      </c>
    </row>
    <row r="538">
      <c r="A538" t="inlineStr">
        <is>
          <t>TXN00037460</t>
        </is>
      </c>
      <c r="B538" t="inlineStr">
        <is>
          <t>MER00381</t>
        </is>
      </c>
      <c r="C538" s="8" t="n">
        <v>45617</v>
      </c>
      <c r="D538" t="inlineStr">
        <is>
          <t>ORD00037460</t>
        </is>
      </c>
      <c r="E538" t="n">
        <v>929.16</v>
      </c>
      <c r="F538" t="n">
        <v>2.71</v>
      </c>
      <c r="G538" t="n">
        <v>25.18</v>
      </c>
      <c r="H538" t="inlineStr">
        <is>
          <t>UPI</t>
        </is>
      </c>
      <c r="I538" t="inlineStr">
        <is>
          <t>Success</t>
        </is>
      </c>
      <c r="J538" t="inlineStr">
        <is>
          <t>Delivered</t>
        </is>
      </c>
      <c r="K538" t="n">
        <v>0</v>
      </c>
      <c r="L538" t="n">
        <v>164.38</v>
      </c>
      <c r="M538" t="inlineStr">
        <is>
          <t>INR</t>
        </is>
      </c>
      <c r="N538" t="inlineStr">
        <is>
          <t>2024-11-21 09:02:53</t>
        </is>
      </c>
    </row>
    <row r="539">
      <c r="A539" t="inlineStr">
        <is>
          <t>TXN00041396</t>
        </is>
      </c>
      <c r="B539" t="inlineStr">
        <is>
          <t>MER00381</t>
        </is>
      </c>
      <c r="C539" s="8" t="n">
        <v>45626</v>
      </c>
      <c r="D539" t="inlineStr">
        <is>
          <t>ORD00041396</t>
        </is>
      </c>
      <c r="E539" t="n">
        <v>997.21</v>
      </c>
      <c r="F539" t="n">
        <v>3.28</v>
      </c>
      <c r="G539" t="n">
        <v>27.02</v>
      </c>
      <c r="H539" t="inlineStr">
        <is>
          <t>Card</t>
        </is>
      </c>
      <c r="I539" t="inlineStr">
        <is>
          <t>Success</t>
        </is>
      </c>
      <c r="J539" t="inlineStr">
        <is>
          <t>Delivered</t>
        </is>
      </c>
      <c r="K539" t="n">
        <v>0</v>
      </c>
      <c r="L539" t="n">
        <v>0</v>
      </c>
      <c r="M539" t="inlineStr">
        <is>
          <t>INR</t>
        </is>
      </c>
      <c r="N539" t="inlineStr">
        <is>
          <t>2024-11-30 17:14:51</t>
        </is>
      </c>
    </row>
    <row r="540">
      <c r="A540" t="inlineStr">
        <is>
          <t>TXN00042597</t>
        </is>
      </c>
      <c r="B540" t="inlineStr">
        <is>
          <t>MER00381</t>
        </is>
      </c>
      <c r="C540" s="8" t="n">
        <v>45630</v>
      </c>
      <c r="D540" t="inlineStr">
        <is>
          <t>ORD00042597</t>
        </is>
      </c>
      <c r="E540" t="n">
        <v>717.05</v>
      </c>
      <c r="F540" t="n">
        <v>2.71</v>
      </c>
      <c r="G540" t="n">
        <v>19.43</v>
      </c>
      <c r="H540" t="inlineStr">
        <is>
          <t>NetBanking</t>
        </is>
      </c>
      <c r="I540" t="inlineStr">
        <is>
          <t>Success</t>
        </is>
      </c>
      <c r="J540" t="inlineStr">
        <is>
          <t>Delivered</t>
        </is>
      </c>
      <c r="K540" t="n">
        <v>0</v>
      </c>
      <c r="L540" t="n">
        <v>0</v>
      </c>
      <c r="M540" t="inlineStr">
        <is>
          <t>INR</t>
        </is>
      </c>
      <c r="N540" t="inlineStr">
        <is>
          <t>2024-12-04 10:05:27</t>
        </is>
      </c>
    </row>
    <row r="541">
      <c r="A541" t="inlineStr">
        <is>
          <t>TXN00049891</t>
        </is>
      </c>
      <c r="B541" t="inlineStr">
        <is>
          <t>MER00381</t>
        </is>
      </c>
      <c r="C541" s="8" t="n">
        <v>45653</v>
      </c>
      <c r="D541" t="inlineStr">
        <is>
          <t>ORD00049891</t>
        </is>
      </c>
      <c r="E541" t="n">
        <v>851.09</v>
      </c>
      <c r="F541" t="n">
        <v>2.71</v>
      </c>
      <c r="G541" t="n">
        <v>23.06</v>
      </c>
      <c r="H541" t="inlineStr">
        <is>
          <t>Card</t>
        </is>
      </c>
      <c r="I541" t="inlineStr">
        <is>
          <t>Success</t>
        </is>
      </c>
      <c r="J541" t="inlineStr">
        <is>
          <t>Delivered</t>
        </is>
      </c>
      <c r="K541" t="n">
        <v>0</v>
      </c>
      <c r="L541" t="n">
        <v>0</v>
      </c>
      <c r="M541" t="inlineStr">
        <is>
          <t>INR</t>
        </is>
      </c>
      <c r="N541" t="inlineStr">
        <is>
          <t>2024-12-27 20:56:13</t>
        </is>
      </c>
    </row>
    <row r="542">
      <c r="A542" t="inlineStr">
        <is>
          <t>TXN00060509</t>
        </is>
      </c>
      <c r="B542" t="inlineStr">
        <is>
          <t>MER00381</t>
        </is>
      </c>
      <c r="C542" s="8" t="n">
        <v>45682</v>
      </c>
      <c r="D542" t="inlineStr">
        <is>
          <t>ORD00060509</t>
        </is>
      </c>
      <c r="E542" t="n">
        <v>987.47</v>
      </c>
      <c r="F542" t="n">
        <v>2.71</v>
      </c>
      <c r="G542" t="n">
        <v>26.76</v>
      </c>
      <c r="H542" t="inlineStr">
        <is>
          <t>COD</t>
        </is>
      </c>
      <c r="I542" t="inlineStr">
        <is>
          <t>Success</t>
        </is>
      </c>
      <c r="J542" t="inlineStr">
        <is>
          <t>Delivered</t>
        </is>
      </c>
      <c r="K542" t="n">
        <v>0</v>
      </c>
      <c r="L542" t="n">
        <v>0</v>
      </c>
      <c r="M542" t="inlineStr">
        <is>
          <t>INR</t>
        </is>
      </c>
      <c r="N542" t="inlineStr">
        <is>
          <t>2025-01-25 17:56:23</t>
        </is>
      </c>
    </row>
    <row r="543">
      <c r="A543" t="inlineStr">
        <is>
          <t>TXN00099284</t>
        </is>
      </c>
      <c r="B543" t="inlineStr">
        <is>
          <t>MER00381</t>
        </is>
      </c>
      <c r="C543" s="8" t="n">
        <v>45800</v>
      </c>
      <c r="D543" t="inlineStr">
        <is>
          <t>ORD00099284</t>
        </is>
      </c>
      <c r="E543" t="n">
        <v>2154.9</v>
      </c>
      <c r="F543" t="n">
        <v>2.71</v>
      </c>
      <c r="G543" t="n">
        <v>58.4</v>
      </c>
      <c r="H543" t="inlineStr">
        <is>
          <t>Card</t>
        </is>
      </c>
      <c r="I543" t="inlineStr">
        <is>
          <t>Success</t>
        </is>
      </c>
      <c r="J543" t="inlineStr">
        <is>
          <t>Delivered</t>
        </is>
      </c>
      <c r="K543" t="n">
        <v>0</v>
      </c>
      <c r="L543" t="n">
        <v>0</v>
      </c>
      <c r="M543" t="inlineStr">
        <is>
          <t>INR</t>
        </is>
      </c>
      <c r="N543" t="inlineStr">
        <is>
          <t>2025-05-23 07:12:19</t>
        </is>
      </c>
    </row>
    <row r="544">
      <c r="A544" t="inlineStr">
        <is>
          <t>TXN00113418</t>
        </is>
      </c>
      <c r="B544" t="inlineStr">
        <is>
          <t>MER00381</t>
        </is>
      </c>
      <c r="C544" s="8" t="n">
        <v>45842</v>
      </c>
      <c r="D544" t="inlineStr">
        <is>
          <t>ORD00113418</t>
        </is>
      </c>
      <c r="E544" t="n">
        <v>2402.01</v>
      </c>
      <c r="F544" t="n">
        <v>2.71</v>
      </c>
      <c r="G544" t="n">
        <v>65.09</v>
      </c>
      <c r="H544" t="inlineStr">
        <is>
          <t>UPI</t>
        </is>
      </c>
      <c r="I544" t="inlineStr">
        <is>
          <t>Success</t>
        </is>
      </c>
      <c r="J544" t="inlineStr">
        <is>
          <t>Delivered</t>
        </is>
      </c>
      <c r="K544" t="n">
        <v>0</v>
      </c>
      <c r="L544" t="n">
        <v>0</v>
      </c>
      <c r="M544" t="inlineStr">
        <is>
          <t>INR</t>
        </is>
      </c>
      <c r="N544" t="inlineStr">
        <is>
          <t>2025-07-04 08:50:16</t>
        </is>
      </c>
    </row>
    <row r="545">
      <c r="A545" t="inlineStr">
        <is>
          <t>TXN00119529</t>
        </is>
      </c>
      <c r="B545" t="inlineStr">
        <is>
          <t>MER00381</t>
        </is>
      </c>
      <c r="C545" s="8" t="n">
        <v>45860</v>
      </c>
      <c r="D545" t="inlineStr">
        <is>
          <t>ORD00119529</t>
        </is>
      </c>
      <c r="E545" t="n">
        <v>2866.89</v>
      </c>
      <c r="F545" t="n">
        <v>2.71</v>
      </c>
      <c r="G545" t="n">
        <v>77.69</v>
      </c>
      <c r="H545" t="inlineStr">
        <is>
          <t>UPI</t>
        </is>
      </c>
      <c r="I545" t="inlineStr">
        <is>
          <t>Success</t>
        </is>
      </c>
      <c r="J545" t="inlineStr">
        <is>
          <t>Delivered</t>
        </is>
      </c>
      <c r="K545" t="n">
        <v>0</v>
      </c>
      <c r="L545" t="n">
        <v>0</v>
      </c>
      <c r="M545" t="inlineStr">
        <is>
          <t>INR</t>
        </is>
      </c>
      <c r="N545" t="inlineStr">
        <is>
          <t>2025-07-22 11:27:04</t>
        </is>
      </c>
    </row>
    <row r="546">
      <c r="A546" t="inlineStr">
        <is>
          <t>TXN00131463</t>
        </is>
      </c>
      <c r="B546" t="inlineStr">
        <is>
          <t>MER00381</t>
        </is>
      </c>
      <c r="C546" s="8" t="n">
        <v>45896</v>
      </c>
      <c r="D546" t="inlineStr">
        <is>
          <t>ORD00131463</t>
        </is>
      </c>
      <c r="E546" t="n">
        <v>429.2</v>
      </c>
      <c r="F546" t="n">
        <v>2.71</v>
      </c>
      <c r="G546" t="n">
        <v>11.63</v>
      </c>
      <c r="H546" t="inlineStr">
        <is>
          <t>UPI</t>
        </is>
      </c>
      <c r="I546" t="inlineStr">
        <is>
          <t>Pending</t>
        </is>
      </c>
      <c r="J546" t="inlineStr">
        <is>
          <t>Processing</t>
        </is>
      </c>
      <c r="K546" t="n">
        <v>0</v>
      </c>
      <c r="L546" t="n">
        <v>0</v>
      </c>
      <c r="M546" t="inlineStr">
        <is>
          <t>INR</t>
        </is>
      </c>
      <c r="N546" t="inlineStr">
        <is>
          <t>2025-08-27 09:04:40</t>
        </is>
      </c>
    </row>
    <row r="547">
      <c r="A547" t="inlineStr">
        <is>
          <t>TXN00132479</t>
        </is>
      </c>
      <c r="B547" t="inlineStr">
        <is>
          <t>MER00381</t>
        </is>
      </c>
      <c r="C547" s="8" t="n">
        <v>45899</v>
      </c>
      <c r="D547" t="inlineStr">
        <is>
          <t>ORD00132479</t>
        </is>
      </c>
      <c r="E547" t="n">
        <v>1061.12</v>
      </c>
      <c r="F547" t="n">
        <v>2.71</v>
      </c>
      <c r="G547" t="n">
        <v>28.76</v>
      </c>
      <c r="H547" t="inlineStr">
        <is>
          <t>NetBanking</t>
        </is>
      </c>
      <c r="I547" t="inlineStr">
        <is>
          <t>Success</t>
        </is>
      </c>
      <c r="J547" t="inlineStr">
        <is>
          <t>Returned</t>
        </is>
      </c>
      <c r="K547" t="n">
        <v>1061.12</v>
      </c>
      <c r="L547" t="n">
        <v>56.64</v>
      </c>
      <c r="M547" t="inlineStr">
        <is>
          <t>INR</t>
        </is>
      </c>
      <c r="N547" t="inlineStr">
        <is>
          <t>2025-08-30 15:17:49</t>
        </is>
      </c>
    </row>
    <row r="548">
      <c r="A548" t="inlineStr">
        <is>
          <t>TXN00136213</t>
        </is>
      </c>
      <c r="B548" t="inlineStr">
        <is>
          <t>MER00381</t>
        </is>
      </c>
      <c r="C548" s="8" t="n">
        <v>45910</v>
      </c>
      <c r="D548" t="inlineStr">
        <is>
          <t>ORD00136213</t>
        </is>
      </c>
      <c r="E548" t="n">
        <v>271.48</v>
      </c>
      <c r="F548" t="n">
        <v>2.71</v>
      </c>
      <c r="G548" t="n">
        <v>7.36</v>
      </c>
      <c r="H548" t="inlineStr">
        <is>
          <t>UPI</t>
        </is>
      </c>
      <c r="I548" t="inlineStr">
        <is>
          <t>Failed</t>
        </is>
      </c>
      <c r="J548" t="inlineStr">
        <is>
          <t>Processing</t>
        </is>
      </c>
      <c r="K548" t="n">
        <v>0</v>
      </c>
      <c r="L548" t="n">
        <v>0</v>
      </c>
      <c r="M548" t="inlineStr">
        <is>
          <t>INR</t>
        </is>
      </c>
      <c r="N548" t="inlineStr">
        <is>
          <t>2025-09-10 21:45:17</t>
        </is>
      </c>
    </row>
    <row r="549">
      <c r="A549" t="inlineStr">
        <is>
          <t>TXN00136650</t>
        </is>
      </c>
      <c r="B549" t="inlineStr">
        <is>
          <t>MER00381</t>
        </is>
      </c>
      <c r="C549" s="8" t="n">
        <v>45911</v>
      </c>
      <c r="D549" t="inlineStr">
        <is>
          <t>ORD00136650</t>
        </is>
      </c>
      <c r="E549" t="n">
        <v>1432.51</v>
      </c>
      <c r="F549" t="n">
        <v>2.71</v>
      </c>
      <c r="G549" t="n">
        <v>38.82</v>
      </c>
      <c r="H549" t="inlineStr">
        <is>
          <t>NetBanking</t>
        </is>
      </c>
      <c r="I549" t="inlineStr">
        <is>
          <t>Success</t>
        </is>
      </c>
      <c r="J549" t="inlineStr">
        <is>
          <t>Returned</t>
        </is>
      </c>
      <c r="K549" t="n">
        <v>1432.51</v>
      </c>
      <c r="L549" t="n">
        <v>0</v>
      </c>
      <c r="M549" t="inlineStr">
        <is>
          <t>INR</t>
        </is>
      </c>
      <c r="N549" t="inlineStr">
        <is>
          <t>2025-09-11 16:25:31</t>
        </is>
      </c>
    </row>
    <row r="550">
      <c r="A550" t="inlineStr">
        <is>
          <t>TXN00145309</t>
        </is>
      </c>
      <c r="B550" t="inlineStr">
        <is>
          <t>MER00381</t>
        </is>
      </c>
      <c r="C550" s="8" t="n">
        <v>45934</v>
      </c>
      <c r="D550" t="inlineStr">
        <is>
          <t>ORD00145309</t>
        </is>
      </c>
      <c r="E550" t="n">
        <v>476.63</v>
      </c>
      <c r="F550" t="n">
        <v>2.71</v>
      </c>
      <c r="G550" t="n">
        <v>12.92</v>
      </c>
      <c r="H550" t="inlineStr">
        <is>
          <t>NetBanking</t>
        </is>
      </c>
      <c r="I550" t="inlineStr">
        <is>
          <t>Success</t>
        </is>
      </c>
      <c r="J550" t="inlineStr">
        <is>
          <t>Delivered</t>
        </is>
      </c>
      <c r="K550" t="n">
        <v>0</v>
      </c>
      <c r="L550" t="n">
        <v>90.77</v>
      </c>
      <c r="M550" t="inlineStr">
        <is>
          <t>INR</t>
        </is>
      </c>
      <c r="N550" t="inlineStr">
        <is>
          <t>2025-10-04 14:44:30</t>
        </is>
      </c>
    </row>
    <row r="551">
      <c r="A551" t="inlineStr">
        <is>
          <t>TXN00150612</t>
        </is>
      </c>
      <c r="B551" t="inlineStr">
        <is>
          <t>MER00381</t>
        </is>
      </c>
      <c r="C551" s="8" t="n">
        <v>45946</v>
      </c>
      <c r="D551" t="inlineStr">
        <is>
          <t>ORD00150612</t>
        </is>
      </c>
      <c r="E551" t="n">
        <v>683.66</v>
      </c>
      <c r="F551" t="n">
        <v>2.71</v>
      </c>
      <c r="G551" t="n">
        <v>18.53</v>
      </c>
      <c r="H551" t="inlineStr">
        <is>
          <t>UPI</t>
        </is>
      </c>
      <c r="I551" t="inlineStr">
        <is>
          <t>Success</t>
        </is>
      </c>
      <c r="J551" t="inlineStr">
        <is>
          <t>Delivered</t>
        </is>
      </c>
      <c r="K551" t="n">
        <v>0</v>
      </c>
      <c r="L551" t="n">
        <v>0</v>
      </c>
      <c r="M551" t="inlineStr">
        <is>
          <t>INR</t>
        </is>
      </c>
      <c r="N551" t="inlineStr">
        <is>
          <t>2025-10-16 18:24:47</t>
        </is>
      </c>
    </row>
    <row r="552">
      <c r="A552" t="inlineStr">
        <is>
          <t>TXN00152097</t>
        </is>
      </c>
      <c r="B552" t="inlineStr">
        <is>
          <t>MER00381</t>
        </is>
      </c>
      <c r="C552" s="8" t="n">
        <v>45949</v>
      </c>
      <c r="D552" t="inlineStr">
        <is>
          <t>ORD00152097</t>
        </is>
      </c>
      <c r="E552" t="n">
        <v>597.46</v>
      </c>
      <c r="F552" t="n">
        <v>2.71</v>
      </c>
      <c r="G552" t="n">
        <v>16.19</v>
      </c>
      <c r="H552" t="inlineStr">
        <is>
          <t>COD</t>
        </is>
      </c>
      <c r="I552" t="inlineStr">
        <is>
          <t>Success</t>
        </is>
      </c>
      <c r="J552" t="inlineStr">
        <is>
          <t>Cancelled</t>
        </is>
      </c>
      <c r="K552" t="n">
        <v>577.53</v>
      </c>
      <c r="L552" t="n">
        <v>0</v>
      </c>
      <c r="M552" t="inlineStr">
        <is>
          <t>INR</t>
        </is>
      </c>
      <c r="N552" t="inlineStr">
        <is>
          <t>2025-10-19 08:23:05</t>
        </is>
      </c>
    </row>
    <row r="553">
      <c r="A553" t="inlineStr">
        <is>
          <t>TXN00153918</t>
        </is>
      </c>
      <c r="B553" t="inlineStr">
        <is>
          <t>MER00381</t>
        </is>
      </c>
      <c r="C553" s="8" t="n">
        <v>45953</v>
      </c>
      <c r="D553" t="inlineStr">
        <is>
          <t>ORD00153918</t>
        </is>
      </c>
      <c r="E553" t="n">
        <v>1047.47</v>
      </c>
      <c r="F553" t="n">
        <v>2.71</v>
      </c>
      <c r="G553" t="n">
        <v>28.39</v>
      </c>
      <c r="H553" t="inlineStr">
        <is>
          <t>UPI</t>
        </is>
      </c>
      <c r="I553" t="inlineStr">
        <is>
          <t>Success</t>
        </is>
      </c>
      <c r="J553" t="inlineStr">
        <is>
          <t>Delivered</t>
        </is>
      </c>
      <c r="K553" t="n">
        <v>0</v>
      </c>
      <c r="L553" t="n">
        <v>0</v>
      </c>
      <c r="M553" t="inlineStr">
        <is>
          <t>INR</t>
        </is>
      </c>
      <c r="N553" t="inlineStr">
        <is>
          <t>2025-10-23 01:01:33</t>
        </is>
      </c>
    </row>
    <row r="554">
      <c r="A554" t="inlineStr">
        <is>
          <t>TXN00161292</t>
        </is>
      </c>
      <c r="B554" t="inlineStr">
        <is>
          <t>MER00381</t>
        </is>
      </c>
      <c r="C554" s="8" t="n">
        <v>45967</v>
      </c>
      <c r="D554" t="inlineStr">
        <is>
          <t>ORD00161292</t>
        </is>
      </c>
      <c r="E554" t="n">
        <v>262.83</v>
      </c>
      <c r="F554" t="n">
        <v>1.74</v>
      </c>
      <c r="G554" t="n">
        <v>7.12</v>
      </c>
      <c r="H554" t="inlineStr">
        <is>
          <t>Card</t>
        </is>
      </c>
      <c r="I554" t="inlineStr">
        <is>
          <t>Success</t>
        </is>
      </c>
      <c r="J554" t="inlineStr">
        <is>
          <t>Delivered</t>
        </is>
      </c>
      <c r="K554" t="n">
        <v>0</v>
      </c>
      <c r="L554" t="n">
        <v>0</v>
      </c>
      <c r="M554" t="inlineStr">
        <is>
          <t>INR</t>
        </is>
      </c>
      <c r="N554" t="inlineStr">
        <is>
          <t>2025-11-06 22:38:10</t>
        </is>
      </c>
    </row>
    <row r="555">
      <c r="A555" t="inlineStr">
        <is>
          <t>TXN00194137</t>
        </is>
      </c>
      <c r="B555" t="inlineStr">
        <is>
          <t>MER00381</t>
        </is>
      </c>
      <c r="C555" s="8" t="n">
        <v>46040</v>
      </c>
      <c r="D555" t="inlineStr">
        <is>
          <t>ORD00194137</t>
        </is>
      </c>
      <c r="E555" t="n">
        <v>913.62</v>
      </c>
      <c r="F555" t="n">
        <v>2.71</v>
      </c>
      <c r="G555" t="n">
        <v>24.76</v>
      </c>
      <c r="H555" t="inlineStr">
        <is>
          <t>UPI</t>
        </is>
      </c>
      <c r="I555" t="inlineStr">
        <is>
          <t>Success</t>
        </is>
      </c>
      <c r="J555" t="inlineStr">
        <is>
          <t>Delivered</t>
        </is>
      </c>
      <c r="K555" t="n">
        <v>0</v>
      </c>
      <c r="L555" t="n">
        <v>0</v>
      </c>
      <c r="M555" t="inlineStr">
        <is>
          <t>INR</t>
        </is>
      </c>
      <c r="N555" t="inlineStr">
        <is>
          <t>2026-01-18 14:25:43</t>
        </is>
      </c>
    </row>
    <row r="556">
      <c r="A556" t="inlineStr">
        <is>
          <t>TXN00202600</t>
        </is>
      </c>
      <c r="B556" t="inlineStr">
        <is>
          <t>MER00381</t>
        </is>
      </c>
      <c r="C556" s="8" t="n">
        <v>46059</v>
      </c>
      <c r="D556" t="inlineStr">
        <is>
          <t>ORD00202600</t>
        </is>
      </c>
      <c r="E556" t="n">
        <v>1098.63</v>
      </c>
      <c r="F556" t="n">
        <v>2.71</v>
      </c>
      <c r="G556" t="n">
        <v>29.77</v>
      </c>
      <c r="H556" t="inlineStr">
        <is>
          <t>UPI</t>
        </is>
      </c>
      <c r="I556" t="inlineStr">
        <is>
          <t>Success</t>
        </is>
      </c>
      <c r="J556" t="inlineStr">
        <is>
          <t>Delivered</t>
        </is>
      </c>
      <c r="K556" t="n">
        <v>0</v>
      </c>
      <c r="L556" t="n">
        <v>0</v>
      </c>
      <c r="M556" t="inlineStr">
        <is>
          <t>INR</t>
        </is>
      </c>
      <c r="N556" t="inlineStr">
        <is>
          <t>2026-02-06 21:25:17</t>
        </is>
      </c>
    </row>
    <row r="557">
      <c r="A557" t="inlineStr">
        <is>
          <t>TXN00222657</t>
        </is>
      </c>
      <c r="B557" t="inlineStr">
        <is>
          <t>MER00381</t>
        </is>
      </c>
      <c r="C557" s="8" t="n">
        <v>46111</v>
      </c>
      <c r="D557" t="inlineStr">
        <is>
          <t>ORD00222657</t>
        </is>
      </c>
      <c r="E557" t="n">
        <v>792.4</v>
      </c>
      <c r="F557" t="n">
        <v>2.71</v>
      </c>
      <c r="G557" t="n">
        <v>21.47</v>
      </c>
      <c r="H557" t="inlineStr">
        <is>
          <t>UPI</t>
        </is>
      </c>
      <c r="I557" t="inlineStr">
        <is>
          <t>Success</t>
        </is>
      </c>
      <c r="J557" t="inlineStr">
        <is>
          <t>Returned</t>
        </is>
      </c>
      <c r="K557" t="n">
        <v>385.38</v>
      </c>
      <c r="L557" t="n">
        <v>0</v>
      </c>
      <c r="M557" t="inlineStr">
        <is>
          <t>INR</t>
        </is>
      </c>
      <c r="N557" t="inlineStr">
        <is>
          <t>2026-03-30 02:34:17</t>
        </is>
      </c>
    </row>
    <row r="558">
      <c r="A558" t="inlineStr">
        <is>
          <t>TXN00223514</t>
        </is>
      </c>
      <c r="B558" t="inlineStr">
        <is>
          <t>MER00381</t>
        </is>
      </c>
      <c r="C558" s="8" t="n">
        <v>46114</v>
      </c>
      <c r="D558" t="inlineStr">
        <is>
          <t>ORD00223514</t>
        </is>
      </c>
      <c r="E558" t="n">
        <v>1168.04</v>
      </c>
      <c r="F558" t="n">
        <v>2.71</v>
      </c>
      <c r="G558" t="n">
        <v>31.65</v>
      </c>
      <c r="H558" t="inlineStr">
        <is>
          <t>NetBanking</t>
        </is>
      </c>
      <c r="I558" t="inlineStr">
        <is>
          <t>Success</t>
        </is>
      </c>
      <c r="J558" t="inlineStr">
        <is>
          <t>Delivered</t>
        </is>
      </c>
      <c r="K558" t="n">
        <v>0</v>
      </c>
      <c r="L558" t="n">
        <v>0</v>
      </c>
      <c r="M558" t="inlineStr">
        <is>
          <t>INR</t>
        </is>
      </c>
      <c r="N558" t="inlineStr">
        <is>
          <t>2026-04-02 00:13:03</t>
        </is>
      </c>
    </row>
    <row r="559">
      <c r="A559" t="inlineStr">
        <is>
          <t>TXN00227341</t>
        </is>
      </c>
      <c r="B559" t="inlineStr">
        <is>
          <t>MER00381</t>
        </is>
      </c>
      <c r="C559" s="8" t="n">
        <v>46124</v>
      </c>
      <c r="D559" t="inlineStr">
        <is>
          <t>ORD00227341</t>
        </is>
      </c>
      <c r="E559" t="n">
        <v>766.41</v>
      </c>
      <c r="F559" t="n">
        <v>2.71</v>
      </c>
      <c r="G559" t="n">
        <v>20.77</v>
      </c>
      <c r="H559" t="inlineStr">
        <is>
          <t>NetBanking</t>
        </is>
      </c>
      <c r="I559" t="inlineStr">
        <is>
          <t>Success</t>
        </is>
      </c>
      <c r="J559" t="inlineStr">
        <is>
          <t>Delivered</t>
        </is>
      </c>
      <c r="K559" t="n">
        <v>0</v>
      </c>
      <c r="L559" t="n">
        <v>78.8</v>
      </c>
      <c r="M559" t="inlineStr">
        <is>
          <t>INR</t>
        </is>
      </c>
      <c r="N559" t="inlineStr">
        <is>
          <t>2026-04-12 12:02:49</t>
        </is>
      </c>
    </row>
    <row r="560">
      <c r="A560" t="inlineStr">
        <is>
          <t>TXN00237069</t>
        </is>
      </c>
      <c r="B560" t="inlineStr">
        <is>
          <t>MER00381</t>
        </is>
      </c>
      <c r="C560" s="8" t="n">
        <v>46149</v>
      </c>
      <c r="D560" t="inlineStr">
        <is>
          <t>ORD00237069</t>
        </is>
      </c>
      <c r="E560" t="n">
        <v>890.73</v>
      </c>
      <c r="F560" t="n">
        <v>2.71</v>
      </c>
      <c r="G560" t="n">
        <v>24.14</v>
      </c>
      <c r="H560" t="inlineStr">
        <is>
          <t>UPI</t>
        </is>
      </c>
      <c r="I560" t="inlineStr">
        <is>
          <t>Success</t>
        </is>
      </c>
      <c r="J560" t="inlineStr">
        <is>
          <t>Delivered</t>
        </is>
      </c>
      <c r="K560" t="n">
        <v>0</v>
      </c>
      <c r="L560" t="n">
        <v>0</v>
      </c>
      <c r="M560" t="inlineStr">
        <is>
          <t>INR</t>
        </is>
      </c>
      <c r="N560" t="inlineStr">
        <is>
          <t>2026-05-07 05:18:27</t>
        </is>
      </c>
    </row>
    <row r="561">
      <c r="A561" t="inlineStr">
        <is>
          <t>TXN00237791</t>
        </is>
      </c>
      <c r="B561" t="inlineStr">
        <is>
          <t>MER00381</t>
        </is>
      </c>
      <c r="C561" s="8" t="n">
        <v>46151</v>
      </c>
      <c r="D561" t="inlineStr">
        <is>
          <t>ORD00237791</t>
        </is>
      </c>
      <c r="E561" t="n">
        <v>802.85</v>
      </c>
      <c r="F561" t="n">
        <v>2.71</v>
      </c>
      <c r="G561" t="n">
        <v>21.76</v>
      </c>
      <c r="H561" t="inlineStr">
        <is>
          <t>UPI</t>
        </is>
      </c>
      <c r="I561" t="inlineStr">
        <is>
          <t>Success</t>
        </is>
      </c>
      <c r="J561" t="inlineStr">
        <is>
          <t>Returned</t>
        </is>
      </c>
      <c r="K561" t="n">
        <v>802.85</v>
      </c>
      <c r="L561" t="n">
        <v>0</v>
      </c>
      <c r="M561" t="inlineStr">
        <is>
          <t>INR</t>
        </is>
      </c>
      <c r="N561" t="inlineStr">
        <is>
          <t>2026-05-09 20:54:57</t>
        </is>
      </c>
    </row>
    <row r="562">
      <c r="A562" t="inlineStr">
        <is>
          <t>TXN00244598</t>
        </is>
      </c>
      <c r="B562" t="inlineStr">
        <is>
          <t>MER00381</t>
        </is>
      </c>
      <c r="C562" s="8" t="n">
        <v>46169</v>
      </c>
      <c r="D562" t="inlineStr">
        <is>
          <t>ORD00244598</t>
        </is>
      </c>
      <c r="E562" t="n">
        <v>278.76</v>
      </c>
      <c r="F562" t="n">
        <v>2.71</v>
      </c>
      <c r="G562" t="n">
        <v>7.55</v>
      </c>
      <c r="H562" t="inlineStr">
        <is>
          <t>Wallet</t>
        </is>
      </c>
      <c r="I562" t="inlineStr">
        <is>
          <t>Success</t>
        </is>
      </c>
      <c r="J562" t="inlineStr">
        <is>
          <t>Delivered</t>
        </is>
      </c>
      <c r="K562" t="n">
        <v>0</v>
      </c>
      <c r="L562" t="n">
        <v>0</v>
      </c>
      <c r="M562" t="inlineStr">
        <is>
          <t>INR</t>
        </is>
      </c>
      <c r="N562" t="inlineStr">
        <is>
          <t>2026-05-27 21:24:28</t>
        </is>
      </c>
    </row>
    <row r="563">
      <c r="A563" t="inlineStr">
        <is>
          <t>TXN00246045</t>
        </is>
      </c>
      <c r="B563" t="inlineStr">
        <is>
          <t>MER00381</t>
        </is>
      </c>
      <c r="C563" s="8" t="n">
        <v>46173</v>
      </c>
      <c r="D563" t="inlineStr">
        <is>
          <t>ORD00246045</t>
        </is>
      </c>
      <c r="E563" t="n">
        <v>428.78</v>
      </c>
      <c r="F563" t="n">
        <v>2.71</v>
      </c>
      <c r="G563" t="n">
        <v>11.62</v>
      </c>
      <c r="H563" t="inlineStr">
        <is>
          <t>Wallet</t>
        </is>
      </c>
      <c r="I563" t="inlineStr">
        <is>
          <t>Success</t>
        </is>
      </c>
      <c r="J563" t="inlineStr">
        <is>
          <t>Delivered</t>
        </is>
      </c>
      <c r="K563" t="n">
        <v>0</v>
      </c>
      <c r="L563" t="n">
        <v>0</v>
      </c>
      <c r="M563" t="inlineStr">
        <is>
          <t>INR</t>
        </is>
      </c>
      <c r="N563" t="inlineStr">
        <is>
          <t>2026-05-31 18:22:14</t>
        </is>
      </c>
    </row>
    <row r="564">
      <c r="A564" t="inlineStr">
        <is>
          <t>TXN00093734</t>
        </is>
      </c>
      <c r="B564" t="inlineStr">
        <is>
          <t>MER00386</t>
        </is>
      </c>
      <c r="C564" s="8" t="n">
        <v>45782</v>
      </c>
      <c r="D564" t="inlineStr">
        <is>
          <t>ORD00093734</t>
        </is>
      </c>
      <c r="E564" t="n">
        <v>2268.52</v>
      </c>
      <c r="F564" t="n">
        <v>2.5</v>
      </c>
      <c r="G564" t="n">
        <v>56.71</v>
      </c>
      <c r="H564" t="inlineStr">
        <is>
          <t>Card</t>
        </is>
      </c>
      <c r="I564" t="inlineStr">
        <is>
          <t>Success</t>
        </is>
      </c>
      <c r="J564" t="inlineStr">
        <is>
          <t>Delivered</t>
        </is>
      </c>
      <c r="K564" t="n">
        <v>0</v>
      </c>
      <c r="L564" t="n">
        <v>0</v>
      </c>
      <c r="M564" t="inlineStr">
        <is>
          <t>INR</t>
        </is>
      </c>
      <c r="N564" t="inlineStr">
        <is>
          <t>2025-05-05 02:44:57</t>
        </is>
      </c>
    </row>
    <row r="565">
      <c r="A565" t="inlineStr">
        <is>
          <t>TXN00116965</t>
        </is>
      </c>
      <c r="B565" t="inlineStr">
        <is>
          <t>MER00386</t>
        </is>
      </c>
      <c r="C565" s="8" t="n">
        <v>45852</v>
      </c>
      <c r="D565" t="inlineStr">
        <is>
          <t>ORD00116965</t>
        </is>
      </c>
      <c r="E565" t="n">
        <v>934.84</v>
      </c>
      <c r="F565" t="n">
        <v>2.35</v>
      </c>
      <c r="G565" t="n">
        <v>21.97</v>
      </c>
      <c r="H565" t="inlineStr">
        <is>
          <t>UPI</t>
        </is>
      </c>
      <c r="I565" t="inlineStr">
        <is>
          <t>Success</t>
        </is>
      </c>
      <c r="J565" t="inlineStr">
        <is>
          <t>Delivered</t>
        </is>
      </c>
      <c r="K565" t="n">
        <v>0</v>
      </c>
      <c r="L565" t="n">
        <v>0</v>
      </c>
      <c r="M565" t="inlineStr">
        <is>
          <t>INR</t>
        </is>
      </c>
      <c r="N565" t="inlineStr">
        <is>
          <t>2025-07-14 04:07:21</t>
        </is>
      </c>
    </row>
    <row r="566">
      <c r="A566" t="inlineStr">
        <is>
          <t>TXN00117876</t>
        </is>
      </c>
      <c r="B566" t="inlineStr">
        <is>
          <t>MER00386</t>
        </is>
      </c>
      <c r="C566" s="8" t="n">
        <v>45855</v>
      </c>
      <c r="D566" t="inlineStr">
        <is>
          <t>ORD00117876</t>
        </is>
      </c>
      <c r="E566" t="n">
        <v>980.8200000000001</v>
      </c>
      <c r="F566" t="n">
        <v>2.35</v>
      </c>
      <c r="G566" t="n">
        <v>23.05</v>
      </c>
      <c r="H566" t="inlineStr">
        <is>
          <t>UPI</t>
        </is>
      </c>
      <c r="I566" t="inlineStr">
        <is>
          <t>Failed</t>
        </is>
      </c>
      <c r="J566" t="inlineStr">
        <is>
          <t>Cancelled</t>
        </is>
      </c>
      <c r="K566" t="n">
        <v>0</v>
      </c>
      <c r="L566" t="n">
        <v>0</v>
      </c>
      <c r="M566" t="inlineStr">
        <is>
          <t>INR</t>
        </is>
      </c>
      <c r="N566" t="inlineStr">
        <is>
          <t>2025-07-17 00:58:52</t>
        </is>
      </c>
    </row>
    <row r="567">
      <c r="A567" t="inlineStr">
        <is>
          <t>TXN00124114</t>
        </is>
      </c>
      <c r="B567" t="inlineStr">
        <is>
          <t>MER00386</t>
        </is>
      </c>
      <c r="C567" s="8" t="n">
        <v>45874</v>
      </c>
      <c r="D567" t="inlineStr">
        <is>
          <t>ORD00124114</t>
        </is>
      </c>
      <c r="E567" t="n">
        <v>1887.06</v>
      </c>
      <c r="F567" t="n">
        <v>2.35</v>
      </c>
      <c r="G567" t="n">
        <v>44.35</v>
      </c>
      <c r="H567" t="inlineStr">
        <is>
          <t>UPI</t>
        </is>
      </c>
      <c r="I567" t="inlineStr">
        <is>
          <t>Success</t>
        </is>
      </c>
      <c r="J567" t="inlineStr">
        <is>
          <t>Delivered</t>
        </is>
      </c>
      <c r="K567" t="n">
        <v>0</v>
      </c>
      <c r="L567" t="n">
        <v>130.05</v>
      </c>
      <c r="M567" t="inlineStr">
        <is>
          <t>INR</t>
        </is>
      </c>
      <c r="N567" t="inlineStr">
        <is>
          <t>2025-08-05 16:08:38</t>
        </is>
      </c>
    </row>
    <row r="568">
      <c r="A568" t="inlineStr">
        <is>
          <t>TXN00124644</t>
        </is>
      </c>
      <c r="B568" t="inlineStr">
        <is>
          <t>MER00386</t>
        </is>
      </c>
      <c r="C568" s="8" t="n">
        <v>45875</v>
      </c>
      <c r="D568" t="inlineStr">
        <is>
          <t>ORD00124644</t>
        </is>
      </c>
      <c r="E568" t="n">
        <v>1625.49</v>
      </c>
      <c r="F568" t="n">
        <v>3.1</v>
      </c>
      <c r="G568" t="n">
        <v>38.2</v>
      </c>
      <c r="H568" t="inlineStr">
        <is>
          <t>UPI</t>
        </is>
      </c>
      <c r="I568" t="inlineStr">
        <is>
          <t>Success</t>
        </is>
      </c>
      <c r="J568" t="inlineStr">
        <is>
          <t>Delivered</t>
        </is>
      </c>
      <c r="K568" t="n">
        <v>0</v>
      </c>
      <c r="L568" t="n">
        <v>149.61</v>
      </c>
      <c r="M568" t="inlineStr">
        <is>
          <t>INR</t>
        </is>
      </c>
      <c r="N568" t="inlineStr">
        <is>
          <t>2025-08-06 06:43:21</t>
        </is>
      </c>
    </row>
    <row r="569">
      <c r="A569" t="inlineStr">
        <is>
          <t>TXN00127269</t>
        </is>
      </c>
      <c r="B569" t="inlineStr">
        <is>
          <t>MER00386</t>
        </is>
      </c>
      <c r="C569" s="8" t="n">
        <v>45883</v>
      </c>
      <c r="D569" t="inlineStr">
        <is>
          <t>ORD00127269</t>
        </is>
      </c>
      <c r="E569" t="n">
        <v>3041.73</v>
      </c>
      <c r="F569" t="n">
        <v>2.35</v>
      </c>
      <c r="G569" t="n">
        <v>71.48</v>
      </c>
      <c r="H569" t="inlineStr">
        <is>
          <t>UPI</t>
        </is>
      </c>
      <c r="I569" t="inlineStr">
        <is>
          <t>Success</t>
        </is>
      </c>
      <c r="J569" t="inlineStr">
        <is>
          <t>Delivered</t>
        </is>
      </c>
      <c r="K569" t="n">
        <v>0</v>
      </c>
      <c r="L569" t="n">
        <v>0</v>
      </c>
      <c r="M569" t="inlineStr">
        <is>
          <t>INR</t>
        </is>
      </c>
      <c r="N569" t="inlineStr">
        <is>
          <t>2025-08-14 12:40:30</t>
        </is>
      </c>
    </row>
    <row r="570">
      <c r="A570" t="inlineStr">
        <is>
          <t>TXN00130591</t>
        </is>
      </c>
      <c r="B570" t="inlineStr">
        <is>
          <t>MER00386</t>
        </is>
      </c>
      <c r="C570" s="8" t="n">
        <v>45893</v>
      </c>
      <c r="D570" t="inlineStr">
        <is>
          <t>ORD00130591</t>
        </is>
      </c>
      <c r="E570" t="n">
        <v>2794.74</v>
      </c>
      <c r="F570" t="n">
        <v>2.35</v>
      </c>
      <c r="G570" t="n">
        <v>65.68000000000001</v>
      </c>
      <c r="H570" t="inlineStr">
        <is>
          <t>Card</t>
        </is>
      </c>
      <c r="I570" t="inlineStr">
        <is>
          <t>Success</t>
        </is>
      </c>
      <c r="J570" t="inlineStr">
        <is>
          <t>Delivered</t>
        </is>
      </c>
      <c r="K570" t="n">
        <v>0</v>
      </c>
      <c r="L570" t="n">
        <v>0</v>
      </c>
      <c r="M570" t="inlineStr">
        <is>
          <t>INR</t>
        </is>
      </c>
      <c r="N570" t="inlineStr">
        <is>
          <t>2025-08-24 01:47:02</t>
        </is>
      </c>
    </row>
    <row r="571">
      <c r="A571" t="inlineStr">
        <is>
          <t>TXN00131233</t>
        </is>
      </c>
      <c r="B571" t="inlineStr">
        <is>
          <t>MER00386</t>
        </is>
      </c>
      <c r="C571" s="8" t="n">
        <v>45895</v>
      </c>
      <c r="D571" t="inlineStr">
        <is>
          <t>ORD00131233</t>
        </is>
      </c>
      <c r="E571" t="n">
        <v>1033.27</v>
      </c>
      <c r="F571" t="n">
        <v>2.35</v>
      </c>
      <c r="G571" t="n">
        <v>24.28</v>
      </c>
      <c r="H571" t="inlineStr">
        <is>
          <t>UPI</t>
        </is>
      </c>
      <c r="I571" t="inlineStr">
        <is>
          <t>Failed</t>
        </is>
      </c>
      <c r="J571" t="inlineStr">
        <is>
          <t>Processing</t>
        </is>
      </c>
      <c r="K571" t="n">
        <v>0</v>
      </c>
      <c r="L571" t="n">
        <v>0</v>
      </c>
      <c r="M571" t="inlineStr">
        <is>
          <t>INR</t>
        </is>
      </c>
      <c r="N571" t="inlineStr">
        <is>
          <t>2025-08-26 11:48:34</t>
        </is>
      </c>
    </row>
    <row r="572">
      <c r="A572" t="inlineStr">
        <is>
          <t>TXN00139116</t>
        </is>
      </c>
      <c r="B572" t="inlineStr">
        <is>
          <t>MER00386</t>
        </is>
      </c>
      <c r="C572" s="8" t="n">
        <v>45918</v>
      </c>
      <c r="D572" t="inlineStr">
        <is>
          <t>ORD00139116</t>
        </is>
      </c>
      <c r="E572" t="n">
        <v>995.64</v>
      </c>
      <c r="F572" t="n">
        <v>2.35</v>
      </c>
      <c r="G572" t="n">
        <v>23.4</v>
      </c>
      <c r="H572" t="inlineStr">
        <is>
          <t>UPI</t>
        </is>
      </c>
      <c r="I572" t="inlineStr">
        <is>
          <t>Success</t>
        </is>
      </c>
      <c r="J572" t="inlineStr">
        <is>
          <t>Delivered</t>
        </is>
      </c>
      <c r="K572" t="n">
        <v>0</v>
      </c>
      <c r="L572" t="n">
        <v>0</v>
      </c>
      <c r="M572" t="inlineStr">
        <is>
          <t>INR</t>
        </is>
      </c>
      <c r="N572" t="inlineStr">
        <is>
          <t>2025-09-18 23:46:48</t>
        </is>
      </c>
    </row>
    <row r="573">
      <c r="A573" t="inlineStr">
        <is>
          <t>TXN00138980</t>
        </is>
      </c>
      <c r="B573" t="inlineStr">
        <is>
          <t>MER00386</t>
        </is>
      </c>
      <c r="C573" s="8" t="n">
        <v>45918</v>
      </c>
      <c r="D573" t="inlineStr">
        <is>
          <t>ORD00138980</t>
        </is>
      </c>
      <c r="E573" t="n">
        <v>3345.92</v>
      </c>
      <c r="F573" t="n">
        <v>2.35</v>
      </c>
      <c r="G573" t="n">
        <v>78.63</v>
      </c>
      <c r="H573" t="inlineStr">
        <is>
          <t>COD</t>
        </is>
      </c>
      <c r="I573" t="inlineStr">
        <is>
          <t>Success</t>
        </is>
      </c>
      <c r="J573" t="inlineStr">
        <is>
          <t>Returned</t>
        </is>
      </c>
      <c r="K573" t="n">
        <v>2017.12</v>
      </c>
      <c r="L573" t="n">
        <v>0</v>
      </c>
      <c r="M573" t="inlineStr">
        <is>
          <t>INR</t>
        </is>
      </c>
      <c r="N573" t="inlineStr">
        <is>
          <t>2025-09-18 15:12:22</t>
        </is>
      </c>
    </row>
    <row r="574">
      <c r="A574" t="inlineStr">
        <is>
          <t>TXN00144490</t>
        </is>
      </c>
      <c r="B574" t="inlineStr">
        <is>
          <t>MER00386</t>
        </is>
      </c>
      <c r="C574" s="8" t="n">
        <v>45932</v>
      </c>
      <c r="D574" t="inlineStr">
        <is>
          <t>ORD00144490</t>
        </is>
      </c>
      <c r="E574" t="n">
        <v>1049.1</v>
      </c>
      <c r="F574" t="n">
        <v>2.35</v>
      </c>
      <c r="G574" t="n">
        <v>24.65</v>
      </c>
      <c r="H574" t="inlineStr">
        <is>
          <t>UPI</t>
        </is>
      </c>
      <c r="I574" t="inlineStr">
        <is>
          <t>Success</t>
        </is>
      </c>
      <c r="J574" t="inlineStr">
        <is>
          <t>Delivered</t>
        </is>
      </c>
      <c r="K574" t="n">
        <v>0</v>
      </c>
      <c r="L574" t="n">
        <v>0</v>
      </c>
      <c r="M574" t="inlineStr">
        <is>
          <t>INR</t>
        </is>
      </c>
      <c r="N574" t="inlineStr">
        <is>
          <t>2025-10-02 15:10:43</t>
        </is>
      </c>
    </row>
    <row r="575">
      <c r="A575" t="inlineStr">
        <is>
          <t>TXN00144981</t>
        </is>
      </c>
      <c r="B575" t="inlineStr">
        <is>
          <t>MER00386</t>
        </is>
      </c>
      <c r="C575" s="8" t="n">
        <v>45934</v>
      </c>
      <c r="D575" t="inlineStr">
        <is>
          <t>ORD00144981</t>
        </is>
      </c>
      <c r="E575" t="n">
        <v>1263.09</v>
      </c>
      <c r="F575" t="n">
        <v>2.35</v>
      </c>
      <c r="G575" t="n">
        <v>29.68</v>
      </c>
      <c r="H575" t="inlineStr">
        <is>
          <t>Card</t>
        </is>
      </c>
      <c r="I575" t="inlineStr">
        <is>
          <t>Pending</t>
        </is>
      </c>
      <c r="J575" t="inlineStr">
        <is>
          <t>Processing</t>
        </is>
      </c>
      <c r="K575" t="n">
        <v>0</v>
      </c>
      <c r="L575" t="n">
        <v>0</v>
      </c>
      <c r="M575" t="inlineStr">
        <is>
          <t>INR</t>
        </is>
      </c>
      <c r="N575" t="inlineStr">
        <is>
          <t>2025-10-04 09:12:59</t>
        </is>
      </c>
    </row>
    <row r="576">
      <c r="A576" t="inlineStr">
        <is>
          <t>TXN00149906</t>
        </is>
      </c>
      <c r="B576" t="inlineStr">
        <is>
          <t>MER00386</t>
        </is>
      </c>
      <c r="C576" s="8" t="n">
        <v>45944</v>
      </c>
      <c r="D576" t="inlineStr">
        <is>
          <t>ORD00149906</t>
        </is>
      </c>
      <c r="E576" t="n">
        <v>751.9299999999999</v>
      </c>
      <c r="F576" t="n">
        <v>2.35</v>
      </c>
      <c r="G576" t="n">
        <v>17.67</v>
      </c>
      <c r="H576" t="inlineStr">
        <is>
          <t>Card</t>
        </is>
      </c>
      <c r="I576" t="inlineStr">
        <is>
          <t>Success</t>
        </is>
      </c>
      <c r="J576" t="inlineStr">
        <is>
          <t>Delivered</t>
        </is>
      </c>
      <c r="K576" t="n">
        <v>0</v>
      </c>
      <c r="L576" t="n">
        <v>0</v>
      </c>
      <c r="M576" t="inlineStr">
        <is>
          <t>INR</t>
        </is>
      </c>
      <c r="N576" t="inlineStr">
        <is>
          <t>2025-10-14 05:26:45</t>
        </is>
      </c>
    </row>
    <row r="577">
      <c r="A577" t="inlineStr">
        <is>
          <t>TXN00157156</t>
        </is>
      </c>
      <c r="B577" t="inlineStr">
        <is>
          <t>MER00386</t>
        </is>
      </c>
      <c r="C577" s="8" t="n">
        <v>45960</v>
      </c>
      <c r="D577" t="inlineStr">
        <is>
          <t>ORD00157156</t>
        </is>
      </c>
      <c r="E577" t="n">
        <v>4935.98</v>
      </c>
      <c r="F577" t="n">
        <v>2.35</v>
      </c>
      <c r="G577" t="n">
        <v>116</v>
      </c>
      <c r="H577" t="inlineStr">
        <is>
          <t>UPI</t>
        </is>
      </c>
      <c r="I577" t="inlineStr">
        <is>
          <t>Success</t>
        </is>
      </c>
      <c r="J577" t="inlineStr">
        <is>
          <t>Delivered</t>
        </is>
      </c>
      <c r="K577" t="n">
        <v>0</v>
      </c>
      <c r="L577" t="n">
        <v>0</v>
      </c>
      <c r="M577" t="inlineStr">
        <is>
          <t>INR</t>
        </is>
      </c>
      <c r="N577" t="inlineStr">
        <is>
          <t>2025-10-30 02:57:57</t>
        </is>
      </c>
    </row>
    <row r="578">
      <c r="A578" t="inlineStr">
        <is>
          <t>TXN00163046</t>
        </is>
      </c>
      <c r="B578" t="inlineStr">
        <is>
          <t>MER00386</t>
        </is>
      </c>
      <c r="C578" s="8" t="n">
        <v>45970</v>
      </c>
      <c r="D578" t="inlineStr">
        <is>
          <t>ORD00163046</t>
        </is>
      </c>
      <c r="E578" t="n">
        <v>2272.22</v>
      </c>
      <c r="F578" t="n">
        <v>2.35</v>
      </c>
      <c r="G578" t="n">
        <v>53.4</v>
      </c>
      <c r="H578" t="inlineStr">
        <is>
          <t>UPI</t>
        </is>
      </c>
      <c r="I578" t="inlineStr">
        <is>
          <t>Success</t>
        </is>
      </c>
      <c r="J578" t="inlineStr">
        <is>
          <t>Delivered</t>
        </is>
      </c>
      <c r="K578" t="n">
        <v>0</v>
      </c>
      <c r="L578" t="n">
        <v>0</v>
      </c>
      <c r="M578" t="inlineStr">
        <is>
          <t>INR</t>
        </is>
      </c>
      <c r="N578" t="inlineStr">
        <is>
          <t>2025-11-09 16:21:28</t>
        </is>
      </c>
    </row>
    <row r="579">
      <c r="A579" t="inlineStr">
        <is>
          <t>TXN00164440</t>
        </is>
      </c>
      <c r="B579" t="inlineStr">
        <is>
          <t>MER00386</t>
        </is>
      </c>
      <c r="C579" s="8" t="n">
        <v>45973</v>
      </c>
      <c r="D579" t="inlineStr">
        <is>
          <t>ORD00164440</t>
        </is>
      </c>
      <c r="E579" t="n">
        <v>2230.53</v>
      </c>
      <c r="F579" t="n">
        <v>2.35</v>
      </c>
      <c r="G579" t="n">
        <v>52.42</v>
      </c>
      <c r="H579" t="inlineStr">
        <is>
          <t>Wallet</t>
        </is>
      </c>
      <c r="I579" t="inlineStr">
        <is>
          <t>Success</t>
        </is>
      </c>
      <c r="J579" t="inlineStr">
        <is>
          <t>Delivered</t>
        </is>
      </c>
      <c r="K579" t="n">
        <v>0</v>
      </c>
      <c r="L579" t="n">
        <v>0</v>
      </c>
      <c r="M579" t="inlineStr">
        <is>
          <t>INR</t>
        </is>
      </c>
      <c r="N579" t="inlineStr">
        <is>
          <t>2025-11-12 11:17:25</t>
        </is>
      </c>
    </row>
    <row r="580">
      <c r="A580" t="inlineStr">
        <is>
          <t>TXN00168342</t>
        </is>
      </c>
      <c r="B580" t="inlineStr">
        <is>
          <t>MER00386</t>
        </is>
      </c>
      <c r="C580" s="8" t="n">
        <v>45980</v>
      </c>
      <c r="D580" t="inlineStr">
        <is>
          <t>ORD00168342</t>
        </is>
      </c>
      <c r="E580" t="n">
        <v>2388.68</v>
      </c>
      <c r="F580" t="n">
        <v>2.35</v>
      </c>
      <c r="G580" t="n">
        <v>56.13</v>
      </c>
      <c r="H580" t="inlineStr">
        <is>
          <t>NetBanking</t>
        </is>
      </c>
      <c r="I580" t="inlineStr">
        <is>
          <t>Success</t>
        </is>
      </c>
      <c r="J580" t="inlineStr">
        <is>
          <t>Returned</t>
        </is>
      </c>
      <c r="K580" t="n">
        <v>1608.71</v>
      </c>
      <c r="L580" t="n">
        <v>0</v>
      </c>
      <c r="M580" t="inlineStr">
        <is>
          <t>INR</t>
        </is>
      </c>
      <c r="N580" t="inlineStr">
        <is>
          <t>2025-11-19 13:26:39</t>
        </is>
      </c>
    </row>
    <row r="581">
      <c r="A581" t="inlineStr">
        <is>
          <t>TXN00179495</t>
        </is>
      </c>
      <c r="B581" t="inlineStr">
        <is>
          <t>MER00386</t>
        </is>
      </c>
      <c r="C581" s="8" t="n">
        <v>46004</v>
      </c>
      <c r="D581" t="inlineStr">
        <is>
          <t>ORD00179495</t>
        </is>
      </c>
      <c r="E581" t="n">
        <v>2416.16</v>
      </c>
      <c r="F581" t="n">
        <v>2.35</v>
      </c>
      <c r="G581" t="n">
        <v>56.78</v>
      </c>
      <c r="H581" t="inlineStr">
        <is>
          <t>UPI</t>
        </is>
      </c>
      <c r="I581" t="inlineStr">
        <is>
          <t>Success</t>
        </is>
      </c>
      <c r="J581" t="inlineStr">
        <is>
          <t>Returned</t>
        </is>
      </c>
      <c r="K581" t="n">
        <v>2416.16</v>
      </c>
      <c r="L581" t="n">
        <v>0</v>
      </c>
      <c r="M581" t="inlineStr">
        <is>
          <t>INR</t>
        </is>
      </c>
      <c r="N581" t="inlineStr">
        <is>
          <t>2025-12-13 06:24:26</t>
        </is>
      </c>
    </row>
    <row r="582">
      <c r="A582" t="inlineStr">
        <is>
          <t>TXN00185912</t>
        </is>
      </c>
      <c r="B582" t="inlineStr">
        <is>
          <t>MER00386</t>
        </is>
      </c>
      <c r="C582" s="8" t="n">
        <v>46021</v>
      </c>
      <c r="D582" t="inlineStr">
        <is>
          <t>ORD00185912</t>
        </is>
      </c>
      <c r="E582" t="n">
        <v>2349.43</v>
      </c>
      <c r="F582" t="n">
        <v>2.35</v>
      </c>
      <c r="G582" t="n">
        <v>55.21</v>
      </c>
      <c r="H582" t="inlineStr">
        <is>
          <t>UPI</t>
        </is>
      </c>
      <c r="I582" t="inlineStr">
        <is>
          <t>Success</t>
        </is>
      </c>
      <c r="J582" t="inlineStr">
        <is>
          <t>Delivered</t>
        </is>
      </c>
      <c r="K582" t="n">
        <v>0</v>
      </c>
      <c r="L582" t="n">
        <v>0</v>
      </c>
      <c r="M582" t="inlineStr">
        <is>
          <t>INR</t>
        </is>
      </c>
      <c r="N582" t="inlineStr">
        <is>
          <t>2025-12-30 04:28:40</t>
        </is>
      </c>
    </row>
    <row r="583">
      <c r="A583" t="inlineStr">
        <is>
          <t>TXN00205129</t>
        </is>
      </c>
      <c r="B583" t="inlineStr">
        <is>
          <t>MER00386</t>
        </is>
      </c>
      <c r="C583" s="8" t="n">
        <v>46065</v>
      </c>
      <c r="D583" t="inlineStr">
        <is>
          <t>ORD00205129</t>
        </is>
      </c>
      <c r="E583" t="n">
        <v>1527.59</v>
      </c>
      <c r="F583" t="n">
        <v>2.35</v>
      </c>
      <c r="G583" t="n">
        <v>35.9</v>
      </c>
      <c r="H583" t="inlineStr">
        <is>
          <t>UPI</t>
        </is>
      </c>
      <c r="I583" t="inlineStr">
        <is>
          <t>Success</t>
        </is>
      </c>
      <c r="J583" t="inlineStr">
        <is>
          <t>Returned</t>
        </is>
      </c>
      <c r="K583" t="n">
        <v>1527.59</v>
      </c>
      <c r="L583" t="n">
        <v>0</v>
      </c>
      <c r="M583" t="inlineStr">
        <is>
          <t>INR</t>
        </is>
      </c>
      <c r="N583" t="inlineStr">
        <is>
          <t>2026-02-12 18:34:58</t>
        </is>
      </c>
    </row>
    <row r="584">
      <c r="A584" t="inlineStr">
        <is>
          <t>TXN00209970</t>
        </is>
      </c>
      <c r="B584" t="inlineStr">
        <is>
          <t>MER00386</t>
        </is>
      </c>
      <c r="C584" s="8" t="n">
        <v>46077</v>
      </c>
      <c r="D584" t="inlineStr">
        <is>
          <t>ORD00209970</t>
        </is>
      </c>
      <c r="E584" t="n">
        <v>5788.62</v>
      </c>
      <c r="F584" t="n">
        <v>2.35</v>
      </c>
      <c r="G584" t="n">
        <v>136.03</v>
      </c>
      <c r="H584" t="inlineStr">
        <is>
          <t>Card</t>
        </is>
      </c>
      <c r="I584" t="inlineStr">
        <is>
          <t>Success</t>
        </is>
      </c>
      <c r="J584" t="inlineStr">
        <is>
          <t>Delivered</t>
        </is>
      </c>
      <c r="K584" t="n">
        <v>0</v>
      </c>
      <c r="L584" t="n">
        <v>0</v>
      </c>
      <c r="M584" t="inlineStr">
        <is>
          <t>INR</t>
        </is>
      </c>
      <c r="N584" t="inlineStr">
        <is>
          <t>2026-02-24 13:17:41</t>
        </is>
      </c>
    </row>
    <row r="585">
      <c r="A585" t="inlineStr">
        <is>
          <t>TXN00212471</t>
        </is>
      </c>
      <c r="B585" t="inlineStr">
        <is>
          <t>MER00386</t>
        </is>
      </c>
      <c r="C585" s="8" t="n">
        <v>46084</v>
      </c>
      <c r="D585" t="inlineStr">
        <is>
          <t>ORD00212471</t>
        </is>
      </c>
      <c r="E585" t="n">
        <v>1772.91</v>
      </c>
      <c r="F585" t="n">
        <v>2.35</v>
      </c>
      <c r="G585" t="n">
        <v>41.66</v>
      </c>
      <c r="H585" t="inlineStr">
        <is>
          <t>NetBanking</t>
        </is>
      </c>
      <c r="I585" t="inlineStr">
        <is>
          <t>Success</t>
        </is>
      </c>
      <c r="J585" t="inlineStr">
        <is>
          <t>Delivered</t>
        </is>
      </c>
      <c r="K585" t="n">
        <v>0</v>
      </c>
      <c r="L585" t="n">
        <v>0</v>
      </c>
      <c r="M585" t="inlineStr">
        <is>
          <t>INR</t>
        </is>
      </c>
      <c r="N585" t="inlineStr">
        <is>
          <t>2026-03-03 13:38:17</t>
        </is>
      </c>
    </row>
    <row r="586">
      <c r="A586" t="inlineStr">
        <is>
          <t>TXN00218729</t>
        </is>
      </c>
      <c r="B586" t="inlineStr">
        <is>
          <t>MER00386</t>
        </is>
      </c>
      <c r="C586" s="8" t="n">
        <v>46101</v>
      </c>
      <c r="D586" t="inlineStr">
        <is>
          <t>ORD00218729</t>
        </is>
      </c>
      <c r="E586" t="n">
        <v>3855.92</v>
      </c>
      <c r="F586" t="n">
        <v>2.35</v>
      </c>
      <c r="G586" t="n">
        <v>90.61</v>
      </c>
      <c r="H586" t="inlineStr">
        <is>
          <t>UPI</t>
        </is>
      </c>
      <c r="I586" t="inlineStr">
        <is>
          <t>Success</t>
        </is>
      </c>
      <c r="J586" t="inlineStr">
        <is>
          <t>Returned</t>
        </is>
      </c>
      <c r="K586" t="n">
        <v>3855.92</v>
      </c>
      <c r="L586" t="n">
        <v>0</v>
      </c>
      <c r="M586" t="inlineStr">
        <is>
          <t>INR</t>
        </is>
      </c>
      <c r="N586" t="inlineStr">
        <is>
          <t>2026-03-20 03:42:53</t>
        </is>
      </c>
    </row>
    <row r="587">
      <c r="A587" t="inlineStr">
        <is>
          <t>TXN00220139</t>
        </is>
      </c>
      <c r="B587" t="inlineStr">
        <is>
          <t>MER00386</t>
        </is>
      </c>
      <c r="C587" s="8" t="n">
        <v>46105</v>
      </c>
      <c r="D587" t="inlineStr">
        <is>
          <t>ORD00220139</t>
        </is>
      </c>
      <c r="E587" t="n">
        <v>1429.59</v>
      </c>
      <c r="F587" t="n">
        <v>2.35</v>
      </c>
      <c r="G587" t="n">
        <v>33.6</v>
      </c>
      <c r="H587" t="inlineStr">
        <is>
          <t>UPI</t>
        </is>
      </c>
      <c r="I587" t="inlineStr">
        <is>
          <t>Success</t>
        </is>
      </c>
      <c r="J587" t="inlineStr">
        <is>
          <t>Delivered</t>
        </is>
      </c>
      <c r="K587" t="n">
        <v>0</v>
      </c>
      <c r="L587" t="n">
        <v>75.15000000000001</v>
      </c>
      <c r="M587" t="inlineStr">
        <is>
          <t>INR</t>
        </is>
      </c>
      <c r="N587" t="inlineStr">
        <is>
          <t>2026-03-24 03:08:26</t>
        </is>
      </c>
    </row>
    <row r="588">
      <c r="A588" t="inlineStr">
        <is>
          <t>TXN00224613</t>
        </is>
      </c>
      <c r="B588" t="inlineStr">
        <is>
          <t>MER00386</t>
        </is>
      </c>
      <c r="C588" s="8" t="n">
        <v>46117</v>
      </c>
      <c r="D588" t="inlineStr">
        <is>
          <t>ORD00224613</t>
        </is>
      </c>
      <c r="E588" t="n">
        <v>557.64</v>
      </c>
      <c r="F588" t="n">
        <v>2.35</v>
      </c>
      <c r="G588" t="n">
        <v>13.1</v>
      </c>
      <c r="H588" t="inlineStr">
        <is>
          <t>Card</t>
        </is>
      </c>
      <c r="I588" t="inlineStr">
        <is>
          <t>Success</t>
        </is>
      </c>
      <c r="J588" t="inlineStr">
        <is>
          <t>Cancelled</t>
        </is>
      </c>
      <c r="K588" t="n">
        <v>483.61</v>
      </c>
      <c r="L588" t="n">
        <v>0</v>
      </c>
      <c r="M588" t="inlineStr">
        <is>
          <t>INR</t>
        </is>
      </c>
      <c r="N588" t="inlineStr">
        <is>
          <t>2026-04-05 18:16:40</t>
        </is>
      </c>
    </row>
    <row r="589">
      <c r="A589" t="inlineStr">
        <is>
          <t>TXN00226695</t>
        </is>
      </c>
      <c r="B589" t="inlineStr">
        <is>
          <t>MER00386</t>
        </is>
      </c>
      <c r="C589" s="8" t="n">
        <v>46122</v>
      </c>
      <c r="D589" t="inlineStr">
        <is>
          <t>ORD00226695</t>
        </is>
      </c>
      <c r="E589" t="n">
        <v>836.89</v>
      </c>
      <c r="F589" t="n">
        <v>2.35</v>
      </c>
      <c r="G589" t="n">
        <v>19.67</v>
      </c>
      <c r="H589" t="inlineStr">
        <is>
          <t>UPI</t>
        </is>
      </c>
      <c r="I589" t="inlineStr">
        <is>
          <t>Pending</t>
        </is>
      </c>
      <c r="J589" t="inlineStr">
        <is>
          <t>Processing</t>
        </is>
      </c>
      <c r="K589" t="n">
        <v>0</v>
      </c>
      <c r="L589" t="n">
        <v>0</v>
      </c>
      <c r="M589" t="inlineStr">
        <is>
          <t>INR</t>
        </is>
      </c>
      <c r="N589" t="inlineStr">
        <is>
          <t>2026-04-10 07:04:15</t>
        </is>
      </c>
    </row>
    <row r="590">
      <c r="A590" t="inlineStr">
        <is>
          <t>TXN00247727</t>
        </is>
      </c>
      <c r="B590" t="inlineStr">
        <is>
          <t>MER00386</t>
        </is>
      </c>
      <c r="C590" s="8" t="n">
        <v>46177</v>
      </c>
      <c r="D590" t="inlineStr">
        <is>
          <t>ORD00247727</t>
        </is>
      </c>
      <c r="E590" t="n">
        <v>1332.07</v>
      </c>
      <c r="F590" t="n">
        <v>2.35</v>
      </c>
      <c r="G590" t="n">
        <v>31.3</v>
      </c>
      <c r="H590" t="inlineStr">
        <is>
          <t>UPI</t>
        </is>
      </c>
      <c r="I590" t="inlineStr">
        <is>
          <t>Success</t>
        </is>
      </c>
      <c r="J590" t="inlineStr">
        <is>
          <t>Delivered</t>
        </is>
      </c>
      <c r="K590" t="n">
        <v>0</v>
      </c>
      <c r="L590" t="n">
        <v>0</v>
      </c>
      <c r="M590" t="inlineStr">
        <is>
          <t>INR</t>
        </is>
      </c>
      <c r="N590" t="inlineStr">
        <is>
          <t>2026-06-04 17:01:11</t>
        </is>
      </c>
    </row>
    <row r="591">
      <c r="A591" t="inlineStr">
        <is>
          <t>TXN00258618</t>
        </is>
      </c>
      <c r="B591" t="inlineStr">
        <is>
          <t>MER00386</t>
        </is>
      </c>
      <c r="C591" s="8" t="n">
        <v>46204</v>
      </c>
      <c r="D591" t="inlineStr">
        <is>
          <t>ORD00258618</t>
        </is>
      </c>
      <c r="E591" t="n">
        <v>1115.96</v>
      </c>
      <c r="F591" t="n">
        <v>2.35</v>
      </c>
      <c r="G591" t="n">
        <v>26.23</v>
      </c>
      <c r="H591" t="inlineStr">
        <is>
          <t>NetBanking</t>
        </is>
      </c>
      <c r="I591" t="inlineStr">
        <is>
          <t>Success</t>
        </is>
      </c>
      <c r="J591" t="inlineStr">
        <is>
          <t>Delivered</t>
        </is>
      </c>
      <c r="K591" t="n">
        <v>0</v>
      </c>
      <c r="L591" t="n">
        <v>0</v>
      </c>
      <c r="M591" t="inlineStr">
        <is>
          <t>INR</t>
        </is>
      </c>
      <c r="N591" t="inlineStr">
        <is>
          <t>2026-07-01 01:49:34</t>
        </is>
      </c>
    </row>
    <row r="592">
      <c r="A592" t="inlineStr">
        <is>
          <t>TXN00259477</t>
        </is>
      </c>
      <c r="B592" t="inlineStr">
        <is>
          <t>MER00386</t>
        </is>
      </c>
      <c r="C592" s="8" t="n">
        <v>46206</v>
      </c>
      <c r="D592" t="inlineStr">
        <is>
          <t>ORD00259477</t>
        </is>
      </c>
      <c r="E592" t="n">
        <v>2001.98</v>
      </c>
      <c r="F592" t="n">
        <v>2.35</v>
      </c>
      <c r="G592" t="n">
        <v>47.05</v>
      </c>
      <c r="H592" t="inlineStr">
        <is>
          <t>UPI</t>
        </is>
      </c>
      <c r="I592" t="inlineStr">
        <is>
          <t>Success</t>
        </is>
      </c>
      <c r="J592" t="inlineStr">
        <is>
          <t>Delivered</t>
        </is>
      </c>
      <c r="K592" t="n">
        <v>0</v>
      </c>
      <c r="L592" t="n">
        <v>369.3</v>
      </c>
      <c r="M592" t="inlineStr">
        <is>
          <t>INR</t>
        </is>
      </c>
      <c r="N592" t="inlineStr">
        <is>
          <t>2026-07-03 22:29:25</t>
        </is>
      </c>
    </row>
    <row r="593">
      <c r="A593" t="inlineStr">
        <is>
          <t>TXN00266128</t>
        </is>
      </c>
      <c r="B593" t="inlineStr">
        <is>
          <t>MER00386</t>
        </is>
      </c>
      <c r="C593" s="8" t="n">
        <v>46223</v>
      </c>
      <c r="D593" t="inlineStr">
        <is>
          <t>ORD00266128</t>
        </is>
      </c>
      <c r="E593" t="n">
        <v>1043.12</v>
      </c>
      <c r="F593" t="n">
        <v>2.35</v>
      </c>
      <c r="G593" t="n">
        <v>24.51</v>
      </c>
      <c r="H593" t="inlineStr">
        <is>
          <t>Card</t>
        </is>
      </c>
      <c r="I593" t="inlineStr">
        <is>
          <t>Success</t>
        </is>
      </c>
      <c r="J593" t="inlineStr">
        <is>
          <t>Delivered</t>
        </is>
      </c>
      <c r="K593" t="n">
        <v>0</v>
      </c>
      <c r="L593" t="n">
        <v>0</v>
      </c>
      <c r="M593" t="inlineStr">
        <is>
          <t>INR</t>
        </is>
      </c>
      <c r="N593" t="inlineStr">
        <is>
          <t>2026-07-20 04:59:36</t>
        </is>
      </c>
    </row>
    <row r="594">
      <c r="A594" t="inlineStr">
        <is>
          <t>TXN00267196</t>
        </is>
      </c>
      <c r="B594" t="inlineStr">
        <is>
          <t>MER00386</t>
        </is>
      </c>
      <c r="C594" s="8" t="n">
        <v>46226</v>
      </c>
      <c r="D594" t="inlineStr">
        <is>
          <t>ORD00267196</t>
        </is>
      </c>
      <c r="E594" t="n">
        <v>2625.53</v>
      </c>
      <c r="F594" t="n">
        <v>2.35</v>
      </c>
      <c r="G594" t="n">
        <v>61.7</v>
      </c>
      <c r="H594" t="inlineStr">
        <is>
          <t>UPI</t>
        </is>
      </c>
      <c r="I594" t="inlineStr">
        <is>
          <t>Success</t>
        </is>
      </c>
      <c r="J594" t="inlineStr">
        <is>
          <t>Delivered</t>
        </is>
      </c>
      <c r="K594" t="n">
        <v>0</v>
      </c>
      <c r="L594" t="n">
        <v>0</v>
      </c>
      <c r="M594" t="inlineStr">
        <is>
          <t>INR</t>
        </is>
      </c>
      <c r="N594" t="inlineStr">
        <is>
          <t>2026-07-23 08:25:27</t>
        </is>
      </c>
    </row>
    <row r="595">
      <c r="A595" t="inlineStr">
        <is>
          <t>TXN00000698</t>
        </is>
      </c>
      <c r="B595" t="inlineStr">
        <is>
          <t>MER00436</t>
        </is>
      </c>
      <c r="C595" s="8" t="n">
        <v>45507</v>
      </c>
      <c r="D595" t="inlineStr">
        <is>
          <t>ORD00000698</t>
        </is>
      </c>
      <c r="E595" t="n">
        <v>4754.27</v>
      </c>
      <c r="F595" t="n">
        <v>2.5</v>
      </c>
      <c r="G595" t="n">
        <v>118.86</v>
      </c>
      <c r="H595" t="inlineStr">
        <is>
          <t>Card</t>
        </is>
      </c>
      <c r="I595" t="inlineStr">
        <is>
          <t>Pending</t>
        </is>
      </c>
      <c r="J595" t="inlineStr">
        <is>
          <t>Processing</t>
        </is>
      </c>
      <c r="K595" t="n">
        <v>0</v>
      </c>
      <c r="L595" t="n">
        <v>0</v>
      </c>
      <c r="M595" t="inlineStr">
        <is>
          <t>INR</t>
        </is>
      </c>
      <c r="N595" t="inlineStr">
        <is>
          <t>2024-08-03 01:57:16</t>
        </is>
      </c>
    </row>
    <row r="596">
      <c r="A596" t="inlineStr">
        <is>
          <t>TXN00001854</t>
        </is>
      </c>
      <c r="B596" t="inlineStr">
        <is>
          <t>MER00436</t>
        </is>
      </c>
      <c r="C596" s="8" t="n">
        <v>45512</v>
      </c>
      <c r="D596" t="inlineStr">
        <is>
          <t>ORD00001854</t>
        </is>
      </c>
      <c r="E596" t="n">
        <v>5743</v>
      </c>
      <c r="F596" t="n">
        <v>2.5</v>
      </c>
      <c r="G596" t="n">
        <v>143.57</v>
      </c>
      <c r="H596" t="inlineStr">
        <is>
          <t>UPI</t>
        </is>
      </c>
      <c r="I596" t="inlineStr">
        <is>
          <t>Success</t>
        </is>
      </c>
      <c r="J596" t="inlineStr">
        <is>
          <t>Delivered</t>
        </is>
      </c>
      <c r="K596" t="n">
        <v>0</v>
      </c>
      <c r="L596" t="n">
        <v>404.08</v>
      </c>
      <c r="M596" t="inlineStr">
        <is>
          <t>INR</t>
        </is>
      </c>
      <c r="N596" t="inlineStr">
        <is>
          <t>2024-08-08 14:23:27</t>
        </is>
      </c>
    </row>
    <row r="597">
      <c r="A597" t="inlineStr">
        <is>
          <t>TXN00002879</t>
        </is>
      </c>
      <c r="B597" t="inlineStr">
        <is>
          <t>MER00436</t>
        </is>
      </c>
      <c r="C597" s="8" t="n">
        <v>45516</v>
      </c>
      <c r="D597" t="inlineStr">
        <is>
          <t>ORD00002879</t>
        </is>
      </c>
      <c r="E597" t="n">
        <v>2330.94</v>
      </c>
      <c r="F597" t="n">
        <v>2.5</v>
      </c>
      <c r="G597" t="n">
        <v>58.27</v>
      </c>
      <c r="H597" t="inlineStr">
        <is>
          <t>UPI</t>
        </is>
      </c>
      <c r="I597" t="inlineStr">
        <is>
          <t>Success</t>
        </is>
      </c>
      <c r="J597" t="inlineStr">
        <is>
          <t>Delivered</t>
        </is>
      </c>
      <c r="K597" t="n">
        <v>0</v>
      </c>
      <c r="L597" t="n">
        <v>0</v>
      </c>
      <c r="M597" t="inlineStr">
        <is>
          <t>INR</t>
        </is>
      </c>
      <c r="N597" t="inlineStr">
        <is>
          <t>2024-08-12 14:49:44</t>
        </is>
      </c>
    </row>
    <row r="598">
      <c r="A598" t="inlineStr">
        <is>
          <t>TXN00005301</t>
        </is>
      </c>
      <c r="B598" t="inlineStr">
        <is>
          <t>MER00436</t>
        </is>
      </c>
      <c r="C598" s="8" t="n">
        <v>45527</v>
      </c>
      <c r="D598" t="inlineStr">
        <is>
          <t>ORD00005301</t>
        </is>
      </c>
      <c r="E598" t="n">
        <v>5905.7</v>
      </c>
      <c r="F598" t="n">
        <v>2.5</v>
      </c>
      <c r="G598" t="n">
        <v>147.64</v>
      </c>
      <c r="H598" t="inlineStr">
        <is>
          <t>Wallet</t>
        </is>
      </c>
      <c r="I598" t="inlineStr">
        <is>
          <t>Success</t>
        </is>
      </c>
      <c r="J598" t="inlineStr">
        <is>
          <t>Delivered</t>
        </is>
      </c>
      <c r="K598" t="n">
        <v>0</v>
      </c>
      <c r="L598" t="n">
        <v>1080.18</v>
      </c>
      <c r="M598" t="inlineStr">
        <is>
          <t>INR</t>
        </is>
      </c>
      <c r="N598" t="inlineStr">
        <is>
          <t>2024-08-23 11:24:52</t>
        </is>
      </c>
    </row>
    <row r="599">
      <c r="A599" t="inlineStr">
        <is>
          <t>TXN00005798</t>
        </is>
      </c>
      <c r="B599" t="inlineStr">
        <is>
          <t>MER00436</t>
        </is>
      </c>
      <c r="C599" s="8" t="n">
        <v>45529</v>
      </c>
      <c r="D599" t="inlineStr">
        <is>
          <t>ORD00005798</t>
        </is>
      </c>
      <c r="E599" t="n">
        <v>1350.59</v>
      </c>
      <c r="F599" t="n">
        <v>2.5</v>
      </c>
      <c r="G599" t="n">
        <v>33.76</v>
      </c>
      <c r="H599" t="inlineStr">
        <is>
          <t>UPI</t>
        </is>
      </c>
      <c r="I599" t="inlineStr">
        <is>
          <t>Success</t>
        </is>
      </c>
      <c r="J599" t="inlineStr">
        <is>
          <t>Delivered</t>
        </is>
      </c>
      <c r="K599" t="n">
        <v>0</v>
      </c>
      <c r="L599" t="n">
        <v>197.31</v>
      </c>
      <c r="M599" t="inlineStr">
        <is>
          <t>INR</t>
        </is>
      </c>
      <c r="N599" t="inlineStr">
        <is>
          <t>2024-08-25 21:13:12</t>
        </is>
      </c>
    </row>
    <row r="600">
      <c r="A600" t="inlineStr">
        <is>
          <t>TXN00007272</t>
        </is>
      </c>
      <c r="B600" t="inlineStr">
        <is>
          <t>MER00436</t>
        </is>
      </c>
      <c r="C600" s="8" t="n">
        <v>45535</v>
      </c>
      <c r="D600" t="inlineStr">
        <is>
          <t>ORD00007272</t>
        </is>
      </c>
      <c r="E600" t="n">
        <v>1701.12</v>
      </c>
      <c r="F600" t="n">
        <v>1.96</v>
      </c>
      <c r="G600" t="n">
        <v>33.34</v>
      </c>
      <c r="H600" t="inlineStr">
        <is>
          <t>Card</t>
        </is>
      </c>
      <c r="I600" t="inlineStr">
        <is>
          <t>Failed</t>
        </is>
      </c>
      <c r="J600" t="inlineStr">
        <is>
          <t>Cancelled</t>
        </is>
      </c>
      <c r="K600" t="n">
        <v>0</v>
      </c>
      <c r="L600" t="n">
        <v>0</v>
      </c>
      <c r="M600" t="inlineStr">
        <is>
          <t>INR</t>
        </is>
      </c>
      <c r="N600" t="inlineStr">
        <is>
          <t>2024-08-31 02:06:53</t>
        </is>
      </c>
    </row>
    <row r="601">
      <c r="A601" t="inlineStr">
        <is>
          <t>TXN00009045</t>
        </is>
      </c>
      <c r="B601" t="inlineStr">
        <is>
          <t>MER00436</t>
        </is>
      </c>
      <c r="C601" s="8" t="n">
        <v>45541</v>
      </c>
      <c r="D601" t="inlineStr">
        <is>
          <t>ORD00009045</t>
        </is>
      </c>
      <c r="E601" t="n">
        <v>1679.5</v>
      </c>
      <c r="F601" t="n">
        <v>1.96</v>
      </c>
      <c r="G601" t="n">
        <v>32.92</v>
      </c>
      <c r="H601" t="inlineStr">
        <is>
          <t>NetBanking</t>
        </is>
      </c>
      <c r="I601" t="inlineStr">
        <is>
          <t>Success</t>
        </is>
      </c>
      <c r="J601" t="inlineStr">
        <is>
          <t>Delivered</t>
        </is>
      </c>
      <c r="K601" t="n">
        <v>0</v>
      </c>
      <c r="L601" t="n">
        <v>0</v>
      </c>
      <c r="M601" t="inlineStr">
        <is>
          <t>INR</t>
        </is>
      </c>
      <c r="N601" t="inlineStr">
        <is>
          <t>2024-09-06 13:37:03</t>
        </is>
      </c>
    </row>
    <row r="602">
      <c r="A602" t="inlineStr">
        <is>
          <t>TXN00009712</t>
        </is>
      </c>
      <c r="B602" t="inlineStr">
        <is>
          <t>MER00436</t>
        </is>
      </c>
      <c r="C602" s="8" t="n">
        <v>45543</v>
      </c>
      <c r="D602" t="inlineStr">
        <is>
          <t>ORD00009712</t>
        </is>
      </c>
      <c r="E602" t="n">
        <v>3113.71</v>
      </c>
      <c r="F602" t="n">
        <v>1.96</v>
      </c>
      <c r="G602" t="n">
        <v>61.03</v>
      </c>
      <c r="H602" t="inlineStr">
        <is>
          <t>UPI</t>
        </is>
      </c>
      <c r="I602" t="inlineStr">
        <is>
          <t>Success</t>
        </is>
      </c>
      <c r="J602" t="inlineStr">
        <is>
          <t>Delivered</t>
        </is>
      </c>
      <c r="K602" t="n">
        <v>0</v>
      </c>
      <c r="L602" t="n">
        <v>0</v>
      </c>
      <c r="M602" t="inlineStr">
        <is>
          <t>INR</t>
        </is>
      </c>
      <c r="N602" t="inlineStr">
        <is>
          <t>2024-09-08 15:05:37</t>
        </is>
      </c>
    </row>
    <row r="603">
      <c r="A603" t="inlineStr">
        <is>
          <t>TXN00011069</t>
        </is>
      </c>
      <c r="B603" t="inlineStr">
        <is>
          <t>MER00436</t>
        </is>
      </c>
      <c r="C603" s="8" t="n">
        <v>45548</v>
      </c>
      <c r="D603" t="inlineStr">
        <is>
          <t>ORD00011069</t>
        </is>
      </c>
      <c r="E603" t="n">
        <v>2369.11</v>
      </c>
      <c r="F603" t="n">
        <v>1.96</v>
      </c>
      <c r="G603" t="n">
        <v>46.43</v>
      </c>
      <c r="H603" t="inlineStr">
        <is>
          <t>UPI</t>
        </is>
      </c>
      <c r="I603" t="inlineStr">
        <is>
          <t>Success</t>
        </is>
      </c>
      <c r="J603" t="inlineStr">
        <is>
          <t>Delivered</t>
        </is>
      </c>
      <c r="K603" t="n">
        <v>0</v>
      </c>
      <c r="L603" t="n">
        <v>302.27</v>
      </c>
      <c r="M603" t="inlineStr">
        <is>
          <t>INR</t>
        </is>
      </c>
      <c r="N603" t="inlineStr">
        <is>
          <t>2024-09-13 23:58:57</t>
        </is>
      </c>
    </row>
    <row r="604">
      <c r="A604" t="inlineStr">
        <is>
          <t>TXN00011249</t>
        </is>
      </c>
      <c r="B604" t="inlineStr">
        <is>
          <t>MER00436</t>
        </is>
      </c>
      <c r="C604" s="8" t="n">
        <v>45549</v>
      </c>
      <c r="D604" t="inlineStr">
        <is>
          <t>ORD00011249</t>
        </is>
      </c>
      <c r="E604" t="n">
        <v>2969.8</v>
      </c>
      <c r="F604" t="n">
        <v>1.96</v>
      </c>
      <c r="G604" t="n">
        <v>58.21</v>
      </c>
      <c r="H604" t="inlineStr">
        <is>
          <t>Wallet</t>
        </is>
      </c>
      <c r="I604" t="inlineStr">
        <is>
          <t>Success</t>
        </is>
      </c>
      <c r="J604" t="inlineStr">
        <is>
          <t>Delivered</t>
        </is>
      </c>
      <c r="K604" t="n">
        <v>0</v>
      </c>
      <c r="L604" t="n">
        <v>510.51</v>
      </c>
      <c r="M604" t="inlineStr">
        <is>
          <t>INR</t>
        </is>
      </c>
      <c r="N604" t="inlineStr">
        <is>
          <t>2024-09-14 05:29:08</t>
        </is>
      </c>
    </row>
    <row r="605">
      <c r="A605" t="inlineStr">
        <is>
          <t>TXN00013400</t>
        </is>
      </c>
      <c r="B605" t="inlineStr">
        <is>
          <t>MER00436</t>
        </is>
      </c>
      <c r="C605" s="8" t="n">
        <v>45556</v>
      </c>
      <c r="D605" t="inlineStr">
        <is>
          <t>ORD00013400</t>
        </is>
      </c>
      <c r="E605" t="n">
        <v>5643.56</v>
      </c>
      <c r="F605" t="n">
        <v>1.96</v>
      </c>
      <c r="G605" t="n">
        <v>110.61</v>
      </c>
      <c r="H605" t="inlineStr">
        <is>
          <t>Card</t>
        </is>
      </c>
      <c r="I605" t="inlineStr">
        <is>
          <t>Success</t>
        </is>
      </c>
      <c r="J605" t="inlineStr">
        <is>
          <t>Delivered</t>
        </is>
      </c>
      <c r="K605" t="n">
        <v>0</v>
      </c>
      <c r="L605" t="n">
        <v>0</v>
      </c>
      <c r="M605" t="inlineStr">
        <is>
          <t>INR</t>
        </is>
      </c>
      <c r="N605" t="inlineStr">
        <is>
          <t>2024-09-21 07:20:38</t>
        </is>
      </c>
    </row>
    <row r="606">
      <c r="A606" t="inlineStr">
        <is>
          <t>TXN00014239</t>
        </is>
      </c>
      <c r="B606" t="inlineStr">
        <is>
          <t>MER00436</t>
        </is>
      </c>
      <c r="C606" s="8" t="n">
        <v>45559</v>
      </c>
      <c r="D606" t="inlineStr">
        <is>
          <t>ORD00014239</t>
        </is>
      </c>
      <c r="E606" t="n">
        <v>5667.44</v>
      </c>
      <c r="F606" t="n">
        <v>1.96</v>
      </c>
      <c r="G606" t="n">
        <v>111.08</v>
      </c>
      <c r="H606" t="inlineStr">
        <is>
          <t>UPI</t>
        </is>
      </c>
      <c r="I606" t="inlineStr">
        <is>
          <t>Success</t>
        </is>
      </c>
      <c r="J606" t="inlineStr">
        <is>
          <t>Delivered</t>
        </is>
      </c>
      <c r="K606" t="n">
        <v>0</v>
      </c>
      <c r="L606" t="n">
        <v>0</v>
      </c>
      <c r="M606" t="inlineStr">
        <is>
          <t>INR</t>
        </is>
      </c>
      <c r="N606" t="inlineStr">
        <is>
          <t>2024-09-24 16:32:10</t>
        </is>
      </c>
    </row>
    <row r="607">
      <c r="A607" t="inlineStr">
        <is>
          <t>TXN00016000</t>
        </is>
      </c>
      <c r="B607" t="inlineStr">
        <is>
          <t>MER00436</t>
        </is>
      </c>
      <c r="C607" s="8" t="n">
        <v>45565</v>
      </c>
      <c r="D607" t="inlineStr">
        <is>
          <t>ORD00016000</t>
        </is>
      </c>
      <c r="E607" t="n">
        <v>6092.11</v>
      </c>
      <c r="F607" t="n">
        <v>1.96</v>
      </c>
      <c r="G607" t="n">
        <v>119.41</v>
      </c>
      <c r="H607" t="inlineStr">
        <is>
          <t>UPI</t>
        </is>
      </c>
      <c r="I607" t="inlineStr">
        <is>
          <t>Success</t>
        </is>
      </c>
      <c r="J607" t="inlineStr">
        <is>
          <t>Delivered</t>
        </is>
      </c>
      <c r="K607" t="n">
        <v>0</v>
      </c>
      <c r="L607" t="n">
        <v>0</v>
      </c>
      <c r="M607" t="inlineStr">
        <is>
          <t>INR</t>
        </is>
      </c>
      <c r="N607" t="inlineStr">
        <is>
          <t>2024-09-30 03:22:00</t>
        </is>
      </c>
    </row>
    <row r="608">
      <c r="A608" t="inlineStr">
        <is>
          <t>TXN00015938</t>
        </is>
      </c>
      <c r="B608" t="inlineStr">
        <is>
          <t>MER00436</t>
        </is>
      </c>
      <c r="C608" s="8" t="n">
        <v>45565</v>
      </c>
      <c r="D608" t="inlineStr">
        <is>
          <t>ORD00015938</t>
        </is>
      </c>
      <c r="E608" t="n">
        <v>3004.04</v>
      </c>
      <c r="F608" t="n">
        <v>1.96</v>
      </c>
      <c r="G608" t="n">
        <v>58.88</v>
      </c>
      <c r="H608" t="inlineStr">
        <is>
          <t>NetBanking</t>
        </is>
      </c>
      <c r="I608" t="inlineStr">
        <is>
          <t>Success</t>
        </is>
      </c>
      <c r="J608" t="inlineStr">
        <is>
          <t>Delivered</t>
        </is>
      </c>
      <c r="K608" t="n">
        <v>0</v>
      </c>
      <c r="L608" t="n">
        <v>0</v>
      </c>
      <c r="M608" t="inlineStr">
        <is>
          <t>INR</t>
        </is>
      </c>
      <c r="N608" t="inlineStr">
        <is>
          <t>2024-09-30 23:03:51</t>
        </is>
      </c>
    </row>
    <row r="609">
      <c r="A609" t="inlineStr">
        <is>
          <t>TXN00018045</t>
        </is>
      </c>
      <c r="B609" t="inlineStr">
        <is>
          <t>MER00436</t>
        </is>
      </c>
      <c r="C609" s="8" t="n">
        <v>45570</v>
      </c>
      <c r="D609" t="inlineStr">
        <is>
          <t>ORD00018045</t>
        </is>
      </c>
      <c r="E609" t="n">
        <v>697.38</v>
      </c>
      <c r="F609" t="n">
        <v>1.96</v>
      </c>
      <c r="G609" t="n">
        <v>13.67</v>
      </c>
      <c r="H609" t="inlineStr">
        <is>
          <t>Card</t>
        </is>
      </c>
      <c r="I609" t="inlineStr">
        <is>
          <t>Failed</t>
        </is>
      </c>
      <c r="J609" t="inlineStr">
        <is>
          <t>Cancelled</t>
        </is>
      </c>
      <c r="K609" t="n">
        <v>0</v>
      </c>
      <c r="L609" t="n">
        <v>123.45</v>
      </c>
      <c r="M609" t="inlineStr">
        <is>
          <t>INR</t>
        </is>
      </c>
      <c r="N609" t="inlineStr">
        <is>
          <t>2024-10-05 03:02:56</t>
        </is>
      </c>
    </row>
    <row r="610">
      <c r="A610" t="inlineStr">
        <is>
          <t>TXN00020103</t>
        </is>
      </c>
      <c r="B610" t="inlineStr">
        <is>
          <t>MER00436</t>
        </is>
      </c>
      <c r="C610" s="8" t="n">
        <v>45576</v>
      </c>
      <c r="D610" t="inlineStr">
        <is>
          <t>ORD00020103</t>
        </is>
      </c>
      <c r="E610" t="n">
        <v>3836.5</v>
      </c>
      <c r="F610" t="n">
        <v>1.96</v>
      </c>
      <c r="G610" t="n">
        <v>75.2</v>
      </c>
      <c r="H610" t="inlineStr">
        <is>
          <t>Wallet</t>
        </is>
      </c>
      <c r="I610" t="inlineStr">
        <is>
          <t>Success</t>
        </is>
      </c>
      <c r="J610" t="inlineStr">
        <is>
          <t>Delivered</t>
        </is>
      </c>
      <c r="K610" t="n">
        <v>0</v>
      </c>
      <c r="L610" t="n">
        <v>0</v>
      </c>
      <c r="M610" t="inlineStr">
        <is>
          <t>INR</t>
        </is>
      </c>
      <c r="N610" t="inlineStr">
        <is>
          <t>2024-10-11 17:44:26</t>
        </is>
      </c>
    </row>
    <row r="611">
      <c r="A611" t="inlineStr">
        <is>
          <t>TXN00020575</t>
        </is>
      </c>
      <c r="B611" t="inlineStr">
        <is>
          <t>MER00436</t>
        </is>
      </c>
      <c r="C611" s="8" t="n">
        <v>45577</v>
      </c>
      <c r="D611" t="inlineStr">
        <is>
          <t>ORD00020575</t>
        </is>
      </c>
      <c r="E611" t="n">
        <v>2929.96</v>
      </c>
      <c r="F611" t="n">
        <v>1.96</v>
      </c>
      <c r="G611" t="n">
        <v>57.43</v>
      </c>
      <c r="H611" t="inlineStr">
        <is>
          <t>NetBanking</t>
        </is>
      </c>
      <c r="I611" t="inlineStr">
        <is>
          <t>Success</t>
        </is>
      </c>
      <c r="J611" t="inlineStr">
        <is>
          <t>Returned</t>
        </is>
      </c>
      <c r="K611" t="n">
        <v>1113.49</v>
      </c>
      <c r="L611" t="n">
        <v>0</v>
      </c>
      <c r="M611" t="inlineStr">
        <is>
          <t>INR</t>
        </is>
      </c>
      <c r="N611" t="inlineStr">
        <is>
          <t>2024-10-12 05:34:15</t>
        </is>
      </c>
    </row>
    <row r="612">
      <c r="A612" t="inlineStr">
        <is>
          <t>TXN00021035</t>
        </is>
      </c>
      <c r="B612" t="inlineStr">
        <is>
          <t>MER00436</t>
        </is>
      </c>
      <c r="C612" s="8" t="n">
        <v>45578</v>
      </c>
      <c r="D612" t="inlineStr">
        <is>
          <t>ORD00021035</t>
        </is>
      </c>
      <c r="E612" t="n">
        <v>2030.52</v>
      </c>
      <c r="F612" t="n">
        <v>1.96</v>
      </c>
      <c r="G612" t="n">
        <v>39.8</v>
      </c>
      <c r="H612" t="inlineStr">
        <is>
          <t>UPI</t>
        </is>
      </c>
      <c r="I612" t="inlineStr">
        <is>
          <t>Success</t>
        </is>
      </c>
      <c r="J612" t="inlineStr">
        <is>
          <t>Delivered</t>
        </is>
      </c>
      <c r="K612" t="n">
        <v>0</v>
      </c>
      <c r="L612" t="n">
        <v>127.67</v>
      </c>
      <c r="M612" t="inlineStr">
        <is>
          <t>INR</t>
        </is>
      </c>
      <c r="N612" t="inlineStr">
        <is>
          <t>2024-10-13 17:27:49</t>
        </is>
      </c>
    </row>
    <row r="613">
      <c r="A613" t="inlineStr">
        <is>
          <t>TXN00022718</t>
        </is>
      </c>
      <c r="B613" t="inlineStr">
        <is>
          <t>MER00436</t>
        </is>
      </c>
      <c r="C613" s="8" t="n">
        <v>45583</v>
      </c>
      <c r="D613" t="inlineStr">
        <is>
          <t>ORD00022718</t>
        </is>
      </c>
      <c r="E613" t="n">
        <v>5864.52</v>
      </c>
      <c r="F613" t="n">
        <v>1.96</v>
      </c>
      <c r="G613" t="n">
        <v>114.94</v>
      </c>
      <c r="H613" t="inlineStr">
        <is>
          <t>UPI</t>
        </is>
      </c>
      <c r="I613" t="inlineStr">
        <is>
          <t>Success</t>
        </is>
      </c>
      <c r="J613" t="inlineStr">
        <is>
          <t>Delivered</t>
        </is>
      </c>
      <c r="K613" t="n">
        <v>0</v>
      </c>
      <c r="L613" t="n">
        <v>0</v>
      </c>
      <c r="M613" t="inlineStr">
        <is>
          <t>INR</t>
        </is>
      </c>
      <c r="N613" t="inlineStr">
        <is>
          <t>2024-10-18 19:45:23</t>
        </is>
      </c>
    </row>
    <row r="614">
      <c r="A614" t="inlineStr">
        <is>
          <t>TXN00025428</t>
        </is>
      </c>
      <c r="B614" t="inlineStr">
        <is>
          <t>MER00436</t>
        </is>
      </c>
      <c r="C614" s="8" t="n">
        <v>45590</v>
      </c>
      <c r="D614" t="inlineStr">
        <is>
          <t>ORD00025428</t>
        </is>
      </c>
      <c r="E614" t="n">
        <v>4593.82</v>
      </c>
      <c r="F614" t="n">
        <v>1.96</v>
      </c>
      <c r="G614" t="n">
        <v>90.04000000000001</v>
      </c>
      <c r="H614" t="inlineStr">
        <is>
          <t>UPI</t>
        </is>
      </c>
      <c r="I614" t="inlineStr">
        <is>
          <t>Success</t>
        </is>
      </c>
      <c r="J614" t="inlineStr">
        <is>
          <t>Returned</t>
        </is>
      </c>
      <c r="K614" t="n">
        <v>4593.82</v>
      </c>
      <c r="L614" t="n">
        <v>0</v>
      </c>
      <c r="M614" t="inlineStr">
        <is>
          <t>INR</t>
        </is>
      </c>
      <c r="N614" t="inlineStr">
        <is>
          <t>2024-10-25 06:46:07</t>
        </is>
      </c>
    </row>
    <row r="615">
      <c r="A615" t="inlineStr">
        <is>
          <t>TXN00025898</t>
        </is>
      </c>
      <c r="B615" t="inlineStr">
        <is>
          <t>MER00436</t>
        </is>
      </c>
      <c r="C615" s="8" t="n">
        <v>45591</v>
      </c>
      <c r="D615" t="inlineStr">
        <is>
          <t>ORD00025898</t>
        </is>
      </c>
      <c r="E615" t="n">
        <v>3527.45</v>
      </c>
      <c r="F615" t="n">
        <v>1.96</v>
      </c>
      <c r="G615" t="n">
        <v>69.14</v>
      </c>
      <c r="H615" t="inlineStr">
        <is>
          <t>Wallet</t>
        </is>
      </c>
      <c r="I615" t="inlineStr">
        <is>
          <t>Success</t>
        </is>
      </c>
      <c r="J615" t="inlineStr">
        <is>
          <t>Delivered</t>
        </is>
      </c>
      <c r="K615" t="n">
        <v>0</v>
      </c>
      <c r="L615" t="n">
        <v>0</v>
      </c>
      <c r="M615" t="inlineStr">
        <is>
          <t>INR</t>
        </is>
      </c>
      <c r="N615" t="inlineStr">
        <is>
          <t>2024-10-26 13:53:15</t>
        </is>
      </c>
    </row>
    <row r="616">
      <c r="A616" t="inlineStr">
        <is>
          <t>TXN00027376</t>
        </is>
      </c>
      <c r="B616" t="inlineStr">
        <is>
          <t>MER00436</t>
        </is>
      </c>
      <c r="C616" s="8" t="n">
        <v>45595</v>
      </c>
      <c r="D616" t="inlineStr">
        <is>
          <t>ORD00027376</t>
        </is>
      </c>
      <c r="E616" t="n">
        <v>2005.64</v>
      </c>
      <c r="F616" t="n">
        <v>1.96</v>
      </c>
      <c r="G616" t="n">
        <v>39.31</v>
      </c>
      <c r="H616" t="inlineStr">
        <is>
          <t>UPI</t>
        </is>
      </c>
      <c r="I616" t="inlineStr">
        <is>
          <t>Success</t>
        </is>
      </c>
      <c r="J616" t="inlineStr">
        <is>
          <t>Delivered</t>
        </is>
      </c>
      <c r="K616" t="n">
        <v>0</v>
      </c>
      <c r="L616" t="n">
        <v>216.68</v>
      </c>
      <c r="M616" t="inlineStr">
        <is>
          <t>INR</t>
        </is>
      </c>
      <c r="N616" t="inlineStr">
        <is>
          <t>2024-10-30 22:06:34</t>
        </is>
      </c>
    </row>
    <row r="617">
      <c r="A617" t="inlineStr">
        <is>
          <t>TXN00028246</t>
        </is>
      </c>
      <c r="B617" t="inlineStr">
        <is>
          <t>MER00436</t>
        </is>
      </c>
      <c r="C617" s="8" t="n">
        <v>45597</v>
      </c>
      <c r="D617" t="inlineStr">
        <is>
          <t>ORD00028246</t>
        </is>
      </c>
      <c r="E617" t="n">
        <v>2058.36</v>
      </c>
      <c r="F617" t="n">
        <v>1.96</v>
      </c>
      <c r="G617" t="n">
        <v>40.34</v>
      </c>
      <c r="H617" t="inlineStr">
        <is>
          <t>Card</t>
        </is>
      </c>
      <c r="I617" t="inlineStr">
        <is>
          <t>Success</t>
        </is>
      </c>
      <c r="J617" t="inlineStr">
        <is>
          <t>Delivered</t>
        </is>
      </c>
      <c r="K617" t="n">
        <v>0</v>
      </c>
      <c r="L617" t="n">
        <v>284</v>
      </c>
      <c r="M617" t="inlineStr">
        <is>
          <t>INR</t>
        </is>
      </c>
      <c r="N617" t="inlineStr">
        <is>
          <t>2024-11-01 04:20:34</t>
        </is>
      </c>
    </row>
    <row r="618">
      <c r="A618" t="inlineStr">
        <is>
          <t>TXN00028499</t>
        </is>
      </c>
      <c r="B618" t="inlineStr">
        <is>
          <t>MER00436</t>
        </is>
      </c>
      <c r="C618" s="8" t="n">
        <v>45598</v>
      </c>
      <c r="D618" t="inlineStr">
        <is>
          <t>ORD00028499</t>
        </is>
      </c>
      <c r="E618" t="n">
        <v>2395.23</v>
      </c>
      <c r="F618" t="n">
        <v>1.96</v>
      </c>
      <c r="G618" t="n">
        <v>46.95</v>
      </c>
      <c r="H618" t="inlineStr">
        <is>
          <t>Card</t>
        </is>
      </c>
      <c r="I618" t="inlineStr">
        <is>
          <t>Success</t>
        </is>
      </c>
      <c r="J618" t="inlineStr">
        <is>
          <t>Delivered</t>
        </is>
      </c>
      <c r="K618" t="n">
        <v>0</v>
      </c>
      <c r="L618" t="n">
        <v>0</v>
      </c>
      <c r="M618" t="inlineStr">
        <is>
          <t>INR</t>
        </is>
      </c>
      <c r="N618" t="inlineStr">
        <is>
          <t>2024-11-02 12:05:02</t>
        </is>
      </c>
    </row>
    <row r="619">
      <c r="A619" t="inlineStr">
        <is>
          <t>TXN00029065</t>
        </is>
      </c>
      <c r="B619" t="inlineStr">
        <is>
          <t>MER00436</t>
        </is>
      </c>
      <c r="C619" s="8" t="n">
        <v>45599</v>
      </c>
      <c r="D619" t="inlineStr">
        <is>
          <t>ORD00029065</t>
        </is>
      </c>
      <c r="E619" t="n">
        <v>6049.91</v>
      </c>
      <c r="F619" t="n">
        <v>2.8</v>
      </c>
      <c r="G619" t="n">
        <v>118.58</v>
      </c>
      <c r="H619" t="inlineStr">
        <is>
          <t>UPI</t>
        </is>
      </c>
      <c r="I619" t="inlineStr">
        <is>
          <t>Success</t>
        </is>
      </c>
      <c r="J619" t="inlineStr">
        <is>
          <t>Returned</t>
        </is>
      </c>
      <c r="K619" t="n">
        <v>2561.16</v>
      </c>
      <c r="L619" t="n">
        <v>0</v>
      </c>
      <c r="M619" t="inlineStr">
        <is>
          <t>INR</t>
        </is>
      </c>
      <c r="N619" t="inlineStr">
        <is>
          <t>2024-11-03 09:10:32</t>
        </is>
      </c>
    </row>
    <row r="620">
      <c r="A620" t="inlineStr">
        <is>
          <t>TXN00032673</t>
        </is>
      </c>
      <c r="B620" t="inlineStr">
        <is>
          <t>MER00436</t>
        </is>
      </c>
      <c r="C620" s="8" t="n">
        <v>45607</v>
      </c>
      <c r="D620" t="inlineStr">
        <is>
          <t>ORD00032673</t>
        </is>
      </c>
      <c r="E620" t="n">
        <v>6289.55</v>
      </c>
      <c r="F620" t="n">
        <v>1.96</v>
      </c>
      <c r="G620" t="n">
        <v>123.28</v>
      </c>
      <c r="H620" t="inlineStr">
        <is>
          <t>Card</t>
        </is>
      </c>
      <c r="I620" t="inlineStr">
        <is>
          <t>Success</t>
        </is>
      </c>
      <c r="J620" t="inlineStr">
        <is>
          <t>Delivered</t>
        </is>
      </c>
      <c r="K620" t="n">
        <v>0</v>
      </c>
      <c r="L620" t="n">
        <v>0</v>
      </c>
      <c r="M620" t="inlineStr">
        <is>
          <t>INR</t>
        </is>
      </c>
      <c r="N620" t="inlineStr">
        <is>
          <t>2024-11-11 14:33:20</t>
        </is>
      </c>
    </row>
    <row r="621">
      <c r="A621" t="inlineStr">
        <is>
          <t>TXN00033900</t>
        </is>
      </c>
      <c r="B621" t="inlineStr">
        <is>
          <t>MER00436</t>
        </is>
      </c>
      <c r="C621" s="8" t="n">
        <v>45609</v>
      </c>
      <c r="D621" t="inlineStr">
        <is>
          <t>ORD00033900</t>
        </is>
      </c>
      <c r="E621" t="n">
        <v>1793.47</v>
      </c>
      <c r="F621" t="n">
        <v>1.96</v>
      </c>
      <c r="G621" t="n">
        <v>35.15</v>
      </c>
      <c r="H621" t="inlineStr">
        <is>
          <t>NetBanking</t>
        </is>
      </c>
      <c r="I621" t="inlineStr">
        <is>
          <t>Success</t>
        </is>
      </c>
      <c r="J621" t="inlineStr">
        <is>
          <t>Delivered</t>
        </is>
      </c>
      <c r="K621" t="n">
        <v>0</v>
      </c>
      <c r="L621" t="n">
        <v>0</v>
      </c>
      <c r="M621" t="inlineStr">
        <is>
          <t>INR</t>
        </is>
      </c>
      <c r="N621" t="inlineStr">
        <is>
          <t>2024-11-13 14:42:06</t>
        </is>
      </c>
    </row>
    <row r="622">
      <c r="A622" t="inlineStr">
        <is>
          <t>TXN00037444</t>
        </is>
      </c>
      <c r="B622" t="inlineStr">
        <is>
          <t>MER00436</t>
        </is>
      </c>
      <c r="C622" s="8" t="n">
        <v>45617</v>
      </c>
      <c r="D622" t="inlineStr">
        <is>
          <t>ORD00037444</t>
        </is>
      </c>
      <c r="E622" t="n">
        <v>8514.879999999999</v>
      </c>
      <c r="F622" t="n">
        <v>1.96</v>
      </c>
      <c r="G622" t="n">
        <v>166.89</v>
      </c>
      <c r="H622" t="inlineStr">
        <is>
          <t>UPI</t>
        </is>
      </c>
      <c r="I622" t="inlineStr">
        <is>
          <t>Success</t>
        </is>
      </c>
      <c r="J622" t="inlineStr">
        <is>
          <t>Cancelled</t>
        </is>
      </c>
      <c r="K622" t="n">
        <v>7853.09</v>
      </c>
      <c r="L622" t="n">
        <v>0</v>
      </c>
      <c r="M622" t="inlineStr">
        <is>
          <t>INR</t>
        </is>
      </c>
      <c r="N622" t="inlineStr">
        <is>
          <t>2024-11-21 19:00:52</t>
        </is>
      </c>
    </row>
    <row r="623">
      <c r="A623" t="inlineStr">
        <is>
          <t>TXN00039652</t>
        </is>
      </c>
      <c r="B623" t="inlineStr">
        <is>
          <t>MER00436</t>
        </is>
      </c>
      <c r="C623" s="8" t="n">
        <v>45622</v>
      </c>
      <c r="D623" t="inlineStr">
        <is>
          <t>ORD00039652</t>
        </is>
      </c>
      <c r="E623" t="n">
        <v>1856.03</v>
      </c>
      <c r="F623" t="n">
        <v>1.96</v>
      </c>
      <c r="G623" t="n">
        <v>36.38</v>
      </c>
      <c r="H623" t="inlineStr">
        <is>
          <t>UPI</t>
        </is>
      </c>
      <c r="I623" t="inlineStr">
        <is>
          <t>Success</t>
        </is>
      </c>
      <c r="J623" t="inlineStr">
        <is>
          <t>Delivered</t>
        </is>
      </c>
      <c r="K623" t="n">
        <v>0</v>
      </c>
      <c r="L623" t="n">
        <v>0</v>
      </c>
      <c r="M623" t="inlineStr">
        <is>
          <t>INR</t>
        </is>
      </c>
      <c r="N623" t="inlineStr">
        <is>
          <t>2024-11-26 03:17:37</t>
        </is>
      </c>
    </row>
    <row r="624">
      <c r="A624" t="inlineStr">
        <is>
          <t>TXN00039711</t>
        </is>
      </c>
      <c r="B624" t="inlineStr">
        <is>
          <t>MER00436</t>
        </is>
      </c>
      <c r="C624" s="8" t="n">
        <v>45622</v>
      </c>
      <c r="D624" t="inlineStr">
        <is>
          <t>ORD00039711</t>
        </is>
      </c>
      <c r="E624" t="n">
        <v>1253.88</v>
      </c>
      <c r="F624" t="n">
        <v>1.96</v>
      </c>
      <c r="G624" t="n">
        <v>24.58</v>
      </c>
      <c r="H624" t="inlineStr">
        <is>
          <t>UPI</t>
        </is>
      </c>
      <c r="I624" t="inlineStr">
        <is>
          <t>Success</t>
        </is>
      </c>
      <c r="J624" t="inlineStr">
        <is>
          <t>Delivered</t>
        </is>
      </c>
      <c r="K624" t="n">
        <v>0</v>
      </c>
      <c r="L624" t="n">
        <v>0</v>
      </c>
      <c r="M624" t="inlineStr">
        <is>
          <t>INR</t>
        </is>
      </c>
      <c r="N624" t="inlineStr">
        <is>
          <t>2024-11-26 16:27:17</t>
        </is>
      </c>
    </row>
    <row r="625">
      <c r="A625" t="inlineStr">
        <is>
          <t>TXN00046412</t>
        </is>
      </c>
      <c r="B625" t="inlineStr">
        <is>
          <t>MER00436</t>
        </is>
      </c>
      <c r="C625" s="8" t="n">
        <v>45642</v>
      </c>
      <c r="D625" t="inlineStr">
        <is>
          <t>ORD00046412</t>
        </is>
      </c>
      <c r="E625" t="n">
        <v>5334.93</v>
      </c>
      <c r="F625" t="n">
        <v>1.96</v>
      </c>
      <c r="G625" t="n">
        <v>104.56</v>
      </c>
      <c r="H625" t="inlineStr">
        <is>
          <t>UPI</t>
        </is>
      </c>
      <c r="I625" t="inlineStr">
        <is>
          <t>Success</t>
        </is>
      </c>
      <c r="J625" t="inlineStr">
        <is>
          <t>Delivered</t>
        </is>
      </c>
      <c r="K625" t="n">
        <v>0</v>
      </c>
      <c r="L625" t="n">
        <v>0</v>
      </c>
      <c r="M625" t="inlineStr">
        <is>
          <t>INR</t>
        </is>
      </c>
      <c r="N625" t="inlineStr">
        <is>
          <t>2024-12-16 12:10:18</t>
        </is>
      </c>
    </row>
    <row r="626">
      <c r="A626" t="inlineStr">
        <is>
          <t>TXN00047931</t>
        </is>
      </c>
      <c r="B626" t="inlineStr">
        <is>
          <t>MER00436</t>
        </is>
      </c>
      <c r="C626" s="8" t="n">
        <v>45647</v>
      </c>
      <c r="D626" t="inlineStr">
        <is>
          <t>ORD00047931</t>
        </is>
      </c>
      <c r="E626" t="n">
        <v>4215.46</v>
      </c>
      <c r="F626" t="n">
        <v>1.96</v>
      </c>
      <c r="G626" t="n">
        <v>82.62</v>
      </c>
      <c r="H626" t="inlineStr">
        <is>
          <t>NetBanking</t>
        </is>
      </c>
      <c r="I626" t="inlineStr">
        <is>
          <t>Success</t>
        </is>
      </c>
      <c r="J626" t="inlineStr">
        <is>
          <t>Delivered</t>
        </is>
      </c>
      <c r="K626" t="n">
        <v>0</v>
      </c>
      <c r="L626" t="n">
        <v>0</v>
      </c>
      <c r="M626" t="inlineStr">
        <is>
          <t>INR</t>
        </is>
      </c>
      <c r="N626" t="inlineStr">
        <is>
          <t>2024-12-21 00:08:03</t>
        </is>
      </c>
    </row>
    <row r="627">
      <c r="A627" t="inlineStr">
        <is>
          <t>TXN00048646</t>
        </is>
      </c>
      <c r="B627" t="inlineStr">
        <is>
          <t>MER00436</t>
        </is>
      </c>
      <c r="C627" s="8" t="n">
        <v>45649</v>
      </c>
      <c r="D627" t="inlineStr">
        <is>
          <t>ORD00048646</t>
        </is>
      </c>
      <c r="E627" t="n">
        <v>3208.85</v>
      </c>
      <c r="F627" t="n">
        <v>1.96</v>
      </c>
      <c r="G627" t="n">
        <v>62.89</v>
      </c>
      <c r="H627" t="inlineStr">
        <is>
          <t>UPI</t>
        </is>
      </c>
      <c r="I627" t="inlineStr">
        <is>
          <t>Success</t>
        </is>
      </c>
      <c r="J627" t="inlineStr">
        <is>
          <t>Cancelled</t>
        </is>
      </c>
      <c r="K627" t="n">
        <v>3128.55</v>
      </c>
      <c r="L627" t="n">
        <v>0</v>
      </c>
      <c r="M627" t="inlineStr">
        <is>
          <t>INR</t>
        </is>
      </c>
      <c r="N627" t="inlineStr">
        <is>
          <t>2024-12-23 09:17:12</t>
        </is>
      </c>
    </row>
    <row r="628">
      <c r="A628" t="inlineStr">
        <is>
          <t>TXN00049024</t>
        </is>
      </c>
      <c r="B628" t="inlineStr">
        <is>
          <t>MER00436</t>
        </is>
      </c>
      <c r="C628" s="8" t="n">
        <v>45650</v>
      </c>
      <c r="D628" t="inlineStr">
        <is>
          <t>ORD00049024</t>
        </is>
      </c>
      <c r="E628" t="n">
        <v>1470.46</v>
      </c>
      <c r="F628" t="n">
        <v>1.96</v>
      </c>
      <c r="G628" t="n">
        <v>28.82</v>
      </c>
      <c r="H628" t="inlineStr">
        <is>
          <t>NetBanking</t>
        </is>
      </c>
      <c r="I628" t="inlineStr">
        <is>
          <t>Success</t>
        </is>
      </c>
      <c r="J628" t="inlineStr">
        <is>
          <t>Delivered</t>
        </is>
      </c>
      <c r="K628" t="n">
        <v>0</v>
      </c>
      <c r="L628" t="n">
        <v>0</v>
      </c>
      <c r="M628" t="inlineStr">
        <is>
          <t>INR</t>
        </is>
      </c>
      <c r="N628" t="inlineStr">
        <is>
          <t>2024-12-24 13:26:16</t>
        </is>
      </c>
    </row>
    <row r="629">
      <c r="A629" t="inlineStr">
        <is>
          <t>TXN00057968</t>
        </is>
      </c>
      <c r="B629" t="inlineStr">
        <is>
          <t>MER00436</t>
        </is>
      </c>
      <c r="C629" s="8" t="n">
        <v>45675</v>
      </c>
      <c r="D629" t="inlineStr">
        <is>
          <t>ORD00057968</t>
        </is>
      </c>
      <c r="E629" t="n">
        <v>2401.02</v>
      </c>
      <c r="F629" t="n">
        <v>1.96</v>
      </c>
      <c r="G629" t="n">
        <v>47.06</v>
      </c>
      <c r="H629" t="inlineStr">
        <is>
          <t>UPI</t>
        </is>
      </c>
      <c r="I629" t="inlineStr">
        <is>
          <t>Success</t>
        </is>
      </c>
      <c r="J629" t="inlineStr">
        <is>
          <t>Returned</t>
        </is>
      </c>
      <c r="K629" t="n">
        <v>2401.02</v>
      </c>
      <c r="L629" t="n">
        <v>0</v>
      </c>
      <c r="M629" t="inlineStr">
        <is>
          <t>INR</t>
        </is>
      </c>
      <c r="N629" t="inlineStr">
        <is>
          <t>2025-01-18 01:15:27</t>
        </is>
      </c>
    </row>
    <row r="630">
      <c r="A630" t="inlineStr">
        <is>
          <t>TXN00060514</t>
        </is>
      </c>
      <c r="B630" t="inlineStr">
        <is>
          <t>MER00436</t>
        </is>
      </c>
      <c r="C630" s="8" t="n">
        <v>45682</v>
      </c>
      <c r="D630" t="inlineStr">
        <is>
          <t>ORD00060514</t>
        </is>
      </c>
      <c r="E630" t="n">
        <v>3794.54</v>
      </c>
      <c r="F630" t="n">
        <v>1.96</v>
      </c>
      <c r="G630" t="n">
        <v>74.37</v>
      </c>
      <c r="H630" t="inlineStr">
        <is>
          <t>UPI</t>
        </is>
      </c>
      <c r="I630" t="inlineStr">
        <is>
          <t>Failed</t>
        </is>
      </c>
      <c r="J630" t="inlineStr">
        <is>
          <t>Cancelled</t>
        </is>
      </c>
      <c r="K630" t="n">
        <v>0</v>
      </c>
      <c r="L630" t="n">
        <v>0</v>
      </c>
      <c r="M630" t="inlineStr">
        <is>
          <t>INR</t>
        </is>
      </c>
      <c r="N630" t="inlineStr">
        <is>
          <t>2025-01-25 03:19:43</t>
        </is>
      </c>
    </row>
    <row r="631">
      <c r="A631" t="inlineStr">
        <is>
          <t>TXN00060707</t>
        </is>
      </c>
      <c r="B631" t="inlineStr">
        <is>
          <t>MER00436</t>
        </is>
      </c>
      <c r="C631" s="8" t="n">
        <v>45683</v>
      </c>
      <c r="D631" t="inlineStr">
        <is>
          <t>ORD00060707</t>
        </is>
      </c>
      <c r="E631" t="n">
        <v>3500.53</v>
      </c>
      <c r="F631" t="n">
        <v>1.96</v>
      </c>
      <c r="G631" t="n">
        <v>68.61</v>
      </c>
      <c r="H631" t="inlineStr">
        <is>
          <t>NetBanking</t>
        </is>
      </c>
      <c r="I631" t="inlineStr">
        <is>
          <t>Success</t>
        </is>
      </c>
      <c r="J631" t="inlineStr">
        <is>
          <t>Delivered</t>
        </is>
      </c>
      <c r="K631" t="n">
        <v>0</v>
      </c>
      <c r="L631" t="n">
        <v>0</v>
      </c>
      <c r="M631" t="inlineStr">
        <is>
          <t>INR</t>
        </is>
      </c>
      <c r="N631" t="inlineStr">
        <is>
          <t>2025-01-26 07:53:22</t>
        </is>
      </c>
    </row>
    <row r="632">
      <c r="A632" t="inlineStr">
        <is>
          <t>TXN00063164</t>
        </is>
      </c>
      <c r="B632" t="inlineStr">
        <is>
          <t>MER00436</t>
        </is>
      </c>
      <c r="C632" s="8" t="n">
        <v>45689</v>
      </c>
      <c r="D632" t="inlineStr">
        <is>
          <t>ORD00063164</t>
        </is>
      </c>
      <c r="E632" t="n">
        <v>7557.28</v>
      </c>
      <c r="F632" t="n">
        <v>1.96</v>
      </c>
      <c r="G632" t="n">
        <v>148.12</v>
      </c>
      <c r="H632" t="inlineStr">
        <is>
          <t>UPI</t>
        </is>
      </c>
      <c r="I632" t="inlineStr">
        <is>
          <t>Success</t>
        </is>
      </c>
      <c r="J632" t="inlineStr">
        <is>
          <t>Delivered</t>
        </is>
      </c>
      <c r="K632" t="n">
        <v>0</v>
      </c>
      <c r="L632" t="n">
        <v>974.58</v>
      </c>
      <c r="M632" t="inlineStr">
        <is>
          <t>INR</t>
        </is>
      </c>
      <c r="N632" t="inlineStr">
        <is>
          <t>2025-02-01 17:07:54</t>
        </is>
      </c>
    </row>
    <row r="633">
      <c r="A633" t="inlineStr">
        <is>
          <t>TXN00064715</t>
        </is>
      </c>
      <c r="B633" t="inlineStr">
        <is>
          <t>MER00436</t>
        </is>
      </c>
      <c r="C633" s="8" t="n">
        <v>45694</v>
      </c>
      <c r="D633" t="inlineStr">
        <is>
          <t>ORD00064715</t>
        </is>
      </c>
      <c r="E633" t="n">
        <v>2885.7</v>
      </c>
      <c r="F633" t="n">
        <v>1.96</v>
      </c>
      <c r="G633" t="n">
        <v>56.56</v>
      </c>
      <c r="H633" t="inlineStr">
        <is>
          <t>Card</t>
        </is>
      </c>
      <c r="I633" t="inlineStr">
        <is>
          <t>Success</t>
        </is>
      </c>
      <c r="J633" t="inlineStr">
        <is>
          <t>Returned</t>
        </is>
      </c>
      <c r="K633" t="n">
        <v>2885.7</v>
      </c>
      <c r="L633" t="n">
        <v>0</v>
      </c>
      <c r="M633" t="inlineStr">
        <is>
          <t>INR</t>
        </is>
      </c>
      <c r="N633" t="inlineStr">
        <is>
          <t>2025-02-06 19:56:49</t>
        </is>
      </c>
    </row>
    <row r="634">
      <c r="A634" t="inlineStr">
        <is>
          <t>TXN00066216</t>
        </is>
      </c>
      <c r="B634" t="inlineStr">
        <is>
          <t>MER00436</t>
        </is>
      </c>
      <c r="C634" s="8" t="n">
        <v>45698</v>
      </c>
      <c r="D634" t="inlineStr">
        <is>
          <t>ORD00066216</t>
        </is>
      </c>
      <c r="E634" t="n">
        <v>6701.99</v>
      </c>
      <c r="F634" t="n">
        <v>1.96</v>
      </c>
      <c r="G634" t="n">
        <v>131.36</v>
      </c>
      <c r="H634" t="inlineStr">
        <is>
          <t>UPI</t>
        </is>
      </c>
      <c r="I634" t="inlineStr">
        <is>
          <t>Success</t>
        </is>
      </c>
      <c r="J634" t="inlineStr">
        <is>
          <t>Delivered</t>
        </is>
      </c>
      <c r="K634" t="n">
        <v>0</v>
      </c>
      <c r="L634" t="n">
        <v>523.87</v>
      </c>
      <c r="M634" t="inlineStr">
        <is>
          <t>INR</t>
        </is>
      </c>
      <c r="N634" t="inlineStr">
        <is>
          <t>2025-02-10 06:48:55</t>
        </is>
      </c>
    </row>
    <row r="635">
      <c r="A635" t="inlineStr">
        <is>
          <t>TXN00066946</t>
        </is>
      </c>
      <c r="B635" t="inlineStr">
        <is>
          <t>MER00436</t>
        </is>
      </c>
      <c r="C635" s="8" t="n">
        <v>45700</v>
      </c>
      <c r="D635" t="inlineStr">
        <is>
          <t>ORD00066946</t>
        </is>
      </c>
      <c r="E635" t="n">
        <v>1619.23</v>
      </c>
      <c r="F635" t="n">
        <v>1.96</v>
      </c>
      <c r="G635" t="n">
        <v>31.74</v>
      </c>
      <c r="H635" t="inlineStr">
        <is>
          <t>UPI</t>
        </is>
      </c>
      <c r="I635" t="inlineStr">
        <is>
          <t>Success</t>
        </is>
      </c>
      <c r="J635" t="inlineStr">
        <is>
          <t>Delivered</t>
        </is>
      </c>
      <c r="K635" t="n">
        <v>0</v>
      </c>
      <c r="L635" t="n">
        <v>0</v>
      </c>
      <c r="M635" t="inlineStr">
        <is>
          <t>INR</t>
        </is>
      </c>
      <c r="N635" t="inlineStr">
        <is>
          <t>2025-02-12 20:28:23</t>
        </is>
      </c>
    </row>
    <row r="636">
      <c r="A636" t="inlineStr">
        <is>
          <t>TXN00067493</t>
        </is>
      </c>
      <c r="B636" t="inlineStr">
        <is>
          <t>MER00436</t>
        </is>
      </c>
      <c r="C636" s="8" t="n">
        <v>45702</v>
      </c>
      <c r="D636" t="inlineStr">
        <is>
          <t>ORD00067493</t>
        </is>
      </c>
      <c r="E636" t="n">
        <v>1485.75</v>
      </c>
      <c r="F636" t="n">
        <v>1.96</v>
      </c>
      <c r="G636" t="n">
        <v>29.12</v>
      </c>
      <c r="H636" t="inlineStr">
        <is>
          <t>COD</t>
        </is>
      </c>
      <c r="I636" t="inlineStr">
        <is>
          <t>Success</t>
        </is>
      </c>
      <c r="J636" t="inlineStr">
        <is>
          <t>Delivered</t>
        </is>
      </c>
      <c r="K636" t="n">
        <v>0</v>
      </c>
      <c r="L636" t="n">
        <v>0</v>
      </c>
      <c r="M636" t="inlineStr">
        <is>
          <t>INR</t>
        </is>
      </c>
      <c r="N636" t="inlineStr">
        <is>
          <t>2025-02-14 01:25:08</t>
        </is>
      </c>
    </row>
    <row r="637">
      <c r="A637" t="inlineStr">
        <is>
          <t>TXN00071148</t>
        </is>
      </c>
      <c r="B637" t="inlineStr">
        <is>
          <t>MER00436</t>
        </is>
      </c>
      <c r="C637" s="8" t="n">
        <v>45713</v>
      </c>
      <c r="D637" t="inlineStr">
        <is>
          <t>ORD00071148</t>
        </is>
      </c>
      <c r="E637" t="n">
        <v>4821.43</v>
      </c>
      <c r="F637" t="n">
        <v>1.96</v>
      </c>
      <c r="G637" t="n">
        <v>94.5</v>
      </c>
      <c r="H637" t="inlineStr">
        <is>
          <t>UPI</t>
        </is>
      </c>
      <c r="I637" t="inlineStr">
        <is>
          <t>Success</t>
        </is>
      </c>
      <c r="J637" t="inlineStr">
        <is>
          <t>Delivered</t>
        </is>
      </c>
      <c r="K637" t="n">
        <v>0</v>
      </c>
      <c r="L637" t="n">
        <v>0</v>
      </c>
      <c r="M637" t="inlineStr">
        <is>
          <t>INR</t>
        </is>
      </c>
      <c r="N637" t="inlineStr">
        <is>
          <t>2025-02-25 21:52:48</t>
        </is>
      </c>
    </row>
    <row r="638">
      <c r="A638" t="inlineStr">
        <is>
          <t>TXN00075193</t>
        </is>
      </c>
      <c r="B638" t="inlineStr">
        <is>
          <t>MER00436</t>
        </is>
      </c>
      <c r="C638" s="8" t="n">
        <v>45725</v>
      </c>
      <c r="D638" t="inlineStr">
        <is>
          <t>ORD00075193</t>
        </is>
      </c>
      <c r="E638" t="n">
        <v>4691.22</v>
      </c>
      <c r="F638" t="n">
        <v>1.96</v>
      </c>
      <c r="G638" t="n">
        <v>91.95</v>
      </c>
      <c r="H638" t="inlineStr">
        <is>
          <t>UPI</t>
        </is>
      </c>
      <c r="I638" t="inlineStr">
        <is>
          <t>Success</t>
        </is>
      </c>
      <c r="J638" t="inlineStr">
        <is>
          <t>Delivered</t>
        </is>
      </c>
      <c r="K638" t="n">
        <v>0</v>
      </c>
      <c r="L638" t="n">
        <v>815.83</v>
      </c>
      <c r="M638" t="inlineStr">
        <is>
          <t>INR</t>
        </is>
      </c>
      <c r="N638" t="inlineStr">
        <is>
          <t>2025-03-09 14:59:35</t>
        </is>
      </c>
    </row>
    <row r="639">
      <c r="A639" t="inlineStr">
        <is>
          <t>TXN00076834</t>
        </is>
      </c>
      <c r="B639" t="inlineStr">
        <is>
          <t>MER00436</t>
        </is>
      </c>
      <c r="C639" s="8" t="n">
        <v>45731</v>
      </c>
      <c r="D639" t="inlineStr">
        <is>
          <t>ORD00076834</t>
        </is>
      </c>
      <c r="E639" t="n">
        <v>6736.03</v>
      </c>
      <c r="F639" t="n">
        <v>1.96</v>
      </c>
      <c r="G639" t="n">
        <v>132.03</v>
      </c>
      <c r="H639" t="inlineStr">
        <is>
          <t>UPI</t>
        </is>
      </c>
      <c r="I639" t="inlineStr">
        <is>
          <t>Success</t>
        </is>
      </c>
      <c r="J639" t="inlineStr">
        <is>
          <t>Delivered</t>
        </is>
      </c>
      <c r="K639" t="n">
        <v>0</v>
      </c>
      <c r="L639" t="n">
        <v>0</v>
      </c>
      <c r="M639" t="inlineStr">
        <is>
          <t>INR</t>
        </is>
      </c>
      <c r="N639" t="inlineStr">
        <is>
          <t>2025-03-15 22:31:46</t>
        </is>
      </c>
    </row>
    <row r="640">
      <c r="A640" t="inlineStr">
        <is>
          <t>TXN00079740</t>
        </is>
      </c>
      <c r="B640" t="inlineStr">
        <is>
          <t>MER00436</t>
        </is>
      </c>
      <c r="C640" s="8" t="n">
        <v>45740</v>
      </c>
      <c r="D640" t="inlineStr">
        <is>
          <t>ORD00079740</t>
        </is>
      </c>
      <c r="E640" t="n">
        <v>9773.129999999999</v>
      </c>
      <c r="F640" t="n">
        <v>2.3</v>
      </c>
      <c r="G640" t="n">
        <v>191.55</v>
      </c>
      <c r="H640" t="inlineStr">
        <is>
          <t>COD</t>
        </is>
      </c>
      <c r="I640" t="inlineStr">
        <is>
          <t>Success</t>
        </is>
      </c>
      <c r="J640" t="inlineStr">
        <is>
          <t>Delivered</t>
        </is>
      </c>
      <c r="K640" t="n">
        <v>0</v>
      </c>
      <c r="L640" t="n">
        <v>0</v>
      </c>
      <c r="M640" t="inlineStr">
        <is>
          <t>INR</t>
        </is>
      </c>
      <c r="N640" t="inlineStr">
        <is>
          <t>2025-03-24 23:38:06</t>
        </is>
      </c>
    </row>
    <row r="641">
      <c r="A641" t="inlineStr">
        <is>
          <t>TXN00079947</t>
        </is>
      </c>
      <c r="B641" t="inlineStr">
        <is>
          <t>MER00436</t>
        </is>
      </c>
      <c r="C641" s="8" t="n">
        <v>45741</v>
      </c>
      <c r="D641" t="inlineStr">
        <is>
          <t>ORD00079947</t>
        </is>
      </c>
      <c r="E641" t="n">
        <v>7466.27</v>
      </c>
      <c r="F641" t="n">
        <v>1.96</v>
      </c>
      <c r="G641" t="n">
        <v>146.34</v>
      </c>
      <c r="H641" t="inlineStr">
        <is>
          <t>UPI</t>
        </is>
      </c>
      <c r="I641" t="inlineStr">
        <is>
          <t>Success</t>
        </is>
      </c>
      <c r="J641" t="inlineStr">
        <is>
          <t>Delivered</t>
        </is>
      </c>
      <c r="K641" t="n">
        <v>0</v>
      </c>
      <c r="L641" t="n">
        <v>0</v>
      </c>
      <c r="M641" t="inlineStr">
        <is>
          <t>INR</t>
        </is>
      </c>
      <c r="N641" t="inlineStr">
        <is>
          <t>2025-03-25 11:56:34</t>
        </is>
      </c>
    </row>
    <row r="642">
      <c r="A642" t="inlineStr">
        <is>
          <t>TXN00080506</t>
        </is>
      </c>
      <c r="B642" t="inlineStr">
        <is>
          <t>MER00436</t>
        </is>
      </c>
      <c r="C642" s="8" t="n">
        <v>45742</v>
      </c>
      <c r="D642" t="inlineStr">
        <is>
          <t>ORD00080506</t>
        </is>
      </c>
      <c r="E642" t="n">
        <v>2152.26</v>
      </c>
      <c r="F642" t="n">
        <v>1.96</v>
      </c>
      <c r="G642" t="n">
        <v>42.18</v>
      </c>
      <c r="H642" t="inlineStr">
        <is>
          <t>UPI</t>
        </is>
      </c>
      <c r="I642" t="inlineStr">
        <is>
          <t>Success</t>
        </is>
      </c>
      <c r="J642" t="inlineStr">
        <is>
          <t>Delivered</t>
        </is>
      </c>
      <c r="K642" t="n">
        <v>0</v>
      </c>
      <c r="L642" t="n">
        <v>0</v>
      </c>
      <c r="M642" t="inlineStr">
        <is>
          <t>INR</t>
        </is>
      </c>
      <c r="N642" t="inlineStr">
        <is>
          <t>2025-03-26 22:59:03</t>
        </is>
      </c>
    </row>
    <row r="643">
      <c r="A643" t="inlineStr">
        <is>
          <t>TXN00080486</t>
        </is>
      </c>
      <c r="B643" t="inlineStr">
        <is>
          <t>MER00436</t>
        </is>
      </c>
      <c r="C643" s="8" t="n">
        <v>45742</v>
      </c>
      <c r="D643" t="inlineStr">
        <is>
          <t>ORD00080486</t>
        </is>
      </c>
      <c r="E643" t="n">
        <v>2021.3</v>
      </c>
      <c r="F643" t="n">
        <v>1.96</v>
      </c>
      <c r="G643" t="n">
        <v>39.62</v>
      </c>
      <c r="H643" t="inlineStr">
        <is>
          <t>Card</t>
        </is>
      </c>
      <c r="I643" t="inlineStr">
        <is>
          <t>Success</t>
        </is>
      </c>
      <c r="J643" t="inlineStr">
        <is>
          <t>Delivered</t>
        </is>
      </c>
      <c r="K643" t="n">
        <v>0</v>
      </c>
      <c r="L643" t="n">
        <v>0</v>
      </c>
      <c r="M643" t="inlineStr">
        <is>
          <t>INR</t>
        </is>
      </c>
      <c r="N643" t="inlineStr">
        <is>
          <t>2025-03-26 16:39:52</t>
        </is>
      </c>
    </row>
    <row r="644">
      <c r="A644" t="inlineStr">
        <is>
          <t>TXN00082328</t>
        </is>
      </c>
      <c r="B644" t="inlineStr">
        <is>
          <t>MER00436</t>
        </is>
      </c>
      <c r="C644" s="8" t="n">
        <v>45748</v>
      </c>
      <c r="D644" t="inlineStr">
        <is>
          <t>ORD00082328</t>
        </is>
      </c>
      <c r="E644" t="n">
        <v>1469.35</v>
      </c>
      <c r="F644" t="n">
        <v>1.96</v>
      </c>
      <c r="G644" t="n">
        <v>28.8</v>
      </c>
      <c r="H644" t="inlineStr">
        <is>
          <t>Card</t>
        </is>
      </c>
      <c r="I644" t="inlineStr">
        <is>
          <t>Success</t>
        </is>
      </c>
      <c r="J644" t="inlineStr">
        <is>
          <t>Delivered</t>
        </is>
      </c>
      <c r="K644" t="n">
        <v>0</v>
      </c>
      <c r="L644" t="n">
        <v>0</v>
      </c>
      <c r="M644" t="inlineStr">
        <is>
          <t>INR</t>
        </is>
      </c>
      <c r="N644" t="inlineStr">
        <is>
          <t>2025-04-01 02:02:14</t>
        </is>
      </c>
    </row>
    <row r="645">
      <c r="A645" t="inlineStr">
        <is>
          <t>TXN00083792</t>
        </is>
      </c>
      <c r="B645" t="inlineStr">
        <is>
          <t>MER00436</t>
        </is>
      </c>
      <c r="C645" s="8" t="n">
        <v>45752</v>
      </c>
      <c r="D645" t="inlineStr">
        <is>
          <t>ORD00083792</t>
        </is>
      </c>
      <c r="E645" t="n">
        <v>4600.15</v>
      </c>
      <c r="F645" t="n">
        <v>1.96</v>
      </c>
      <c r="G645" t="n">
        <v>90.16</v>
      </c>
      <c r="H645" t="inlineStr">
        <is>
          <t>UPI</t>
        </is>
      </c>
      <c r="I645" t="inlineStr">
        <is>
          <t>Pending</t>
        </is>
      </c>
      <c r="J645" t="inlineStr">
        <is>
          <t>Processing</t>
        </is>
      </c>
      <c r="K645" t="n">
        <v>0</v>
      </c>
      <c r="L645" t="n">
        <v>0</v>
      </c>
      <c r="M645" t="inlineStr">
        <is>
          <t>INR</t>
        </is>
      </c>
      <c r="N645" t="inlineStr">
        <is>
          <t>2025-04-05 03:54:10</t>
        </is>
      </c>
    </row>
    <row r="646">
      <c r="A646" t="inlineStr">
        <is>
          <t>TXN00083785</t>
        </is>
      </c>
      <c r="B646" t="inlineStr">
        <is>
          <t>MER00436</t>
        </is>
      </c>
      <c r="C646" s="8" t="n">
        <v>45752</v>
      </c>
      <c r="D646" t="inlineStr">
        <is>
          <t>ORD00083785</t>
        </is>
      </c>
      <c r="E646" t="n">
        <v>3047.52</v>
      </c>
      <c r="F646" t="n">
        <v>1.96</v>
      </c>
      <c r="G646" t="n">
        <v>59.73</v>
      </c>
      <c r="H646" t="inlineStr">
        <is>
          <t>UPI</t>
        </is>
      </c>
      <c r="I646" t="inlineStr">
        <is>
          <t>Success</t>
        </is>
      </c>
      <c r="J646" t="inlineStr">
        <is>
          <t>Delivered</t>
        </is>
      </c>
      <c r="K646" t="n">
        <v>0</v>
      </c>
      <c r="L646" t="n">
        <v>0</v>
      </c>
      <c r="M646" t="inlineStr">
        <is>
          <t>INR</t>
        </is>
      </c>
      <c r="N646" t="inlineStr">
        <is>
          <t>2025-04-05 23:08:50</t>
        </is>
      </c>
    </row>
    <row r="647">
      <c r="A647" t="inlineStr">
        <is>
          <t>TXN00084499</t>
        </is>
      </c>
      <c r="B647" t="inlineStr">
        <is>
          <t>MER00436</t>
        </is>
      </c>
      <c r="C647" s="8" t="n">
        <v>45755</v>
      </c>
      <c r="D647" t="inlineStr">
        <is>
          <t>ORD00084499</t>
        </is>
      </c>
      <c r="E647" t="n">
        <v>3097.18</v>
      </c>
      <c r="F647" t="n">
        <v>2.6</v>
      </c>
      <c r="G647" t="n">
        <v>60.7</v>
      </c>
      <c r="H647" t="inlineStr">
        <is>
          <t>UPI</t>
        </is>
      </c>
      <c r="I647" t="inlineStr">
        <is>
          <t>Success</t>
        </is>
      </c>
      <c r="J647" t="inlineStr">
        <is>
          <t>Delivered</t>
        </is>
      </c>
      <c r="K647" t="n">
        <v>0</v>
      </c>
      <c r="L647" t="n">
        <v>0</v>
      </c>
      <c r="M647" t="inlineStr">
        <is>
          <t>INR</t>
        </is>
      </c>
      <c r="N647" t="inlineStr">
        <is>
          <t>2025-04-08 19:19:09</t>
        </is>
      </c>
    </row>
    <row r="648">
      <c r="A648" t="inlineStr">
        <is>
          <t>TXN00085317</t>
        </is>
      </c>
      <c r="B648" t="inlineStr">
        <is>
          <t>MER00436</t>
        </is>
      </c>
      <c r="C648" s="8" t="n">
        <v>45757</v>
      </c>
      <c r="D648" t="inlineStr">
        <is>
          <t>ORD00085317</t>
        </is>
      </c>
      <c r="E648" t="n">
        <v>5298.99</v>
      </c>
      <c r="F648" t="n">
        <v>1.96</v>
      </c>
      <c r="G648" t="n">
        <v>103.86</v>
      </c>
      <c r="H648" t="inlineStr">
        <is>
          <t>Card</t>
        </is>
      </c>
      <c r="I648" t="inlineStr">
        <is>
          <t>Success</t>
        </is>
      </c>
      <c r="J648" t="inlineStr">
        <is>
          <t>Delivered</t>
        </is>
      </c>
      <c r="K648" t="n">
        <v>0</v>
      </c>
      <c r="L648" t="n">
        <v>0</v>
      </c>
      <c r="M648" t="inlineStr">
        <is>
          <t>INR</t>
        </is>
      </c>
      <c r="N648" t="inlineStr">
        <is>
          <t>2025-04-10 09:08:43</t>
        </is>
      </c>
    </row>
    <row r="649">
      <c r="A649" t="inlineStr">
        <is>
          <t>TXN00085528</t>
        </is>
      </c>
      <c r="B649" t="inlineStr">
        <is>
          <t>MER00436</t>
        </is>
      </c>
      <c r="C649" s="8" t="n">
        <v>45758</v>
      </c>
      <c r="D649" t="inlineStr">
        <is>
          <t>ORD00085528</t>
        </is>
      </c>
      <c r="E649" t="n">
        <v>2522.49</v>
      </c>
      <c r="F649" t="n">
        <v>1.96</v>
      </c>
      <c r="G649" t="n">
        <v>49.44</v>
      </c>
      <c r="H649" t="inlineStr">
        <is>
          <t>COD</t>
        </is>
      </c>
      <c r="I649" t="inlineStr">
        <is>
          <t>Success</t>
        </is>
      </c>
      <c r="J649" t="inlineStr">
        <is>
          <t>Returned</t>
        </is>
      </c>
      <c r="K649" t="n">
        <v>2522.49</v>
      </c>
      <c r="L649" t="n">
        <v>0</v>
      </c>
      <c r="M649" t="inlineStr">
        <is>
          <t>INR</t>
        </is>
      </c>
      <c r="N649" t="inlineStr">
        <is>
          <t>2025-04-11 16:39:47</t>
        </is>
      </c>
    </row>
    <row r="650">
      <c r="A650" t="inlineStr">
        <is>
          <t>TXN00089849</t>
        </is>
      </c>
      <c r="B650" t="inlineStr">
        <is>
          <t>MER00436</t>
        </is>
      </c>
      <c r="C650" s="8" t="n">
        <v>45771</v>
      </c>
      <c r="D650" t="inlineStr">
        <is>
          <t>ORD00089849</t>
        </is>
      </c>
      <c r="E650" t="n">
        <v>2381.49</v>
      </c>
      <c r="F650" t="n">
        <v>1.96</v>
      </c>
      <c r="G650" t="n">
        <v>46.68</v>
      </c>
      <c r="H650" t="inlineStr">
        <is>
          <t>UPI</t>
        </is>
      </c>
      <c r="I650" t="inlineStr">
        <is>
          <t>Success</t>
        </is>
      </c>
      <c r="J650" t="inlineStr">
        <is>
          <t>Delivered</t>
        </is>
      </c>
      <c r="K650" t="n">
        <v>0</v>
      </c>
      <c r="L650" t="n">
        <v>0</v>
      </c>
      <c r="M650" t="inlineStr">
        <is>
          <t>INR</t>
        </is>
      </c>
      <c r="N650" t="inlineStr">
        <is>
          <t>2025-04-24 02:33:24</t>
        </is>
      </c>
    </row>
    <row r="651">
      <c r="A651" t="inlineStr">
        <is>
          <t>TXN00091883</t>
        </is>
      </c>
      <c r="B651" t="inlineStr">
        <is>
          <t>MER00436</t>
        </is>
      </c>
      <c r="C651" s="8" t="n">
        <v>45777</v>
      </c>
      <c r="D651" t="inlineStr">
        <is>
          <t>ORD00091883</t>
        </is>
      </c>
      <c r="E651" t="n">
        <v>5354.79</v>
      </c>
      <c r="F651" t="n">
        <v>1.96</v>
      </c>
      <c r="G651" t="n">
        <v>104.95</v>
      </c>
      <c r="H651" t="inlineStr">
        <is>
          <t>UPI</t>
        </is>
      </c>
      <c r="I651" t="inlineStr">
        <is>
          <t>Success</t>
        </is>
      </c>
      <c r="J651" t="inlineStr">
        <is>
          <t>Delivered</t>
        </is>
      </c>
      <c r="K651" t="n">
        <v>0</v>
      </c>
      <c r="L651" t="n">
        <v>884.22</v>
      </c>
      <c r="M651" t="inlineStr">
        <is>
          <t>INR</t>
        </is>
      </c>
      <c r="N651" t="inlineStr">
        <is>
          <t>2025-04-30 06:47:22</t>
        </is>
      </c>
    </row>
    <row r="652">
      <c r="A652" t="inlineStr">
        <is>
          <t>TXN00093258</t>
        </is>
      </c>
      <c r="B652" t="inlineStr">
        <is>
          <t>MER00436</t>
        </is>
      </c>
      <c r="C652" s="8" t="n">
        <v>45781</v>
      </c>
      <c r="D652" t="inlineStr">
        <is>
          <t>ORD00093258</t>
        </is>
      </c>
      <c r="E652" t="n">
        <v>4461.29</v>
      </c>
      <c r="F652" t="n">
        <v>1.96</v>
      </c>
      <c r="G652" t="n">
        <v>87.44</v>
      </c>
      <c r="H652" t="inlineStr">
        <is>
          <t>UPI</t>
        </is>
      </c>
      <c r="I652" t="inlineStr">
        <is>
          <t>Success</t>
        </is>
      </c>
      <c r="J652" t="inlineStr">
        <is>
          <t>Delivered</t>
        </is>
      </c>
      <c r="K652" t="n">
        <v>0</v>
      </c>
      <c r="L652" t="n">
        <v>0</v>
      </c>
      <c r="M652" t="inlineStr">
        <is>
          <t>INR</t>
        </is>
      </c>
      <c r="N652" t="inlineStr">
        <is>
          <t>2025-05-04 20:07:04</t>
        </is>
      </c>
    </row>
    <row r="653">
      <c r="A653" t="inlineStr">
        <is>
          <t>TXN00093260</t>
        </is>
      </c>
      <c r="B653" t="inlineStr">
        <is>
          <t>MER00436</t>
        </is>
      </c>
      <c r="C653" s="8" t="n">
        <v>45781</v>
      </c>
      <c r="D653" t="inlineStr">
        <is>
          <t>ORD00093260</t>
        </is>
      </c>
      <c r="E653" t="n">
        <v>4589.63</v>
      </c>
      <c r="F653" t="n">
        <v>1.96</v>
      </c>
      <c r="G653" t="n">
        <v>89.95999999999999</v>
      </c>
      <c r="H653" t="inlineStr">
        <is>
          <t>Card</t>
        </is>
      </c>
      <c r="I653" t="inlineStr">
        <is>
          <t>Success</t>
        </is>
      </c>
      <c r="J653" t="inlineStr">
        <is>
          <t>Delivered</t>
        </is>
      </c>
      <c r="K653" t="n">
        <v>0</v>
      </c>
      <c r="L653" t="n">
        <v>0</v>
      </c>
      <c r="M653" t="inlineStr">
        <is>
          <t>INR</t>
        </is>
      </c>
      <c r="N653" t="inlineStr">
        <is>
          <t>2025-05-04 19:41:45</t>
        </is>
      </c>
    </row>
    <row r="654">
      <c r="A654" t="inlineStr">
        <is>
          <t>TXN00097980</t>
        </is>
      </c>
      <c r="B654" t="inlineStr">
        <is>
          <t>MER00436</t>
        </is>
      </c>
      <c r="C654" s="8" t="n">
        <v>45796</v>
      </c>
      <c r="D654" t="inlineStr">
        <is>
          <t>ORD00097980</t>
        </is>
      </c>
      <c r="E654" t="n">
        <v>1983.32</v>
      </c>
      <c r="F654" t="n">
        <v>1.96</v>
      </c>
      <c r="G654" t="n">
        <v>38.87</v>
      </c>
      <c r="H654" t="inlineStr">
        <is>
          <t>Card</t>
        </is>
      </c>
      <c r="I654" t="inlineStr">
        <is>
          <t>Success</t>
        </is>
      </c>
      <c r="J654" t="inlineStr">
        <is>
          <t>Returned</t>
        </is>
      </c>
      <c r="K654" t="n">
        <v>1231.86</v>
      </c>
      <c r="L654" t="n">
        <v>0</v>
      </c>
      <c r="M654" t="inlineStr">
        <is>
          <t>INR</t>
        </is>
      </c>
      <c r="N654" t="inlineStr">
        <is>
          <t>2025-05-19 06:54:33</t>
        </is>
      </c>
    </row>
    <row r="655">
      <c r="A655" t="inlineStr">
        <is>
          <t>TXN00098251</t>
        </is>
      </c>
      <c r="B655" t="inlineStr">
        <is>
          <t>MER00436</t>
        </is>
      </c>
      <c r="C655" s="8" t="n">
        <v>45796</v>
      </c>
      <c r="D655" t="inlineStr">
        <is>
          <t>ORD00098251</t>
        </is>
      </c>
      <c r="E655" t="n">
        <v>2719.84</v>
      </c>
      <c r="F655" t="n">
        <v>1.96</v>
      </c>
      <c r="G655" t="n">
        <v>53.31</v>
      </c>
      <c r="H655" t="inlineStr">
        <is>
          <t>Card</t>
        </is>
      </c>
      <c r="I655" t="inlineStr">
        <is>
          <t>Success</t>
        </is>
      </c>
      <c r="J655" t="inlineStr">
        <is>
          <t>Delivered</t>
        </is>
      </c>
      <c r="K655" t="n">
        <v>0</v>
      </c>
      <c r="L655" t="n">
        <v>0</v>
      </c>
      <c r="M655" t="inlineStr">
        <is>
          <t>INR</t>
        </is>
      </c>
      <c r="N655" t="inlineStr">
        <is>
          <t>2025-05-19 15:48:08</t>
        </is>
      </c>
    </row>
    <row r="656">
      <c r="A656" t="inlineStr">
        <is>
          <t>TXN00099158</t>
        </is>
      </c>
      <c r="B656" t="inlineStr">
        <is>
          <t>MER00436</t>
        </is>
      </c>
      <c r="C656" s="8" t="n">
        <v>45799</v>
      </c>
      <c r="D656" t="inlineStr">
        <is>
          <t>ORD00099158</t>
        </is>
      </c>
      <c r="E656" t="n">
        <v>703.42</v>
      </c>
      <c r="F656" t="n">
        <v>1.96</v>
      </c>
      <c r="G656" t="n">
        <v>13.79</v>
      </c>
      <c r="H656" t="inlineStr">
        <is>
          <t>Card</t>
        </is>
      </c>
      <c r="I656" t="inlineStr">
        <is>
          <t>Success</t>
        </is>
      </c>
      <c r="J656" t="inlineStr">
        <is>
          <t>Delivered</t>
        </is>
      </c>
      <c r="K656" t="n">
        <v>0</v>
      </c>
      <c r="L656" t="n">
        <v>0</v>
      </c>
      <c r="M656" t="inlineStr">
        <is>
          <t>INR</t>
        </is>
      </c>
      <c r="N656" t="inlineStr">
        <is>
          <t>2025-05-22 12:11:38</t>
        </is>
      </c>
    </row>
    <row r="657">
      <c r="A657" t="inlineStr">
        <is>
          <t>TXN00101706</t>
        </is>
      </c>
      <c r="B657" t="inlineStr">
        <is>
          <t>MER00436</t>
        </is>
      </c>
      <c r="C657" s="8" t="n">
        <v>45807</v>
      </c>
      <c r="D657" t="inlineStr">
        <is>
          <t>ORD00101706</t>
        </is>
      </c>
      <c r="E657" t="n">
        <v>3015.98</v>
      </c>
      <c r="F657" t="n">
        <v>1.96</v>
      </c>
      <c r="G657" t="n">
        <v>59.11</v>
      </c>
      <c r="H657" t="inlineStr">
        <is>
          <t>UPI</t>
        </is>
      </c>
      <c r="I657" t="inlineStr">
        <is>
          <t>Success</t>
        </is>
      </c>
      <c r="J657" t="inlineStr">
        <is>
          <t>Delivered</t>
        </is>
      </c>
      <c r="K657" t="n">
        <v>0</v>
      </c>
      <c r="L657" t="n">
        <v>0</v>
      </c>
      <c r="M657" t="inlineStr">
        <is>
          <t>INR</t>
        </is>
      </c>
      <c r="N657" t="inlineStr">
        <is>
          <t>2025-05-30 00:58:35</t>
        </is>
      </c>
    </row>
    <row r="658">
      <c r="A658" t="inlineStr">
        <is>
          <t>TXN00103376</t>
        </is>
      </c>
      <c r="B658" t="inlineStr">
        <is>
          <t>MER00436</t>
        </is>
      </c>
      <c r="C658" s="8" t="n">
        <v>45812</v>
      </c>
      <c r="D658" t="inlineStr">
        <is>
          <t>ORD00103376</t>
        </is>
      </c>
      <c r="E658" t="n">
        <v>5019</v>
      </c>
      <c r="F658" t="n">
        <v>1.96</v>
      </c>
      <c r="G658" t="n">
        <v>98.37</v>
      </c>
      <c r="H658" t="inlineStr">
        <is>
          <t>UPI</t>
        </is>
      </c>
      <c r="I658" t="inlineStr">
        <is>
          <t>Success</t>
        </is>
      </c>
      <c r="J658" t="inlineStr">
        <is>
          <t>Delivered</t>
        </is>
      </c>
      <c r="K658" t="n">
        <v>0</v>
      </c>
      <c r="L658" t="n">
        <v>667.03</v>
      </c>
      <c r="M658" t="inlineStr">
        <is>
          <t>INR</t>
        </is>
      </c>
      <c r="N658" t="inlineStr">
        <is>
          <t>2025-06-04 05:57:15</t>
        </is>
      </c>
    </row>
    <row r="659">
      <c r="A659" t="inlineStr">
        <is>
          <t>TXN00105169</t>
        </is>
      </c>
      <c r="B659" t="inlineStr">
        <is>
          <t>MER00436</t>
        </is>
      </c>
      <c r="C659" s="8" t="n">
        <v>45817</v>
      </c>
      <c r="D659" t="inlineStr">
        <is>
          <t>ORD00105169</t>
        </is>
      </c>
      <c r="E659" t="n">
        <v>2552.54</v>
      </c>
      <c r="F659" t="n">
        <v>1.96</v>
      </c>
      <c r="G659" t="n">
        <v>50.03</v>
      </c>
      <c r="H659" t="inlineStr">
        <is>
          <t>Card</t>
        </is>
      </c>
      <c r="I659" t="inlineStr">
        <is>
          <t>Success</t>
        </is>
      </c>
      <c r="J659" t="inlineStr">
        <is>
          <t>Delivered</t>
        </is>
      </c>
      <c r="K659" t="n">
        <v>0</v>
      </c>
      <c r="L659" t="n">
        <v>391.93</v>
      </c>
      <c r="M659" t="inlineStr">
        <is>
          <t>INR</t>
        </is>
      </c>
      <c r="N659" t="inlineStr">
        <is>
          <t>2025-06-09 16:09:10</t>
        </is>
      </c>
    </row>
    <row r="660">
      <c r="A660" t="inlineStr">
        <is>
          <t>TXN00105984</t>
        </is>
      </c>
      <c r="B660" t="inlineStr">
        <is>
          <t>MER00436</t>
        </is>
      </c>
      <c r="C660" s="8" t="n">
        <v>45819</v>
      </c>
      <c r="D660" t="inlineStr">
        <is>
          <t>ORD00105984</t>
        </is>
      </c>
      <c r="E660" t="n">
        <v>3104.85</v>
      </c>
      <c r="F660" t="n">
        <v>1.96</v>
      </c>
      <c r="G660" t="n">
        <v>60.86</v>
      </c>
      <c r="H660" t="inlineStr">
        <is>
          <t>NetBanking</t>
        </is>
      </c>
      <c r="I660" t="inlineStr">
        <is>
          <t>Success</t>
        </is>
      </c>
      <c r="J660" t="inlineStr">
        <is>
          <t>Delivered</t>
        </is>
      </c>
      <c r="K660" t="n">
        <v>0</v>
      </c>
      <c r="L660" t="n">
        <v>0</v>
      </c>
      <c r="M660" t="inlineStr">
        <is>
          <t>INR</t>
        </is>
      </c>
      <c r="N660" t="inlineStr">
        <is>
          <t>2025-06-11 10:07:58</t>
        </is>
      </c>
    </row>
    <row r="661">
      <c r="A661" t="inlineStr">
        <is>
          <t>TXN00107476</t>
        </is>
      </c>
      <c r="B661" t="inlineStr">
        <is>
          <t>MER00436</t>
        </is>
      </c>
      <c r="C661" s="8" t="n">
        <v>45824</v>
      </c>
      <c r="D661" t="inlineStr">
        <is>
          <t>ORD00107476</t>
        </is>
      </c>
      <c r="E661" t="n">
        <v>5638.52</v>
      </c>
      <c r="F661" t="n">
        <v>1.96</v>
      </c>
      <c r="G661" t="n">
        <v>110.51</v>
      </c>
      <c r="H661" t="inlineStr">
        <is>
          <t>Card</t>
        </is>
      </c>
      <c r="I661" t="inlineStr">
        <is>
          <t>Success</t>
        </is>
      </c>
      <c r="J661" t="inlineStr">
        <is>
          <t>Delivered</t>
        </is>
      </c>
      <c r="K661" t="n">
        <v>0</v>
      </c>
      <c r="L661" t="n">
        <v>659.09</v>
      </c>
      <c r="M661" t="inlineStr">
        <is>
          <t>INR</t>
        </is>
      </c>
      <c r="N661" t="inlineStr">
        <is>
          <t>2025-06-16 19:25:34</t>
        </is>
      </c>
    </row>
    <row r="662">
      <c r="A662" t="inlineStr">
        <is>
          <t>TXN00107825</t>
        </is>
      </c>
      <c r="B662" t="inlineStr">
        <is>
          <t>MER00436</t>
        </is>
      </c>
      <c r="C662" s="8" t="n">
        <v>45825</v>
      </c>
      <c r="D662" t="inlineStr">
        <is>
          <t>ORD00107825</t>
        </is>
      </c>
      <c r="E662" t="n">
        <v>4494.15</v>
      </c>
      <c r="F662" t="n">
        <v>1.96</v>
      </c>
      <c r="G662" t="n">
        <v>88.09</v>
      </c>
      <c r="H662" t="inlineStr">
        <is>
          <t>UPI</t>
        </is>
      </c>
      <c r="I662" t="inlineStr">
        <is>
          <t>Success</t>
        </is>
      </c>
      <c r="J662" t="inlineStr">
        <is>
          <t>Processing</t>
        </is>
      </c>
      <c r="K662" t="n">
        <v>0</v>
      </c>
      <c r="L662" t="n">
        <v>0</v>
      </c>
      <c r="M662" t="inlineStr">
        <is>
          <t>INR</t>
        </is>
      </c>
      <c r="N662" t="inlineStr">
        <is>
          <t>2025-06-17 12:06:30</t>
        </is>
      </c>
    </row>
    <row r="663">
      <c r="A663" t="inlineStr">
        <is>
          <t>TXN00112151</t>
        </is>
      </c>
      <c r="B663" t="inlineStr">
        <is>
          <t>MER00436</t>
        </is>
      </c>
      <c r="C663" s="8" t="n">
        <v>45838</v>
      </c>
      <c r="D663" t="inlineStr">
        <is>
          <t>ORD00112151</t>
        </is>
      </c>
      <c r="E663" t="n">
        <v>3936.28</v>
      </c>
      <c r="F663" t="n">
        <v>1.96</v>
      </c>
      <c r="G663" t="n">
        <v>77.15000000000001</v>
      </c>
      <c r="H663" t="inlineStr">
        <is>
          <t>UPI</t>
        </is>
      </c>
      <c r="I663" t="inlineStr">
        <is>
          <t>Success</t>
        </is>
      </c>
      <c r="J663" t="inlineStr">
        <is>
          <t>Delivered</t>
        </is>
      </c>
      <c r="K663" t="n">
        <v>0</v>
      </c>
      <c r="L663" t="n">
        <v>0</v>
      </c>
      <c r="M663" t="inlineStr">
        <is>
          <t>INR</t>
        </is>
      </c>
      <c r="N663" t="inlineStr">
        <is>
          <t>2025-06-30 21:30:35</t>
        </is>
      </c>
    </row>
    <row r="664">
      <c r="A664" t="inlineStr">
        <is>
          <t>TXN00113003</t>
        </is>
      </c>
      <c r="B664" t="inlineStr">
        <is>
          <t>MER00436</t>
        </is>
      </c>
      <c r="C664" s="8" t="n">
        <v>45840</v>
      </c>
      <c r="D664" t="inlineStr">
        <is>
          <t>ORD00113003</t>
        </is>
      </c>
      <c r="E664" t="n">
        <v>3916.09</v>
      </c>
      <c r="F664" t="n">
        <v>1.96</v>
      </c>
      <c r="G664" t="n">
        <v>76.76000000000001</v>
      </c>
      <c r="H664" t="inlineStr">
        <is>
          <t>UPI</t>
        </is>
      </c>
      <c r="I664" t="inlineStr">
        <is>
          <t>Success</t>
        </is>
      </c>
      <c r="J664" t="inlineStr">
        <is>
          <t>Delivered</t>
        </is>
      </c>
      <c r="K664" t="n">
        <v>0</v>
      </c>
      <c r="L664" t="n">
        <v>0</v>
      </c>
      <c r="M664" t="inlineStr">
        <is>
          <t>INR</t>
        </is>
      </c>
      <c r="N664" t="inlineStr">
        <is>
          <t>2025-07-02 05:09:03</t>
        </is>
      </c>
    </row>
    <row r="665">
      <c r="A665" t="inlineStr">
        <is>
          <t>TXN00115227</t>
        </is>
      </c>
      <c r="B665" t="inlineStr">
        <is>
          <t>MER00436</t>
        </is>
      </c>
      <c r="C665" s="8" t="n">
        <v>45847</v>
      </c>
      <c r="D665" t="inlineStr">
        <is>
          <t>ORD00115227</t>
        </is>
      </c>
      <c r="E665" t="n">
        <v>3864.59</v>
      </c>
      <c r="F665" t="n">
        <v>1.96</v>
      </c>
      <c r="G665" t="n">
        <v>75.75</v>
      </c>
      <c r="H665" t="inlineStr">
        <is>
          <t>UPI</t>
        </is>
      </c>
      <c r="I665" t="inlineStr">
        <is>
          <t>Success</t>
        </is>
      </c>
      <c r="J665" t="inlineStr">
        <is>
          <t>Delivered</t>
        </is>
      </c>
      <c r="K665" t="n">
        <v>0</v>
      </c>
      <c r="L665" t="n">
        <v>466.32</v>
      </c>
      <c r="M665" t="inlineStr">
        <is>
          <t>INR</t>
        </is>
      </c>
      <c r="N665" t="inlineStr">
        <is>
          <t>2025-07-09 21:53:57</t>
        </is>
      </c>
    </row>
    <row r="666">
      <c r="A666" t="inlineStr">
        <is>
          <t>TXN00117597</t>
        </is>
      </c>
      <c r="B666" t="inlineStr">
        <is>
          <t>MER00436</t>
        </is>
      </c>
      <c r="C666" s="8" t="n">
        <v>45854</v>
      </c>
      <c r="D666" t="inlineStr">
        <is>
          <t>ORD00117597</t>
        </is>
      </c>
      <c r="E666" t="n">
        <v>3888.09</v>
      </c>
      <c r="F666" t="n">
        <v>1.96</v>
      </c>
      <c r="G666" t="n">
        <v>76.20999999999999</v>
      </c>
      <c r="H666" t="inlineStr">
        <is>
          <t>UPI</t>
        </is>
      </c>
      <c r="I666" t="inlineStr">
        <is>
          <t>Success</t>
        </is>
      </c>
      <c r="J666" t="inlineStr">
        <is>
          <t>Returned</t>
        </is>
      </c>
      <c r="K666" t="n">
        <v>3888.09</v>
      </c>
      <c r="L666" t="n">
        <v>0</v>
      </c>
      <c r="M666" t="inlineStr">
        <is>
          <t>INR</t>
        </is>
      </c>
      <c r="N666" t="inlineStr">
        <is>
          <t>2025-07-16 10:28:38</t>
        </is>
      </c>
    </row>
    <row r="667">
      <c r="A667" t="inlineStr">
        <is>
          <t>TXN00118624</t>
        </is>
      </c>
      <c r="B667" t="inlineStr">
        <is>
          <t>MER00436</t>
        </is>
      </c>
      <c r="C667" s="8" t="n">
        <v>45857</v>
      </c>
      <c r="D667" t="inlineStr">
        <is>
          <t>ORD00118624</t>
        </is>
      </c>
      <c r="E667" t="n">
        <v>2100.79</v>
      </c>
      <c r="F667" t="n">
        <v>1.96</v>
      </c>
      <c r="G667" t="n">
        <v>41.18</v>
      </c>
      <c r="H667" t="inlineStr">
        <is>
          <t>Wallet</t>
        </is>
      </c>
      <c r="I667" t="inlineStr">
        <is>
          <t>Pending</t>
        </is>
      </c>
      <c r="J667" t="inlineStr">
        <is>
          <t>Processing</t>
        </is>
      </c>
      <c r="K667" t="n">
        <v>0</v>
      </c>
      <c r="L667" t="n">
        <v>0</v>
      </c>
      <c r="M667" t="inlineStr">
        <is>
          <t>INR</t>
        </is>
      </c>
      <c r="N667" t="inlineStr">
        <is>
          <t>2025-07-19 10:49:02</t>
        </is>
      </c>
    </row>
    <row r="668">
      <c r="A668" t="inlineStr">
        <is>
          <t>TXN00120632</t>
        </is>
      </c>
      <c r="B668" t="inlineStr">
        <is>
          <t>MER00436</t>
        </is>
      </c>
      <c r="C668" s="8" t="n">
        <v>45863</v>
      </c>
      <c r="D668" t="inlineStr">
        <is>
          <t>ORD00120632</t>
        </is>
      </c>
      <c r="E668" t="n">
        <v>7527.04</v>
      </c>
      <c r="F668" t="n">
        <v>1.96</v>
      </c>
      <c r="G668" t="n">
        <v>147.53</v>
      </c>
      <c r="H668" t="inlineStr">
        <is>
          <t>UPI</t>
        </is>
      </c>
      <c r="I668" t="inlineStr">
        <is>
          <t>Success</t>
        </is>
      </c>
      <c r="J668" t="inlineStr">
        <is>
          <t>Returned</t>
        </is>
      </c>
      <c r="K668" t="n">
        <v>6010.85</v>
      </c>
      <c r="L668" t="n">
        <v>0</v>
      </c>
      <c r="M668" t="inlineStr">
        <is>
          <t>INR</t>
        </is>
      </c>
      <c r="N668" t="inlineStr">
        <is>
          <t>2025-07-25 09:39:04</t>
        </is>
      </c>
    </row>
    <row r="669">
      <c r="A669" t="inlineStr">
        <is>
          <t>TXN00127211</t>
        </is>
      </c>
      <c r="B669" t="inlineStr">
        <is>
          <t>MER00436</t>
        </is>
      </c>
      <c r="C669" s="8" t="n">
        <v>45883</v>
      </c>
      <c r="D669" t="inlineStr">
        <is>
          <t>ORD00127211</t>
        </is>
      </c>
      <c r="E669" t="n">
        <v>2112.84</v>
      </c>
      <c r="F669" t="n">
        <v>1.96</v>
      </c>
      <c r="G669" t="n">
        <v>41.41</v>
      </c>
      <c r="H669" t="inlineStr">
        <is>
          <t>UPI</t>
        </is>
      </c>
      <c r="I669" t="inlineStr">
        <is>
          <t>Success</t>
        </is>
      </c>
      <c r="J669" t="inlineStr">
        <is>
          <t>Processing</t>
        </is>
      </c>
      <c r="K669" t="n">
        <v>0</v>
      </c>
      <c r="L669" t="n">
        <v>0</v>
      </c>
      <c r="M669" t="inlineStr">
        <is>
          <t>INR</t>
        </is>
      </c>
      <c r="N669" t="inlineStr">
        <is>
          <t>2025-08-14 23:02:22</t>
        </is>
      </c>
    </row>
    <row r="670">
      <c r="A670" t="inlineStr">
        <is>
          <t>TXN00128152</t>
        </is>
      </c>
      <c r="B670" t="inlineStr">
        <is>
          <t>MER00436</t>
        </is>
      </c>
      <c r="C670" s="8" t="n">
        <v>45886</v>
      </c>
      <c r="D670" t="inlineStr">
        <is>
          <t>ORD00128152</t>
        </is>
      </c>
      <c r="E670" t="n">
        <v>540.88</v>
      </c>
      <c r="F670" t="n">
        <v>1.96</v>
      </c>
      <c r="G670" t="n">
        <v>10.6</v>
      </c>
      <c r="H670" t="inlineStr">
        <is>
          <t>UPI</t>
        </is>
      </c>
      <c r="I670" t="inlineStr">
        <is>
          <t>Success</t>
        </is>
      </c>
      <c r="J670" t="inlineStr">
        <is>
          <t>Delivered</t>
        </is>
      </c>
      <c r="K670" t="n">
        <v>0</v>
      </c>
      <c r="L670" t="n">
        <v>0</v>
      </c>
      <c r="M670" t="inlineStr">
        <is>
          <t>INR</t>
        </is>
      </c>
      <c r="N670" t="inlineStr">
        <is>
          <t>2025-08-17 02:47:51</t>
        </is>
      </c>
    </row>
    <row r="671">
      <c r="A671" t="inlineStr">
        <is>
          <t>TXN00129675</t>
        </is>
      </c>
      <c r="B671" t="inlineStr">
        <is>
          <t>MER00436</t>
        </is>
      </c>
      <c r="C671" s="8" t="n">
        <v>45890</v>
      </c>
      <c r="D671" t="inlineStr">
        <is>
          <t>ORD00129675</t>
        </is>
      </c>
      <c r="E671" t="n">
        <v>4258.41</v>
      </c>
      <c r="F671" t="n">
        <v>1.96</v>
      </c>
      <c r="G671" t="n">
        <v>83.45999999999999</v>
      </c>
      <c r="H671" t="inlineStr">
        <is>
          <t>UPI</t>
        </is>
      </c>
      <c r="I671" t="inlineStr">
        <is>
          <t>Success</t>
        </is>
      </c>
      <c r="J671" t="inlineStr">
        <is>
          <t>Returned</t>
        </is>
      </c>
      <c r="K671" t="n">
        <v>2084.88</v>
      </c>
      <c r="L671" t="n">
        <v>0</v>
      </c>
      <c r="M671" t="inlineStr">
        <is>
          <t>INR</t>
        </is>
      </c>
      <c r="N671" t="inlineStr">
        <is>
          <t>2025-08-21 18:58:56</t>
        </is>
      </c>
    </row>
    <row r="672">
      <c r="A672" t="inlineStr">
        <is>
          <t>TXN00130434</t>
        </is>
      </c>
      <c r="B672" t="inlineStr">
        <is>
          <t>MER00436</t>
        </is>
      </c>
      <c r="C672" s="8" t="n">
        <v>45893</v>
      </c>
      <c r="D672" t="inlineStr">
        <is>
          <t>ORD00130434</t>
        </is>
      </c>
      <c r="E672" t="n">
        <v>3474.18</v>
      </c>
      <c r="F672" t="n">
        <v>1.96</v>
      </c>
      <c r="G672" t="n">
        <v>68.09</v>
      </c>
      <c r="H672" t="inlineStr">
        <is>
          <t>Card</t>
        </is>
      </c>
      <c r="I672" t="inlineStr">
        <is>
          <t>Success</t>
        </is>
      </c>
      <c r="J672" t="inlineStr">
        <is>
          <t>Delivered</t>
        </is>
      </c>
      <c r="K672" t="n">
        <v>0</v>
      </c>
      <c r="L672" t="n">
        <v>0</v>
      </c>
      <c r="M672" t="inlineStr">
        <is>
          <t>INR</t>
        </is>
      </c>
      <c r="N672" t="inlineStr">
        <is>
          <t>2025-08-24 08:22:37</t>
        </is>
      </c>
    </row>
    <row r="673">
      <c r="A673" t="inlineStr">
        <is>
          <t>TXN00131292</t>
        </is>
      </c>
      <c r="B673" t="inlineStr">
        <is>
          <t>MER00436</t>
        </is>
      </c>
      <c r="C673" s="8" t="n">
        <v>45895</v>
      </c>
      <c r="D673" t="inlineStr">
        <is>
          <t>ORD00131292</t>
        </is>
      </c>
      <c r="E673" t="n">
        <v>3063.98</v>
      </c>
      <c r="F673" t="n">
        <v>1.96</v>
      </c>
      <c r="G673" t="n">
        <v>60.05</v>
      </c>
      <c r="H673" t="inlineStr">
        <is>
          <t>UPI</t>
        </is>
      </c>
      <c r="I673" t="inlineStr">
        <is>
          <t>Success</t>
        </is>
      </c>
      <c r="J673" t="inlineStr">
        <is>
          <t>Delivered</t>
        </is>
      </c>
      <c r="K673" t="n">
        <v>0</v>
      </c>
      <c r="L673" t="n">
        <v>0</v>
      </c>
      <c r="M673" t="inlineStr">
        <is>
          <t>INR</t>
        </is>
      </c>
      <c r="N673" t="inlineStr">
        <is>
          <t>2025-08-26 13:38:49</t>
        </is>
      </c>
    </row>
    <row r="674">
      <c r="A674" t="inlineStr">
        <is>
          <t>TXN00131399</t>
        </is>
      </c>
      <c r="B674" t="inlineStr">
        <is>
          <t>MER00436</t>
        </is>
      </c>
      <c r="C674" s="8" t="n">
        <v>45896</v>
      </c>
      <c r="D674" t="inlineStr">
        <is>
          <t>ORD00131399</t>
        </is>
      </c>
      <c r="E674" t="n">
        <v>1853.78</v>
      </c>
      <c r="F674" t="n">
        <v>1.96</v>
      </c>
      <c r="G674" t="n">
        <v>36.33</v>
      </c>
      <c r="H674" t="inlineStr">
        <is>
          <t>UPI</t>
        </is>
      </c>
      <c r="I674" t="inlineStr">
        <is>
          <t>Success</t>
        </is>
      </c>
      <c r="J674" t="inlineStr">
        <is>
          <t>Delivered</t>
        </is>
      </c>
      <c r="K674" t="n">
        <v>0</v>
      </c>
      <c r="L674" t="n">
        <v>0</v>
      </c>
      <c r="M674" t="inlineStr">
        <is>
          <t>INR</t>
        </is>
      </c>
      <c r="N674" t="inlineStr">
        <is>
          <t>2025-08-27 19:27:04</t>
        </is>
      </c>
    </row>
    <row r="675">
      <c r="A675" t="inlineStr">
        <is>
          <t>TXN00132449</t>
        </is>
      </c>
      <c r="B675" t="inlineStr">
        <is>
          <t>MER00436</t>
        </is>
      </c>
      <c r="C675" s="8" t="n">
        <v>45899</v>
      </c>
      <c r="D675" t="inlineStr">
        <is>
          <t>ORD00132449</t>
        </is>
      </c>
      <c r="E675" t="n">
        <v>4396.2</v>
      </c>
      <c r="F675" t="n">
        <v>1.96</v>
      </c>
      <c r="G675" t="n">
        <v>86.17</v>
      </c>
      <c r="H675" t="inlineStr">
        <is>
          <t>UPI</t>
        </is>
      </c>
      <c r="I675" t="inlineStr">
        <is>
          <t>Success</t>
        </is>
      </c>
      <c r="J675" t="inlineStr">
        <is>
          <t>Delivered</t>
        </is>
      </c>
      <c r="K675" t="n">
        <v>0</v>
      </c>
      <c r="L675" t="n">
        <v>429.59</v>
      </c>
      <c r="M675" t="inlineStr">
        <is>
          <t>INR</t>
        </is>
      </c>
      <c r="N675" t="inlineStr">
        <is>
          <t>2025-08-30 18:49:33</t>
        </is>
      </c>
    </row>
    <row r="676">
      <c r="A676" t="inlineStr">
        <is>
          <t>TXN00137980</t>
        </is>
      </c>
      <c r="B676" t="inlineStr">
        <is>
          <t>MER00436</t>
        </is>
      </c>
      <c r="C676" s="8" t="n">
        <v>45915</v>
      </c>
      <c r="D676" t="inlineStr">
        <is>
          <t>ORD00137980</t>
        </is>
      </c>
      <c r="E676" t="n">
        <v>4470.19</v>
      </c>
      <c r="F676" t="n">
        <v>1.96</v>
      </c>
      <c r="G676" t="n">
        <v>87.62</v>
      </c>
      <c r="H676" t="inlineStr">
        <is>
          <t>Card</t>
        </is>
      </c>
      <c r="I676" t="inlineStr">
        <is>
          <t>Success</t>
        </is>
      </c>
      <c r="J676" t="inlineStr">
        <is>
          <t>Processing</t>
        </is>
      </c>
      <c r="K676" t="n">
        <v>0</v>
      </c>
      <c r="L676" t="n">
        <v>510.43</v>
      </c>
      <c r="M676" t="inlineStr">
        <is>
          <t>INR</t>
        </is>
      </c>
      <c r="N676" t="inlineStr">
        <is>
          <t>2025-09-15 16:23:30</t>
        </is>
      </c>
    </row>
    <row r="677">
      <c r="A677" t="inlineStr">
        <is>
          <t>TXN00145060</t>
        </is>
      </c>
      <c r="B677" t="inlineStr">
        <is>
          <t>MER00436</t>
        </is>
      </c>
      <c r="C677" s="8" t="n">
        <v>45934</v>
      </c>
      <c r="D677" t="inlineStr">
        <is>
          <t>ORD00145060</t>
        </is>
      </c>
      <c r="E677" t="n">
        <v>6311.22</v>
      </c>
      <c r="F677" t="n">
        <v>1.96</v>
      </c>
      <c r="G677" t="n">
        <v>123.7</v>
      </c>
      <c r="H677" t="inlineStr">
        <is>
          <t>Wallet</t>
        </is>
      </c>
      <c r="I677" t="inlineStr">
        <is>
          <t>Success</t>
        </is>
      </c>
      <c r="J677" t="inlineStr">
        <is>
          <t>Delivered</t>
        </is>
      </c>
      <c r="K677" t="n">
        <v>0</v>
      </c>
      <c r="L677" t="n">
        <v>0</v>
      </c>
      <c r="M677" t="inlineStr">
        <is>
          <t>INR</t>
        </is>
      </c>
      <c r="N677" t="inlineStr">
        <is>
          <t>2025-10-04 06:53:06</t>
        </is>
      </c>
    </row>
    <row r="678">
      <c r="A678" t="inlineStr">
        <is>
          <t>TXN00146846</t>
        </is>
      </c>
      <c r="B678" t="inlineStr">
        <is>
          <t>MER00436</t>
        </is>
      </c>
      <c r="C678" s="8" t="n">
        <v>45938</v>
      </c>
      <c r="D678" t="inlineStr">
        <is>
          <t>ORD00146846</t>
        </is>
      </c>
      <c r="E678" t="n">
        <v>3689.28</v>
      </c>
      <c r="F678" t="n">
        <v>1.96</v>
      </c>
      <c r="G678" t="n">
        <v>72.31</v>
      </c>
      <c r="H678" t="inlineStr">
        <is>
          <t>NetBanking</t>
        </is>
      </c>
      <c r="I678" t="inlineStr">
        <is>
          <t>Success</t>
        </is>
      </c>
      <c r="J678" t="inlineStr">
        <is>
          <t>Delivered</t>
        </is>
      </c>
      <c r="K678" t="n">
        <v>0</v>
      </c>
      <c r="L678" t="n">
        <v>0</v>
      </c>
      <c r="M678" t="inlineStr">
        <is>
          <t>INR</t>
        </is>
      </c>
      <c r="N678" t="inlineStr">
        <is>
          <t>2025-10-08 02:49:07</t>
        </is>
      </c>
    </row>
    <row r="679">
      <c r="A679" t="inlineStr">
        <is>
          <t>TXN00147687</t>
        </is>
      </c>
      <c r="B679" t="inlineStr">
        <is>
          <t>MER00436</t>
        </is>
      </c>
      <c r="C679" s="8" t="n">
        <v>45939</v>
      </c>
      <c r="D679" t="inlineStr">
        <is>
          <t>ORD00147687</t>
        </is>
      </c>
      <c r="E679" t="n">
        <v>2212.78</v>
      </c>
      <c r="F679" t="n">
        <v>1.96</v>
      </c>
      <c r="G679" t="n">
        <v>43.37</v>
      </c>
      <c r="H679" t="inlineStr">
        <is>
          <t>UPI</t>
        </is>
      </c>
      <c r="I679" t="inlineStr">
        <is>
          <t>Success</t>
        </is>
      </c>
      <c r="J679" t="inlineStr">
        <is>
          <t>Returned</t>
        </is>
      </c>
      <c r="K679" t="n">
        <v>2212.78</v>
      </c>
      <c r="L679" t="n">
        <v>398.69</v>
      </c>
      <c r="M679" t="inlineStr">
        <is>
          <t>INR</t>
        </is>
      </c>
      <c r="N679" t="inlineStr">
        <is>
          <t>2025-10-09 03:53:35</t>
        </is>
      </c>
    </row>
    <row r="680">
      <c r="A680" t="inlineStr">
        <is>
          <t>TXN00147645</t>
        </is>
      </c>
      <c r="B680" t="inlineStr">
        <is>
          <t>MER00436</t>
        </is>
      </c>
      <c r="C680" s="8" t="n">
        <v>45939</v>
      </c>
      <c r="D680" t="inlineStr">
        <is>
          <t>ORD00147645</t>
        </is>
      </c>
      <c r="E680" t="n">
        <v>4428.44</v>
      </c>
      <c r="F680" t="n">
        <v>1.96</v>
      </c>
      <c r="G680" t="n">
        <v>86.8</v>
      </c>
      <c r="H680" t="inlineStr">
        <is>
          <t>UPI</t>
        </is>
      </c>
      <c r="I680" t="inlineStr">
        <is>
          <t>Success</t>
        </is>
      </c>
      <c r="J680" t="inlineStr">
        <is>
          <t>Delivered</t>
        </is>
      </c>
      <c r="K680" t="n">
        <v>0</v>
      </c>
      <c r="L680" t="n">
        <v>0</v>
      </c>
      <c r="M680" t="inlineStr">
        <is>
          <t>INR</t>
        </is>
      </c>
      <c r="N680" t="inlineStr">
        <is>
          <t>2025-10-09 10:53:18</t>
        </is>
      </c>
    </row>
    <row r="681">
      <c r="A681" t="inlineStr">
        <is>
          <t>TXN00148393</t>
        </is>
      </c>
      <c r="B681" t="inlineStr">
        <is>
          <t>MER00436</t>
        </is>
      </c>
      <c r="C681" s="8" t="n">
        <v>45941</v>
      </c>
      <c r="D681" t="inlineStr">
        <is>
          <t>ORD00148393</t>
        </is>
      </c>
      <c r="E681" t="n">
        <v>6374.75</v>
      </c>
      <c r="F681" t="n">
        <v>1.96</v>
      </c>
      <c r="G681" t="n">
        <v>124.95</v>
      </c>
      <c r="H681" t="inlineStr">
        <is>
          <t>UPI</t>
        </is>
      </c>
      <c r="I681" t="inlineStr">
        <is>
          <t>Success</t>
        </is>
      </c>
      <c r="J681" t="inlineStr">
        <is>
          <t>Delivered</t>
        </is>
      </c>
      <c r="K681" t="n">
        <v>0</v>
      </c>
      <c r="L681" t="n">
        <v>770.79</v>
      </c>
      <c r="M681" t="inlineStr">
        <is>
          <t>INR</t>
        </is>
      </c>
      <c r="N681" t="inlineStr">
        <is>
          <t>2025-10-11 22:09:07</t>
        </is>
      </c>
    </row>
    <row r="682">
      <c r="A682" t="inlineStr">
        <is>
          <t>TXN00148818</t>
        </is>
      </c>
      <c r="B682" t="inlineStr">
        <is>
          <t>MER00436</t>
        </is>
      </c>
      <c r="C682" s="8" t="n">
        <v>45942</v>
      </c>
      <c r="D682" t="inlineStr">
        <is>
          <t>ORD00148818</t>
        </is>
      </c>
      <c r="E682" t="n">
        <v>6443.65</v>
      </c>
      <c r="F682" t="n">
        <v>1.96</v>
      </c>
      <c r="G682" t="n">
        <v>126.3</v>
      </c>
      <c r="H682" t="inlineStr">
        <is>
          <t>UPI</t>
        </is>
      </c>
      <c r="I682" t="inlineStr">
        <is>
          <t>Success</t>
        </is>
      </c>
      <c r="J682" t="inlineStr">
        <is>
          <t>Delivered</t>
        </is>
      </c>
      <c r="K682" t="n">
        <v>0</v>
      </c>
      <c r="L682" t="n">
        <v>0</v>
      </c>
      <c r="M682" t="inlineStr">
        <is>
          <t>INR</t>
        </is>
      </c>
      <c r="N682" t="inlineStr">
        <is>
          <t>2025-10-12 05:34:05</t>
        </is>
      </c>
    </row>
    <row r="683">
      <c r="A683" t="inlineStr">
        <is>
          <t>TXN00150038</t>
        </is>
      </c>
      <c r="B683" t="inlineStr">
        <is>
          <t>MER00436</t>
        </is>
      </c>
      <c r="C683" s="8" t="n">
        <v>45944</v>
      </c>
      <c r="D683" t="inlineStr">
        <is>
          <t>ORD00150038</t>
        </is>
      </c>
      <c r="E683" t="n">
        <v>2386.85</v>
      </c>
      <c r="F683" t="n">
        <v>1.96</v>
      </c>
      <c r="G683" t="n">
        <v>46.78</v>
      </c>
      <c r="H683" t="inlineStr">
        <is>
          <t>UPI</t>
        </is>
      </c>
      <c r="I683" t="inlineStr">
        <is>
          <t>Success</t>
        </is>
      </c>
      <c r="J683" t="inlineStr">
        <is>
          <t>Returned</t>
        </is>
      </c>
      <c r="K683" t="n">
        <v>2386.85</v>
      </c>
      <c r="L683" t="n">
        <v>0</v>
      </c>
      <c r="M683" t="inlineStr">
        <is>
          <t>INR</t>
        </is>
      </c>
      <c r="N683" t="inlineStr">
        <is>
          <t>2025-10-14 01:11:45</t>
        </is>
      </c>
    </row>
    <row r="684">
      <c r="A684" t="inlineStr">
        <is>
          <t>TXN00151010</t>
        </is>
      </c>
      <c r="B684" t="inlineStr">
        <is>
          <t>MER00436</t>
        </is>
      </c>
      <c r="C684" s="8" t="n">
        <v>45947</v>
      </c>
      <c r="D684" t="inlineStr">
        <is>
          <t>ORD00151010</t>
        </is>
      </c>
      <c r="E684" t="n">
        <v>5996.87</v>
      </c>
      <c r="F684" t="n">
        <v>1.96</v>
      </c>
      <c r="G684" t="n">
        <v>117.54</v>
      </c>
      <c r="H684" t="inlineStr">
        <is>
          <t>Card</t>
        </is>
      </c>
      <c r="I684" t="inlineStr">
        <is>
          <t>Success</t>
        </is>
      </c>
      <c r="J684" t="inlineStr">
        <is>
          <t>Delivered</t>
        </is>
      </c>
      <c r="K684" t="n">
        <v>0</v>
      </c>
      <c r="L684" t="n">
        <v>0</v>
      </c>
      <c r="M684" t="inlineStr">
        <is>
          <t>INR</t>
        </is>
      </c>
      <c r="N684" t="inlineStr">
        <is>
          <t>2025-10-17 06:42:11</t>
        </is>
      </c>
    </row>
    <row r="685">
      <c r="A685" t="inlineStr">
        <is>
          <t>TXN00151011</t>
        </is>
      </c>
      <c r="B685" t="inlineStr">
        <is>
          <t>MER00436</t>
        </is>
      </c>
      <c r="C685" s="8" t="n">
        <v>45947</v>
      </c>
      <c r="D685" t="inlineStr">
        <is>
          <t>ORD00151011</t>
        </is>
      </c>
      <c r="E685" t="n">
        <v>1927.64</v>
      </c>
      <c r="F685" t="n">
        <v>1.96</v>
      </c>
      <c r="G685" t="n">
        <v>37.78</v>
      </c>
      <c r="H685" t="inlineStr">
        <is>
          <t>UPI</t>
        </is>
      </c>
      <c r="I685" t="inlineStr">
        <is>
          <t>Success</t>
        </is>
      </c>
      <c r="J685" t="inlineStr">
        <is>
          <t>Delivered</t>
        </is>
      </c>
      <c r="K685" t="n">
        <v>0</v>
      </c>
      <c r="L685" t="n">
        <v>322.76</v>
      </c>
      <c r="M685" t="inlineStr">
        <is>
          <t>INR</t>
        </is>
      </c>
      <c r="N685" t="inlineStr">
        <is>
          <t>2025-10-17 06:09:41</t>
        </is>
      </c>
    </row>
    <row r="686">
      <c r="A686" t="inlineStr">
        <is>
          <t>TXN00153588</t>
        </is>
      </c>
      <c r="B686" t="inlineStr">
        <is>
          <t>MER00436</t>
        </is>
      </c>
      <c r="C686" s="8" t="n">
        <v>45952</v>
      </c>
      <c r="D686" t="inlineStr">
        <is>
          <t>ORD00153588</t>
        </is>
      </c>
      <c r="E686" t="n">
        <v>3852.2</v>
      </c>
      <c r="F686" t="n">
        <v>1.96</v>
      </c>
      <c r="G686" t="n">
        <v>75.5</v>
      </c>
      <c r="H686" t="inlineStr">
        <is>
          <t>UPI</t>
        </is>
      </c>
      <c r="I686" t="inlineStr">
        <is>
          <t>Success</t>
        </is>
      </c>
      <c r="J686" t="inlineStr">
        <is>
          <t>Delivered</t>
        </is>
      </c>
      <c r="K686" t="n">
        <v>0</v>
      </c>
      <c r="L686" t="n">
        <v>258.49</v>
      </c>
      <c r="M686" t="inlineStr">
        <is>
          <t>INR</t>
        </is>
      </c>
      <c r="N686" t="inlineStr">
        <is>
          <t>2025-10-22 11:00:32</t>
        </is>
      </c>
    </row>
    <row r="687">
      <c r="A687" t="inlineStr">
        <is>
          <t>TXN00155839</t>
        </is>
      </c>
      <c r="B687" t="inlineStr">
        <is>
          <t>MER00436</t>
        </is>
      </c>
      <c r="C687" s="8" t="n">
        <v>45957</v>
      </c>
      <c r="D687" t="inlineStr">
        <is>
          <t>ORD00155839</t>
        </is>
      </c>
      <c r="E687" t="n">
        <v>1599.17</v>
      </c>
      <c r="F687" t="n">
        <v>1.96</v>
      </c>
      <c r="G687" t="n">
        <v>31.34</v>
      </c>
      <c r="H687" t="inlineStr">
        <is>
          <t>UPI</t>
        </is>
      </c>
      <c r="I687" t="inlineStr">
        <is>
          <t>Success</t>
        </is>
      </c>
      <c r="J687" t="inlineStr">
        <is>
          <t>Delivered</t>
        </is>
      </c>
      <c r="K687" t="n">
        <v>0</v>
      </c>
      <c r="L687" t="n">
        <v>0</v>
      </c>
      <c r="M687" t="inlineStr">
        <is>
          <t>INR</t>
        </is>
      </c>
      <c r="N687" t="inlineStr">
        <is>
          <t>2025-10-27 23:28:48</t>
        </is>
      </c>
    </row>
    <row r="688">
      <c r="A688" t="inlineStr">
        <is>
          <t>TXN00157098</t>
        </is>
      </c>
      <c r="B688" t="inlineStr">
        <is>
          <t>MER00436</t>
        </is>
      </c>
      <c r="C688" s="8" t="n">
        <v>45960</v>
      </c>
      <c r="D688" t="inlineStr">
        <is>
          <t>ORD00157098</t>
        </is>
      </c>
      <c r="E688" t="n">
        <v>1540.54</v>
      </c>
      <c r="F688" t="n">
        <v>1.96</v>
      </c>
      <c r="G688" t="n">
        <v>30.19</v>
      </c>
      <c r="H688" t="inlineStr">
        <is>
          <t>UPI</t>
        </is>
      </c>
      <c r="I688" t="inlineStr">
        <is>
          <t>Success</t>
        </is>
      </c>
      <c r="J688" t="inlineStr">
        <is>
          <t>Delivered</t>
        </is>
      </c>
      <c r="K688" t="n">
        <v>0</v>
      </c>
      <c r="L688" t="n">
        <v>0</v>
      </c>
      <c r="M688" t="inlineStr">
        <is>
          <t>INR</t>
        </is>
      </c>
      <c r="N688" t="inlineStr">
        <is>
          <t>2025-10-30 11:36:13</t>
        </is>
      </c>
    </row>
    <row r="689">
      <c r="A689" t="inlineStr">
        <is>
          <t>TXN00159360</t>
        </is>
      </c>
      <c r="B689" t="inlineStr">
        <is>
          <t>MER00436</t>
        </is>
      </c>
      <c r="C689" s="8" t="n">
        <v>45964</v>
      </c>
      <c r="D689" t="inlineStr">
        <is>
          <t>ORD00159360</t>
        </is>
      </c>
      <c r="E689" t="n">
        <v>2193.68</v>
      </c>
      <c r="F689" t="n">
        <v>1.96</v>
      </c>
      <c r="G689" t="n">
        <v>43</v>
      </c>
      <c r="H689" t="inlineStr">
        <is>
          <t>Card</t>
        </is>
      </c>
      <c r="I689" t="inlineStr">
        <is>
          <t>Success</t>
        </is>
      </c>
      <c r="J689" t="inlineStr">
        <is>
          <t>Delivered</t>
        </is>
      </c>
      <c r="K689" t="n">
        <v>0</v>
      </c>
      <c r="L689" t="n">
        <v>0</v>
      </c>
      <c r="M689" t="inlineStr">
        <is>
          <t>INR</t>
        </is>
      </c>
      <c r="N689" t="inlineStr">
        <is>
          <t>2025-11-03 12:17:32</t>
        </is>
      </c>
    </row>
    <row r="690">
      <c r="A690" t="inlineStr">
        <is>
          <t>TXN00159559</t>
        </is>
      </c>
      <c r="B690" t="inlineStr">
        <is>
          <t>MER00436</t>
        </is>
      </c>
      <c r="C690" s="8" t="n">
        <v>45964</v>
      </c>
      <c r="D690" t="inlineStr">
        <is>
          <t>ORD00159559</t>
        </is>
      </c>
      <c r="E690" t="n">
        <v>4575.43</v>
      </c>
      <c r="F690" t="n">
        <v>1.96</v>
      </c>
      <c r="G690" t="n">
        <v>89.68000000000001</v>
      </c>
      <c r="H690" t="inlineStr">
        <is>
          <t>Card</t>
        </is>
      </c>
      <c r="I690" t="inlineStr">
        <is>
          <t>Success</t>
        </is>
      </c>
      <c r="J690" t="inlineStr">
        <is>
          <t>Returned</t>
        </is>
      </c>
      <c r="K690" t="n">
        <v>3069.24</v>
      </c>
      <c r="L690" t="n">
        <v>0</v>
      </c>
      <c r="M690" t="inlineStr">
        <is>
          <t>INR</t>
        </is>
      </c>
      <c r="N690" t="inlineStr">
        <is>
          <t>2025-11-03 02:12:54</t>
        </is>
      </c>
    </row>
    <row r="691">
      <c r="A691" t="inlineStr">
        <is>
          <t>TXN00161249</t>
        </is>
      </c>
      <c r="B691" t="inlineStr">
        <is>
          <t>MER00436</t>
        </is>
      </c>
      <c r="C691" s="8" t="n">
        <v>45967</v>
      </c>
      <c r="D691" t="inlineStr">
        <is>
          <t>ORD00161249</t>
        </is>
      </c>
      <c r="E691" t="n">
        <v>2963.31</v>
      </c>
      <c r="F691" t="n">
        <v>1.96</v>
      </c>
      <c r="G691" t="n">
        <v>58.08</v>
      </c>
      <c r="H691" t="inlineStr">
        <is>
          <t>Card</t>
        </is>
      </c>
      <c r="I691" t="inlineStr">
        <is>
          <t>Failed</t>
        </is>
      </c>
      <c r="J691" t="inlineStr">
        <is>
          <t>Cancelled</t>
        </is>
      </c>
      <c r="K691" t="n">
        <v>0</v>
      </c>
      <c r="L691" t="n">
        <v>0</v>
      </c>
      <c r="M691" t="inlineStr">
        <is>
          <t>INR</t>
        </is>
      </c>
      <c r="N691" t="inlineStr">
        <is>
          <t>2025-11-06 03:03:10</t>
        </is>
      </c>
    </row>
    <row r="692">
      <c r="A692" t="inlineStr">
        <is>
          <t>TXN00161746</t>
        </is>
      </c>
      <c r="B692" t="inlineStr">
        <is>
          <t>MER00436</t>
        </is>
      </c>
      <c r="C692" s="8" t="n">
        <v>45968</v>
      </c>
      <c r="D692" t="inlineStr">
        <is>
          <t>ORD00161746</t>
        </is>
      </c>
      <c r="E692" t="n">
        <v>6819.13</v>
      </c>
      <c r="F692" t="n">
        <v>1.96</v>
      </c>
      <c r="G692" t="n">
        <v>133.65</v>
      </c>
      <c r="H692" t="inlineStr">
        <is>
          <t>UPI</t>
        </is>
      </c>
      <c r="I692" t="inlineStr">
        <is>
          <t>Success</t>
        </is>
      </c>
      <c r="J692" t="inlineStr">
        <is>
          <t>Delivered</t>
        </is>
      </c>
      <c r="K692" t="n">
        <v>0</v>
      </c>
      <c r="L692" t="n">
        <v>532.26</v>
      </c>
      <c r="M692" t="inlineStr">
        <is>
          <t>INR</t>
        </is>
      </c>
      <c r="N692" t="inlineStr">
        <is>
          <t>2025-11-07 06:40:12</t>
        </is>
      </c>
    </row>
    <row r="693">
      <c r="A693" t="inlineStr">
        <is>
          <t>TXN00161802</t>
        </is>
      </c>
      <c r="B693" t="inlineStr">
        <is>
          <t>MER00436</t>
        </is>
      </c>
      <c r="C693" s="8" t="n">
        <v>45968</v>
      </c>
      <c r="D693" t="inlineStr">
        <is>
          <t>ORD00161802</t>
        </is>
      </c>
      <c r="E693" t="n">
        <v>8486.450000000001</v>
      </c>
      <c r="F693" t="n">
        <v>1.96</v>
      </c>
      <c r="G693" t="n">
        <v>166.33</v>
      </c>
      <c r="H693" t="inlineStr">
        <is>
          <t>COD</t>
        </is>
      </c>
      <c r="I693" t="inlineStr">
        <is>
          <t>Success</t>
        </is>
      </c>
      <c r="J693" t="inlineStr">
        <is>
          <t>Delivered</t>
        </is>
      </c>
      <c r="K693" t="n">
        <v>0</v>
      </c>
      <c r="L693" t="n">
        <v>510.34</v>
      </c>
      <c r="M693" t="inlineStr">
        <is>
          <t>INR</t>
        </is>
      </c>
      <c r="N693" t="inlineStr">
        <is>
          <t>2025-11-07 22:26:42</t>
        </is>
      </c>
    </row>
    <row r="694">
      <c r="A694" t="inlineStr">
        <is>
          <t>TXN00163579</t>
        </is>
      </c>
      <c r="B694" t="inlineStr">
        <is>
          <t>MER00436</t>
        </is>
      </c>
      <c r="C694" s="8" t="n">
        <v>45971</v>
      </c>
      <c r="D694" t="inlineStr">
        <is>
          <t>ORD00163579</t>
        </is>
      </c>
      <c r="E694" t="n">
        <v>3092.71</v>
      </c>
      <c r="F694" t="n">
        <v>1.96</v>
      </c>
      <c r="G694" t="n">
        <v>60.62</v>
      </c>
      <c r="H694" t="inlineStr">
        <is>
          <t>UPI</t>
        </is>
      </c>
      <c r="I694" t="inlineStr">
        <is>
          <t>Success</t>
        </is>
      </c>
      <c r="J694" t="inlineStr">
        <is>
          <t>Cancelled</t>
        </is>
      </c>
      <c r="K694" t="n">
        <v>2830.99</v>
      </c>
      <c r="L694" t="n">
        <v>0</v>
      </c>
      <c r="M694" t="inlineStr">
        <is>
          <t>INR</t>
        </is>
      </c>
      <c r="N694" t="inlineStr">
        <is>
          <t>2025-11-10 10:32:41</t>
        </is>
      </c>
    </row>
    <row r="695">
      <c r="A695" t="inlineStr">
        <is>
          <t>TXN00164244</t>
        </is>
      </c>
      <c r="B695" t="inlineStr">
        <is>
          <t>MER00436</t>
        </is>
      </c>
      <c r="C695" s="8" t="n">
        <v>45973</v>
      </c>
      <c r="D695" t="inlineStr">
        <is>
          <t>ORD00164244</t>
        </is>
      </c>
      <c r="E695" t="n">
        <v>3150.57</v>
      </c>
      <c r="F695" t="n">
        <v>1.96</v>
      </c>
      <c r="G695" t="n">
        <v>61.75</v>
      </c>
      <c r="H695" t="inlineStr">
        <is>
          <t>UPI</t>
        </is>
      </c>
      <c r="I695" t="inlineStr">
        <is>
          <t>Success</t>
        </is>
      </c>
      <c r="J695" t="inlineStr">
        <is>
          <t>Delivered</t>
        </is>
      </c>
      <c r="K695" t="n">
        <v>0</v>
      </c>
      <c r="L695" t="n">
        <v>0</v>
      </c>
      <c r="M695" t="inlineStr">
        <is>
          <t>INR</t>
        </is>
      </c>
      <c r="N695" t="inlineStr">
        <is>
          <t>2025-11-12 20:01:44</t>
        </is>
      </c>
    </row>
    <row r="696">
      <c r="A696" t="inlineStr">
        <is>
          <t>TXN00166033</t>
        </is>
      </c>
      <c r="B696" t="inlineStr">
        <is>
          <t>MER00436</t>
        </is>
      </c>
      <c r="C696" s="8" t="n">
        <v>45976</v>
      </c>
      <c r="D696" t="inlineStr">
        <is>
          <t>ORD00166033</t>
        </is>
      </c>
      <c r="E696" t="n">
        <v>2720.79</v>
      </c>
      <c r="F696" t="n">
        <v>1.96</v>
      </c>
      <c r="G696" t="n">
        <v>53.33</v>
      </c>
      <c r="H696" t="inlineStr">
        <is>
          <t>Card</t>
        </is>
      </c>
      <c r="I696" t="inlineStr">
        <is>
          <t>Success</t>
        </is>
      </c>
      <c r="J696" t="inlineStr">
        <is>
          <t>Cancelled</t>
        </is>
      </c>
      <c r="K696" t="n">
        <v>2420.73</v>
      </c>
      <c r="L696" t="n">
        <v>0</v>
      </c>
      <c r="M696" t="inlineStr">
        <is>
          <t>INR</t>
        </is>
      </c>
      <c r="N696" t="inlineStr">
        <is>
          <t>2025-11-15 12:18:43</t>
        </is>
      </c>
    </row>
    <row r="697">
      <c r="A697" t="inlineStr">
        <is>
          <t>TXN00165987</t>
        </is>
      </c>
      <c r="B697" t="inlineStr">
        <is>
          <t>MER00436</t>
        </is>
      </c>
      <c r="C697" s="8" t="n">
        <v>45976</v>
      </c>
      <c r="D697" t="inlineStr">
        <is>
          <t>ORD00165987</t>
        </is>
      </c>
      <c r="E697" t="n">
        <v>1773.56</v>
      </c>
      <c r="F697" t="n">
        <v>1.96</v>
      </c>
      <c r="G697" t="n">
        <v>34.76</v>
      </c>
      <c r="H697" t="inlineStr">
        <is>
          <t>NetBanking</t>
        </is>
      </c>
      <c r="I697" t="inlineStr">
        <is>
          <t>Success</t>
        </is>
      </c>
      <c r="J697" t="inlineStr">
        <is>
          <t>Delivered</t>
        </is>
      </c>
      <c r="K697" t="n">
        <v>0</v>
      </c>
      <c r="L697" t="n">
        <v>215.54</v>
      </c>
      <c r="M697" t="inlineStr">
        <is>
          <t>INR</t>
        </is>
      </c>
      <c r="N697" t="inlineStr">
        <is>
          <t>2025-11-15 15:09:33</t>
        </is>
      </c>
    </row>
    <row r="698">
      <c r="A698" t="inlineStr">
        <is>
          <t>TXN00166556</t>
        </is>
      </c>
      <c r="B698" t="inlineStr">
        <is>
          <t>MER00436</t>
        </is>
      </c>
      <c r="C698" s="8" t="n">
        <v>45977</v>
      </c>
      <c r="D698" t="inlineStr">
        <is>
          <t>ORD00166556</t>
        </is>
      </c>
      <c r="E698" t="n">
        <v>2319.32</v>
      </c>
      <c r="F698" t="n">
        <v>1.96</v>
      </c>
      <c r="G698" t="n">
        <v>45.46</v>
      </c>
      <c r="H698" t="inlineStr">
        <is>
          <t>UPI</t>
        </is>
      </c>
      <c r="I698" t="inlineStr">
        <is>
          <t>Success</t>
        </is>
      </c>
      <c r="J698" t="inlineStr">
        <is>
          <t>Delivered</t>
        </is>
      </c>
      <c r="K698" t="n">
        <v>0</v>
      </c>
      <c r="L698" t="n">
        <v>0</v>
      </c>
      <c r="M698" t="inlineStr">
        <is>
          <t>INR</t>
        </is>
      </c>
      <c r="N698" t="inlineStr">
        <is>
          <t>2025-11-16 12:42:21</t>
        </is>
      </c>
    </row>
    <row r="699">
      <c r="A699" t="inlineStr">
        <is>
          <t>TXN00170407</t>
        </is>
      </c>
      <c r="B699" t="inlineStr">
        <is>
          <t>MER00436</t>
        </is>
      </c>
      <c r="C699" s="8" t="n">
        <v>45984</v>
      </c>
      <c r="D699" t="inlineStr">
        <is>
          <t>ORD00170407</t>
        </is>
      </c>
      <c r="E699" t="n">
        <v>3759.84</v>
      </c>
      <c r="F699" t="n">
        <v>1.96</v>
      </c>
      <c r="G699" t="n">
        <v>73.69</v>
      </c>
      <c r="H699" t="inlineStr">
        <is>
          <t>UPI</t>
        </is>
      </c>
      <c r="I699" t="inlineStr">
        <is>
          <t>Success</t>
        </is>
      </c>
      <c r="J699" t="inlineStr">
        <is>
          <t>Delivered</t>
        </is>
      </c>
      <c r="K699" t="n">
        <v>0</v>
      </c>
      <c r="L699" t="n">
        <v>0</v>
      </c>
      <c r="M699" t="inlineStr">
        <is>
          <t>INR</t>
        </is>
      </c>
      <c r="N699" t="inlineStr">
        <is>
          <t>2025-11-23 08:23:03</t>
        </is>
      </c>
    </row>
    <row r="700">
      <c r="A700" t="inlineStr">
        <is>
          <t>TXN00171225</t>
        </is>
      </c>
      <c r="B700" t="inlineStr">
        <is>
          <t>MER00436</t>
        </is>
      </c>
      <c r="C700" s="8" t="n">
        <v>45985</v>
      </c>
      <c r="D700" t="inlineStr">
        <is>
          <t>ORD00171225</t>
        </is>
      </c>
      <c r="E700" t="n">
        <v>1343.39</v>
      </c>
      <c r="F700" t="n">
        <v>1.96</v>
      </c>
      <c r="G700" t="n">
        <v>26.33</v>
      </c>
      <c r="H700" t="inlineStr">
        <is>
          <t>UPI</t>
        </is>
      </c>
      <c r="I700" t="inlineStr">
        <is>
          <t>Success</t>
        </is>
      </c>
      <c r="J700" t="inlineStr">
        <is>
          <t>Delivered</t>
        </is>
      </c>
      <c r="K700" t="n">
        <v>0</v>
      </c>
      <c r="L700" t="n">
        <v>190.5</v>
      </c>
      <c r="M700" t="inlineStr">
        <is>
          <t>INR</t>
        </is>
      </c>
      <c r="N700" t="inlineStr">
        <is>
          <t>2025-11-24 15:05:56</t>
        </is>
      </c>
    </row>
    <row r="701">
      <c r="A701" t="inlineStr">
        <is>
          <t>TXN00171234</t>
        </is>
      </c>
      <c r="B701" t="inlineStr">
        <is>
          <t>MER00436</t>
        </is>
      </c>
      <c r="C701" s="8" t="n">
        <v>45985</v>
      </c>
      <c r="D701" t="inlineStr">
        <is>
          <t>ORD00171234</t>
        </is>
      </c>
      <c r="E701" t="n">
        <v>1339.9</v>
      </c>
      <c r="F701" t="n">
        <v>1.96</v>
      </c>
      <c r="G701" t="n">
        <v>26.26</v>
      </c>
      <c r="H701" t="inlineStr">
        <is>
          <t>NetBanking</t>
        </is>
      </c>
      <c r="I701" t="inlineStr">
        <is>
          <t>Success</t>
        </is>
      </c>
      <c r="J701" t="inlineStr">
        <is>
          <t>Delivered</t>
        </is>
      </c>
      <c r="K701" t="n">
        <v>0</v>
      </c>
      <c r="L701" t="n">
        <v>0</v>
      </c>
      <c r="M701" t="inlineStr">
        <is>
          <t>INR</t>
        </is>
      </c>
      <c r="N701" t="inlineStr">
        <is>
          <t>2025-11-24 06:02:36</t>
        </is>
      </c>
    </row>
    <row r="702">
      <c r="A702" t="inlineStr">
        <is>
          <t>TXN00171303</t>
        </is>
      </c>
      <c r="B702" t="inlineStr">
        <is>
          <t>MER00436</t>
        </is>
      </c>
      <c r="C702" s="8" t="n">
        <v>45986</v>
      </c>
      <c r="D702" t="inlineStr">
        <is>
          <t>ORD00171303</t>
        </is>
      </c>
      <c r="E702" t="n">
        <v>3126.15</v>
      </c>
      <c r="F702" t="n">
        <v>1.96</v>
      </c>
      <c r="G702" t="n">
        <v>61.27</v>
      </c>
      <c r="H702" t="inlineStr">
        <is>
          <t>UPI</t>
        </is>
      </c>
      <c r="I702" t="inlineStr">
        <is>
          <t>Success</t>
        </is>
      </c>
      <c r="J702" t="inlineStr">
        <is>
          <t>Delivered</t>
        </is>
      </c>
      <c r="K702" t="n">
        <v>0</v>
      </c>
      <c r="L702" t="n">
        <v>383.12</v>
      </c>
      <c r="M702" t="inlineStr">
        <is>
          <t>INR</t>
        </is>
      </c>
      <c r="N702" t="inlineStr">
        <is>
          <t>2025-11-25 18:05:45</t>
        </is>
      </c>
    </row>
    <row r="703">
      <c r="A703" t="inlineStr">
        <is>
          <t>TXN00176912</t>
        </is>
      </c>
      <c r="B703" t="inlineStr">
        <is>
          <t>MER00436</t>
        </is>
      </c>
      <c r="C703" s="8" t="n">
        <v>45997</v>
      </c>
      <c r="D703" t="inlineStr">
        <is>
          <t>ORD00176912</t>
        </is>
      </c>
      <c r="E703" t="n">
        <v>2689.97</v>
      </c>
      <c r="F703" t="n">
        <v>1.96</v>
      </c>
      <c r="G703" t="n">
        <v>52.72</v>
      </c>
      <c r="H703" t="inlineStr">
        <is>
          <t>COD</t>
        </is>
      </c>
      <c r="I703" t="inlineStr">
        <is>
          <t>Failed</t>
        </is>
      </c>
      <c r="J703" t="inlineStr">
        <is>
          <t>Processing</t>
        </is>
      </c>
      <c r="K703" t="n">
        <v>0</v>
      </c>
      <c r="L703" t="n">
        <v>0</v>
      </c>
      <c r="M703" t="inlineStr">
        <is>
          <t>INR</t>
        </is>
      </c>
      <c r="N703" t="inlineStr">
        <is>
          <t>2025-12-06 17:45:58</t>
        </is>
      </c>
    </row>
    <row r="704">
      <c r="A704" t="inlineStr">
        <is>
          <t>TXN00177426</t>
        </is>
      </c>
      <c r="B704" t="inlineStr">
        <is>
          <t>MER00436</t>
        </is>
      </c>
      <c r="C704" s="8" t="n">
        <v>45999</v>
      </c>
      <c r="D704" t="inlineStr">
        <is>
          <t>ORD00177426</t>
        </is>
      </c>
      <c r="E704" t="n">
        <v>5752.43</v>
      </c>
      <c r="F704" t="n">
        <v>1.96</v>
      </c>
      <c r="G704" t="n">
        <v>112.75</v>
      </c>
      <c r="H704" t="inlineStr">
        <is>
          <t>UPI</t>
        </is>
      </c>
      <c r="I704" t="inlineStr">
        <is>
          <t>Success</t>
        </is>
      </c>
      <c r="J704" t="inlineStr">
        <is>
          <t>Delivered</t>
        </is>
      </c>
      <c r="K704" t="n">
        <v>0</v>
      </c>
      <c r="L704" t="n">
        <v>0</v>
      </c>
      <c r="M704" t="inlineStr">
        <is>
          <t>INR</t>
        </is>
      </c>
      <c r="N704" t="inlineStr">
        <is>
          <t>2025-12-08 08:59:43</t>
        </is>
      </c>
    </row>
    <row r="705">
      <c r="A705" t="inlineStr">
        <is>
          <t>TXN00177861</t>
        </is>
      </c>
      <c r="B705" t="inlineStr">
        <is>
          <t>MER00436</t>
        </is>
      </c>
      <c r="C705" s="8" t="n">
        <v>46000</v>
      </c>
      <c r="D705" t="inlineStr">
        <is>
          <t>ORD00177861</t>
        </is>
      </c>
      <c r="E705" t="n">
        <v>4181.51</v>
      </c>
      <c r="F705" t="n">
        <v>1.96</v>
      </c>
      <c r="G705" t="n">
        <v>81.95999999999999</v>
      </c>
      <c r="H705" t="inlineStr">
        <is>
          <t>UPI</t>
        </is>
      </c>
      <c r="I705" t="inlineStr">
        <is>
          <t>Failed</t>
        </is>
      </c>
      <c r="J705" t="inlineStr">
        <is>
          <t>Cancelled</t>
        </is>
      </c>
      <c r="K705" t="n">
        <v>0</v>
      </c>
      <c r="L705" t="n">
        <v>0</v>
      </c>
      <c r="M705" t="inlineStr">
        <is>
          <t>INR</t>
        </is>
      </c>
      <c r="N705" t="inlineStr">
        <is>
          <t>2025-12-09 13:10:06</t>
        </is>
      </c>
    </row>
    <row r="706">
      <c r="A706" t="inlineStr">
        <is>
          <t>TXN00178881</t>
        </is>
      </c>
      <c r="B706" t="inlineStr">
        <is>
          <t>MER00436</t>
        </is>
      </c>
      <c r="C706" s="8" t="n">
        <v>46003</v>
      </c>
      <c r="D706" t="inlineStr">
        <is>
          <t>ORD00178881</t>
        </is>
      </c>
      <c r="E706" t="n">
        <v>6096.48</v>
      </c>
      <c r="F706" t="n">
        <v>1.96</v>
      </c>
      <c r="G706" t="n">
        <v>119.49</v>
      </c>
      <c r="H706" t="inlineStr">
        <is>
          <t>UPI</t>
        </is>
      </c>
      <c r="I706" t="inlineStr">
        <is>
          <t>Failed</t>
        </is>
      </c>
      <c r="J706" t="inlineStr">
        <is>
          <t>Cancelled</t>
        </is>
      </c>
      <c r="K706" t="n">
        <v>0</v>
      </c>
      <c r="L706" t="n">
        <v>0</v>
      </c>
      <c r="M706" t="inlineStr">
        <is>
          <t>INR</t>
        </is>
      </c>
      <c r="N706" t="inlineStr">
        <is>
          <t>2025-12-12 04:49:29</t>
        </is>
      </c>
    </row>
    <row r="707">
      <c r="A707" t="inlineStr">
        <is>
          <t>TXN00180107</t>
        </is>
      </c>
      <c r="B707" t="inlineStr">
        <is>
          <t>MER00436</t>
        </is>
      </c>
      <c r="C707" s="8" t="n">
        <v>46006</v>
      </c>
      <c r="D707" t="inlineStr">
        <is>
          <t>ORD00180107</t>
        </is>
      </c>
      <c r="E707" t="n">
        <v>3961.46</v>
      </c>
      <c r="F707" t="n">
        <v>1.96</v>
      </c>
      <c r="G707" t="n">
        <v>77.64</v>
      </c>
      <c r="H707" t="inlineStr">
        <is>
          <t>NetBanking</t>
        </is>
      </c>
      <c r="I707" t="inlineStr">
        <is>
          <t>Success</t>
        </is>
      </c>
      <c r="J707" t="inlineStr">
        <is>
          <t>Delivered</t>
        </is>
      </c>
      <c r="K707" t="n">
        <v>0</v>
      </c>
      <c r="L707" t="n">
        <v>0</v>
      </c>
      <c r="M707" t="inlineStr">
        <is>
          <t>INR</t>
        </is>
      </c>
      <c r="N707" t="inlineStr">
        <is>
          <t>2025-12-15 02:16:00</t>
        </is>
      </c>
    </row>
    <row r="708">
      <c r="A708" t="inlineStr">
        <is>
          <t>TXN00181032</t>
        </is>
      </c>
      <c r="B708" t="inlineStr">
        <is>
          <t>MER00436</t>
        </is>
      </c>
      <c r="C708" s="8" t="n">
        <v>46008</v>
      </c>
      <c r="D708" t="inlineStr">
        <is>
          <t>ORD00181032</t>
        </is>
      </c>
      <c r="E708" t="n">
        <v>11824.93</v>
      </c>
      <c r="F708" t="n">
        <v>1.96</v>
      </c>
      <c r="G708" t="n">
        <v>231.77</v>
      </c>
      <c r="H708" t="inlineStr">
        <is>
          <t>UPI</t>
        </is>
      </c>
      <c r="I708" t="inlineStr">
        <is>
          <t>Success</t>
        </is>
      </c>
      <c r="J708" t="inlineStr">
        <is>
          <t>Delivered</t>
        </is>
      </c>
      <c r="K708" t="n">
        <v>0</v>
      </c>
      <c r="L708" t="n">
        <v>2207.38</v>
      </c>
      <c r="M708" t="inlineStr">
        <is>
          <t>INR</t>
        </is>
      </c>
      <c r="N708" t="inlineStr">
        <is>
          <t>2025-12-17 01:55:12</t>
        </is>
      </c>
    </row>
    <row r="709">
      <c r="A709" t="inlineStr">
        <is>
          <t>TXN00182900</t>
        </is>
      </c>
      <c r="B709" t="inlineStr">
        <is>
          <t>MER00436</t>
        </is>
      </c>
      <c r="C709" s="8" t="n">
        <v>46013</v>
      </c>
      <c r="D709" t="inlineStr">
        <is>
          <t>ORD00182900</t>
        </is>
      </c>
      <c r="E709" t="n">
        <v>1640.63</v>
      </c>
      <c r="F709" t="n">
        <v>1.96</v>
      </c>
      <c r="G709" t="n">
        <v>32.16</v>
      </c>
      <c r="H709" t="inlineStr">
        <is>
          <t>UPI</t>
        </is>
      </c>
      <c r="I709" t="inlineStr">
        <is>
          <t>Success</t>
        </is>
      </c>
      <c r="J709" t="inlineStr">
        <is>
          <t>Delivered</t>
        </is>
      </c>
      <c r="K709" t="n">
        <v>0</v>
      </c>
      <c r="L709" t="n">
        <v>0</v>
      </c>
      <c r="M709" t="inlineStr">
        <is>
          <t>INR</t>
        </is>
      </c>
      <c r="N709" t="inlineStr">
        <is>
          <t>2025-12-22 19:11:37</t>
        </is>
      </c>
    </row>
    <row r="710">
      <c r="A710" t="inlineStr">
        <is>
          <t>TXN00183662</t>
        </is>
      </c>
      <c r="B710" t="inlineStr">
        <is>
          <t>MER00436</t>
        </is>
      </c>
      <c r="C710" s="8" t="n">
        <v>46016</v>
      </c>
      <c r="D710" t="inlineStr">
        <is>
          <t>ORD00183662</t>
        </is>
      </c>
      <c r="E710" t="n">
        <v>5593.04</v>
      </c>
      <c r="F710" t="n">
        <v>1.96</v>
      </c>
      <c r="G710" t="n">
        <v>109.62</v>
      </c>
      <c r="H710" t="inlineStr">
        <is>
          <t>UPI</t>
        </is>
      </c>
      <c r="I710" t="inlineStr">
        <is>
          <t>Success</t>
        </is>
      </c>
      <c r="J710" t="inlineStr">
        <is>
          <t>Delivered</t>
        </is>
      </c>
      <c r="K710" t="n">
        <v>0</v>
      </c>
      <c r="L710" t="n">
        <v>0</v>
      </c>
      <c r="M710" t="inlineStr">
        <is>
          <t>INR</t>
        </is>
      </c>
      <c r="N710" t="inlineStr">
        <is>
          <t>2025-12-25 15:48:17</t>
        </is>
      </c>
    </row>
    <row r="711">
      <c r="A711" t="inlineStr">
        <is>
          <t>TXN00183910</t>
        </is>
      </c>
      <c r="B711" t="inlineStr">
        <is>
          <t>MER00436</t>
        </is>
      </c>
      <c r="C711" s="8" t="n">
        <v>46016</v>
      </c>
      <c r="D711" t="inlineStr">
        <is>
          <t>ORD00183910</t>
        </is>
      </c>
      <c r="E711" t="n">
        <v>8351.139999999999</v>
      </c>
      <c r="F711" t="n">
        <v>1.96</v>
      </c>
      <c r="G711" t="n">
        <v>163.68</v>
      </c>
      <c r="H711" t="inlineStr">
        <is>
          <t>Card</t>
        </is>
      </c>
      <c r="I711" t="inlineStr">
        <is>
          <t>Success</t>
        </is>
      </c>
      <c r="J711" t="inlineStr">
        <is>
          <t>Returned</t>
        </is>
      </c>
      <c r="K711" t="n">
        <v>8351.139999999999</v>
      </c>
      <c r="L711" t="n">
        <v>0</v>
      </c>
      <c r="M711" t="inlineStr">
        <is>
          <t>INR</t>
        </is>
      </c>
      <c r="N711" t="inlineStr">
        <is>
          <t>2025-12-25 15:44:47</t>
        </is>
      </c>
    </row>
    <row r="712">
      <c r="A712" t="inlineStr">
        <is>
          <t>TXN00184421</t>
        </is>
      </c>
      <c r="B712" t="inlineStr">
        <is>
          <t>MER00436</t>
        </is>
      </c>
      <c r="C712" s="8" t="n">
        <v>46017</v>
      </c>
      <c r="D712" t="inlineStr">
        <is>
          <t>ORD00184421</t>
        </is>
      </c>
      <c r="E712" t="n">
        <v>6549.71</v>
      </c>
      <c r="F712" t="n">
        <v>1.96</v>
      </c>
      <c r="G712" t="n">
        <v>128.37</v>
      </c>
      <c r="H712" t="inlineStr">
        <is>
          <t>UPI</t>
        </is>
      </c>
      <c r="I712" t="inlineStr">
        <is>
          <t>Success</t>
        </is>
      </c>
      <c r="J712" t="inlineStr">
        <is>
          <t>Delivered</t>
        </is>
      </c>
      <c r="K712" t="n">
        <v>0</v>
      </c>
      <c r="L712" t="n">
        <v>0</v>
      </c>
      <c r="M712" t="inlineStr">
        <is>
          <t>INR</t>
        </is>
      </c>
      <c r="N712" t="inlineStr">
        <is>
          <t>2025-12-26 16:43:39</t>
        </is>
      </c>
    </row>
    <row r="713">
      <c r="A713" t="inlineStr">
        <is>
          <t>TXN00184537</t>
        </is>
      </c>
      <c r="B713" t="inlineStr">
        <is>
          <t>MER00436</t>
        </is>
      </c>
      <c r="C713" s="8" t="n">
        <v>46018</v>
      </c>
      <c r="D713" t="inlineStr">
        <is>
          <t>ORD00184537</t>
        </is>
      </c>
      <c r="E713" t="n">
        <v>3440.32</v>
      </c>
      <c r="F713" t="n">
        <v>1.96</v>
      </c>
      <c r="G713" t="n">
        <v>67.43000000000001</v>
      </c>
      <c r="H713" t="inlineStr">
        <is>
          <t>Card</t>
        </is>
      </c>
      <c r="I713" t="inlineStr">
        <is>
          <t>Success</t>
        </is>
      </c>
      <c r="J713" t="inlineStr">
        <is>
          <t>Delivered</t>
        </is>
      </c>
      <c r="K713" t="n">
        <v>0</v>
      </c>
      <c r="L713" t="n">
        <v>0</v>
      </c>
      <c r="M713" t="inlineStr">
        <is>
          <t>INR</t>
        </is>
      </c>
      <c r="N713" t="inlineStr">
        <is>
          <t>2025-12-27 07:09:19</t>
        </is>
      </c>
    </row>
    <row r="714">
      <c r="A714" t="inlineStr">
        <is>
          <t>TXN00187585</t>
        </is>
      </c>
      <c r="B714" t="inlineStr">
        <is>
          <t>MER00436</t>
        </is>
      </c>
      <c r="C714" s="8" t="n">
        <v>46025</v>
      </c>
      <c r="D714" t="inlineStr">
        <is>
          <t>ORD00187585</t>
        </is>
      </c>
      <c r="E714" t="n">
        <v>10844.79</v>
      </c>
      <c r="F714" t="n">
        <v>1.96</v>
      </c>
      <c r="G714" t="n">
        <v>212.56</v>
      </c>
      <c r="H714" t="inlineStr">
        <is>
          <t>Card</t>
        </is>
      </c>
      <c r="I714" t="inlineStr">
        <is>
          <t>Success</t>
        </is>
      </c>
      <c r="J714" t="inlineStr">
        <is>
          <t>Delivered</t>
        </is>
      </c>
      <c r="K714" t="n">
        <v>0</v>
      </c>
      <c r="L714" t="n">
        <v>0</v>
      </c>
      <c r="M714" t="inlineStr">
        <is>
          <t>INR</t>
        </is>
      </c>
      <c r="N714" t="inlineStr">
        <is>
          <t>2026-01-03 04:11:16</t>
        </is>
      </c>
    </row>
    <row r="715">
      <c r="A715" t="inlineStr">
        <is>
          <t>TXN00189949</t>
        </is>
      </c>
      <c r="B715" t="inlineStr">
        <is>
          <t>MER00436</t>
        </is>
      </c>
      <c r="C715" s="8" t="n">
        <v>46031</v>
      </c>
      <c r="D715" t="inlineStr">
        <is>
          <t>ORD00189949</t>
        </is>
      </c>
      <c r="E715" t="n">
        <v>2433.66</v>
      </c>
      <c r="F715" t="n">
        <v>1.96</v>
      </c>
      <c r="G715" t="n">
        <v>47.7</v>
      </c>
      <c r="H715" t="inlineStr">
        <is>
          <t>UPI</t>
        </is>
      </c>
      <c r="I715" t="inlineStr">
        <is>
          <t>Pending</t>
        </is>
      </c>
      <c r="J715" t="inlineStr">
        <is>
          <t>Cancelled</t>
        </is>
      </c>
      <c r="K715" t="n">
        <v>0</v>
      </c>
      <c r="L715" t="n">
        <v>0</v>
      </c>
      <c r="M715" t="inlineStr">
        <is>
          <t>INR</t>
        </is>
      </c>
      <c r="N715" t="inlineStr">
        <is>
          <t>2026-01-09 07:52:45</t>
        </is>
      </c>
    </row>
    <row r="716">
      <c r="A716" t="inlineStr">
        <is>
          <t>TXN00190868</t>
        </is>
      </c>
      <c r="B716" t="inlineStr">
        <is>
          <t>MER00436</t>
        </is>
      </c>
      <c r="C716" s="8" t="n">
        <v>46033</v>
      </c>
      <c r="D716" t="inlineStr">
        <is>
          <t>ORD00190868</t>
        </is>
      </c>
      <c r="E716" t="n">
        <v>6201.06</v>
      </c>
      <c r="F716" t="n">
        <v>1.96</v>
      </c>
      <c r="G716" t="n">
        <v>121.54</v>
      </c>
      <c r="H716" t="inlineStr">
        <is>
          <t>Card</t>
        </is>
      </c>
      <c r="I716" t="inlineStr">
        <is>
          <t>Success</t>
        </is>
      </c>
      <c r="J716" t="inlineStr">
        <is>
          <t>Delivered</t>
        </is>
      </c>
      <c r="K716" t="n">
        <v>0</v>
      </c>
      <c r="L716" t="n">
        <v>0</v>
      </c>
      <c r="M716" t="inlineStr">
        <is>
          <t>INR</t>
        </is>
      </c>
      <c r="N716" t="inlineStr">
        <is>
          <t>2026-01-11 14:54:49</t>
        </is>
      </c>
    </row>
    <row r="717">
      <c r="A717" t="inlineStr">
        <is>
          <t>TXN00191028</t>
        </is>
      </c>
      <c r="B717" t="inlineStr">
        <is>
          <t>MER00436</t>
        </is>
      </c>
      <c r="C717" s="8" t="n">
        <v>46033</v>
      </c>
      <c r="D717" t="inlineStr">
        <is>
          <t>ORD00191028</t>
        </is>
      </c>
      <c r="E717" t="n">
        <v>1299.79</v>
      </c>
      <c r="F717" t="n">
        <v>1.96</v>
      </c>
      <c r="G717" t="n">
        <v>25.48</v>
      </c>
      <c r="H717" t="inlineStr">
        <is>
          <t>UPI</t>
        </is>
      </c>
      <c r="I717" t="inlineStr">
        <is>
          <t>Success</t>
        </is>
      </c>
      <c r="J717" t="inlineStr">
        <is>
          <t>Delivered</t>
        </is>
      </c>
      <c r="K717" t="n">
        <v>0</v>
      </c>
      <c r="L717" t="n">
        <v>0</v>
      </c>
      <c r="M717" t="inlineStr">
        <is>
          <t>INR</t>
        </is>
      </c>
      <c r="N717" t="inlineStr">
        <is>
          <t>2026-01-11 22:27:36</t>
        </is>
      </c>
    </row>
    <row r="718">
      <c r="A718" t="inlineStr">
        <is>
          <t>TXN00192958</t>
        </is>
      </c>
      <c r="B718" t="inlineStr">
        <is>
          <t>MER00436</t>
        </is>
      </c>
      <c r="C718" s="8" t="n">
        <v>46037</v>
      </c>
      <c r="D718" t="inlineStr">
        <is>
          <t>ORD00192958</t>
        </is>
      </c>
      <c r="E718" t="n">
        <v>2909.57</v>
      </c>
      <c r="F718" t="n">
        <v>1.96</v>
      </c>
      <c r="G718" t="n">
        <v>57.03</v>
      </c>
      <c r="H718" t="inlineStr">
        <is>
          <t>Card</t>
        </is>
      </c>
      <c r="I718" t="inlineStr">
        <is>
          <t>Success</t>
        </is>
      </c>
      <c r="J718" t="inlineStr">
        <is>
          <t>Delivered</t>
        </is>
      </c>
      <c r="K718" t="n">
        <v>0</v>
      </c>
      <c r="L718" t="n">
        <v>0</v>
      </c>
      <c r="M718" t="inlineStr">
        <is>
          <t>INR</t>
        </is>
      </c>
      <c r="N718" t="inlineStr">
        <is>
          <t>2026-01-15 09:02:10</t>
        </is>
      </c>
    </row>
    <row r="719">
      <c r="A719" t="inlineStr">
        <is>
          <t>TXN00195271</t>
        </is>
      </c>
      <c r="B719" t="inlineStr">
        <is>
          <t>MER00436</t>
        </is>
      </c>
      <c r="C719" s="8" t="n">
        <v>46042</v>
      </c>
      <c r="D719" t="inlineStr">
        <is>
          <t>ORD00195271</t>
        </is>
      </c>
      <c r="E719" t="n">
        <v>5660.14</v>
      </c>
      <c r="F719" t="n">
        <v>1.96</v>
      </c>
      <c r="G719" t="n">
        <v>110.94</v>
      </c>
      <c r="H719" t="inlineStr">
        <is>
          <t>UPI</t>
        </is>
      </c>
      <c r="I719" t="inlineStr">
        <is>
          <t>Pending</t>
        </is>
      </c>
      <c r="J719" t="inlineStr">
        <is>
          <t>Processing</t>
        </is>
      </c>
      <c r="K719" t="n">
        <v>0</v>
      </c>
      <c r="L719" t="n">
        <v>0</v>
      </c>
      <c r="M719" t="inlineStr">
        <is>
          <t>INR</t>
        </is>
      </c>
      <c r="N719" t="inlineStr">
        <is>
          <t>2026-01-20 10:00:02</t>
        </is>
      </c>
    </row>
    <row r="720">
      <c r="A720" t="inlineStr">
        <is>
          <t>TXN00197351</t>
        </is>
      </c>
      <c r="B720" t="inlineStr">
        <is>
          <t>MER00436</t>
        </is>
      </c>
      <c r="C720" s="8" t="n">
        <v>46047</v>
      </c>
      <c r="D720" t="inlineStr">
        <is>
          <t>ORD00197351</t>
        </is>
      </c>
      <c r="E720" t="n">
        <v>4074.63</v>
      </c>
      <c r="F720" t="n">
        <v>1.96</v>
      </c>
      <c r="G720" t="n">
        <v>79.86</v>
      </c>
      <c r="H720" t="inlineStr">
        <is>
          <t>UPI</t>
        </is>
      </c>
      <c r="I720" t="inlineStr">
        <is>
          <t>Success</t>
        </is>
      </c>
      <c r="J720" t="inlineStr">
        <is>
          <t>Delivered</t>
        </is>
      </c>
      <c r="K720" t="n">
        <v>0</v>
      </c>
      <c r="L720" t="n">
        <v>0</v>
      </c>
      <c r="M720" t="inlineStr">
        <is>
          <t>INR</t>
        </is>
      </c>
      <c r="N720" t="inlineStr">
        <is>
          <t>2026-01-25 20:24:01</t>
        </is>
      </c>
    </row>
    <row r="721">
      <c r="A721" t="inlineStr">
        <is>
          <t>TXN00198786</t>
        </is>
      </c>
      <c r="B721" t="inlineStr">
        <is>
          <t>MER00436</t>
        </is>
      </c>
      <c r="C721" s="8" t="n">
        <v>46050</v>
      </c>
      <c r="D721" t="inlineStr">
        <is>
          <t>ORD00198786</t>
        </is>
      </c>
      <c r="E721" t="n">
        <v>2153.6</v>
      </c>
      <c r="F721" t="n">
        <v>1.96</v>
      </c>
      <c r="G721" t="n">
        <v>42.21</v>
      </c>
      <c r="H721" t="inlineStr">
        <is>
          <t>Card</t>
        </is>
      </c>
      <c r="I721" t="inlineStr">
        <is>
          <t>Success</t>
        </is>
      </c>
      <c r="J721" t="inlineStr">
        <is>
          <t>Delivered</t>
        </is>
      </c>
      <c r="K721" t="n">
        <v>0</v>
      </c>
      <c r="L721" t="n">
        <v>0</v>
      </c>
      <c r="M721" t="inlineStr">
        <is>
          <t>INR</t>
        </is>
      </c>
      <c r="N721" t="inlineStr">
        <is>
          <t>2026-01-28 03:39:55</t>
        </is>
      </c>
    </row>
    <row r="722">
      <c r="A722" t="inlineStr">
        <is>
          <t>TXN00199513</t>
        </is>
      </c>
      <c r="B722" t="inlineStr">
        <is>
          <t>MER00436</t>
        </is>
      </c>
      <c r="C722" s="8" t="n">
        <v>46052</v>
      </c>
      <c r="D722" t="inlineStr">
        <is>
          <t>ORD00199513</t>
        </is>
      </c>
      <c r="E722" t="n">
        <v>2428.57</v>
      </c>
      <c r="F722" t="n">
        <v>1.96</v>
      </c>
      <c r="G722" t="n">
        <v>47.6</v>
      </c>
      <c r="H722" t="inlineStr">
        <is>
          <t>UPI</t>
        </is>
      </c>
      <c r="I722" t="inlineStr">
        <is>
          <t>Unknown</t>
        </is>
      </c>
      <c r="J722" t="inlineStr">
        <is>
          <t>Delivered</t>
        </is>
      </c>
      <c r="K722" t="n">
        <v>0</v>
      </c>
      <c r="L722" t="n">
        <v>0</v>
      </c>
      <c r="M722" t="inlineStr">
        <is>
          <t>INR</t>
        </is>
      </c>
      <c r="N722" t="inlineStr">
        <is>
          <t>2026-01-30 21:09:13</t>
        </is>
      </c>
    </row>
    <row r="723">
      <c r="A723" t="inlineStr">
        <is>
          <t>TXN00200512</t>
        </is>
      </c>
      <c r="B723" t="inlineStr">
        <is>
          <t>MER00436</t>
        </is>
      </c>
      <c r="C723" s="8" t="n">
        <v>46054</v>
      </c>
      <c r="D723" t="inlineStr">
        <is>
          <t>ORD00200512</t>
        </is>
      </c>
      <c r="E723" t="n">
        <v>9163.889999999999</v>
      </c>
      <c r="F723" t="n">
        <v>1.96</v>
      </c>
      <c r="G723" t="n">
        <v>179.61</v>
      </c>
      <c r="H723" t="inlineStr">
        <is>
          <t>UPI</t>
        </is>
      </c>
      <c r="I723" t="inlineStr">
        <is>
          <t>Success</t>
        </is>
      </c>
      <c r="J723" t="inlineStr">
        <is>
          <t>Cancelled</t>
        </is>
      </c>
      <c r="K723" t="n">
        <v>8921.530000000001</v>
      </c>
      <c r="L723" t="n">
        <v>0</v>
      </c>
      <c r="M723" t="inlineStr">
        <is>
          <t>INR</t>
        </is>
      </c>
      <c r="N723" t="inlineStr">
        <is>
          <t>2026-02-01 02:19:49</t>
        </is>
      </c>
    </row>
    <row r="724">
      <c r="A724" t="inlineStr">
        <is>
          <t>TXN00205952</t>
        </is>
      </c>
      <c r="B724" t="inlineStr">
        <is>
          <t>MER00436</t>
        </is>
      </c>
      <c r="C724" s="8" t="n">
        <v>46067</v>
      </c>
      <c r="D724" t="inlineStr">
        <is>
          <t>ORD00205952</t>
        </is>
      </c>
      <c r="E724" t="n">
        <v>4995.31</v>
      </c>
      <c r="F724" t="n">
        <v>1.96</v>
      </c>
      <c r="G724" t="n">
        <v>97.91</v>
      </c>
      <c r="H724" t="inlineStr">
        <is>
          <t>UPI</t>
        </is>
      </c>
      <c r="I724" t="inlineStr">
        <is>
          <t>Success</t>
        </is>
      </c>
      <c r="J724" t="inlineStr">
        <is>
          <t>Returned</t>
        </is>
      </c>
      <c r="K724" t="n">
        <v>4995.31</v>
      </c>
      <c r="L724" t="n">
        <v>0</v>
      </c>
      <c r="M724" t="inlineStr">
        <is>
          <t>INR</t>
        </is>
      </c>
      <c r="N724" t="inlineStr">
        <is>
          <t>2026-02-14 16:01:21</t>
        </is>
      </c>
    </row>
    <row r="725">
      <c r="A725" t="inlineStr">
        <is>
          <t>TXN00210315</t>
        </is>
      </c>
      <c r="B725" t="inlineStr">
        <is>
          <t>MER00436</t>
        </is>
      </c>
      <c r="C725" s="8" t="n">
        <v>46078</v>
      </c>
      <c r="D725" t="inlineStr">
        <is>
          <t>ORD00210315</t>
        </is>
      </c>
      <c r="E725" t="n">
        <v>4669.08</v>
      </c>
      <c r="F725" t="n">
        <v>1.96</v>
      </c>
      <c r="G725" t="n">
        <v>91.51000000000001</v>
      </c>
      <c r="H725" t="inlineStr">
        <is>
          <t>Card</t>
        </is>
      </c>
      <c r="I725" t="inlineStr">
        <is>
          <t>Success</t>
        </is>
      </c>
      <c r="J725" t="inlineStr">
        <is>
          <t>Delivered</t>
        </is>
      </c>
      <c r="K725" t="n">
        <v>0</v>
      </c>
      <c r="L725" t="n">
        <v>0</v>
      </c>
      <c r="M725" t="inlineStr">
        <is>
          <t>INR</t>
        </is>
      </c>
      <c r="N725" t="inlineStr">
        <is>
          <t>2026-02-25 09:40:44</t>
        </is>
      </c>
    </row>
    <row r="726">
      <c r="A726" t="inlineStr">
        <is>
          <t>TXN00215061</t>
        </is>
      </c>
      <c r="B726" t="inlineStr">
        <is>
          <t>MER00436</t>
        </is>
      </c>
      <c r="C726" s="8" t="n">
        <v>46091</v>
      </c>
      <c r="D726" t="inlineStr">
        <is>
          <t>ORD00215061</t>
        </is>
      </c>
      <c r="E726" t="n">
        <v>2900.93</v>
      </c>
      <c r="F726" t="n">
        <v>1.96</v>
      </c>
      <c r="G726" t="n">
        <v>56.86</v>
      </c>
      <c r="H726" t="inlineStr">
        <is>
          <t>UPI</t>
        </is>
      </c>
      <c r="I726" t="inlineStr">
        <is>
          <t>Success</t>
        </is>
      </c>
      <c r="J726" t="inlineStr">
        <is>
          <t>Delivered</t>
        </is>
      </c>
      <c r="K726" t="n">
        <v>0</v>
      </c>
      <c r="L726" t="n">
        <v>207.23</v>
      </c>
      <c r="M726" t="inlineStr">
        <is>
          <t>INR</t>
        </is>
      </c>
      <c r="N726" t="inlineStr">
        <is>
          <t>2026-03-10 22:25:39</t>
        </is>
      </c>
    </row>
    <row r="727">
      <c r="A727" t="inlineStr">
        <is>
          <t>TXN00216944</t>
        </is>
      </c>
      <c r="B727" t="inlineStr">
        <is>
          <t>MER00436</t>
        </is>
      </c>
      <c r="C727" s="8" t="n">
        <v>46096</v>
      </c>
      <c r="D727" t="inlineStr">
        <is>
          <t>ORD00216944</t>
        </is>
      </c>
      <c r="E727" t="n">
        <v>16405.19</v>
      </c>
      <c r="F727" t="n">
        <v>1.96</v>
      </c>
      <c r="G727" t="n">
        <v>321.54</v>
      </c>
      <c r="H727" t="inlineStr">
        <is>
          <t>Card</t>
        </is>
      </c>
      <c r="I727" t="inlineStr">
        <is>
          <t>Success</t>
        </is>
      </c>
      <c r="J727" t="inlineStr">
        <is>
          <t>Delivered</t>
        </is>
      </c>
      <c r="K727" t="n">
        <v>0</v>
      </c>
      <c r="L727" t="n">
        <v>0</v>
      </c>
      <c r="M727" t="inlineStr">
        <is>
          <t>INR</t>
        </is>
      </c>
      <c r="N727" t="inlineStr">
        <is>
          <t>2026-03-15 17:58:05</t>
        </is>
      </c>
    </row>
    <row r="728">
      <c r="A728" t="inlineStr">
        <is>
          <t>TXN00220257</t>
        </is>
      </c>
      <c r="B728" t="inlineStr">
        <is>
          <t>MER00436</t>
        </is>
      </c>
      <c r="C728" s="8" t="n">
        <v>46105</v>
      </c>
      <c r="D728" t="inlineStr">
        <is>
          <t>ORD00220257</t>
        </is>
      </c>
      <c r="E728" t="n">
        <v>2523.07</v>
      </c>
      <c r="F728" t="n">
        <v>1.96</v>
      </c>
      <c r="G728" t="n">
        <v>49.45</v>
      </c>
      <c r="H728" t="inlineStr">
        <is>
          <t>UPI</t>
        </is>
      </c>
      <c r="I728" t="inlineStr">
        <is>
          <t>Success</t>
        </is>
      </c>
      <c r="J728" t="inlineStr">
        <is>
          <t>Delivered</t>
        </is>
      </c>
      <c r="K728" t="n">
        <v>0</v>
      </c>
      <c r="L728" t="n">
        <v>0</v>
      </c>
      <c r="M728" t="inlineStr">
        <is>
          <t>INR</t>
        </is>
      </c>
      <c r="N728" t="inlineStr">
        <is>
          <t>2026-03-24 16:10:46</t>
        </is>
      </c>
    </row>
    <row r="729">
      <c r="A729" t="inlineStr">
        <is>
          <t>TXN00222089</t>
        </is>
      </c>
      <c r="B729" t="inlineStr">
        <is>
          <t>MER00436</t>
        </is>
      </c>
      <c r="C729" s="8" t="n">
        <v>46110</v>
      </c>
      <c r="D729" t="inlineStr">
        <is>
          <t>ORD00222089</t>
        </is>
      </c>
      <c r="E729" t="n">
        <v>2014.76</v>
      </c>
      <c r="F729" t="n">
        <v>1.96</v>
      </c>
      <c r="G729" t="n">
        <v>39.49</v>
      </c>
      <c r="H729" t="inlineStr">
        <is>
          <t>Card</t>
        </is>
      </c>
      <c r="I729" t="inlineStr">
        <is>
          <t>Success</t>
        </is>
      </c>
      <c r="J729" t="inlineStr">
        <is>
          <t>Delivered</t>
        </is>
      </c>
      <c r="K729" t="n">
        <v>0</v>
      </c>
      <c r="L729" t="n">
        <v>0</v>
      </c>
      <c r="M729" t="inlineStr">
        <is>
          <t>INR</t>
        </is>
      </c>
      <c r="N729" t="inlineStr">
        <is>
          <t>2026-03-29 12:48:51</t>
        </is>
      </c>
    </row>
    <row r="730">
      <c r="A730" t="inlineStr">
        <is>
          <t>TXN00223273</t>
        </is>
      </c>
      <c r="B730" t="inlineStr">
        <is>
          <t>MER00436</t>
        </is>
      </c>
      <c r="C730" s="8" t="n">
        <v>46113</v>
      </c>
      <c r="D730" t="inlineStr">
        <is>
          <t>ORD00223273</t>
        </is>
      </c>
      <c r="E730" t="n">
        <v>4065.85</v>
      </c>
      <c r="F730" t="n">
        <v>1.96</v>
      </c>
      <c r="G730" t="n">
        <v>79.69</v>
      </c>
      <c r="H730" t="inlineStr">
        <is>
          <t>UPI</t>
        </is>
      </c>
      <c r="I730" t="inlineStr">
        <is>
          <t>Unknown</t>
        </is>
      </c>
      <c r="J730" t="inlineStr">
        <is>
          <t>Delivered</t>
        </is>
      </c>
      <c r="K730" t="n">
        <v>0</v>
      </c>
      <c r="L730" t="n">
        <v>258.93</v>
      </c>
      <c r="M730" t="inlineStr">
        <is>
          <t>INR</t>
        </is>
      </c>
      <c r="N730" t="inlineStr">
        <is>
          <t>2026-04-01 14:59:52</t>
        </is>
      </c>
    </row>
    <row r="731">
      <c r="A731" t="inlineStr">
        <is>
          <t>TXN00224778</t>
        </is>
      </c>
      <c r="B731" t="inlineStr">
        <is>
          <t>MER00436</t>
        </is>
      </c>
      <c r="C731" s="8" t="n">
        <v>46117</v>
      </c>
      <c r="D731" t="inlineStr">
        <is>
          <t>ORD00224778</t>
        </is>
      </c>
      <c r="E731" t="n">
        <v>4158.62</v>
      </c>
      <c r="F731" t="n">
        <v>1.96</v>
      </c>
      <c r="G731" t="n">
        <v>81.51000000000001</v>
      </c>
      <c r="H731" t="inlineStr">
        <is>
          <t>UPI</t>
        </is>
      </c>
      <c r="I731" t="inlineStr">
        <is>
          <t>Success</t>
        </is>
      </c>
      <c r="J731" t="inlineStr">
        <is>
          <t>Delivered</t>
        </is>
      </c>
      <c r="K731" t="n">
        <v>0</v>
      </c>
      <c r="L731" t="n">
        <v>0</v>
      </c>
      <c r="M731" t="inlineStr">
        <is>
          <t>INR</t>
        </is>
      </c>
      <c r="N731" t="inlineStr">
        <is>
          <t>2026-04-05 22:01:21</t>
        </is>
      </c>
    </row>
    <row r="732">
      <c r="A732" t="inlineStr">
        <is>
          <t>TXN00228294</t>
        </is>
      </c>
      <c r="B732" t="inlineStr">
        <is>
          <t>MER00436</t>
        </is>
      </c>
      <c r="C732" s="8" t="n">
        <v>46126</v>
      </c>
      <c r="D732" t="inlineStr">
        <is>
          <t>ORD00228294</t>
        </is>
      </c>
      <c r="E732" t="n">
        <v>2091.12</v>
      </c>
      <c r="F732" t="n">
        <v>1.96</v>
      </c>
      <c r="G732" t="n">
        <v>40.99</v>
      </c>
      <c r="H732" t="inlineStr">
        <is>
          <t>UPI</t>
        </is>
      </c>
      <c r="I732" t="inlineStr">
        <is>
          <t>Success</t>
        </is>
      </c>
      <c r="J732" t="inlineStr">
        <is>
          <t>Delivered</t>
        </is>
      </c>
      <c r="K732" t="n">
        <v>0</v>
      </c>
      <c r="L732" t="n">
        <v>0</v>
      </c>
      <c r="M732" t="inlineStr">
        <is>
          <t>INR</t>
        </is>
      </c>
      <c r="N732" t="inlineStr">
        <is>
          <t>2026-04-14 11:46:28</t>
        </is>
      </c>
    </row>
    <row r="733">
      <c r="A733" t="inlineStr">
        <is>
          <t>TXN00230589</t>
        </is>
      </c>
      <c r="B733" t="inlineStr">
        <is>
          <t>MER00436</t>
        </is>
      </c>
      <c r="C733" s="8" t="n">
        <v>46132</v>
      </c>
      <c r="D733" t="inlineStr">
        <is>
          <t>ORD00230589</t>
        </is>
      </c>
      <c r="E733" t="n">
        <v>3985.16</v>
      </c>
      <c r="F733" t="n">
        <v>1.96</v>
      </c>
      <c r="G733" t="n">
        <v>78.11</v>
      </c>
      <c r="H733" t="inlineStr">
        <is>
          <t>UPI</t>
        </is>
      </c>
      <c r="I733" t="inlineStr">
        <is>
          <t>Success</t>
        </is>
      </c>
      <c r="J733" t="inlineStr">
        <is>
          <t>Delivered</t>
        </is>
      </c>
      <c r="K733" t="n">
        <v>0</v>
      </c>
      <c r="L733" t="n">
        <v>0</v>
      </c>
      <c r="M733" t="inlineStr">
        <is>
          <t>INR</t>
        </is>
      </c>
      <c r="N733" t="inlineStr">
        <is>
          <t>2026-04-20 14:04:02</t>
        </is>
      </c>
    </row>
    <row r="734">
      <c r="A734" t="inlineStr">
        <is>
          <t>TXN00232813</t>
        </is>
      </c>
      <c r="B734" t="inlineStr">
        <is>
          <t>MER00436</t>
        </is>
      </c>
      <c r="C734" s="8" t="n">
        <v>46138</v>
      </c>
      <c r="D734" t="inlineStr">
        <is>
          <t>ORD00232813</t>
        </is>
      </c>
      <c r="E734" t="n">
        <v>1516.8</v>
      </c>
      <c r="F734" t="n">
        <v>1.96</v>
      </c>
      <c r="G734" t="n">
        <v>29.73</v>
      </c>
      <c r="H734" t="inlineStr">
        <is>
          <t>Card</t>
        </is>
      </c>
      <c r="I734" t="inlineStr">
        <is>
          <t>Pending</t>
        </is>
      </c>
      <c r="J734" t="inlineStr">
        <is>
          <t>Processing</t>
        </is>
      </c>
      <c r="K734" t="n">
        <v>0</v>
      </c>
      <c r="L734" t="n">
        <v>0</v>
      </c>
      <c r="M734" t="inlineStr">
        <is>
          <t>INR</t>
        </is>
      </c>
      <c r="N734" t="inlineStr">
        <is>
          <t>2026-04-26 07:43:11</t>
        </is>
      </c>
    </row>
    <row r="735">
      <c r="A735" t="inlineStr">
        <is>
          <t>TXN00234104</t>
        </is>
      </c>
      <c r="B735" t="inlineStr">
        <is>
          <t>MER00436</t>
        </is>
      </c>
      <c r="C735" s="8" t="n">
        <v>46141</v>
      </c>
      <c r="D735" t="inlineStr">
        <is>
          <t>ORD00234104</t>
        </is>
      </c>
      <c r="E735" t="n">
        <v>4389.24</v>
      </c>
      <c r="F735" t="n">
        <v>1.96</v>
      </c>
      <c r="G735" t="n">
        <v>86.03</v>
      </c>
      <c r="H735" t="inlineStr">
        <is>
          <t>UPI</t>
        </is>
      </c>
      <c r="I735" t="inlineStr">
        <is>
          <t>Pending</t>
        </is>
      </c>
      <c r="J735" t="inlineStr">
        <is>
          <t>Cancelled</t>
        </is>
      </c>
      <c r="K735" t="n">
        <v>0</v>
      </c>
      <c r="L735" t="n">
        <v>0</v>
      </c>
      <c r="M735" t="inlineStr">
        <is>
          <t>INR</t>
        </is>
      </c>
      <c r="N735" t="inlineStr">
        <is>
          <t>2026-04-29 17:57:48</t>
        </is>
      </c>
    </row>
    <row r="736">
      <c r="A736" t="inlineStr">
        <is>
          <t>TXN00235357</t>
        </is>
      </c>
      <c r="B736" t="inlineStr">
        <is>
          <t>MER00436</t>
        </is>
      </c>
      <c r="C736" s="8" t="n">
        <v>46144</v>
      </c>
      <c r="D736" t="inlineStr">
        <is>
          <t>ORD00235357</t>
        </is>
      </c>
      <c r="E736" t="n">
        <v>10088.98</v>
      </c>
      <c r="F736" t="n">
        <v>1.96</v>
      </c>
      <c r="G736" t="n">
        <v>197.74</v>
      </c>
      <c r="H736" t="inlineStr">
        <is>
          <t>UPI</t>
        </is>
      </c>
      <c r="I736" t="inlineStr">
        <is>
          <t>Success</t>
        </is>
      </c>
      <c r="J736" t="inlineStr">
        <is>
          <t>Delivered</t>
        </is>
      </c>
      <c r="K736" t="n">
        <v>0</v>
      </c>
      <c r="L736" t="n">
        <v>0</v>
      </c>
      <c r="M736" t="inlineStr">
        <is>
          <t>INR</t>
        </is>
      </c>
      <c r="N736" t="inlineStr">
        <is>
          <t>2026-05-02 19:26:58</t>
        </is>
      </c>
    </row>
    <row r="737">
      <c r="A737" t="inlineStr">
        <is>
          <t>TXN00236251</t>
        </is>
      </c>
      <c r="B737" t="inlineStr">
        <is>
          <t>MER00436</t>
        </is>
      </c>
      <c r="C737" s="8" t="n">
        <v>46147</v>
      </c>
      <c r="D737" t="inlineStr">
        <is>
          <t>ORD00236251</t>
        </is>
      </c>
      <c r="E737" t="n">
        <v>2901.8</v>
      </c>
      <c r="F737" t="n">
        <v>1.96</v>
      </c>
      <c r="G737" t="n">
        <v>56.88</v>
      </c>
      <c r="H737" t="inlineStr">
        <is>
          <t>COD</t>
        </is>
      </c>
      <c r="I737" t="inlineStr">
        <is>
          <t>Success</t>
        </is>
      </c>
      <c r="J737" t="inlineStr">
        <is>
          <t>Delivered</t>
        </is>
      </c>
      <c r="K737" t="n">
        <v>0</v>
      </c>
      <c r="L737" t="n">
        <v>0</v>
      </c>
      <c r="M737" t="inlineStr">
        <is>
          <t>INR</t>
        </is>
      </c>
      <c r="N737" t="inlineStr">
        <is>
          <t>2026-05-05 00:39:00</t>
        </is>
      </c>
    </row>
    <row r="738">
      <c r="A738" t="inlineStr">
        <is>
          <t>TXN00240179</t>
        </is>
      </c>
      <c r="B738" t="inlineStr">
        <is>
          <t>MER00436</t>
        </is>
      </c>
      <c r="C738" s="8" t="n">
        <v>46157</v>
      </c>
      <c r="D738" t="inlineStr">
        <is>
          <t>ORD00240179</t>
        </is>
      </c>
      <c r="E738" t="n">
        <v>909.22</v>
      </c>
      <c r="F738" t="n">
        <v>1.96</v>
      </c>
      <c r="G738" t="n">
        <v>17.82</v>
      </c>
      <c r="H738" t="inlineStr">
        <is>
          <t>Card</t>
        </is>
      </c>
      <c r="I738" t="inlineStr">
        <is>
          <t>Success</t>
        </is>
      </c>
      <c r="J738" t="inlineStr">
        <is>
          <t>Delivered</t>
        </is>
      </c>
      <c r="K738" t="n">
        <v>0</v>
      </c>
      <c r="L738" t="n">
        <v>0</v>
      </c>
      <c r="M738" t="inlineStr">
        <is>
          <t>INR</t>
        </is>
      </c>
      <c r="N738" t="inlineStr">
        <is>
          <t>2026-05-15 06:30:55</t>
        </is>
      </c>
    </row>
    <row r="739">
      <c r="A739" t="inlineStr">
        <is>
          <t>TXN00241713</t>
        </is>
      </c>
      <c r="B739" t="inlineStr">
        <is>
          <t>MER00436</t>
        </is>
      </c>
      <c r="C739" s="8" t="n">
        <v>46161</v>
      </c>
      <c r="D739" t="inlineStr">
        <is>
          <t>ORD00241713</t>
        </is>
      </c>
      <c r="E739" t="n">
        <v>8029.65</v>
      </c>
      <c r="F739" t="n">
        <v>1.96</v>
      </c>
      <c r="G739" t="n">
        <v>157.38</v>
      </c>
      <c r="H739" t="inlineStr">
        <is>
          <t>COD</t>
        </is>
      </c>
      <c r="I739" t="inlineStr">
        <is>
          <t>Success</t>
        </is>
      </c>
      <c r="J739" t="inlineStr">
        <is>
          <t>Delivered</t>
        </is>
      </c>
      <c r="K739" t="n">
        <v>0</v>
      </c>
      <c r="L739" t="n">
        <v>0</v>
      </c>
      <c r="M739" t="inlineStr">
        <is>
          <t>INR</t>
        </is>
      </c>
      <c r="N739" t="inlineStr">
        <is>
          <t>2026-05-19 11:57:17</t>
        </is>
      </c>
    </row>
    <row r="740">
      <c r="A740" t="inlineStr">
        <is>
          <t>TXN00242577</t>
        </is>
      </c>
      <c r="B740" t="inlineStr">
        <is>
          <t>MER00436</t>
        </is>
      </c>
      <c r="C740" s="8" t="n">
        <v>46164</v>
      </c>
      <c r="D740" t="inlineStr">
        <is>
          <t>ORD00242577</t>
        </is>
      </c>
      <c r="E740" t="n">
        <v>3893.78</v>
      </c>
      <c r="F740" t="n">
        <v>1.96</v>
      </c>
      <c r="G740" t="n">
        <v>76.31999999999999</v>
      </c>
      <c r="H740" t="inlineStr">
        <is>
          <t>UPI</t>
        </is>
      </c>
      <c r="I740" t="inlineStr">
        <is>
          <t>Success</t>
        </is>
      </c>
      <c r="J740" t="inlineStr">
        <is>
          <t>Delivered</t>
        </is>
      </c>
      <c r="K740" t="n">
        <v>0</v>
      </c>
      <c r="L740" t="n">
        <v>541.04</v>
      </c>
      <c r="M740" t="inlineStr">
        <is>
          <t>INR</t>
        </is>
      </c>
      <c r="N740" t="inlineStr">
        <is>
          <t>2026-05-22 17:36:48</t>
        </is>
      </c>
    </row>
    <row r="741">
      <c r="A741" t="inlineStr">
        <is>
          <t>TXN00244241</t>
        </is>
      </c>
      <c r="B741" t="inlineStr">
        <is>
          <t>MER00436</t>
        </is>
      </c>
      <c r="C741" s="8" t="n">
        <v>46168</v>
      </c>
      <c r="D741" t="inlineStr">
        <is>
          <t>ORD00244241</t>
        </is>
      </c>
      <c r="E741" t="n">
        <v>2146.42</v>
      </c>
      <c r="F741" t="n">
        <v>1.96</v>
      </c>
      <c r="G741" t="n">
        <v>42.07</v>
      </c>
      <c r="H741" t="inlineStr">
        <is>
          <t>Card</t>
        </is>
      </c>
      <c r="I741" t="inlineStr">
        <is>
          <t>Success</t>
        </is>
      </c>
      <c r="J741" t="inlineStr">
        <is>
          <t>Delivered</t>
        </is>
      </c>
      <c r="K741" t="n">
        <v>0</v>
      </c>
      <c r="L741" t="n">
        <v>0</v>
      </c>
      <c r="M741" t="inlineStr">
        <is>
          <t>INR</t>
        </is>
      </c>
      <c r="N741" t="inlineStr">
        <is>
          <t>2026-05-26 05:40:22</t>
        </is>
      </c>
    </row>
    <row r="742">
      <c r="A742" t="inlineStr">
        <is>
          <t>TXN00244770</t>
        </is>
      </c>
      <c r="B742" t="inlineStr">
        <is>
          <t>MER00436</t>
        </is>
      </c>
      <c r="C742" s="8" t="n">
        <v>46169</v>
      </c>
      <c r="D742" t="inlineStr">
        <is>
          <t>ORD00244770</t>
        </is>
      </c>
      <c r="E742" t="n">
        <v>4786.36</v>
      </c>
      <c r="F742" t="n">
        <v>1.96</v>
      </c>
      <c r="G742" t="n">
        <v>93.81</v>
      </c>
      <c r="H742" t="inlineStr">
        <is>
          <t>UPI</t>
        </is>
      </c>
      <c r="I742" t="inlineStr">
        <is>
          <t>Success</t>
        </is>
      </c>
      <c r="J742" t="inlineStr">
        <is>
          <t>Delivered</t>
        </is>
      </c>
      <c r="K742" t="n">
        <v>0</v>
      </c>
      <c r="L742" t="n">
        <v>0</v>
      </c>
      <c r="M742" t="inlineStr">
        <is>
          <t>INR</t>
        </is>
      </c>
      <c r="N742" t="inlineStr">
        <is>
          <t>2026-05-27 10:09:23</t>
        </is>
      </c>
    </row>
    <row r="743">
      <c r="A743" t="inlineStr">
        <is>
          <t>TXN00247162</t>
        </is>
      </c>
      <c r="B743" t="inlineStr">
        <is>
          <t>MER00436</t>
        </is>
      </c>
      <c r="C743" s="8" t="n">
        <v>46176</v>
      </c>
      <c r="D743" t="inlineStr">
        <is>
          <t>ORD00247162</t>
        </is>
      </c>
      <c r="E743" t="n">
        <v>2346.54</v>
      </c>
      <c r="F743" t="n">
        <v>1.96</v>
      </c>
      <c r="G743" t="n">
        <v>45.99</v>
      </c>
      <c r="H743" t="inlineStr">
        <is>
          <t>NetBanking</t>
        </is>
      </c>
      <c r="I743" t="inlineStr">
        <is>
          <t>Success</t>
        </is>
      </c>
      <c r="J743" t="inlineStr">
        <is>
          <t>Returned</t>
        </is>
      </c>
      <c r="K743" t="n">
        <v>2346.54</v>
      </c>
      <c r="L743" t="n">
        <v>0</v>
      </c>
      <c r="M743" t="inlineStr">
        <is>
          <t>INR</t>
        </is>
      </c>
      <c r="N743" t="inlineStr">
        <is>
          <t>2026-06-03 17:54:52</t>
        </is>
      </c>
    </row>
    <row r="744">
      <c r="A744" t="inlineStr">
        <is>
          <t>TXN00247902</t>
        </is>
      </c>
      <c r="B744" t="inlineStr">
        <is>
          <t>MER00436</t>
        </is>
      </c>
      <c r="C744" s="8" t="n">
        <v>46177</v>
      </c>
      <c r="D744" t="inlineStr">
        <is>
          <t>ORD00247902</t>
        </is>
      </c>
      <c r="E744" t="n">
        <v>5292.05</v>
      </c>
      <c r="F744" t="n">
        <v>1.96</v>
      </c>
      <c r="G744" t="n">
        <v>103.72</v>
      </c>
      <c r="H744" t="inlineStr">
        <is>
          <t>UPI</t>
        </is>
      </c>
      <c r="I744" t="inlineStr">
        <is>
          <t>Success</t>
        </is>
      </c>
      <c r="J744" t="inlineStr">
        <is>
          <t>Returned</t>
        </is>
      </c>
      <c r="K744" t="n">
        <v>5292.05</v>
      </c>
      <c r="L744" t="n">
        <v>0</v>
      </c>
      <c r="M744" t="inlineStr">
        <is>
          <t>INR</t>
        </is>
      </c>
      <c r="N744" t="inlineStr">
        <is>
          <t>2026-06-04 01:22:07</t>
        </is>
      </c>
    </row>
    <row r="745">
      <c r="A745" t="inlineStr">
        <is>
          <t>TXN00252752</t>
        </is>
      </c>
      <c r="B745" t="inlineStr">
        <is>
          <t>MER00436</t>
        </is>
      </c>
      <c r="C745" s="8" t="n">
        <v>46190</v>
      </c>
      <c r="D745" t="inlineStr">
        <is>
          <t>ORD00252752</t>
        </is>
      </c>
      <c r="E745" t="n">
        <v>12089.54</v>
      </c>
      <c r="F745" t="n">
        <v>1.96</v>
      </c>
      <c r="G745" t="n">
        <v>236.95</v>
      </c>
      <c r="H745" t="inlineStr">
        <is>
          <t>UPI</t>
        </is>
      </c>
      <c r="I745" t="inlineStr">
        <is>
          <t>Success</t>
        </is>
      </c>
      <c r="J745" t="inlineStr">
        <is>
          <t>Delivered</t>
        </is>
      </c>
      <c r="K745" t="n">
        <v>0</v>
      </c>
      <c r="L745" t="n">
        <v>0</v>
      </c>
      <c r="M745" t="inlineStr">
        <is>
          <t>INR</t>
        </is>
      </c>
      <c r="N745" t="inlineStr">
        <is>
          <t>2026-06-17 15:12:26</t>
        </is>
      </c>
    </row>
    <row r="746">
      <c r="A746" t="inlineStr">
        <is>
          <t>TXN00254407</t>
        </is>
      </c>
      <c r="B746" t="inlineStr">
        <is>
          <t>MER00436</t>
        </is>
      </c>
      <c r="C746" s="8" t="n">
        <v>46194</v>
      </c>
      <c r="D746" t="inlineStr">
        <is>
          <t>ORD00254407</t>
        </is>
      </c>
      <c r="E746" t="n">
        <v>2686.76</v>
      </c>
      <c r="F746" t="n">
        <v>1.96</v>
      </c>
      <c r="G746" t="n">
        <v>52.66</v>
      </c>
      <c r="H746" t="inlineStr">
        <is>
          <t>Card</t>
        </is>
      </c>
      <c r="I746" t="inlineStr">
        <is>
          <t>Success</t>
        </is>
      </c>
      <c r="J746" t="inlineStr">
        <is>
          <t>Delivered</t>
        </is>
      </c>
      <c r="K746" t="n">
        <v>0</v>
      </c>
      <c r="L746" t="n">
        <v>0</v>
      </c>
      <c r="M746" t="inlineStr">
        <is>
          <t>INR</t>
        </is>
      </c>
      <c r="N746" t="inlineStr">
        <is>
          <t>2026-06-21 18:00:18</t>
        </is>
      </c>
    </row>
    <row r="747">
      <c r="A747" t="inlineStr">
        <is>
          <t>TXN00255390</t>
        </is>
      </c>
      <c r="B747" t="inlineStr">
        <is>
          <t>MER00436</t>
        </is>
      </c>
      <c r="C747" s="8" t="n">
        <v>46196</v>
      </c>
      <c r="D747" t="inlineStr">
        <is>
          <t>ORD00255390</t>
        </is>
      </c>
      <c r="E747" t="n">
        <v>3111.02</v>
      </c>
      <c r="F747" t="n">
        <v>1.96</v>
      </c>
      <c r="G747" t="n">
        <v>60.98</v>
      </c>
      <c r="H747" t="inlineStr">
        <is>
          <t>Card</t>
        </is>
      </c>
      <c r="I747" t="inlineStr">
        <is>
          <t>Success</t>
        </is>
      </c>
      <c r="J747" t="inlineStr">
        <is>
          <t>Delivered</t>
        </is>
      </c>
      <c r="K747" t="n">
        <v>0</v>
      </c>
      <c r="L747" t="n">
        <v>0</v>
      </c>
      <c r="M747" t="inlineStr">
        <is>
          <t>INR</t>
        </is>
      </c>
      <c r="N747" t="inlineStr">
        <is>
          <t>2026-06-23 07:14:38</t>
        </is>
      </c>
    </row>
    <row r="748">
      <c r="A748" t="inlineStr">
        <is>
          <t>TXN00255410</t>
        </is>
      </c>
      <c r="B748" t="inlineStr">
        <is>
          <t>MER00436</t>
        </is>
      </c>
      <c r="C748" s="8" t="n">
        <v>46196</v>
      </c>
      <c r="D748" t="inlineStr">
        <is>
          <t>ORD00255410</t>
        </is>
      </c>
      <c r="E748" t="n">
        <v>1382.66</v>
      </c>
      <c r="F748" t="n">
        <v>1.96</v>
      </c>
      <c r="G748" t="n">
        <v>27.1</v>
      </c>
      <c r="H748" t="inlineStr">
        <is>
          <t>UPI</t>
        </is>
      </c>
      <c r="I748" t="inlineStr">
        <is>
          <t>Success</t>
        </is>
      </c>
      <c r="J748" t="inlineStr">
        <is>
          <t>Delivered</t>
        </is>
      </c>
      <c r="K748" t="n">
        <v>0</v>
      </c>
      <c r="L748" t="n">
        <v>0</v>
      </c>
      <c r="M748" t="inlineStr">
        <is>
          <t>INR</t>
        </is>
      </c>
      <c r="N748" t="inlineStr">
        <is>
          <t>2026-06-23 10:53:31</t>
        </is>
      </c>
    </row>
    <row r="749">
      <c r="A749" t="inlineStr">
        <is>
          <t>TXN00255919</t>
        </is>
      </c>
      <c r="B749" t="inlineStr">
        <is>
          <t>MER00436</t>
        </is>
      </c>
      <c r="C749" s="8" t="n">
        <v>46197</v>
      </c>
      <c r="D749" t="inlineStr">
        <is>
          <t>ORD00255919</t>
        </is>
      </c>
      <c r="E749" t="n">
        <v>11975.42</v>
      </c>
      <c r="F749" t="n">
        <v>1.96</v>
      </c>
      <c r="G749" t="n">
        <v>234.72</v>
      </c>
      <c r="H749" t="inlineStr">
        <is>
          <t>UPI</t>
        </is>
      </c>
      <c r="I749" t="inlineStr">
        <is>
          <t>Success</t>
        </is>
      </c>
      <c r="J749" t="inlineStr">
        <is>
          <t>Delivered</t>
        </is>
      </c>
      <c r="K749" t="n">
        <v>0</v>
      </c>
      <c r="L749" t="n">
        <v>1730.89</v>
      </c>
      <c r="M749" t="inlineStr">
        <is>
          <t>INR</t>
        </is>
      </c>
      <c r="N749" t="inlineStr">
        <is>
          <t>2026-06-24 11:09:11</t>
        </is>
      </c>
    </row>
    <row r="750">
      <c r="A750" t="inlineStr">
        <is>
          <t>TXN00257986</t>
        </is>
      </c>
      <c r="B750" t="inlineStr">
        <is>
          <t>MER00436</t>
        </is>
      </c>
      <c r="C750" s="8" t="n">
        <v>46202</v>
      </c>
      <c r="D750" t="inlineStr">
        <is>
          <t>ORD00257986</t>
        </is>
      </c>
      <c r="E750" t="n">
        <v>2271.77</v>
      </c>
      <c r="F750" t="n">
        <v>1.96</v>
      </c>
      <c r="G750" t="n">
        <v>44.53</v>
      </c>
      <c r="H750" t="inlineStr">
        <is>
          <t>UPI</t>
        </is>
      </c>
      <c r="I750" t="inlineStr">
        <is>
          <t>Success</t>
        </is>
      </c>
      <c r="J750" t="inlineStr">
        <is>
          <t>Delivered</t>
        </is>
      </c>
      <c r="K750" t="n">
        <v>0</v>
      </c>
      <c r="L750" t="n">
        <v>0</v>
      </c>
      <c r="M750" t="inlineStr">
        <is>
          <t>INR</t>
        </is>
      </c>
      <c r="N750" t="inlineStr">
        <is>
          <t>2026-06-29 18:37:09</t>
        </is>
      </c>
    </row>
    <row r="751">
      <c r="A751" t="inlineStr">
        <is>
          <t>TXN00260378</t>
        </is>
      </c>
      <c r="B751" t="inlineStr">
        <is>
          <t>MER00436</t>
        </is>
      </c>
      <c r="C751" s="8" t="n">
        <v>46209</v>
      </c>
      <c r="D751" t="inlineStr">
        <is>
          <t>ORD00260378</t>
        </is>
      </c>
      <c r="E751" t="n">
        <v>9352.690000000001</v>
      </c>
      <c r="F751" t="n">
        <v>1.63</v>
      </c>
      <c r="G751" t="n">
        <v>183.31</v>
      </c>
      <c r="H751" t="inlineStr">
        <is>
          <t>UPI</t>
        </is>
      </c>
      <c r="I751" t="inlineStr">
        <is>
          <t>Success</t>
        </is>
      </c>
      <c r="J751" t="inlineStr">
        <is>
          <t>Delivered</t>
        </is>
      </c>
      <c r="K751" t="n">
        <v>0</v>
      </c>
      <c r="L751" t="n">
        <v>0</v>
      </c>
      <c r="M751" t="inlineStr">
        <is>
          <t>INR</t>
        </is>
      </c>
      <c r="N751" t="inlineStr">
        <is>
          <t>2026-07-06 09:00:42</t>
        </is>
      </c>
    </row>
    <row r="752">
      <c r="A752" t="inlineStr">
        <is>
          <t>TXN00263261</t>
        </is>
      </c>
      <c r="B752" t="inlineStr">
        <is>
          <t>MER00436</t>
        </is>
      </c>
      <c r="C752" s="8" t="n">
        <v>46216</v>
      </c>
      <c r="D752" t="inlineStr">
        <is>
          <t>ORD00263261</t>
        </is>
      </c>
      <c r="E752" t="n">
        <v>2842.85</v>
      </c>
      <c r="F752" t="n">
        <v>2.86</v>
      </c>
      <c r="G752" t="n">
        <v>55.72</v>
      </c>
      <c r="H752" t="inlineStr">
        <is>
          <t>Card</t>
        </is>
      </c>
      <c r="I752" t="inlineStr">
        <is>
          <t>Success</t>
        </is>
      </c>
      <c r="J752" t="inlineStr">
        <is>
          <t>Delivered</t>
        </is>
      </c>
      <c r="K752" t="n">
        <v>0</v>
      </c>
      <c r="L752" t="n">
        <v>0</v>
      </c>
      <c r="M752" t="inlineStr">
        <is>
          <t>INR</t>
        </is>
      </c>
      <c r="N752" t="inlineStr">
        <is>
          <t>2026-07-13 03:24:04</t>
        </is>
      </c>
    </row>
    <row r="753">
      <c r="A753" t="inlineStr">
        <is>
          <t>TXN00267640</t>
        </is>
      </c>
      <c r="B753" t="inlineStr">
        <is>
          <t>MER00436</t>
        </is>
      </c>
      <c r="C753" s="8" t="n">
        <v>46227</v>
      </c>
      <c r="D753" t="inlineStr">
        <is>
          <t>ORD00267640</t>
        </is>
      </c>
      <c r="E753" t="n">
        <v>4568.84</v>
      </c>
      <c r="F753" t="n">
        <v>1.96</v>
      </c>
      <c r="G753" t="n">
        <v>89.55</v>
      </c>
      <c r="H753" t="inlineStr">
        <is>
          <t>UPI</t>
        </is>
      </c>
      <c r="I753" t="inlineStr">
        <is>
          <t>Success</t>
        </is>
      </c>
      <c r="J753" t="inlineStr">
        <is>
          <t>Delivered</t>
        </is>
      </c>
      <c r="K753" t="n">
        <v>0</v>
      </c>
      <c r="L753" t="n">
        <v>0</v>
      </c>
      <c r="M753" t="inlineStr">
        <is>
          <t>INR</t>
        </is>
      </c>
      <c r="N753" t="inlineStr">
        <is>
          <t>2026-07-24 20:20:16</t>
        </is>
      </c>
    </row>
    <row r="754">
      <c r="A754" t="inlineStr">
        <is>
          <t>TXN00267938</t>
        </is>
      </c>
      <c r="B754" t="inlineStr">
        <is>
          <t>MER00436</t>
        </is>
      </c>
      <c r="C754" s="8" t="n">
        <v>46228</v>
      </c>
      <c r="D754" t="inlineStr">
        <is>
          <t>ORD00267938</t>
        </is>
      </c>
      <c r="E754" t="n">
        <v>5068.88</v>
      </c>
      <c r="F754" t="n">
        <v>1.96</v>
      </c>
      <c r="G754" t="n">
        <v>99.34999999999999</v>
      </c>
      <c r="H754" t="inlineStr">
        <is>
          <t>Card</t>
        </is>
      </c>
      <c r="I754" t="inlineStr">
        <is>
          <t>Success</t>
        </is>
      </c>
      <c r="J754" t="inlineStr">
        <is>
          <t>Delivered</t>
        </is>
      </c>
      <c r="K754" t="n">
        <v>0</v>
      </c>
      <c r="L754" t="n">
        <v>905.3200000000001</v>
      </c>
      <c r="M754" t="inlineStr">
        <is>
          <t>INR</t>
        </is>
      </c>
      <c r="N754" t="inlineStr">
        <is>
          <t>2026-07-25 02:37:34</t>
        </is>
      </c>
    </row>
    <row r="755">
      <c r="A755" t="inlineStr">
        <is>
          <t>TXN00011718</t>
        </is>
      </c>
      <c r="B755" t="inlineStr">
        <is>
          <t>MER00457</t>
        </is>
      </c>
      <c r="C755" s="8" t="n">
        <v>45550</v>
      </c>
      <c r="D755" t="inlineStr">
        <is>
          <t>ORD00011718</t>
        </is>
      </c>
      <c r="E755" t="n">
        <v>1504.28</v>
      </c>
      <c r="F755" t="n">
        <v>3.11</v>
      </c>
      <c r="G755" t="n">
        <v>46.78</v>
      </c>
      <c r="H755" t="inlineStr">
        <is>
          <t>UPI</t>
        </is>
      </c>
      <c r="I755" t="inlineStr">
        <is>
          <t>Pending</t>
        </is>
      </c>
      <c r="J755" t="inlineStr">
        <is>
          <t>Cancelled</t>
        </is>
      </c>
      <c r="K755" t="n">
        <v>0</v>
      </c>
      <c r="L755" t="n">
        <v>0</v>
      </c>
      <c r="M755" t="inlineStr">
        <is>
          <t>INR</t>
        </is>
      </c>
      <c r="N755" t="inlineStr">
        <is>
          <t>2024-09-15 17:04:09</t>
        </is>
      </c>
    </row>
    <row r="756">
      <c r="A756" t="inlineStr">
        <is>
          <t>TXN00018868</t>
        </is>
      </c>
      <c r="B756" t="inlineStr">
        <is>
          <t>MER00457</t>
        </is>
      </c>
      <c r="C756" s="8" t="n">
        <v>45573</v>
      </c>
      <c r="D756" t="inlineStr">
        <is>
          <t>ORD00018868</t>
        </is>
      </c>
      <c r="E756" t="n">
        <v>1243.26</v>
      </c>
      <c r="F756" t="n">
        <v>3.11</v>
      </c>
      <c r="G756" t="n">
        <v>38.67</v>
      </c>
      <c r="H756" t="inlineStr">
        <is>
          <t>UPI</t>
        </is>
      </c>
      <c r="I756" t="inlineStr">
        <is>
          <t>Success</t>
        </is>
      </c>
      <c r="J756" t="inlineStr">
        <is>
          <t>Delivered</t>
        </is>
      </c>
      <c r="K756" t="n">
        <v>0</v>
      </c>
      <c r="L756" t="n">
        <v>0</v>
      </c>
      <c r="M756" t="inlineStr">
        <is>
          <t>INR</t>
        </is>
      </c>
      <c r="N756" t="inlineStr">
        <is>
          <t>2024-10-08 02:39:32</t>
        </is>
      </c>
    </row>
    <row r="757">
      <c r="A757" t="inlineStr">
        <is>
          <t>TXN00020852</t>
        </is>
      </c>
      <c r="B757" t="inlineStr">
        <is>
          <t>MER00457</t>
        </is>
      </c>
      <c r="C757" s="8" t="n">
        <v>45578</v>
      </c>
      <c r="D757" t="inlineStr">
        <is>
          <t>ORD00020852</t>
        </is>
      </c>
      <c r="E757" t="n">
        <v>17230.74</v>
      </c>
      <c r="F757" t="n">
        <v>3.11</v>
      </c>
      <c r="G757" t="n">
        <v>535.88</v>
      </c>
      <c r="H757" t="inlineStr">
        <is>
          <t>NetBanking</t>
        </is>
      </c>
      <c r="I757" t="inlineStr">
        <is>
          <t>Success</t>
        </is>
      </c>
      <c r="J757" t="inlineStr">
        <is>
          <t>Delivered</t>
        </is>
      </c>
      <c r="K757" t="n">
        <v>0</v>
      </c>
      <c r="L757" t="n">
        <v>0</v>
      </c>
      <c r="M757" t="inlineStr">
        <is>
          <t>INR</t>
        </is>
      </c>
      <c r="N757" t="inlineStr">
        <is>
          <t>2024-10-13 14:13:42</t>
        </is>
      </c>
    </row>
    <row r="758">
      <c r="A758" t="inlineStr">
        <is>
          <t>TXN00029865</t>
        </is>
      </c>
      <c r="B758" t="inlineStr">
        <is>
          <t>MER00457</t>
        </is>
      </c>
      <c r="C758" s="8" t="n">
        <v>45601</v>
      </c>
      <c r="D758" t="inlineStr">
        <is>
          <t>ORD00029865</t>
        </is>
      </c>
      <c r="E758" t="n">
        <v>3163.95</v>
      </c>
      <c r="F758" t="n">
        <v>3.11</v>
      </c>
      <c r="G758" t="n">
        <v>98.40000000000001</v>
      </c>
      <c r="H758" t="inlineStr">
        <is>
          <t>UPI</t>
        </is>
      </c>
      <c r="I758" t="inlineStr">
        <is>
          <t>Success</t>
        </is>
      </c>
      <c r="J758" t="inlineStr">
        <is>
          <t>Delivered</t>
        </is>
      </c>
      <c r="K758" t="n">
        <v>0</v>
      </c>
      <c r="L758" t="n">
        <v>0</v>
      </c>
      <c r="M758" t="inlineStr">
        <is>
          <t>INR</t>
        </is>
      </c>
      <c r="N758" t="inlineStr">
        <is>
          <t>2024-11-05 08:36:04</t>
        </is>
      </c>
    </row>
    <row r="759">
      <c r="A759" t="inlineStr">
        <is>
          <t>TXN00032336</t>
        </is>
      </c>
      <c r="B759" t="inlineStr">
        <is>
          <t>MER00457</t>
        </is>
      </c>
      <c r="C759" s="8" t="n">
        <v>45606</v>
      </c>
      <c r="D759" t="inlineStr">
        <is>
          <t>ORD00032336</t>
        </is>
      </c>
      <c r="E759" t="n">
        <v>2379.81</v>
      </c>
      <c r="F759" t="n">
        <v>3.11</v>
      </c>
      <c r="G759" t="n">
        <v>74.01000000000001</v>
      </c>
      <c r="H759" t="inlineStr">
        <is>
          <t>NetBanking</t>
        </is>
      </c>
      <c r="I759" t="inlineStr">
        <is>
          <t>Success</t>
        </is>
      </c>
      <c r="J759" t="inlineStr">
        <is>
          <t>Delivered</t>
        </is>
      </c>
      <c r="K759" t="n">
        <v>0</v>
      </c>
      <c r="L759" t="n">
        <v>0</v>
      </c>
      <c r="M759" t="inlineStr">
        <is>
          <t>INR</t>
        </is>
      </c>
      <c r="N759" t="inlineStr">
        <is>
          <t>2024-11-10 06:32:28</t>
        </is>
      </c>
    </row>
    <row r="760">
      <c r="A760" t="inlineStr">
        <is>
          <t>TXN00042021</t>
        </is>
      </c>
      <c r="B760" t="inlineStr">
        <is>
          <t>MER00457</t>
        </is>
      </c>
      <c r="C760" s="8" t="n">
        <v>45628</v>
      </c>
      <c r="D760" t="inlineStr">
        <is>
          <t>ORD00042021</t>
        </is>
      </c>
      <c r="E760" t="n">
        <v>4773.58</v>
      </c>
      <c r="F760" t="n">
        <v>3.11</v>
      </c>
      <c r="G760" t="n">
        <v>148.46</v>
      </c>
      <c r="H760" t="inlineStr">
        <is>
          <t>UPI</t>
        </is>
      </c>
      <c r="I760" t="inlineStr">
        <is>
          <t>Success</t>
        </is>
      </c>
      <c r="J760" t="inlineStr">
        <is>
          <t>Delivered</t>
        </is>
      </c>
      <c r="K760" t="n">
        <v>0</v>
      </c>
      <c r="L760" t="n">
        <v>0</v>
      </c>
      <c r="M760" t="inlineStr">
        <is>
          <t>INR</t>
        </is>
      </c>
      <c r="N760" t="inlineStr">
        <is>
          <t>2024-12-02 15:12:26</t>
        </is>
      </c>
    </row>
    <row r="761">
      <c r="A761" t="inlineStr">
        <is>
          <t>TXN00085868</t>
        </is>
      </c>
      <c r="B761" t="inlineStr">
        <is>
          <t>MER00457</t>
        </is>
      </c>
      <c r="C761" s="8" t="n">
        <v>45759</v>
      </c>
      <c r="D761" t="inlineStr">
        <is>
          <t>ORD00085868</t>
        </is>
      </c>
      <c r="E761" t="n">
        <v>1062.74</v>
      </c>
      <c r="F761" t="n">
        <v>3.11</v>
      </c>
      <c r="G761" t="n">
        <v>33.05</v>
      </c>
      <c r="H761" t="inlineStr">
        <is>
          <t>UPI</t>
        </is>
      </c>
      <c r="I761" t="inlineStr">
        <is>
          <t>Success</t>
        </is>
      </c>
      <c r="J761" t="inlineStr">
        <is>
          <t>Delivered</t>
        </is>
      </c>
      <c r="K761" t="n">
        <v>0</v>
      </c>
      <c r="L761" t="n">
        <v>0</v>
      </c>
      <c r="M761" t="inlineStr">
        <is>
          <t>INR</t>
        </is>
      </c>
      <c r="N761" t="inlineStr">
        <is>
          <t>2025-04-12 22:28:45</t>
        </is>
      </c>
    </row>
    <row r="762">
      <c r="A762" t="inlineStr">
        <is>
          <t>TXN00088780</t>
        </is>
      </c>
      <c r="B762" t="inlineStr">
        <is>
          <t>MER00457</t>
        </is>
      </c>
      <c r="C762" s="8" t="n">
        <v>45768</v>
      </c>
      <c r="D762" t="inlineStr">
        <is>
          <t>ORD00088780</t>
        </is>
      </c>
      <c r="E762" t="n">
        <v>2589.78</v>
      </c>
      <c r="F762" t="n">
        <v>3.11</v>
      </c>
      <c r="G762" t="n">
        <v>80.54000000000001</v>
      </c>
      <c r="H762" t="inlineStr">
        <is>
          <t>UPI</t>
        </is>
      </c>
      <c r="I762" t="inlineStr">
        <is>
          <t>Success</t>
        </is>
      </c>
      <c r="J762" t="inlineStr">
        <is>
          <t>Delivered</t>
        </is>
      </c>
      <c r="K762" t="n">
        <v>0</v>
      </c>
      <c r="L762" t="n">
        <v>0</v>
      </c>
      <c r="M762" t="inlineStr">
        <is>
          <t>INR</t>
        </is>
      </c>
      <c r="N762" t="inlineStr">
        <is>
          <t>2025-04-21 01:40:55</t>
        </is>
      </c>
    </row>
    <row r="763">
      <c r="A763" t="inlineStr">
        <is>
          <t>TXN00100762</t>
        </is>
      </c>
      <c r="B763" t="inlineStr">
        <is>
          <t>MER00457</t>
        </is>
      </c>
      <c r="C763" s="8" t="n">
        <v>45804</v>
      </c>
      <c r="D763" t="inlineStr">
        <is>
          <t>ORD00100762</t>
        </is>
      </c>
      <c r="E763" t="n">
        <v>5713.37</v>
      </c>
      <c r="F763" t="n">
        <v>3.11</v>
      </c>
      <c r="G763" t="n">
        <v>177.69</v>
      </c>
      <c r="H763" t="inlineStr">
        <is>
          <t>Card</t>
        </is>
      </c>
      <c r="I763" t="inlineStr">
        <is>
          <t>Success</t>
        </is>
      </c>
      <c r="J763" t="inlineStr">
        <is>
          <t>Delivered</t>
        </is>
      </c>
      <c r="K763" t="n">
        <v>0</v>
      </c>
      <c r="L763" t="n">
        <v>0</v>
      </c>
      <c r="M763" t="inlineStr">
        <is>
          <t>INR</t>
        </is>
      </c>
      <c r="N763" t="inlineStr">
        <is>
          <t>2025-05-27 22:54:32</t>
        </is>
      </c>
    </row>
    <row r="764">
      <c r="A764" t="inlineStr">
        <is>
          <t>TXN00101856</t>
        </is>
      </c>
      <c r="B764" t="inlineStr">
        <is>
          <t>MER00457</t>
        </is>
      </c>
      <c r="C764" s="8" t="n">
        <v>45808</v>
      </c>
      <c r="D764" t="inlineStr">
        <is>
          <t>ORD00101856</t>
        </is>
      </c>
      <c r="E764" t="n">
        <v>9378.040000000001</v>
      </c>
      <c r="F764" t="n">
        <v>3.11</v>
      </c>
      <c r="G764" t="n">
        <v>291.66</v>
      </c>
      <c r="H764" t="inlineStr">
        <is>
          <t>UPI</t>
        </is>
      </c>
      <c r="I764" t="inlineStr">
        <is>
          <t>Success</t>
        </is>
      </c>
      <c r="J764" t="inlineStr">
        <is>
          <t>Delivered</t>
        </is>
      </c>
      <c r="K764" t="n">
        <v>0</v>
      </c>
      <c r="L764" t="n">
        <v>0</v>
      </c>
      <c r="M764" t="inlineStr">
        <is>
          <t>INR</t>
        </is>
      </c>
      <c r="N764" t="inlineStr">
        <is>
          <t>2025-05-31 11:05:52</t>
        </is>
      </c>
    </row>
    <row r="765">
      <c r="A765" t="inlineStr">
        <is>
          <t>TXN00125649</t>
        </is>
      </c>
      <c r="B765" t="inlineStr">
        <is>
          <t>MER00457</t>
        </is>
      </c>
      <c r="C765" s="8" t="n">
        <v>45878</v>
      </c>
      <c r="D765" t="inlineStr">
        <is>
          <t>ORD00125649</t>
        </is>
      </c>
      <c r="E765" t="n">
        <v>1468.46</v>
      </c>
      <c r="F765" t="n">
        <v>3.11</v>
      </c>
      <c r="G765" t="n">
        <v>45.67</v>
      </c>
      <c r="H765" t="inlineStr">
        <is>
          <t>UPI</t>
        </is>
      </c>
      <c r="I765" t="inlineStr">
        <is>
          <t>Success</t>
        </is>
      </c>
      <c r="J765" t="inlineStr">
        <is>
          <t>Delivered</t>
        </is>
      </c>
      <c r="K765" t="n">
        <v>0</v>
      </c>
      <c r="L765" t="n">
        <v>0</v>
      </c>
      <c r="M765" t="inlineStr">
        <is>
          <t>INR</t>
        </is>
      </c>
      <c r="N765" t="inlineStr">
        <is>
          <t>2025-08-09 00:56:47</t>
        </is>
      </c>
    </row>
    <row r="766">
      <c r="A766" t="inlineStr">
        <is>
          <t>TXN00129079</t>
        </is>
      </c>
      <c r="B766" t="inlineStr">
        <is>
          <t>MER00457</t>
        </is>
      </c>
      <c r="C766" s="8" t="n">
        <v>45889</v>
      </c>
      <c r="D766" t="inlineStr">
        <is>
          <t>ORD00129079</t>
        </is>
      </c>
      <c r="E766" t="n">
        <v>3128.97</v>
      </c>
      <c r="F766" t="n">
        <v>3.11</v>
      </c>
      <c r="G766" t="n">
        <v>97.31</v>
      </c>
      <c r="H766" t="inlineStr">
        <is>
          <t>NetBanking</t>
        </is>
      </c>
      <c r="I766" t="inlineStr">
        <is>
          <t>Success</t>
        </is>
      </c>
      <c r="J766" t="inlineStr">
        <is>
          <t>Cancelled</t>
        </is>
      </c>
      <c r="K766" t="n">
        <v>2671.63</v>
      </c>
      <c r="L766" t="n">
        <v>0</v>
      </c>
      <c r="M766" t="inlineStr">
        <is>
          <t>INR</t>
        </is>
      </c>
      <c r="N766" t="inlineStr">
        <is>
          <t>2025-08-20 06:53:37</t>
        </is>
      </c>
    </row>
    <row r="767">
      <c r="A767" t="inlineStr">
        <is>
          <t>TXN00135107</t>
        </is>
      </c>
      <c r="B767" t="inlineStr">
        <is>
          <t>MER00457</t>
        </is>
      </c>
      <c r="C767" s="8" t="n">
        <v>45907</v>
      </c>
      <c r="D767" t="inlineStr">
        <is>
          <t>ORD00135107</t>
        </is>
      </c>
      <c r="E767" t="n">
        <v>2183.84</v>
      </c>
      <c r="F767" t="n">
        <v>3.11</v>
      </c>
      <c r="G767" t="n">
        <v>67.92</v>
      </c>
      <c r="H767" t="inlineStr">
        <is>
          <t>UPI</t>
        </is>
      </c>
      <c r="I767" t="inlineStr">
        <is>
          <t>Success</t>
        </is>
      </c>
      <c r="J767" t="inlineStr">
        <is>
          <t>Delivered</t>
        </is>
      </c>
      <c r="K767" t="n">
        <v>0</v>
      </c>
      <c r="L767" t="n">
        <v>0</v>
      </c>
      <c r="M767" t="inlineStr">
        <is>
          <t>INR</t>
        </is>
      </c>
      <c r="N767" t="inlineStr">
        <is>
          <t>2025-09-07 21:39:36</t>
        </is>
      </c>
    </row>
    <row r="768">
      <c r="A768" t="inlineStr">
        <is>
          <t>TXN00164160</t>
        </is>
      </c>
      <c r="B768" t="inlineStr">
        <is>
          <t>MER00457</t>
        </is>
      </c>
      <c r="C768" s="8" t="n">
        <v>45972</v>
      </c>
      <c r="D768" t="inlineStr">
        <is>
          <t>ORD00164160</t>
        </is>
      </c>
      <c r="E768" t="n">
        <v>8025.76</v>
      </c>
      <c r="F768" t="n">
        <v>3.11</v>
      </c>
      <c r="G768" t="n">
        <v>249.6</v>
      </c>
      <c r="H768" t="inlineStr">
        <is>
          <t>Card</t>
        </is>
      </c>
      <c r="I768" t="inlineStr">
        <is>
          <t>Success</t>
        </is>
      </c>
      <c r="J768" t="inlineStr">
        <is>
          <t>Returned</t>
        </is>
      </c>
      <c r="K768" t="n">
        <v>6041.5</v>
      </c>
      <c r="L768" t="n">
        <v>0</v>
      </c>
      <c r="M768" t="inlineStr">
        <is>
          <t>INR</t>
        </is>
      </c>
      <c r="N768" t="inlineStr">
        <is>
          <t>2025-11-11 08:37:11</t>
        </is>
      </c>
    </row>
    <row r="769">
      <c r="A769" t="inlineStr">
        <is>
          <t>TXN00175576</t>
        </is>
      </c>
      <c r="B769" t="inlineStr">
        <is>
          <t>MER00457</t>
        </is>
      </c>
      <c r="C769" s="8" t="n">
        <v>45994</v>
      </c>
      <c r="D769" t="inlineStr">
        <is>
          <t>ORD00175576</t>
        </is>
      </c>
      <c r="E769" t="n">
        <v>2851.71</v>
      </c>
      <c r="F769" t="n">
        <v>3.11</v>
      </c>
      <c r="G769" t="n">
        <v>88.69</v>
      </c>
      <c r="H769" t="inlineStr">
        <is>
          <t>UPI</t>
        </is>
      </c>
      <c r="I769" t="inlineStr">
        <is>
          <t>Success</t>
        </is>
      </c>
      <c r="J769" t="inlineStr">
        <is>
          <t>Delivered</t>
        </is>
      </c>
      <c r="K769" t="n">
        <v>0</v>
      </c>
      <c r="L769" t="n">
        <v>0</v>
      </c>
      <c r="M769" t="inlineStr">
        <is>
          <t>INR</t>
        </is>
      </c>
      <c r="N769" t="inlineStr">
        <is>
          <t>2025-12-03 13:14:31</t>
        </is>
      </c>
    </row>
    <row r="770">
      <c r="A770" t="inlineStr">
        <is>
          <t>TXN00184616</t>
        </is>
      </c>
      <c r="B770" t="inlineStr">
        <is>
          <t>MER00457</t>
        </is>
      </c>
      <c r="C770" s="8" t="n">
        <v>46018</v>
      </c>
      <c r="D770" t="inlineStr">
        <is>
          <t>ORD00184616</t>
        </is>
      </c>
      <c r="E770" t="n">
        <v>2256.1</v>
      </c>
      <c r="F770" t="n">
        <v>3.11</v>
      </c>
      <c r="G770" t="n">
        <v>70.16</v>
      </c>
      <c r="H770" t="inlineStr">
        <is>
          <t>UPI</t>
        </is>
      </c>
      <c r="I770" t="inlineStr">
        <is>
          <t>Success</t>
        </is>
      </c>
      <c r="J770" t="inlineStr">
        <is>
          <t>Delivered</t>
        </is>
      </c>
      <c r="K770" t="n">
        <v>0</v>
      </c>
      <c r="L770" t="n">
        <v>154.81</v>
      </c>
      <c r="M770" t="inlineStr">
        <is>
          <t>INR</t>
        </is>
      </c>
      <c r="N770" t="inlineStr">
        <is>
          <t>2025-12-27 18:34:31</t>
        </is>
      </c>
    </row>
    <row r="771">
      <c r="A771" t="inlineStr">
        <is>
          <t>TXN00190710</t>
        </is>
      </c>
      <c r="B771" t="inlineStr">
        <is>
          <t>MER00457</t>
        </is>
      </c>
      <c r="C771" s="8" t="n">
        <v>46032</v>
      </c>
      <c r="D771" t="inlineStr">
        <is>
          <t>ORD00190710</t>
        </is>
      </c>
      <c r="E771" t="n">
        <v>2356.22</v>
      </c>
      <c r="F771" t="n">
        <v>3.11</v>
      </c>
      <c r="G771" t="n">
        <v>73.28</v>
      </c>
      <c r="H771" t="inlineStr">
        <is>
          <t>Wallet</t>
        </is>
      </c>
      <c r="I771" t="inlineStr">
        <is>
          <t>Success</t>
        </is>
      </c>
      <c r="J771" t="inlineStr">
        <is>
          <t>Delivered</t>
        </is>
      </c>
      <c r="K771" t="n">
        <v>0</v>
      </c>
      <c r="L771" t="n">
        <v>0</v>
      </c>
      <c r="M771" t="inlineStr">
        <is>
          <t>INR</t>
        </is>
      </c>
      <c r="N771" t="inlineStr">
        <is>
          <t>2026-01-10 06:52:29</t>
        </is>
      </c>
    </row>
    <row r="772">
      <c r="A772" t="inlineStr">
        <is>
          <t>TXN00201838</t>
        </is>
      </c>
      <c r="B772" t="inlineStr">
        <is>
          <t>MER00457</t>
        </is>
      </c>
      <c r="C772" s="8" t="n">
        <v>46057</v>
      </c>
      <c r="D772" t="inlineStr">
        <is>
          <t>ORD00201838</t>
        </is>
      </c>
      <c r="E772" t="n">
        <v>5211.2</v>
      </c>
      <c r="F772" t="n">
        <v>2.75</v>
      </c>
      <c r="G772" t="n">
        <v>162.07</v>
      </c>
      <c r="H772" t="inlineStr">
        <is>
          <t>UPI</t>
        </is>
      </c>
      <c r="I772" t="inlineStr">
        <is>
          <t>Success</t>
        </is>
      </c>
      <c r="J772" t="inlineStr">
        <is>
          <t>Delivered</t>
        </is>
      </c>
      <c r="K772" t="n">
        <v>0</v>
      </c>
      <c r="L772" t="n">
        <v>0</v>
      </c>
      <c r="M772" t="inlineStr">
        <is>
          <t>INR</t>
        </is>
      </c>
      <c r="N772" t="inlineStr">
        <is>
          <t>2026-02-04 11:04:54</t>
        </is>
      </c>
    </row>
    <row r="773">
      <c r="A773" t="inlineStr">
        <is>
          <t>TXN00202628</t>
        </is>
      </c>
      <c r="B773" t="inlineStr">
        <is>
          <t>MER00457</t>
        </is>
      </c>
      <c r="C773" s="8" t="n">
        <v>46059</v>
      </c>
      <c r="D773" t="inlineStr">
        <is>
          <t>ORD00202628</t>
        </is>
      </c>
      <c r="E773" t="n">
        <v>2286.25</v>
      </c>
      <c r="F773" t="n">
        <v>3.11</v>
      </c>
      <c r="G773" t="n">
        <v>71.09999999999999</v>
      </c>
      <c r="H773" t="inlineStr">
        <is>
          <t>Card</t>
        </is>
      </c>
      <c r="I773" t="inlineStr">
        <is>
          <t>Success</t>
        </is>
      </c>
      <c r="J773" t="inlineStr">
        <is>
          <t>Delivered</t>
        </is>
      </c>
      <c r="K773" t="n">
        <v>0</v>
      </c>
      <c r="L773" t="n">
        <v>0</v>
      </c>
      <c r="M773" t="inlineStr">
        <is>
          <t>INR</t>
        </is>
      </c>
      <c r="N773" t="inlineStr">
        <is>
          <t>2026-02-06 20:00:12</t>
        </is>
      </c>
    </row>
    <row r="774">
      <c r="A774" t="inlineStr">
        <is>
          <t>TXN00209321</t>
        </is>
      </c>
      <c r="B774" t="inlineStr">
        <is>
          <t>MER00457</t>
        </is>
      </c>
      <c r="C774" s="8" t="n">
        <v>46076</v>
      </c>
      <c r="D774" t="inlineStr">
        <is>
          <t>ORD00209321</t>
        </is>
      </c>
      <c r="E774" t="n">
        <v>5378.31</v>
      </c>
      <c r="F774" t="n">
        <v>3.11</v>
      </c>
      <c r="G774" t="n">
        <v>167.27</v>
      </c>
      <c r="H774" t="inlineStr">
        <is>
          <t>NetBanking</t>
        </is>
      </c>
      <c r="I774" t="inlineStr">
        <is>
          <t>Success</t>
        </is>
      </c>
      <c r="J774" t="inlineStr">
        <is>
          <t>Delivered</t>
        </is>
      </c>
      <c r="K774" t="n">
        <v>0</v>
      </c>
      <c r="L774" t="n">
        <v>0</v>
      </c>
      <c r="M774" t="inlineStr">
        <is>
          <t>INR</t>
        </is>
      </c>
      <c r="N774" t="inlineStr">
        <is>
          <t>2026-02-23 00:51:32</t>
        </is>
      </c>
    </row>
    <row r="775">
      <c r="A775" t="inlineStr">
        <is>
          <t>TXN00211932</t>
        </is>
      </c>
      <c r="B775" t="inlineStr">
        <is>
          <t>MER00457</t>
        </is>
      </c>
      <c r="C775" s="8" t="n">
        <v>46082</v>
      </c>
      <c r="D775" t="inlineStr">
        <is>
          <t>ORD00211932</t>
        </is>
      </c>
      <c r="E775" t="n">
        <v>2319.09</v>
      </c>
      <c r="F775" t="n">
        <v>3.11</v>
      </c>
      <c r="G775" t="n">
        <v>72.12</v>
      </c>
      <c r="H775" t="inlineStr">
        <is>
          <t>UPI</t>
        </is>
      </c>
      <c r="I775" t="inlineStr">
        <is>
          <t>Success</t>
        </is>
      </c>
      <c r="J775" t="inlineStr">
        <is>
          <t>Delivered</t>
        </is>
      </c>
      <c r="K775" t="n">
        <v>0</v>
      </c>
      <c r="L775" t="n">
        <v>0</v>
      </c>
      <c r="M775" t="inlineStr">
        <is>
          <t>INR</t>
        </is>
      </c>
      <c r="N775" t="inlineStr">
        <is>
          <t>2026-03-01 19:08:29</t>
        </is>
      </c>
    </row>
    <row r="776">
      <c r="A776" t="inlineStr">
        <is>
          <t>TXN00213018</t>
        </is>
      </c>
      <c r="B776" t="inlineStr">
        <is>
          <t>MER00457</t>
        </is>
      </c>
      <c r="C776" s="8" t="n">
        <v>46085</v>
      </c>
      <c r="D776" t="inlineStr">
        <is>
          <t>ORD00213018</t>
        </is>
      </c>
      <c r="E776" t="n">
        <v>5475.49</v>
      </c>
      <c r="F776" t="n">
        <v>3.11</v>
      </c>
      <c r="G776" t="n">
        <v>170.29</v>
      </c>
      <c r="H776" t="inlineStr">
        <is>
          <t>UPI</t>
        </is>
      </c>
      <c r="I776" t="inlineStr">
        <is>
          <t>Success</t>
        </is>
      </c>
      <c r="J776" t="inlineStr">
        <is>
          <t>Delivered</t>
        </is>
      </c>
      <c r="K776" t="n">
        <v>0</v>
      </c>
      <c r="L776" t="n">
        <v>519.2</v>
      </c>
      <c r="M776" t="inlineStr">
        <is>
          <t>INR</t>
        </is>
      </c>
      <c r="N776" t="inlineStr">
        <is>
          <t>2026-03-04 18:20:13</t>
        </is>
      </c>
    </row>
    <row r="777">
      <c r="A777" t="inlineStr">
        <is>
          <t>TXN00216195</t>
        </is>
      </c>
      <c r="B777" t="inlineStr">
        <is>
          <t>MER00457</t>
        </is>
      </c>
      <c r="C777" s="8" t="n">
        <v>46094</v>
      </c>
      <c r="D777" t="inlineStr">
        <is>
          <t>ORD00216195</t>
        </is>
      </c>
      <c r="E777" t="n">
        <v>4757.55</v>
      </c>
      <c r="F777" t="n">
        <v>3.11</v>
      </c>
      <c r="G777" t="n">
        <v>147.96</v>
      </c>
      <c r="H777" t="inlineStr">
        <is>
          <t>NetBanking</t>
        </is>
      </c>
      <c r="I777" t="inlineStr">
        <is>
          <t>Success</t>
        </is>
      </c>
      <c r="J777" t="inlineStr">
        <is>
          <t>Delivered</t>
        </is>
      </c>
      <c r="K777" t="n">
        <v>0</v>
      </c>
      <c r="L777" t="n">
        <v>0</v>
      </c>
      <c r="M777" t="inlineStr">
        <is>
          <t>INR</t>
        </is>
      </c>
      <c r="N777" t="inlineStr">
        <is>
          <t>2026-03-13 02:48:41</t>
        </is>
      </c>
    </row>
    <row r="778">
      <c r="A778" t="inlineStr">
        <is>
          <t>TXN00218465</t>
        </is>
      </c>
      <c r="B778" t="inlineStr">
        <is>
          <t>MER00457</t>
        </is>
      </c>
      <c r="C778" s="8" t="n">
        <v>46100</v>
      </c>
      <c r="D778" t="inlineStr">
        <is>
          <t>ORD00218465</t>
        </is>
      </c>
      <c r="E778" t="n">
        <v>8965.01</v>
      </c>
      <c r="F778" t="n">
        <v>3.11</v>
      </c>
      <c r="G778" t="n">
        <v>278.81</v>
      </c>
      <c r="H778" t="inlineStr">
        <is>
          <t>UPI</t>
        </is>
      </c>
      <c r="I778" t="inlineStr">
        <is>
          <t>Success</t>
        </is>
      </c>
      <c r="J778" t="inlineStr">
        <is>
          <t>Delivered</t>
        </is>
      </c>
      <c r="K778" t="n">
        <v>0</v>
      </c>
      <c r="L778" t="n">
        <v>0</v>
      </c>
      <c r="M778" t="inlineStr">
        <is>
          <t>INR</t>
        </is>
      </c>
      <c r="N778" t="inlineStr">
        <is>
          <t>2026-03-19 11:14:21</t>
        </is>
      </c>
    </row>
    <row r="779">
      <c r="A779" t="inlineStr">
        <is>
          <t>TXN00223568</t>
        </is>
      </c>
      <c r="B779" t="inlineStr">
        <is>
          <t>MER00457</t>
        </is>
      </c>
      <c r="C779" s="8" t="n">
        <v>46114</v>
      </c>
      <c r="D779" t="inlineStr">
        <is>
          <t>ORD00223568</t>
        </is>
      </c>
      <c r="E779" t="n">
        <v>1542.71</v>
      </c>
      <c r="F779" t="n">
        <v>3.11</v>
      </c>
      <c r="G779" t="n">
        <v>47.98</v>
      </c>
      <c r="H779" t="inlineStr">
        <is>
          <t>COD</t>
        </is>
      </c>
      <c r="I779" t="inlineStr">
        <is>
          <t>Success</t>
        </is>
      </c>
      <c r="J779" t="inlineStr">
        <is>
          <t>Delivered</t>
        </is>
      </c>
      <c r="K779" t="n">
        <v>0</v>
      </c>
      <c r="L779" t="n">
        <v>0</v>
      </c>
      <c r="M779" t="inlineStr">
        <is>
          <t>INR</t>
        </is>
      </c>
      <c r="N779" t="inlineStr">
        <is>
          <t>2026-04-02 04:05:49</t>
        </is>
      </c>
    </row>
    <row r="780">
      <c r="A780" t="inlineStr">
        <is>
          <t>TXN00223867</t>
        </is>
      </c>
      <c r="B780" t="inlineStr">
        <is>
          <t>MER00457</t>
        </is>
      </c>
      <c r="C780" s="8" t="n">
        <v>46115</v>
      </c>
      <c r="D780" t="inlineStr">
        <is>
          <t>ORD00223867</t>
        </is>
      </c>
      <c r="E780" t="n">
        <v>2905.59</v>
      </c>
      <c r="F780" t="n">
        <v>3.11</v>
      </c>
      <c r="G780" t="n">
        <v>90.36</v>
      </c>
      <c r="H780" t="inlineStr">
        <is>
          <t>NetBanking</t>
        </is>
      </c>
      <c r="I780" t="inlineStr">
        <is>
          <t>Success</t>
        </is>
      </c>
      <c r="J780" t="inlineStr">
        <is>
          <t>Delivered</t>
        </is>
      </c>
      <c r="K780" t="n">
        <v>0</v>
      </c>
      <c r="L780" t="n">
        <v>0</v>
      </c>
      <c r="M780" t="inlineStr">
        <is>
          <t>INR</t>
        </is>
      </c>
      <c r="N780" t="inlineStr">
        <is>
          <t>2026-04-03 14:46:50</t>
        </is>
      </c>
    </row>
    <row r="781">
      <c r="A781" t="inlineStr">
        <is>
          <t>TXN00229868</t>
        </is>
      </c>
      <c r="B781" t="inlineStr">
        <is>
          <t>MER00457</t>
        </is>
      </c>
      <c r="C781" s="8" t="n">
        <v>46130</v>
      </c>
      <c r="D781" t="inlineStr">
        <is>
          <t>ORD00229868</t>
        </is>
      </c>
      <c r="E781" t="n">
        <v>3231.53</v>
      </c>
      <c r="F781" t="n">
        <v>3.11</v>
      </c>
      <c r="G781" t="n">
        <v>100.5</v>
      </c>
      <c r="H781" t="inlineStr">
        <is>
          <t>UPI</t>
        </is>
      </c>
      <c r="I781" t="inlineStr">
        <is>
          <t>Success</t>
        </is>
      </c>
      <c r="J781" t="inlineStr">
        <is>
          <t>Returned</t>
        </is>
      </c>
      <c r="K781" t="n">
        <v>1643.97</v>
      </c>
      <c r="L781" t="n">
        <v>0</v>
      </c>
      <c r="M781" t="inlineStr">
        <is>
          <t>INR</t>
        </is>
      </c>
      <c r="N781" t="inlineStr">
        <is>
          <t>2026-04-18 00:17:48</t>
        </is>
      </c>
    </row>
    <row r="782">
      <c r="A782" t="inlineStr">
        <is>
          <t>TXN00232770</t>
        </is>
      </c>
      <c r="B782" t="inlineStr">
        <is>
          <t>MER00457</t>
        </is>
      </c>
      <c r="C782" s="8" t="n">
        <v>46138</v>
      </c>
      <c r="D782" t="inlineStr">
        <is>
          <t>ORD00232770</t>
        </is>
      </c>
      <c r="E782" t="n">
        <v>3045.87</v>
      </c>
      <c r="F782" t="n">
        <v>3.11</v>
      </c>
      <c r="G782" t="n">
        <v>94.73</v>
      </c>
      <c r="H782" t="inlineStr">
        <is>
          <t>UPI</t>
        </is>
      </c>
      <c r="I782" t="inlineStr">
        <is>
          <t>Success</t>
        </is>
      </c>
      <c r="J782" t="inlineStr">
        <is>
          <t>Delivered</t>
        </is>
      </c>
      <c r="K782" t="n">
        <v>0</v>
      </c>
      <c r="L782" t="n">
        <v>0</v>
      </c>
      <c r="M782" t="inlineStr">
        <is>
          <t>INR</t>
        </is>
      </c>
      <c r="N782" t="inlineStr">
        <is>
          <t>2026-04-26 10:49:09</t>
        </is>
      </c>
    </row>
    <row r="783">
      <c r="A783" t="inlineStr">
        <is>
          <t>TXN00240315</t>
        </is>
      </c>
      <c r="B783" t="inlineStr">
        <is>
          <t>MER00457</t>
        </is>
      </c>
      <c r="C783" s="8" t="n">
        <v>46158</v>
      </c>
      <c r="D783" t="inlineStr">
        <is>
          <t>ORD00240315</t>
        </is>
      </c>
      <c r="E783" t="n">
        <v>2470.5</v>
      </c>
      <c r="F783" t="n">
        <v>3.11</v>
      </c>
      <c r="G783" t="n">
        <v>76.83</v>
      </c>
      <c r="H783" t="inlineStr">
        <is>
          <t>UPI</t>
        </is>
      </c>
      <c r="I783" t="inlineStr">
        <is>
          <t>Success</t>
        </is>
      </c>
      <c r="J783" t="inlineStr">
        <is>
          <t>Delivered</t>
        </is>
      </c>
      <c r="K783" t="n">
        <v>0</v>
      </c>
      <c r="L783" t="n">
        <v>147.45</v>
      </c>
      <c r="M783" t="inlineStr">
        <is>
          <t>INR</t>
        </is>
      </c>
      <c r="N783" t="inlineStr">
        <is>
          <t>2026-05-16 23:30:50</t>
        </is>
      </c>
    </row>
    <row r="784">
      <c r="A784" t="inlineStr">
        <is>
          <t>TXN00241618</t>
        </is>
      </c>
      <c r="B784" t="inlineStr">
        <is>
          <t>MER00457</t>
        </is>
      </c>
      <c r="C784" s="8" t="n">
        <v>46161</v>
      </c>
      <c r="D784" t="inlineStr">
        <is>
          <t>ORD00241618</t>
        </is>
      </c>
      <c r="E784" t="n">
        <v>8696.57</v>
      </c>
      <c r="F784" t="n">
        <v>3.11</v>
      </c>
      <c r="G784" t="n">
        <v>270.46</v>
      </c>
      <c r="H784" t="inlineStr">
        <is>
          <t>UPI</t>
        </is>
      </c>
      <c r="I784" t="inlineStr">
        <is>
          <t>Success</t>
        </is>
      </c>
      <c r="J784" t="inlineStr">
        <is>
          <t>Delivered</t>
        </is>
      </c>
      <c r="K784" t="n">
        <v>0</v>
      </c>
      <c r="L784" t="n">
        <v>0</v>
      </c>
      <c r="M784" t="inlineStr">
        <is>
          <t>INR</t>
        </is>
      </c>
      <c r="N784" t="inlineStr">
        <is>
          <t>2026-05-19 18:03:29</t>
        </is>
      </c>
    </row>
    <row r="785">
      <c r="A785" t="inlineStr">
        <is>
          <t>TXN00260308</t>
        </is>
      </c>
      <c r="B785" t="inlineStr">
        <is>
          <t>MER00457</t>
        </is>
      </c>
      <c r="C785" s="8" t="n">
        <v>46208</v>
      </c>
      <c r="D785" t="inlineStr">
        <is>
          <t>ORD00260308</t>
        </is>
      </c>
      <c r="E785" t="n">
        <v>1249.37</v>
      </c>
      <c r="F785" t="n">
        <v>3.11</v>
      </c>
      <c r="G785" t="n">
        <v>38.86</v>
      </c>
      <c r="H785" t="inlineStr">
        <is>
          <t>UPI</t>
        </is>
      </c>
      <c r="I785" t="inlineStr">
        <is>
          <t>Success</t>
        </is>
      </c>
      <c r="J785" t="inlineStr">
        <is>
          <t>Delivered</t>
        </is>
      </c>
      <c r="K785" t="n">
        <v>0</v>
      </c>
      <c r="L785" t="n">
        <v>0</v>
      </c>
      <c r="M785" t="inlineStr">
        <is>
          <t>INR</t>
        </is>
      </c>
      <c r="N785" t="inlineStr">
        <is>
          <t>2026-07-05 09:30:24</t>
        </is>
      </c>
    </row>
    <row r="786">
      <c r="A786" t="inlineStr">
        <is>
          <t>TXN00000284</t>
        </is>
      </c>
      <c r="B786" t="inlineStr">
        <is>
          <t>MER00480</t>
        </is>
      </c>
      <c r="C786" s="8" t="n">
        <v>45506</v>
      </c>
      <c r="D786" t="inlineStr">
        <is>
          <t>ORD00000284</t>
        </is>
      </c>
      <c r="E786" t="n">
        <v>5616.47</v>
      </c>
      <c r="F786" t="n">
        <v>2.5</v>
      </c>
      <c r="G786" t="n">
        <v>140.41</v>
      </c>
      <c r="H786" t="inlineStr">
        <is>
          <t>COD</t>
        </is>
      </c>
      <c r="I786" t="inlineStr">
        <is>
          <t>Success</t>
        </is>
      </c>
      <c r="J786" t="inlineStr">
        <is>
          <t>Delivered</t>
        </is>
      </c>
      <c r="K786" t="n">
        <v>0</v>
      </c>
      <c r="L786" t="n">
        <v>0</v>
      </c>
      <c r="M786" t="inlineStr">
        <is>
          <t>INR</t>
        </is>
      </c>
      <c r="N786" t="inlineStr">
        <is>
          <t>2024-08-02 02:05:49</t>
        </is>
      </c>
    </row>
    <row r="787">
      <c r="A787" t="inlineStr">
        <is>
          <t>TXN00001136</t>
        </is>
      </c>
      <c r="B787" t="inlineStr">
        <is>
          <t>MER00480</t>
        </is>
      </c>
      <c r="C787" s="8" t="n">
        <v>45509</v>
      </c>
      <c r="D787" t="inlineStr">
        <is>
          <t>ORD00001136</t>
        </is>
      </c>
      <c r="E787" t="n">
        <v>2962.72</v>
      </c>
      <c r="F787" t="n">
        <v>2.5</v>
      </c>
      <c r="G787" t="n">
        <v>74.06999999999999</v>
      </c>
      <c r="H787" t="inlineStr">
        <is>
          <t>Wallet</t>
        </is>
      </c>
      <c r="I787" t="inlineStr">
        <is>
          <t>Success</t>
        </is>
      </c>
      <c r="J787" t="inlineStr">
        <is>
          <t>Delivered</t>
        </is>
      </c>
      <c r="K787" t="n">
        <v>0</v>
      </c>
      <c r="L787" t="n">
        <v>0</v>
      </c>
      <c r="M787" t="inlineStr">
        <is>
          <t>INR</t>
        </is>
      </c>
      <c r="N787" t="inlineStr">
        <is>
          <t>2024-08-05 12:36:33</t>
        </is>
      </c>
    </row>
    <row r="788">
      <c r="A788" t="inlineStr">
        <is>
          <t>TXN00002042</t>
        </is>
      </c>
      <c r="B788" t="inlineStr">
        <is>
          <t>MER00480</t>
        </is>
      </c>
      <c r="C788" s="8" t="n">
        <v>45513</v>
      </c>
      <c r="D788" t="inlineStr">
        <is>
          <t>ORD00002042</t>
        </is>
      </c>
      <c r="E788" t="n">
        <v>4502.27</v>
      </c>
      <c r="F788" t="n">
        <v>2.61</v>
      </c>
      <c r="G788" t="n">
        <v>117.51</v>
      </c>
      <c r="H788" t="inlineStr">
        <is>
          <t>UPI</t>
        </is>
      </c>
      <c r="I788" t="inlineStr">
        <is>
          <t>Success</t>
        </is>
      </c>
      <c r="J788" t="inlineStr">
        <is>
          <t>Delivered</t>
        </is>
      </c>
      <c r="K788" t="n">
        <v>0</v>
      </c>
      <c r="L788" t="n">
        <v>0</v>
      </c>
      <c r="M788" t="inlineStr">
        <is>
          <t>INR</t>
        </is>
      </c>
      <c r="N788" t="inlineStr">
        <is>
          <t>2024-08-09 05:16:17</t>
        </is>
      </c>
    </row>
    <row r="789">
      <c r="A789" t="inlineStr">
        <is>
          <t>TXN00003455</t>
        </is>
      </c>
      <c r="B789" t="inlineStr">
        <is>
          <t>MER00480</t>
        </is>
      </c>
      <c r="C789" s="8" t="n">
        <v>45519</v>
      </c>
      <c r="D789" t="inlineStr">
        <is>
          <t>ORD00003455</t>
        </is>
      </c>
      <c r="E789" t="n">
        <v>5141.2</v>
      </c>
      <c r="F789" t="n">
        <v>2.61</v>
      </c>
      <c r="G789" t="n">
        <v>134.19</v>
      </c>
      <c r="H789" t="inlineStr">
        <is>
          <t>UPI</t>
        </is>
      </c>
      <c r="I789" t="inlineStr">
        <is>
          <t>Success</t>
        </is>
      </c>
      <c r="J789" t="inlineStr">
        <is>
          <t>Delivered</t>
        </is>
      </c>
      <c r="K789" t="n">
        <v>0</v>
      </c>
      <c r="L789" t="n">
        <v>0</v>
      </c>
      <c r="M789" t="inlineStr">
        <is>
          <t>INR</t>
        </is>
      </c>
      <c r="N789" t="inlineStr">
        <is>
          <t>2024-08-15 10:38:21</t>
        </is>
      </c>
    </row>
    <row r="790">
      <c r="A790" t="inlineStr">
        <is>
          <t>TXN00006265</t>
        </is>
      </c>
      <c r="B790" t="inlineStr">
        <is>
          <t>MER00480</t>
        </is>
      </c>
      <c r="C790" s="8" t="n">
        <v>45531</v>
      </c>
      <c r="D790" t="inlineStr">
        <is>
          <t>ORD00006265</t>
        </is>
      </c>
      <c r="E790" t="n">
        <v>8049.83</v>
      </c>
      <c r="F790" t="n">
        <v>2.61</v>
      </c>
      <c r="G790" t="n">
        <v>210.1</v>
      </c>
      <c r="H790" t="inlineStr">
        <is>
          <t>UPI</t>
        </is>
      </c>
      <c r="I790" t="inlineStr">
        <is>
          <t>Success</t>
        </is>
      </c>
      <c r="J790" t="inlineStr">
        <is>
          <t>Delivered</t>
        </is>
      </c>
      <c r="K790" t="n">
        <v>0</v>
      </c>
      <c r="L790" t="n">
        <v>0</v>
      </c>
      <c r="M790" t="inlineStr">
        <is>
          <t>INR</t>
        </is>
      </c>
      <c r="N790" t="inlineStr">
        <is>
          <t>2024-08-27 05:59:50</t>
        </is>
      </c>
    </row>
    <row r="791">
      <c r="A791" t="inlineStr">
        <is>
          <t>TXN00007195</t>
        </is>
      </c>
      <c r="B791" t="inlineStr">
        <is>
          <t>MER00480</t>
        </is>
      </c>
      <c r="C791" s="8" t="n">
        <v>45534</v>
      </c>
      <c r="D791" t="inlineStr">
        <is>
          <t>ORD00007195</t>
        </is>
      </c>
      <c r="E791" t="n">
        <v>16455.04</v>
      </c>
      <c r="F791" t="n">
        <v>2.61</v>
      </c>
      <c r="G791" t="n">
        <v>429.48</v>
      </c>
      <c r="H791" t="inlineStr">
        <is>
          <t>UPI</t>
        </is>
      </c>
      <c r="I791" t="inlineStr">
        <is>
          <t>Success</t>
        </is>
      </c>
      <c r="J791" t="inlineStr">
        <is>
          <t>Cancelled</t>
        </is>
      </c>
      <c r="K791" t="n">
        <v>16283.95</v>
      </c>
      <c r="L791" t="n">
        <v>2996.12</v>
      </c>
      <c r="M791" t="inlineStr">
        <is>
          <t>INR</t>
        </is>
      </c>
      <c r="N791" t="inlineStr">
        <is>
          <t>2024-08-30 14:38:33</t>
        </is>
      </c>
    </row>
    <row r="792">
      <c r="A792" t="inlineStr">
        <is>
          <t>TXN00009533</t>
        </is>
      </c>
      <c r="B792" t="inlineStr">
        <is>
          <t>MER00480</t>
        </is>
      </c>
      <c r="C792" s="8" t="n">
        <v>45543</v>
      </c>
      <c r="D792" t="inlineStr">
        <is>
          <t>ORD00009533</t>
        </is>
      </c>
      <c r="E792" t="n">
        <v>6402.09</v>
      </c>
      <c r="F792" t="n">
        <v>2.61</v>
      </c>
      <c r="G792" t="n">
        <v>167.09</v>
      </c>
      <c r="H792" t="inlineStr">
        <is>
          <t>Card</t>
        </is>
      </c>
      <c r="I792" t="inlineStr">
        <is>
          <t>Success</t>
        </is>
      </c>
      <c r="J792" t="inlineStr">
        <is>
          <t>Delivered</t>
        </is>
      </c>
      <c r="K792" t="n">
        <v>0</v>
      </c>
      <c r="L792" t="n">
        <v>0</v>
      </c>
      <c r="M792" t="inlineStr">
        <is>
          <t>INR</t>
        </is>
      </c>
      <c r="N792" t="inlineStr">
        <is>
          <t>2024-09-08 00:08:19</t>
        </is>
      </c>
    </row>
    <row r="793">
      <c r="A793" t="inlineStr">
        <is>
          <t>TXN00014278</t>
        </is>
      </c>
      <c r="B793" t="inlineStr">
        <is>
          <t>MER00480</t>
        </is>
      </c>
      <c r="C793" s="8" t="n">
        <v>45559</v>
      </c>
      <c r="D793" t="inlineStr">
        <is>
          <t>ORD00014278</t>
        </is>
      </c>
      <c r="E793" t="n">
        <v>8911.299999999999</v>
      </c>
      <c r="F793" t="n">
        <v>2.61</v>
      </c>
      <c r="G793" t="n">
        <v>232.58</v>
      </c>
      <c r="H793" t="inlineStr">
        <is>
          <t>UPI</t>
        </is>
      </c>
      <c r="I793" t="inlineStr">
        <is>
          <t>Success</t>
        </is>
      </c>
      <c r="J793" t="inlineStr">
        <is>
          <t>Delivered</t>
        </is>
      </c>
      <c r="K793" t="n">
        <v>0</v>
      </c>
      <c r="L793" t="n">
        <v>0</v>
      </c>
      <c r="M793" t="inlineStr">
        <is>
          <t>INR</t>
        </is>
      </c>
      <c r="N793" t="inlineStr">
        <is>
          <t>2024-09-24 22:37:36</t>
        </is>
      </c>
    </row>
    <row r="794">
      <c r="A794" t="inlineStr">
        <is>
          <t>TXN00025102</t>
        </is>
      </c>
      <c r="B794" t="inlineStr">
        <is>
          <t>MER00480</t>
        </is>
      </c>
      <c r="C794" s="8" t="n">
        <v>45589</v>
      </c>
      <c r="D794" t="inlineStr">
        <is>
          <t>ORD00025102</t>
        </is>
      </c>
      <c r="E794" t="n">
        <v>14586.83</v>
      </c>
      <c r="F794" t="n">
        <v>2.61</v>
      </c>
      <c r="G794" t="n">
        <v>380.72</v>
      </c>
      <c r="H794" t="inlineStr">
        <is>
          <t>COD</t>
        </is>
      </c>
      <c r="I794" t="inlineStr">
        <is>
          <t>Success</t>
        </is>
      </c>
      <c r="J794" t="inlineStr">
        <is>
          <t>Cancelled</t>
        </is>
      </c>
      <c r="K794" t="n">
        <v>14075.68</v>
      </c>
      <c r="L794" t="n">
        <v>0</v>
      </c>
      <c r="M794" t="inlineStr">
        <is>
          <t>INR</t>
        </is>
      </c>
      <c r="N794" t="inlineStr">
        <is>
          <t>2024-10-24 14:31:37</t>
        </is>
      </c>
    </row>
    <row r="795">
      <c r="A795" t="inlineStr">
        <is>
          <t>TXN00028609</t>
        </is>
      </c>
      <c r="B795" t="inlineStr">
        <is>
          <t>MER00480</t>
        </is>
      </c>
      <c r="C795" s="8" t="n">
        <v>45598</v>
      </c>
      <c r="D795" t="inlineStr">
        <is>
          <t>ORD00028609</t>
        </is>
      </c>
      <c r="E795" t="n">
        <v>7968.16</v>
      </c>
      <c r="F795" t="n">
        <v>2.61</v>
      </c>
      <c r="G795" t="n">
        <v>207.97</v>
      </c>
      <c r="H795" t="inlineStr">
        <is>
          <t>UPI</t>
        </is>
      </c>
      <c r="I795" t="inlineStr">
        <is>
          <t>Success</t>
        </is>
      </c>
      <c r="J795" t="inlineStr">
        <is>
          <t>Delivered</t>
        </is>
      </c>
      <c r="K795" t="n">
        <v>0</v>
      </c>
      <c r="L795" t="n">
        <v>426.01</v>
      </c>
      <c r="M795" t="inlineStr">
        <is>
          <t>INR</t>
        </is>
      </c>
      <c r="N795" t="inlineStr">
        <is>
          <t>2024-11-02 08:37:51</t>
        </is>
      </c>
    </row>
    <row r="796">
      <c r="A796" t="inlineStr">
        <is>
          <t>TXN00033063</t>
        </is>
      </c>
      <c r="B796" t="inlineStr">
        <is>
          <t>MER00480</t>
        </is>
      </c>
      <c r="C796" s="8" t="n">
        <v>45608</v>
      </c>
      <c r="D796" t="inlineStr">
        <is>
          <t>ORD00033063</t>
        </is>
      </c>
      <c r="E796" t="n">
        <v>7496.18</v>
      </c>
      <c r="F796" t="n">
        <v>2.61</v>
      </c>
      <c r="G796" t="n">
        <v>195.65</v>
      </c>
      <c r="H796" t="inlineStr">
        <is>
          <t>UPI</t>
        </is>
      </c>
      <c r="I796" t="inlineStr">
        <is>
          <t>Success</t>
        </is>
      </c>
      <c r="J796" t="inlineStr">
        <is>
          <t>Delivered</t>
        </is>
      </c>
      <c r="K796" t="n">
        <v>0</v>
      </c>
      <c r="L796" t="n">
        <v>0</v>
      </c>
      <c r="M796" t="inlineStr">
        <is>
          <t>INR</t>
        </is>
      </c>
      <c r="N796" t="inlineStr">
        <is>
          <t>2024-11-12 03:20:41</t>
        </is>
      </c>
    </row>
    <row r="797">
      <c r="A797" t="inlineStr">
        <is>
          <t>TXN00033037</t>
        </is>
      </c>
      <c r="B797" t="inlineStr">
        <is>
          <t>MER00480</t>
        </is>
      </c>
      <c r="C797" s="8" t="n">
        <v>45608</v>
      </c>
      <c r="D797" t="inlineStr">
        <is>
          <t>ORD00033037</t>
        </is>
      </c>
      <c r="E797" t="n">
        <v>8928.860000000001</v>
      </c>
      <c r="F797" t="n">
        <v>2.61</v>
      </c>
      <c r="G797" t="n">
        <v>233.04</v>
      </c>
      <c r="H797" t="inlineStr">
        <is>
          <t>UPI</t>
        </is>
      </c>
      <c r="I797" t="inlineStr">
        <is>
          <t>Success</t>
        </is>
      </c>
      <c r="J797" t="inlineStr">
        <is>
          <t>Delivered</t>
        </is>
      </c>
      <c r="K797" t="n">
        <v>0</v>
      </c>
      <c r="L797" t="n">
        <v>474.69</v>
      </c>
      <c r="M797" t="inlineStr">
        <is>
          <t>INR</t>
        </is>
      </c>
      <c r="N797" t="inlineStr">
        <is>
          <t>2024-11-12 04:53:54</t>
        </is>
      </c>
    </row>
    <row r="798">
      <c r="A798" t="inlineStr">
        <is>
          <t>TXN00040202</t>
        </is>
      </c>
      <c r="B798" t="inlineStr">
        <is>
          <t>MER00480</t>
        </is>
      </c>
      <c r="C798" s="8" t="n">
        <v>45623</v>
      </c>
      <c r="D798" t="inlineStr">
        <is>
          <t>ORD00040202</t>
        </is>
      </c>
      <c r="E798" t="n">
        <v>9058.35</v>
      </c>
      <c r="F798" t="n">
        <v>2.61</v>
      </c>
      <c r="G798" t="n">
        <v>236.42</v>
      </c>
      <c r="H798" t="inlineStr">
        <is>
          <t>NetBanking</t>
        </is>
      </c>
      <c r="I798" t="inlineStr">
        <is>
          <t>Success</t>
        </is>
      </c>
      <c r="J798" t="inlineStr">
        <is>
          <t>Delivered</t>
        </is>
      </c>
      <c r="K798" t="n">
        <v>0</v>
      </c>
      <c r="L798" t="n">
        <v>0</v>
      </c>
      <c r="M798" t="inlineStr">
        <is>
          <t>INR</t>
        </is>
      </c>
      <c r="N798" t="inlineStr">
        <is>
          <t>2024-11-27 13:54:40</t>
        </is>
      </c>
    </row>
    <row r="799">
      <c r="A799" t="inlineStr">
        <is>
          <t>TXN00043199</t>
        </is>
      </c>
      <c r="B799" t="inlineStr">
        <is>
          <t>MER00480</t>
        </is>
      </c>
      <c r="C799" s="8" t="n">
        <v>45632</v>
      </c>
      <c r="D799" t="inlineStr">
        <is>
          <t>ORD00043199</t>
        </is>
      </c>
      <c r="E799" t="n">
        <v>2636.65</v>
      </c>
      <c r="F799" t="n">
        <v>2.61</v>
      </c>
      <c r="G799" t="n">
        <v>68.81999999999999</v>
      </c>
      <c r="H799" t="inlineStr">
        <is>
          <t>UPI</t>
        </is>
      </c>
      <c r="I799" t="inlineStr">
        <is>
          <t>Failed</t>
        </is>
      </c>
      <c r="J799" t="inlineStr">
        <is>
          <t>Cancelled</t>
        </is>
      </c>
      <c r="K799" t="n">
        <v>0</v>
      </c>
      <c r="L799" t="n">
        <v>0</v>
      </c>
      <c r="M799" t="inlineStr">
        <is>
          <t>INR</t>
        </is>
      </c>
      <c r="N799" t="inlineStr">
        <is>
          <t>2024-12-06 19:27:56</t>
        </is>
      </c>
    </row>
    <row r="800">
      <c r="A800" t="inlineStr">
        <is>
          <t>TXN00070429</t>
        </is>
      </c>
      <c r="B800" t="inlineStr">
        <is>
          <t>MER00480</t>
        </is>
      </c>
      <c r="C800" s="8" t="n">
        <v>45711</v>
      </c>
      <c r="D800" t="inlineStr">
        <is>
          <t>ORD00070429</t>
        </is>
      </c>
      <c r="E800" t="n">
        <v>820.64</v>
      </c>
      <c r="F800" t="n">
        <v>2.61</v>
      </c>
      <c r="G800" t="n">
        <v>21.42</v>
      </c>
      <c r="H800" t="inlineStr">
        <is>
          <t>UPI</t>
        </is>
      </c>
      <c r="I800" t="inlineStr">
        <is>
          <t>Success</t>
        </is>
      </c>
      <c r="J800" t="inlineStr">
        <is>
          <t>Delivered</t>
        </is>
      </c>
      <c r="K800" t="n">
        <v>0</v>
      </c>
      <c r="L800" t="n">
        <v>0</v>
      </c>
      <c r="M800" t="inlineStr">
        <is>
          <t>INR</t>
        </is>
      </c>
      <c r="N800" t="inlineStr">
        <is>
          <t>2025-02-23 04:05:00</t>
        </is>
      </c>
    </row>
    <row r="801">
      <c r="A801" t="inlineStr">
        <is>
          <t>TXN00076942</t>
        </is>
      </c>
      <c r="B801" t="inlineStr">
        <is>
          <t>MER00480</t>
        </is>
      </c>
      <c r="C801" s="8" t="n">
        <v>45731</v>
      </c>
      <c r="D801" t="inlineStr">
        <is>
          <t>ORD00076942</t>
        </is>
      </c>
      <c r="E801" t="n">
        <v>6349.02</v>
      </c>
      <c r="F801" t="n">
        <v>2.61</v>
      </c>
      <c r="G801" t="n">
        <v>165.71</v>
      </c>
      <c r="H801" t="inlineStr">
        <is>
          <t>Wallet</t>
        </is>
      </c>
      <c r="I801" t="inlineStr">
        <is>
          <t>Success</t>
        </is>
      </c>
      <c r="J801" t="inlineStr">
        <is>
          <t>Delivered</t>
        </is>
      </c>
      <c r="K801" t="n">
        <v>0</v>
      </c>
      <c r="L801" t="n">
        <v>0</v>
      </c>
      <c r="M801" t="inlineStr">
        <is>
          <t>INR</t>
        </is>
      </c>
      <c r="N801" t="inlineStr">
        <is>
          <t>2025-03-15 23:25:06</t>
        </is>
      </c>
    </row>
    <row r="802">
      <c r="A802" t="inlineStr">
        <is>
          <t>TXN00080112</t>
        </is>
      </c>
      <c r="B802" t="inlineStr">
        <is>
          <t>MER00480</t>
        </is>
      </c>
      <c r="C802" s="8" t="n">
        <v>45741</v>
      </c>
      <c r="D802" t="inlineStr">
        <is>
          <t>ORD00080112</t>
        </is>
      </c>
      <c r="E802" t="n">
        <v>5281.24</v>
      </c>
      <c r="F802" t="n">
        <v>2.61</v>
      </c>
      <c r="G802" t="n">
        <v>137.84</v>
      </c>
      <c r="H802" t="inlineStr">
        <is>
          <t>UPI</t>
        </is>
      </c>
      <c r="I802" t="inlineStr">
        <is>
          <t>Success</t>
        </is>
      </c>
      <c r="J802" t="inlineStr">
        <is>
          <t>Cancelled</t>
        </is>
      </c>
      <c r="K802" t="n">
        <v>4800.7</v>
      </c>
      <c r="L802" t="n">
        <v>0</v>
      </c>
      <c r="M802" t="inlineStr">
        <is>
          <t>INR</t>
        </is>
      </c>
      <c r="N802" t="inlineStr">
        <is>
          <t>2025-03-25 08:47:28</t>
        </is>
      </c>
    </row>
    <row r="803">
      <c r="A803" t="inlineStr">
        <is>
          <t>TXN00080373</t>
        </is>
      </c>
      <c r="B803" t="inlineStr">
        <is>
          <t>MER00480</t>
        </is>
      </c>
      <c r="C803" s="8" t="n">
        <v>45742</v>
      </c>
      <c r="D803" t="inlineStr">
        <is>
          <t>ORD00080373</t>
        </is>
      </c>
      <c r="E803" t="n">
        <v>2128.59</v>
      </c>
      <c r="F803" t="n">
        <v>2.61</v>
      </c>
      <c r="G803" t="n">
        <v>55.56</v>
      </c>
      <c r="H803" t="inlineStr">
        <is>
          <t>Card</t>
        </is>
      </c>
      <c r="I803" t="inlineStr">
        <is>
          <t>Success</t>
        </is>
      </c>
      <c r="J803" t="inlineStr">
        <is>
          <t>Returned</t>
        </is>
      </c>
      <c r="K803" t="n">
        <v>2128.59</v>
      </c>
      <c r="L803" t="n">
        <v>0</v>
      </c>
      <c r="M803" t="inlineStr">
        <is>
          <t>INR</t>
        </is>
      </c>
      <c r="N803" t="inlineStr">
        <is>
          <t>2025-03-26 13:27:30</t>
        </is>
      </c>
    </row>
    <row r="804">
      <c r="A804" t="inlineStr">
        <is>
          <t>TXN00088164</t>
        </is>
      </c>
      <c r="B804" t="inlineStr">
        <is>
          <t>MER00480</t>
        </is>
      </c>
      <c r="C804" s="8" t="n">
        <v>45766</v>
      </c>
      <c r="D804" t="inlineStr">
        <is>
          <t>ORD00088164</t>
        </is>
      </c>
      <c r="E804" t="n">
        <v>7776.17</v>
      </c>
      <c r="F804" t="n">
        <v>2.61</v>
      </c>
      <c r="G804" t="n">
        <v>202.96</v>
      </c>
      <c r="H804" t="inlineStr">
        <is>
          <t>UPI</t>
        </is>
      </c>
      <c r="I804" t="inlineStr">
        <is>
          <t>Success</t>
        </is>
      </c>
      <c r="J804" t="inlineStr">
        <is>
          <t>Delivered</t>
        </is>
      </c>
      <c r="K804" t="n">
        <v>0</v>
      </c>
      <c r="L804" t="n">
        <v>0</v>
      </c>
      <c r="M804" t="inlineStr">
        <is>
          <t>INR</t>
        </is>
      </c>
      <c r="N804" t="inlineStr">
        <is>
          <t>2025-04-19 23:43:29</t>
        </is>
      </c>
    </row>
    <row r="805">
      <c r="A805" t="inlineStr">
        <is>
          <t>TXN00088747</t>
        </is>
      </c>
      <c r="B805" t="inlineStr">
        <is>
          <t>MER00480</t>
        </is>
      </c>
      <c r="C805" s="8" t="n">
        <v>45767</v>
      </c>
      <c r="D805" t="inlineStr">
        <is>
          <t>ORD00088747</t>
        </is>
      </c>
      <c r="E805" t="n">
        <v>3599.79</v>
      </c>
      <c r="F805" t="n">
        <v>2.61</v>
      </c>
      <c r="G805" t="n">
        <v>93.95</v>
      </c>
      <c r="H805" t="inlineStr">
        <is>
          <t>UPI</t>
        </is>
      </c>
      <c r="I805" t="inlineStr">
        <is>
          <t>Success</t>
        </is>
      </c>
      <c r="J805" t="inlineStr">
        <is>
          <t>Delivered</t>
        </is>
      </c>
      <c r="K805" t="n">
        <v>0</v>
      </c>
      <c r="L805" t="n">
        <v>0</v>
      </c>
      <c r="M805" t="inlineStr">
        <is>
          <t>INR</t>
        </is>
      </c>
      <c r="N805" t="inlineStr">
        <is>
          <t>2025-04-20 14:58:07</t>
        </is>
      </c>
    </row>
    <row r="806">
      <c r="A806" t="inlineStr">
        <is>
          <t>TXN00095547</t>
        </is>
      </c>
      <c r="B806" t="inlineStr">
        <is>
          <t>MER00480</t>
        </is>
      </c>
      <c r="C806" s="8" t="n">
        <v>45788</v>
      </c>
      <c r="D806" t="inlineStr">
        <is>
          <t>ORD00095547</t>
        </is>
      </c>
      <c r="E806" t="n">
        <v>7509.19</v>
      </c>
      <c r="F806" t="n">
        <v>2.61</v>
      </c>
      <c r="G806" t="n">
        <v>195.99</v>
      </c>
      <c r="H806" t="inlineStr">
        <is>
          <t>UPI</t>
        </is>
      </c>
      <c r="I806" t="inlineStr">
        <is>
          <t>Pending</t>
        </is>
      </c>
      <c r="J806" t="inlineStr">
        <is>
          <t>Processing</t>
        </is>
      </c>
      <c r="K806" t="n">
        <v>0</v>
      </c>
      <c r="L806" t="n">
        <v>495.31</v>
      </c>
      <c r="M806" t="inlineStr">
        <is>
          <t>INR</t>
        </is>
      </c>
      <c r="N806" t="inlineStr">
        <is>
          <t>2025-05-11 12:04:37</t>
        </is>
      </c>
    </row>
    <row r="807">
      <c r="A807" t="inlineStr">
        <is>
          <t>TXN00099758</t>
        </is>
      </c>
      <c r="B807" t="inlineStr">
        <is>
          <t>MER00480</t>
        </is>
      </c>
      <c r="C807" s="8" t="n">
        <v>45801</v>
      </c>
      <c r="D807" t="inlineStr">
        <is>
          <t>ORD00099758</t>
        </is>
      </c>
      <c r="E807" t="n">
        <v>4248.89</v>
      </c>
      <c r="F807" t="n">
        <v>2.61</v>
      </c>
      <c r="G807" t="n">
        <v>110.9</v>
      </c>
      <c r="H807" t="inlineStr">
        <is>
          <t>UPI</t>
        </is>
      </c>
      <c r="I807" t="inlineStr">
        <is>
          <t>Success</t>
        </is>
      </c>
      <c r="J807" t="inlineStr">
        <is>
          <t>Delivered</t>
        </is>
      </c>
      <c r="K807" t="n">
        <v>0</v>
      </c>
      <c r="L807" t="n">
        <v>0</v>
      </c>
      <c r="M807" t="inlineStr">
        <is>
          <t>INR</t>
        </is>
      </c>
      <c r="N807" t="inlineStr">
        <is>
          <t>2025-05-24 01:46:01</t>
        </is>
      </c>
    </row>
    <row r="808">
      <c r="A808" t="inlineStr">
        <is>
          <t>TXN00102158</t>
        </is>
      </c>
      <c r="B808" t="inlineStr">
        <is>
          <t>MER00480</t>
        </is>
      </c>
      <c r="C808" s="8" t="n">
        <v>45808</v>
      </c>
      <c r="D808" t="inlineStr">
        <is>
          <t>ORD00102158</t>
        </is>
      </c>
      <c r="E808" t="n">
        <v>3538.36</v>
      </c>
      <c r="F808" t="n">
        <v>2.61</v>
      </c>
      <c r="G808" t="n">
        <v>92.34999999999999</v>
      </c>
      <c r="H808" t="inlineStr">
        <is>
          <t>Card</t>
        </is>
      </c>
      <c r="I808" t="inlineStr">
        <is>
          <t>Success</t>
        </is>
      </c>
      <c r="J808" t="inlineStr">
        <is>
          <t>Returned</t>
        </is>
      </c>
      <c r="K808" t="n">
        <v>3538.36</v>
      </c>
      <c r="L808" t="n">
        <v>200.7</v>
      </c>
      <c r="M808" t="inlineStr">
        <is>
          <t>INR</t>
        </is>
      </c>
      <c r="N808" t="inlineStr">
        <is>
          <t>2025-05-31 11:25:01</t>
        </is>
      </c>
    </row>
    <row r="809">
      <c r="A809" t="inlineStr">
        <is>
          <t>TXN00102778</t>
        </is>
      </c>
      <c r="B809" t="inlineStr">
        <is>
          <t>MER00480</t>
        </is>
      </c>
      <c r="C809" s="8" t="n">
        <v>45810</v>
      </c>
      <c r="D809" t="inlineStr">
        <is>
          <t>ORD00102778</t>
        </is>
      </c>
      <c r="E809" t="n">
        <v>8318.290000000001</v>
      </c>
      <c r="F809" t="n">
        <v>2.61</v>
      </c>
      <c r="G809" t="n">
        <v>217.11</v>
      </c>
      <c r="H809" t="inlineStr">
        <is>
          <t>Card</t>
        </is>
      </c>
      <c r="I809" t="inlineStr">
        <is>
          <t>Success</t>
        </is>
      </c>
      <c r="J809" t="inlineStr">
        <is>
          <t>Delivered</t>
        </is>
      </c>
      <c r="K809" t="n">
        <v>0</v>
      </c>
      <c r="L809" t="n">
        <v>0</v>
      </c>
      <c r="M809" t="inlineStr">
        <is>
          <t>INR</t>
        </is>
      </c>
      <c r="N809" t="inlineStr">
        <is>
          <t>2025-06-02 05:25:26</t>
        </is>
      </c>
    </row>
    <row r="810">
      <c r="A810" t="inlineStr">
        <is>
          <t>TXN00110609</t>
        </is>
      </c>
      <c r="B810" t="inlineStr">
        <is>
          <t>MER00480</t>
        </is>
      </c>
      <c r="C810" s="8" t="n">
        <v>45833</v>
      </c>
      <c r="D810" t="inlineStr">
        <is>
          <t>ORD00110609</t>
        </is>
      </c>
      <c r="E810" t="n">
        <v>12150.53</v>
      </c>
      <c r="F810" t="n">
        <v>2.61</v>
      </c>
      <c r="G810" t="n">
        <v>317.13</v>
      </c>
      <c r="H810" t="inlineStr">
        <is>
          <t>UPI</t>
        </is>
      </c>
      <c r="I810" t="inlineStr">
        <is>
          <t>Success</t>
        </is>
      </c>
      <c r="J810" t="inlineStr">
        <is>
          <t>Delivered</t>
        </is>
      </c>
      <c r="K810" t="n">
        <v>0</v>
      </c>
      <c r="L810" t="n">
        <v>0</v>
      </c>
      <c r="M810" t="inlineStr">
        <is>
          <t>INR</t>
        </is>
      </c>
      <c r="N810" t="inlineStr">
        <is>
          <t>2025-06-25 15:48:52</t>
        </is>
      </c>
    </row>
    <row r="811">
      <c r="A811" t="inlineStr">
        <is>
          <t>TXN00121620</t>
        </is>
      </c>
      <c r="B811" t="inlineStr">
        <is>
          <t>MER00480</t>
        </is>
      </c>
      <c r="C811" s="8" t="n">
        <v>45867</v>
      </c>
      <c r="D811" t="inlineStr">
        <is>
          <t>ORD00121620</t>
        </is>
      </c>
      <c r="E811" t="n">
        <v>2693.75</v>
      </c>
      <c r="F811" t="n">
        <v>2.61</v>
      </c>
      <c r="G811" t="n">
        <v>70.31</v>
      </c>
      <c r="H811" t="inlineStr">
        <is>
          <t>Card</t>
        </is>
      </c>
      <c r="I811" t="inlineStr">
        <is>
          <t>Success</t>
        </is>
      </c>
      <c r="J811" t="inlineStr">
        <is>
          <t>Delivered</t>
        </is>
      </c>
      <c r="K811" t="n">
        <v>0</v>
      </c>
      <c r="L811" t="n">
        <v>211.42</v>
      </c>
      <c r="M811" t="inlineStr">
        <is>
          <t>INR</t>
        </is>
      </c>
      <c r="N811" t="inlineStr">
        <is>
          <t>2025-07-29 01:31:27</t>
        </is>
      </c>
    </row>
    <row r="812">
      <c r="A812" t="inlineStr">
        <is>
          <t>TXN00122327</t>
        </is>
      </c>
      <c r="B812" t="inlineStr">
        <is>
          <t>MER00480</t>
        </is>
      </c>
      <c r="C812" s="8" t="n">
        <v>45869</v>
      </c>
      <c r="D812" t="inlineStr">
        <is>
          <t>ORD00122327</t>
        </is>
      </c>
      <c r="E812" t="n">
        <v>5434.12</v>
      </c>
      <c r="F812" t="n">
        <v>2.61</v>
      </c>
      <c r="G812" t="n">
        <v>141.83</v>
      </c>
      <c r="H812" t="inlineStr">
        <is>
          <t>UPI</t>
        </is>
      </c>
      <c r="I812" t="inlineStr">
        <is>
          <t>Success</t>
        </is>
      </c>
      <c r="J812" t="inlineStr">
        <is>
          <t>Delivered</t>
        </is>
      </c>
      <c r="K812" t="n">
        <v>0</v>
      </c>
      <c r="L812" t="n">
        <v>0</v>
      </c>
      <c r="M812" t="inlineStr">
        <is>
          <t>INR</t>
        </is>
      </c>
      <c r="N812" t="inlineStr">
        <is>
          <t>2025-07-31 03:38:54</t>
        </is>
      </c>
    </row>
    <row r="813">
      <c r="A813" t="inlineStr">
        <is>
          <t>TXN00130686</t>
        </is>
      </c>
      <c r="B813" t="inlineStr">
        <is>
          <t>MER00480</t>
        </is>
      </c>
      <c r="C813" s="8" t="n">
        <v>45894</v>
      </c>
      <c r="D813" t="inlineStr">
        <is>
          <t>ORD00130686</t>
        </is>
      </c>
      <c r="E813" t="n">
        <v>11746.77</v>
      </c>
      <c r="F813" t="n">
        <v>2.61</v>
      </c>
      <c r="G813" t="n">
        <v>306.59</v>
      </c>
      <c r="H813" t="inlineStr">
        <is>
          <t>UPI</t>
        </is>
      </c>
      <c r="I813" t="inlineStr">
        <is>
          <t>Success</t>
        </is>
      </c>
      <c r="J813" t="inlineStr">
        <is>
          <t>Delivered</t>
        </is>
      </c>
      <c r="K813" t="n">
        <v>0</v>
      </c>
      <c r="L813" t="n">
        <v>0</v>
      </c>
      <c r="M813" t="inlineStr">
        <is>
          <t>INR</t>
        </is>
      </c>
      <c r="N813" t="inlineStr">
        <is>
          <t>2025-08-25 23:36:57</t>
        </is>
      </c>
    </row>
    <row r="814">
      <c r="A814" t="inlineStr">
        <is>
          <t>TXN00140063</t>
        </is>
      </c>
      <c r="B814" t="inlineStr">
        <is>
          <t>MER00480</t>
        </is>
      </c>
      <c r="C814" s="8" t="n">
        <v>45921</v>
      </c>
      <c r="D814" t="inlineStr">
        <is>
          <t>ORD00140063</t>
        </is>
      </c>
      <c r="E814" t="n">
        <v>4182.17</v>
      </c>
      <c r="F814" t="n">
        <v>2.61</v>
      </c>
      <c r="G814" t="n">
        <v>109.15</v>
      </c>
      <c r="H814" t="inlineStr">
        <is>
          <t>UPI</t>
        </is>
      </c>
      <c r="I814" t="inlineStr">
        <is>
          <t>Success</t>
        </is>
      </c>
      <c r="J814" t="inlineStr">
        <is>
          <t>Delivered</t>
        </is>
      </c>
      <c r="K814" t="n">
        <v>0</v>
      </c>
      <c r="L814" t="n">
        <v>0</v>
      </c>
      <c r="M814" t="inlineStr">
        <is>
          <t>INR</t>
        </is>
      </c>
      <c r="N814" t="inlineStr">
        <is>
          <t>2025-09-21 10:29:52</t>
        </is>
      </c>
    </row>
    <row r="815">
      <c r="A815" t="inlineStr">
        <is>
          <t>TXN00141328</t>
        </is>
      </c>
      <c r="B815" t="inlineStr">
        <is>
          <t>MER00480</t>
        </is>
      </c>
      <c r="C815" s="8" t="n">
        <v>45924</v>
      </c>
      <c r="D815" t="inlineStr">
        <is>
          <t>ORD00141328</t>
        </is>
      </c>
      <c r="E815" t="n">
        <v>1991.84</v>
      </c>
      <c r="F815" t="n">
        <v>2.61</v>
      </c>
      <c r="G815" t="n">
        <v>51.99</v>
      </c>
      <c r="H815" t="inlineStr">
        <is>
          <t>Card</t>
        </is>
      </c>
      <c r="I815" t="inlineStr">
        <is>
          <t>Success</t>
        </is>
      </c>
      <c r="J815" t="inlineStr">
        <is>
          <t>Delivered</t>
        </is>
      </c>
      <c r="K815" t="n">
        <v>0</v>
      </c>
      <c r="L815" t="n">
        <v>0</v>
      </c>
      <c r="M815" t="inlineStr">
        <is>
          <t>INR</t>
        </is>
      </c>
      <c r="N815" t="inlineStr">
        <is>
          <t>2025-09-24 07:06:34</t>
        </is>
      </c>
    </row>
    <row r="816">
      <c r="A816" t="inlineStr">
        <is>
          <t>TXN00141821</t>
        </is>
      </c>
      <c r="B816" t="inlineStr">
        <is>
          <t>MER00480</t>
        </is>
      </c>
      <c r="C816" s="8" t="n">
        <v>45925</v>
      </c>
      <c r="D816" t="inlineStr">
        <is>
          <t>ORD00141821</t>
        </is>
      </c>
      <c r="E816" t="n">
        <v>2285.1</v>
      </c>
      <c r="F816" t="n">
        <v>2.61</v>
      </c>
      <c r="G816" t="n">
        <v>59.64</v>
      </c>
      <c r="H816" t="inlineStr">
        <is>
          <t>UPI</t>
        </is>
      </c>
      <c r="I816" t="inlineStr">
        <is>
          <t>Success</t>
        </is>
      </c>
      <c r="J816" t="inlineStr">
        <is>
          <t>Delivered</t>
        </is>
      </c>
      <c r="K816" t="n">
        <v>0</v>
      </c>
      <c r="L816" t="n">
        <v>0</v>
      </c>
      <c r="M816" t="inlineStr">
        <is>
          <t>INR</t>
        </is>
      </c>
      <c r="N816" t="inlineStr">
        <is>
          <t>2025-09-25 22:20:59</t>
        </is>
      </c>
    </row>
    <row r="817">
      <c r="A817" t="inlineStr">
        <is>
          <t>TXN00155009</t>
        </is>
      </c>
      <c r="B817" t="inlineStr">
        <is>
          <t>MER00480</t>
        </is>
      </c>
      <c r="C817" s="8" t="n">
        <v>45955</v>
      </c>
      <c r="D817" t="inlineStr">
        <is>
          <t>ORD00155009</t>
        </is>
      </c>
      <c r="E817" t="n">
        <v>6939.74</v>
      </c>
      <c r="F817" t="n">
        <v>2.61</v>
      </c>
      <c r="G817" t="n">
        <v>181.13</v>
      </c>
      <c r="H817" t="inlineStr">
        <is>
          <t>UPI</t>
        </is>
      </c>
      <c r="I817" t="inlineStr">
        <is>
          <t>Failed</t>
        </is>
      </c>
      <c r="J817" t="inlineStr">
        <is>
          <t>Cancelled</t>
        </is>
      </c>
      <c r="K817" t="n">
        <v>0</v>
      </c>
      <c r="L817" t="n">
        <v>0</v>
      </c>
      <c r="M817" t="inlineStr">
        <is>
          <t>INR</t>
        </is>
      </c>
      <c r="N817" t="inlineStr">
        <is>
          <t>2025-10-25 20:25:21</t>
        </is>
      </c>
    </row>
    <row r="818">
      <c r="A818" t="inlineStr">
        <is>
          <t>TXN00161154</t>
        </is>
      </c>
      <c r="B818" t="inlineStr">
        <is>
          <t>MER00480</t>
        </is>
      </c>
      <c r="C818" s="8" t="n">
        <v>45967</v>
      </c>
      <c r="D818" t="inlineStr">
        <is>
          <t>ORD00161154</t>
        </is>
      </c>
      <c r="E818" t="n">
        <v>4146.78</v>
      </c>
      <c r="F818" t="n">
        <v>2.61</v>
      </c>
      <c r="G818" t="n">
        <v>108.23</v>
      </c>
      <c r="H818" t="inlineStr">
        <is>
          <t>UPI</t>
        </is>
      </c>
      <c r="I818" t="inlineStr">
        <is>
          <t>Success</t>
        </is>
      </c>
      <c r="J818" t="inlineStr">
        <is>
          <t>Delivered</t>
        </is>
      </c>
      <c r="K818" t="n">
        <v>0</v>
      </c>
      <c r="L818" t="n">
        <v>0</v>
      </c>
      <c r="M818" t="inlineStr">
        <is>
          <t>INR</t>
        </is>
      </c>
      <c r="N818" t="inlineStr">
        <is>
          <t>2025-11-06 13:03:09</t>
        </is>
      </c>
    </row>
    <row r="819">
      <c r="A819" t="inlineStr">
        <is>
          <t>TXN00167783</t>
        </is>
      </c>
      <c r="B819" t="inlineStr">
        <is>
          <t>MER00480</t>
        </is>
      </c>
      <c r="C819" s="8" t="n">
        <v>45979</v>
      </c>
      <c r="D819" t="inlineStr">
        <is>
          <t>ORD00167783</t>
        </is>
      </c>
      <c r="E819" t="n">
        <v>3569.2</v>
      </c>
      <c r="F819" t="n">
        <v>2.61</v>
      </c>
      <c r="G819" t="n">
        <v>93.16</v>
      </c>
      <c r="H819" t="inlineStr">
        <is>
          <t>UPI</t>
        </is>
      </c>
      <c r="I819" t="inlineStr">
        <is>
          <t>Success</t>
        </is>
      </c>
      <c r="J819" t="inlineStr">
        <is>
          <t>Delivered</t>
        </is>
      </c>
      <c r="K819" t="n">
        <v>0</v>
      </c>
      <c r="L819" t="n">
        <v>0</v>
      </c>
      <c r="M819" t="inlineStr">
        <is>
          <t>INR</t>
        </is>
      </c>
      <c r="N819" t="inlineStr">
        <is>
          <t>2025-11-18 22:35:09</t>
        </is>
      </c>
    </row>
    <row r="820">
      <c r="A820" t="inlineStr">
        <is>
          <t>TXN00169122</t>
        </is>
      </c>
      <c r="B820" t="inlineStr">
        <is>
          <t>MER00480</t>
        </is>
      </c>
      <c r="C820" s="8" t="n">
        <v>45981</v>
      </c>
      <c r="D820" t="inlineStr">
        <is>
          <t>ORD00169122</t>
        </is>
      </c>
      <c r="E820" t="n">
        <v>2561.15</v>
      </c>
      <c r="F820" t="n">
        <v>2.61</v>
      </c>
      <c r="G820" t="n">
        <v>66.84999999999999</v>
      </c>
      <c r="H820" t="inlineStr">
        <is>
          <t>Card</t>
        </is>
      </c>
      <c r="I820" t="inlineStr">
        <is>
          <t>Success</t>
        </is>
      </c>
      <c r="J820" t="inlineStr">
        <is>
          <t>Processing</t>
        </is>
      </c>
      <c r="K820" t="n">
        <v>0</v>
      </c>
      <c r="L820" t="n">
        <v>0</v>
      </c>
      <c r="M820" t="inlineStr">
        <is>
          <t>INR</t>
        </is>
      </c>
      <c r="N820" t="inlineStr">
        <is>
          <t>2025-11-20 10:15:12</t>
        </is>
      </c>
    </row>
    <row r="821">
      <c r="A821" t="inlineStr">
        <is>
          <t>TXN00173499</t>
        </is>
      </c>
      <c r="B821" t="inlineStr">
        <is>
          <t>MER00480</t>
        </is>
      </c>
      <c r="C821" s="8" t="n">
        <v>45990</v>
      </c>
      <c r="D821" t="inlineStr">
        <is>
          <t>ORD00173499</t>
        </is>
      </c>
      <c r="E821" t="n">
        <v>8162.77</v>
      </c>
      <c r="F821" t="n">
        <v>2.61</v>
      </c>
      <c r="G821" t="n">
        <v>213.05</v>
      </c>
      <c r="H821" t="inlineStr">
        <is>
          <t>UPI</t>
        </is>
      </c>
      <c r="I821" t="inlineStr">
        <is>
          <t>Success</t>
        </is>
      </c>
      <c r="J821" t="inlineStr">
        <is>
          <t>Delivered</t>
        </is>
      </c>
      <c r="K821" t="n">
        <v>0</v>
      </c>
      <c r="L821" t="n">
        <v>0</v>
      </c>
      <c r="M821" t="inlineStr">
        <is>
          <t>INR</t>
        </is>
      </c>
      <c r="N821" t="inlineStr">
        <is>
          <t>2025-11-29 02:38:25</t>
        </is>
      </c>
    </row>
    <row r="822">
      <c r="A822" t="inlineStr">
        <is>
          <t>TXN00179194</t>
        </is>
      </c>
      <c r="B822" t="inlineStr">
        <is>
          <t>MER00480</t>
        </is>
      </c>
      <c r="C822" s="8" t="n">
        <v>46004</v>
      </c>
      <c r="D822" t="inlineStr">
        <is>
          <t>ORD00179194</t>
        </is>
      </c>
      <c r="E822" t="n">
        <v>5259.91</v>
      </c>
      <c r="F822" t="n">
        <v>2.61</v>
      </c>
      <c r="G822" t="n">
        <v>137.28</v>
      </c>
      <c r="H822" t="inlineStr">
        <is>
          <t>UPI</t>
        </is>
      </c>
      <c r="I822" t="inlineStr">
        <is>
          <t>Success</t>
        </is>
      </c>
      <c r="J822" t="inlineStr">
        <is>
          <t>Delivered</t>
        </is>
      </c>
      <c r="K822" t="n">
        <v>0</v>
      </c>
      <c r="L822" t="n">
        <v>0</v>
      </c>
      <c r="M822" t="inlineStr">
        <is>
          <t>INR</t>
        </is>
      </c>
      <c r="N822" t="inlineStr">
        <is>
          <t>2025-12-13 16:51:42</t>
        </is>
      </c>
    </row>
    <row r="823">
      <c r="A823" t="inlineStr">
        <is>
          <t>TXN00184719</t>
        </is>
      </c>
      <c r="B823" t="inlineStr">
        <is>
          <t>MER00480</t>
        </is>
      </c>
      <c r="C823" s="8" t="n">
        <v>46018</v>
      </c>
      <c r="D823" t="inlineStr">
        <is>
          <t>ORD00184719</t>
        </is>
      </c>
      <c r="E823" t="n">
        <v>3815.95</v>
      </c>
      <c r="F823" t="n">
        <v>3.03</v>
      </c>
      <c r="G823" t="n">
        <v>99.59999999999999</v>
      </c>
      <c r="H823" t="inlineStr">
        <is>
          <t>UPI</t>
        </is>
      </c>
      <c r="I823" t="inlineStr">
        <is>
          <t>Success</t>
        </is>
      </c>
      <c r="J823" t="inlineStr">
        <is>
          <t>Processing</t>
        </is>
      </c>
      <c r="K823" t="n">
        <v>0</v>
      </c>
      <c r="L823" t="n">
        <v>0</v>
      </c>
      <c r="M823" t="inlineStr">
        <is>
          <t>INR</t>
        </is>
      </c>
      <c r="N823" t="inlineStr">
        <is>
          <t>2025-12-27 10:09:28</t>
        </is>
      </c>
    </row>
    <row r="824">
      <c r="A824" t="inlineStr">
        <is>
          <t>TXN00185697</t>
        </is>
      </c>
      <c r="B824" t="inlineStr">
        <is>
          <t>MER00480</t>
        </is>
      </c>
      <c r="C824" s="8" t="n">
        <v>46021</v>
      </c>
      <c r="D824" t="inlineStr">
        <is>
          <t>ORD00185697</t>
        </is>
      </c>
      <c r="E824" t="n">
        <v>3992.62</v>
      </c>
      <c r="F824" t="n">
        <v>2.61</v>
      </c>
      <c r="G824" t="n">
        <v>104.21</v>
      </c>
      <c r="H824" t="inlineStr">
        <is>
          <t>UPI</t>
        </is>
      </c>
      <c r="I824" t="inlineStr">
        <is>
          <t>Failed</t>
        </is>
      </c>
      <c r="J824" t="inlineStr">
        <is>
          <t>Cancelled</t>
        </is>
      </c>
      <c r="K824" t="n">
        <v>0</v>
      </c>
      <c r="L824" t="n">
        <v>397.14</v>
      </c>
      <c r="M824" t="inlineStr">
        <is>
          <t>INR</t>
        </is>
      </c>
      <c r="N824" t="inlineStr">
        <is>
          <t>2025-12-30 15:18:11</t>
        </is>
      </c>
    </row>
    <row r="825">
      <c r="A825" t="inlineStr">
        <is>
          <t>TXN00189522</t>
        </is>
      </c>
      <c r="B825" t="inlineStr">
        <is>
          <t>MER00480</t>
        </is>
      </c>
      <c r="C825" s="8" t="n">
        <v>46029</v>
      </c>
      <c r="D825" t="inlineStr">
        <is>
          <t>ORD00189522</t>
        </is>
      </c>
      <c r="E825" t="n">
        <v>2266.66</v>
      </c>
      <c r="F825" t="n">
        <v>2.61</v>
      </c>
      <c r="G825" t="n">
        <v>59.16</v>
      </c>
      <c r="H825" t="inlineStr">
        <is>
          <t>COD</t>
        </is>
      </c>
      <c r="I825" t="inlineStr">
        <is>
          <t>Success</t>
        </is>
      </c>
      <c r="J825" t="inlineStr">
        <is>
          <t>Delivered</t>
        </is>
      </c>
      <c r="K825" t="n">
        <v>0</v>
      </c>
      <c r="L825" t="n">
        <v>0</v>
      </c>
      <c r="M825" t="inlineStr">
        <is>
          <t>INR</t>
        </is>
      </c>
      <c r="N825" t="inlineStr">
        <is>
          <t>2026-01-07 17:01:06</t>
        </is>
      </c>
    </row>
    <row r="826">
      <c r="A826" t="inlineStr">
        <is>
          <t>TXN00189917</t>
        </is>
      </c>
      <c r="B826" t="inlineStr">
        <is>
          <t>MER00480</t>
        </is>
      </c>
      <c r="C826" s="8" t="n">
        <v>46030</v>
      </c>
      <c r="D826" t="inlineStr">
        <is>
          <t>ORD00189917</t>
        </is>
      </c>
      <c r="E826" t="n">
        <v>2154.22</v>
      </c>
      <c r="F826" t="n">
        <v>2.61</v>
      </c>
      <c r="G826" t="n">
        <v>56.23</v>
      </c>
      <c r="H826" t="inlineStr">
        <is>
          <t>UPI</t>
        </is>
      </c>
      <c r="I826" t="inlineStr">
        <is>
          <t>Success</t>
        </is>
      </c>
      <c r="J826" t="inlineStr">
        <is>
          <t>Delivered</t>
        </is>
      </c>
      <c r="K826" t="n">
        <v>0</v>
      </c>
      <c r="L826" t="n">
        <v>0</v>
      </c>
      <c r="M826" t="inlineStr">
        <is>
          <t>INR</t>
        </is>
      </c>
      <c r="N826" t="inlineStr">
        <is>
          <t>2026-01-08 22:55:02</t>
        </is>
      </c>
    </row>
    <row r="827">
      <c r="A827" t="inlineStr">
        <is>
          <t>TXN00190914</t>
        </is>
      </c>
      <c r="B827" t="inlineStr">
        <is>
          <t>MER00480</t>
        </is>
      </c>
      <c r="C827" s="8" t="n">
        <v>46033</v>
      </c>
      <c r="D827" t="inlineStr">
        <is>
          <t>ORD00190914</t>
        </is>
      </c>
      <c r="E827" t="n">
        <v>2732.82</v>
      </c>
      <c r="F827" t="n">
        <v>2.61</v>
      </c>
      <c r="G827" t="n">
        <v>71.33</v>
      </c>
      <c r="H827" t="inlineStr">
        <is>
          <t>UPI</t>
        </is>
      </c>
      <c r="I827" t="inlineStr">
        <is>
          <t>Success</t>
        </is>
      </c>
      <c r="J827" t="inlineStr">
        <is>
          <t>Delivered</t>
        </is>
      </c>
      <c r="K827" t="n">
        <v>0</v>
      </c>
      <c r="L827" t="n">
        <v>0</v>
      </c>
      <c r="M827" t="inlineStr">
        <is>
          <t>INR</t>
        </is>
      </c>
      <c r="N827" t="inlineStr">
        <is>
          <t>2026-01-11 10:08:35</t>
        </is>
      </c>
    </row>
    <row r="828">
      <c r="A828" t="inlineStr">
        <is>
          <t>TXN00193136</t>
        </is>
      </c>
      <c r="B828" t="inlineStr">
        <is>
          <t>MER00480</t>
        </is>
      </c>
      <c r="C828" s="8" t="n">
        <v>46037</v>
      </c>
      <c r="D828" t="inlineStr">
        <is>
          <t>ORD00193136</t>
        </is>
      </c>
      <c r="E828" t="n">
        <v>2538.17</v>
      </c>
      <c r="F828" t="n">
        <v>2.61</v>
      </c>
      <c r="G828" t="n">
        <v>66.25</v>
      </c>
      <c r="H828" t="inlineStr">
        <is>
          <t>Card</t>
        </is>
      </c>
      <c r="I828" t="inlineStr">
        <is>
          <t>Failed</t>
        </is>
      </c>
      <c r="J828" t="inlineStr">
        <is>
          <t>Cancelled</t>
        </is>
      </c>
      <c r="K828" t="n">
        <v>0</v>
      </c>
      <c r="L828" t="n">
        <v>0</v>
      </c>
      <c r="M828" t="inlineStr">
        <is>
          <t>INR</t>
        </is>
      </c>
      <c r="N828" t="inlineStr">
        <is>
          <t>2026-01-15 16:17:17</t>
        </is>
      </c>
    </row>
    <row r="829">
      <c r="A829" t="inlineStr">
        <is>
          <t>TXN00193708</t>
        </is>
      </c>
      <c r="B829" t="inlineStr">
        <is>
          <t>MER00480</t>
        </is>
      </c>
      <c r="C829" s="8" t="n">
        <v>46039</v>
      </c>
      <c r="D829" t="inlineStr">
        <is>
          <t>ORD00193708</t>
        </is>
      </c>
      <c r="E829" t="n">
        <v>10403.68</v>
      </c>
      <c r="F829" t="n">
        <v>2.61</v>
      </c>
      <c r="G829" t="n">
        <v>271.54</v>
      </c>
      <c r="H829" t="inlineStr">
        <is>
          <t>NetBanking</t>
        </is>
      </c>
      <c r="I829" t="inlineStr">
        <is>
          <t>Success</t>
        </is>
      </c>
      <c r="J829" t="inlineStr">
        <is>
          <t>Delivered</t>
        </is>
      </c>
      <c r="K829" t="n">
        <v>0</v>
      </c>
      <c r="L829" t="n">
        <v>0</v>
      </c>
      <c r="M829" t="inlineStr">
        <is>
          <t>INR</t>
        </is>
      </c>
      <c r="N829" t="inlineStr">
        <is>
          <t>2026-01-17 07:51:28</t>
        </is>
      </c>
    </row>
    <row r="830">
      <c r="A830" t="inlineStr">
        <is>
          <t>TXN00194753</t>
        </is>
      </c>
      <c r="B830" t="inlineStr">
        <is>
          <t>MER00480</t>
        </is>
      </c>
      <c r="C830" s="8" t="n">
        <v>46041</v>
      </c>
      <c r="D830" t="inlineStr">
        <is>
          <t>ORD00194753</t>
        </is>
      </c>
      <c r="E830" t="n">
        <v>6638.3</v>
      </c>
      <c r="F830" t="n">
        <v>2.61</v>
      </c>
      <c r="G830" t="n">
        <v>173.26</v>
      </c>
      <c r="H830" t="inlineStr">
        <is>
          <t>UPI</t>
        </is>
      </c>
      <c r="I830" t="inlineStr">
        <is>
          <t>Success</t>
        </is>
      </c>
      <c r="J830" t="inlineStr">
        <is>
          <t>Delivered</t>
        </is>
      </c>
      <c r="K830" t="n">
        <v>0</v>
      </c>
      <c r="L830" t="n">
        <v>0</v>
      </c>
      <c r="M830" t="inlineStr">
        <is>
          <t>INR</t>
        </is>
      </c>
      <c r="N830" t="inlineStr">
        <is>
          <t>2026-01-19 03:08:00</t>
        </is>
      </c>
    </row>
    <row r="831">
      <c r="A831" t="inlineStr">
        <is>
          <t>TXN00195149</t>
        </is>
      </c>
      <c r="B831" t="inlineStr">
        <is>
          <t>MER00480</t>
        </is>
      </c>
      <c r="C831" s="8" t="n">
        <v>46042</v>
      </c>
      <c r="D831" t="inlineStr">
        <is>
          <t>ORD00195149</t>
        </is>
      </c>
      <c r="E831" t="n">
        <v>2106.73</v>
      </c>
      <c r="F831" t="n">
        <v>2.61</v>
      </c>
      <c r="G831" t="n">
        <v>54.99</v>
      </c>
      <c r="H831" t="inlineStr">
        <is>
          <t>UPI</t>
        </is>
      </c>
      <c r="I831" t="inlineStr">
        <is>
          <t>Success</t>
        </is>
      </c>
      <c r="J831" t="inlineStr">
        <is>
          <t>Delivered</t>
        </is>
      </c>
      <c r="K831" t="n">
        <v>0</v>
      </c>
      <c r="L831" t="n">
        <v>0</v>
      </c>
      <c r="M831" t="inlineStr">
        <is>
          <t>INR</t>
        </is>
      </c>
      <c r="N831" t="inlineStr">
        <is>
          <t>2026-01-20 02:57:18</t>
        </is>
      </c>
    </row>
    <row r="832">
      <c r="A832" t="inlineStr">
        <is>
          <t>TXN00196807</t>
        </is>
      </c>
      <c r="B832" t="inlineStr">
        <is>
          <t>MER00480</t>
        </is>
      </c>
      <c r="C832" s="8" t="n">
        <v>46046</v>
      </c>
      <c r="D832" t="inlineStr">
        <is>
          <t>ORD00196807</t>
        </is>
      </c>
      <c r="E832" t="n">
        <v>3516.19</v>
      </c>
      <c r="F832" t="n">
        <v>2.61</v>
      </c>
      <c r="G832" t="n">
        <v>91.77</v>
      </c>
      <c r="H832" t="inlineStr">
        <is>
          <t>NetBanking</t>
        </is>
      </c>
      <c r="I832" t="inlineStr">
        <is>
          <t>Success</t>
        </is>
      </c>
      <c r="J832" t="inlineStr">
        <is>
          <t>Delivered</t>
        </is>
      </c>
      <c r="K832" t="n">
        <v>0</v>
      </c>
      <c r="L832" t="n">
        <v>0</v>
      </c>
      <c r="M832" t="inlineStr">
        <is>
          <t>INR</t>
        </is>
      </c>
      <c r="N832" t="inlineStr">
        <is>
          <t>2026-01-24 09:03:36</t>
        </is>
      </c>
    </row>
    <row r="833">
      <c r="A833" t="inlineStr">
        <is>
          <t>TXN00198248</t>
        </is>
      </c>
      <c r="B833" t="inlineStr">
        <is>
          <t>MER00480</t>
        </is>
      </c>
      <c r="C833" s="8" t="n">
        <v>46049</v>
      </c>
      <c r="D833" t="inlineStr">
        <is>
          <t>ORD00198248</t>
        </is>
      </c>
      <c r="E833" t="n">
        <v>3639.71</v>
      </c>
      <c r="F833" t="n">
        <v>2.61</v>
      </c>
      <c r="G833" t="n">
        <v>95</v>
      </c>
      <c r="H833" t="inlineStr">
        <is>
          <t>COD</t>
        </is>
      </c>
      <c r="I833" t="inlineStr">
        <is>
          <t>Success</t>
        </is>
      </c>
      <c r="J833" t="inlineStr">
        <is>
          <t>Delivered</t>
        </is>
      </c>
      <c r="K833" t="n">
        <v>0</v>
      </c>
      <c r="L833" t="n">
        <v>0</v>
      </c>
      <c r="M833" t="inlineStr">
        <is>
          <t>INR</t>
        </is>
      </c>
      <c r="N833" t="inlineStr">
        <is>
          <t>2026-01-27 04:21:05</t>
        </is>
      </c>
    </row>
    <row r="834">
      <c r="A834" t="inlineStr">
        <is>
          <t>TXN00200482</t>
        </is>
      </c>
      <c r="B834" t="inlineStr">
        <is>
          <t>MER00480</t>
        </is>
      </c>
      <c r="C834" s="8" t="n">
        <v>46054</v>
      </c>
      <c r="D834" t="inlineStr">
        <is>
          <t>ORD00200482</t>
        </is>
      </c>
      <c r="E834" t="n">
        <v>5667.79</v>
      </c>
      <c r="F834" t="n">
        <v>2.61</v>
      </c>
      <c r="G834" t="n">
        <v>147.93</v>
      </c>
      <c r="H834" t="inlineStr">
        <is>
          <t>COD</t>
        </is>
      </c>
      <c r="I834" t="inlineStr">
        <is>
          <t>Success</t>
        </is>
      </c>
      <c r="J834" t="inlineStr">
        <is>
          <t>Delivered</t>
        </is>
      </c>
      <c r="K834" t="n">
        <v>0</v>
      </c>
      <c r="L834" t="n">
        <v>0</v>
      </c>
      <c r="M834" t="inlineStr">
        <is>
          <t>INR</t>
        </is>
      </c>
      <c r="N834" t="inlineStr">
        <is>
          <t>2026-02-01 05:33:49</t>
        </is>
      </c>
    </row>
    <row r="835">
      <c r="A835" t="inlineStr">
        <is>
          <t>TXN00204093</t>
        </is>
      </c>
      <c r="B835" t="inlineStr">
        <is>
          <t>MER00480</t>
        </is>
      </c>
      <c r="C835" s="8" t="n">
        <v>46063</v>
      </c>
      <c r="D835" t="inlineStr">
        <is>
          <t>ORD00204093</t>
        </is>
      </c>
      <c r="E835" t="n">
        <v>9632.049999999999</v>
      </c>
      <c r="F835" t="n">
        <v>2.61</v>
      </c>
      <c r="G835" t="n">
        <v>251.4</v>
      </c>
      <c r="H835" t="inlineStr">
        <is>
          <t>UPI</t>
        </is>
      </c>
      <c r="I835" t="inlineStr">
        <is>
          <t>Success</t>
        </is>
      </c>
      <c r="J835" t="inlineStr">
        <is>
          <t>Returned</t>
        </is>
      </c>
      <c r="K835" t="n">
        <v>4570.69</v>
      </c>
      <c r="L835" t="n">
        <v>0</v>
      </c>
      <c r="M835" t="inlineStr">
        <is>
          <t>INR</t>
        </is>
      </c>
      <c r="N835" t="inlineStr">
        <is>
          <t>2026-02-10 20:01:29</t>
        </is>
      </c>
    </row>
    <row r="836">
      <c r="A836" t="inlineStr">
        <is>
          <t>TXN00204704</t>
        </is>
      </c>
      <c r="B836" t="inlineStr">
        <is>
          <t>MER00480</t>
        </is>
      </c>
      <c r="C836" s="8" t="n">
        <v>46064</v>
      </c>
      <c r="D836" t="inlineStr">
        <is>
          <t>ORD00204704</t>
        </is>
      </c>
      <c r="E836" t="n">
        <v>7687.9</v>
      </c>
      <c r="F836" t="n">
        <v>2.61</v>
      </c>
      <c r="G836" t="n">
        <v>200.65</v>
      </c>
      <c r="H836" t="inlineStr">
        <is>
          <t>UPI</t>
        </is>
      </c>
      <c r="I836" t="inlineStr">
        <is>
          <t>Unknown</t>
        </is>
      </c>
      <c r="J836" t="inlineStr">
        <is>
          <t>Delivered</t>
        </is>
      </c>
      <c r="K836" t="n">
        <v>0</v>
      </c>
      <c r="L836" t="n">
        <v>683.13</v>
      </c>
      <c r="M836" t="inlineStr">
        <is>
          <t>INR</t>
        </is>
      </c>
      <c r="N836" t="inlineStr">
        <is>
          <t>2026-02-11 08:42:09</t>
        </is>
      </c>
    </row>
    <row r="837">
      <c r="A837" t="inlineStr">
        <is>
          <t>TXN00206297</t>
        </is>
      </c>
      <c r="B837" t="inlineStr">
        <is>
          <t>MER00480</t>
        </is>
      </c>
      <c r="C837" s="8" t="n">
        <v>46068</v>
      </c>
      <c r="D837" t="inlineStr">
        <is>
          <t>ORD00206297</t>
        </is>
      </c>
      <c r="E837" t="n">
        <v>3688.32</v>
      </c>
      <c r="F837" t="n">
        <v>2.61</v>
      </c>
      <c r="G837" t="n">
        <v>96.27</v>
      </c>
      <c r="H837" t="inlineStr">
        <is>
          <t>NetBanking</t>
        </is>
      </c>
      <c r="I837" t="inlineStr">
        <is>
          <t>Success</t>
        </is>
      </c>
      <c r="J837" t="inlineStr">
        <is>
          <t>Delivered</t>
        </is>
      </c>
      <c r="K837" t="n">
        <v>0</v>
      </c>
      <c r="L837" t="n">
        <v>0</v>
      </c>
      <c r="M837" t="inlineStr">
        <is>
          <t>INR</t>
        </is>
      </c>
      <c r="N837" t="inlineStr">
        <is>
          <t>2026-02-15 23:54:42</t>
        </is>
      </c>
    </row>
    <row r="838">
      <c r="A838" t="inlineStr">
        <is>
          <t>TXN00208938</t>
        </is>
      </c>
      <c r="B838" t="inlineStr">
        <is>
          <t>MER00480</t>
        </is>
      </c>
      <c r="C838" s="8" t="n">
        <v>46075</v>
      </c>
      <c r="D838" t="inlineStr">
        <is>
          <t>ORD00208938</t>
        </is>
      </c>
      <c r="E838" t="n">
        <v>6810.28</v>
      </c>
      <c r="F838" t="n">
        <v>2.61</v>
      </c>
      <c r="G838" t="n">
        <v>177.75</v>
      </c>
      <c r="H838" t="inlineStr">
        <is>
          <t>UPI</t>
        </is>
      </c>
      <c r="I838" t="inlineStr">
        <is>
          <t>Success</t>
        </is>
      </c>
      <c r="J838" t="inlineStr">
        <is>
          <t>Delivered</t>
        </is>
      </c>
      <c r="K838" t="n">
        <v>0</v>
      </c>
      <c r="L838" t="n">
        <v>0</v>
      </c>
      <c r="M838" t="inlineStr">
        <is>
          <t>INR</t>
        </is>
      </c>
      <c r="N838" t="inlineStr">
        <is>
          <t>2026-02-22 05:28:28</t>
        </is>
      </c>
    </row>
    <row r="839">
      <c r="A839" t="inlineStr">
        <is>
          <t>TXN00214744</t>
        </is>
      </c>
      <c r="B839" t="inlineStr">
        <is>
          <t>MER00480</t>
        </is>
      </c>
      <c r="C839" s="8" t="n">
        <v>46090</v>
      </c>
      <c r="D839" t="inlineStr">
        <is>
          <t>ORD00214744</t>
        </is>
      </c>
      <c r="E839" t="n">
        <v>2686.51</v>
      </c>
      <c r="F839" t="n">
        <v>2.61</v>
      </c>
      <c r="G839" t="n">
        <v>70.12</v>
      </c>
      <c r="H839" t="inlineStr">
        <is>
          <t>Card</t>
        </is>
      </c>
      <c r="I839" t="inlineStr">
        <is>
          <t>Success</t>
        </is>
      </c>
      <c r="J839" t="inlineStr">
        <is>
          <t>Returned</t>
        </is>
      </c>
      <c r="K839" t="n">
        <v>1561.16</v>
      </c>
      <c r="L839" t="n">
        <v>0</v>
      </c>
      <c r="M839" t="inlineStr">
        <is>
          <t>INR</t>
        </is>
      </c>
      <c r="N839" t="inlineStr">
        <is>
          <t>2026-03-09 20:35:43</t>
        </is>
      </c>
    </row>
    <row r="840">
      <c r="A840" t="inlineStr">
        <is>
          <t>TXN00223932</t>
        </is>
      </c>
      <c r="B840" t="inlineStr">
        <is>
          <t>MER00480</t>
        </is>
      </c>
      <c r="C840" s="8" t="n">
        <v>46115</v>
      </c>
      <c r="D840" t="inlineStr">
        <is>
          <t>ORD00223932</t>
        </is>
      </c>
      <c r="E840" t="n">
        <v>5168.65</v>
      </c>
      <c r="F840" t="n">
        <v>2.61</v>
      </c>
      <c r="G840" t="n">
        <v>134.9</v>
      </c>
      <c r="H840" t="inlineStr">
        <is>
          <t>UPI</t>
        </is>
      </c>
      <c r="I840" t="inlineStr">
        <is>
          <t>Success</t>
        </is>
      </c>
      <c r="J840" t="inlineStr">
        <is>
          <t>Delivered</t>
        </is>
      </c>
      <c r="K840" t="n">
        <v>0</v>
      </c>
      <c r="L840" t="n">
        <v>828.4400000000001</v>
      </c>
      <c r="M840" t="inlineStr">
        <is>
          <t>INR</t>
        </is>
      </c>
      <c r="N840" t="inlineStr">
        <is>
          <t>2026-04-03 23:22:48</t>
        </is>
      </c>
    </row>
    <row r="841">
      <c r="A841" t="inlineStr">
        <is>
          <t>TXN00232135</t>
        </is>
      </c>
      <c r="B841" t="inlineStr">
        <is>
          <t>MER00480</t>
        </is>
      </c>
      <c r="C841" s="8" t="n">
        <v>46136</v>
      </c>
      <c r="D841" t="inlineStr">
        <is>
          <t>ORD00232135</t>
        </is>
      </c>
      <c r="E841" t="n">
        <v>10774.3</v>
      </c>
      <c r="F841" t="n">
        <v>2.61</v>
      </c>
      <c r="G841" t="n">
        <v>281.21</v>
      </c>
      <c r="H841" t="inlineStr">
        <is>
          <t>UPI</t>
        </is>
      </c>
      <c r="I841" t="inlineStr">
        <is>
          <t>Success</t>
        </is>
      </c>
      <c r="J841" t="inlineStr">
        <is>
          <t>Delivered</t>
        </is>
      </c>
      <c r="K841" t="n">
        <v>0</v>
      </c>
      <c r="L841" t="n">
        <v>0</v>
      </c>
      <c r="M841" t="inlineStr">
        <is>
          <t>INR</t>
        </is>
      </c>
      <c r="N841" t="inlineStr">
        <is>
          <t>2026-04-24 11:46:16</t>
        </is>
      </c>
    </row>
    <row r="842">
      <c r="A842" t="inlineStr">
        <is>
          <t>TXN00237776</t>
        </is>
      </c>
      <c r="B842" t="inlineStr">
        <is>
          <t>MER00480</t>
        </is>
      </c>
      <c r="C842" s="8" t="n">
        <v>46151</v>
      </c>
      <c r="D842" t="inlineStr">
        <is>
          <t>ORD00237776</t>
        </is>
      </c>
      <c r="E842" t="n">
        <v>8854</v>
      </c>
      <c r="F842" t="n">
        <v>2.61</v>
      </c>
      <c r="G842" t="n">
        <v>231.09</v>
      </c>
      <c r="H842" t="inlineStr">
        <is>
          <t>Card</t>
        </is>
      </c>
      <c r="I842" t="inlineStr">
        <is>
          <t>Success</t>
        </is>
      </c>
      <c r="J842" t="inlineStr">
        <is>
          <t>Delivered</t>
        </is>
      </c>
      <c r="K842" t="n">
        <v>0</v>
      </c>
      <c r="L842" t="n">
        <v>0</v>
      </c>
      <c r="M842" t="inlineStr">
        <is>
          <t>INR</t>
        </is>
      </c>
      <c r="N842" t="inlineStr">
        <is>
          <t>2026-05-09 17:54:33</t>
        </is>
      </c>
    </row>
    <row r="843">
      <c r="A843" t="inlineStr">
        <is>
          <t>TXN00238075</t>
        </is>
      </c>
      <c r="B843" t="inlineStr">
        <is>
          <t>MER00480</t>
        </is>
      </c>
      <c r="C843" s="8" t="n">
        <v>46152</v>
      </c>
      <c r="D843" t="inlineStr">
        <is>
          <t>ORD00238075</t>
        </is>
      </c>
      <c r="E843" t="n">
        <v>6577.84</v>
      </c>
      <c r="F843" t="n">
        <v>2.61</v>
      </c>
      <c r="G843" t="n">
        <v>171.68</v>
      </c>
      <c r="H843" t="inlineStr">
        <is>
          <t>Card</t>
        </is>
      </c>
      <c r="I843" t="inlineStr">
        <is>
          <t>Success</t>
        </is>
      </c>
      <c r="J843" t="inlineStr">
        <is>
          <t>Delivered</t>
        </is>
      </c>
      <c r="K843" t="n">
        <v>0</v>
      </c>
      <c r="L843" t="n">
        <v>0</v>
      </c>
      <c r="M843" t="inlineStr">
        <is>
          <t>INR</t>
        </is>
      </c>
      <c r="N843" t="inlineStr">
        <is>
          <t>2026-05-10 20:03:38</t>
        </is>
      </c>
    </row>
    <row r="844">
      <c r="A844" t="inlineStr">
        <is>
          <t>TXN00240827</t>
        </is>
      </c>
      <c r="B844" t="inlineStr">
        <is>
          <t>MER00480</t>
        </is>
      </c>
      <c r="C844" s="8" t="n">
        <v>46159</v>
      </c>
      <c r="D844" t="inlineStr">
        <is>
          <t>ORD00240827</t>
        </is>
      </c>
      <c r="E844" t="n">
        <v>6809.86</v>
      </c>
      <c r="F844" t="n">
        <v>2.61</v>
      </c>
      <c r="G844" t="n">
        <v>177.74</v>
      </c>
      <c r="H844" t="inlineStr">
        <is>
          <t>Card</t>
        </is>
      </c>
      <c r="I844" t="inlineStr">
        <is>
          <t>Success</t>
        </is>
      </c>
      <c r="J844" t="inlineStr">
        <is>
          <t>Delivered</t>
        </is>
      </c>
      <c r="K844" t="n">
        <v>0</v>
      </c>
      <c r="L844" t="n">
        <v>0</v>
      </c>
      <c r="M844" t="inlineStr">
        <is>
          <t>INR</t>
        </is>
      </c>
      <c r="N844" t="inlineStr">
        <is>
          <t>2026-05-17 14:31:29</t>
        </is>
      </c>
    </row>
    <row r="845">
      <c r="A845" t="inlineStr">
        <is>
          <t>TXN00241491</t>
        </is>
      </c>
      <c r="B845" t="inlineStr">
        <is>
          <t>MER00480</t>
        </is>
      </c>
      <c r="C845" s="8" t="n">
        <v>46161</v>
      </c>
      <c r="D845" t="inlineStr">
        <is>
          <t>ORD00241491</t>
        </is>
      </c>
      <c r="E845" t="n">
        <v>1993.5</v>
      </c>
      <c r="F845" t="n">
        <v>2.61</v>
      </c>
      <c r="G845" t="n">
        <v>52.03</v>
      </c>
      <c r="H845" t="inlineStr">
        <is>
          <t>UPI</t>
        </is>
      </c>
      <c r="I845" t="inlineStr">
        <is>
          <t>Success</t>
        </is>
      </c>
      <c r="J845" t="inlineStr">
        <is>
          <t>Delivered</t>
        </is>
      </c>
      <c r="K845" t="n">
        <v>0</v>
      </c>
      <c r="L845" t="n">
        <v>0</v>
      </c>
      <c r="M845" t="inlineStr">
        <is>
          <t>INR</t>
        </is>
      </c>
      <c r="N845" t="inlineStr">
        <is>
          <t>2026-05-19 07:08:01</t>
        </is>
      </c>
    </row>
    <row r="846">
      <c r="A846" t="inlineStr">
        <is>
          <t>TXN00241983</t>
        </is>
      </c>
      <c r="B846" t="inlineStr">
        <is>
          <t>MER00480</t>
        </is>
      </c>
      <c r="C846" s="8" t="n">
        <v>46162</v>
      </c>
      <c r="D846" t="inlineStr">
        <is>
          <t>ORD00241983</t>
        </is>
      </c>
      <c r="E846" t="n">
        <v>4114.62</v>
      </c>
      <c r="F846" t="n">
        <v>2.61</v>
      </c>
      <c r="G846" t="n">
        <v>107.39</v>
      </c>
      <c r="H846" t="inlineStr">
        <is>
          <t>UPI</t>
        </is>
      </c>
      <c r="I846" t="inlineStr">
        <is>
          <t>Failed</t>
        </is>
      </c>
      <c r="J846" t="inlineStr">
        <is>
          <t>Cancelled</t>
        </is>
      </c>
      <c r="K846" t="n">
        <v>0</v>
      </c>
      <c r="L846" t="n">
        <v>0</v>
      </c>
      <c r="M846" t="inlineStr">
        <is>
          <t>INR</t>
        </is>
      </c>
      <c r="N846" t="inlineStr">
        <is>
          <t>2026-05-20 05:09:41</t>
        </is>
      </c>
    </row>
    <row r="847">
      <c r="A847" t="inlineStr">
        <is>
          <t>TXN00248818</t>
        </is>
      </c>
      <c r="B847" t="inlineStr">
        <is>
          <t>MER00480</t>
        </is>
      </c>
      <c r="C847" s="8" t="n">
        <v>46180</v>
      </c>
      <c r="D847" t="inlineStr">
        <is>
          <t>ORD00248818</t>
        </is>
      </c>
      <c r="E847" t="n">
        <v>1070.96</v>
      </c>
      <c r="F847" t="n">
        <v>2.61</v>
      </c>
      <c r="G847" t="n">
        <v>27.95</v>
      </c>
      <c r="H847" t="inlineStr">
        <is>
          <t>UPI</t>
        </is>
      </c>
      <c r="I847" t="inlineStr">
        <is>
          <t>Success</t>
        </is>
      </c>
      <c r="J847" t="inlineStr">
        <is>
          <t>Delivered</t>
        </is>
      </c>
      <c r="K847" t="n">
        <v>0</v>
      </c>
      <c r="L847" t="n">
        <v>107.19</v>
      </c>
      <c r="M847" t="inlineStr">
        <is>
          <t>INR</t>
        </is>
      </c>
      <c r="N847" t="inlineStr">
        <is>
          <t>2026-06-07 02:43:17</t>
        </is>
      </c>
    </row>
    <row r="848">
      <c r="A848" t="inlineStr">
        <is>
          <t>TXN00255558</t>
        </is>
      </c>
      <c r="B848" t="inlineStr">
        <is>
          <t>MER00480</t>
        </is>
      </c>
      <c r="C848" s="8" t="n">
        <v>46196</v>
      </c>
      <c r="D848" t="inlineStr">
        <is>
          <t>ORD00255558</t>
        </is>
      </c>
      <c r="E848" t="n">
        <v>3374.01</v>
      </c>
      <c r="F848" t="n">
        <v>2.61</v>
      </c>
      <c r="G848" t="n">
        <v>88.06</v>
      </c>
      <c r="H848" t="inlineStr">
        <is>
          <t>UPI</t>
        </is>
      </c>
      <c r="I848" t="inlineStr">
        <is>
          <t>Success</t>
        </is>
      </c>
      <c r="J848" t="inlineStr">
        <is>
          <t>Delivered</t>
        </is>
      </c>
      <c r="K848" t="n">
        <v>0</v>
      </c>
      <c r="L848" t="n">
        <v>0</v>
      </c>
      <c r="M848" t="inlineStr">
        <is>
          <t>INR</t>
        </is>
      </c>
      <c r="N848" t="inlineStr">
        <is>
          <t>2026-06-23 05:12:56</t>
        </is>
      </c>
    </row>
    <row r="849">
      <c r="A849" t="inlineStr">
        <is>
          <t>TXN00259295</t>
        </is>
      </c>
      <c r="B849" t="inlineStr">
        <is>
          <t>MER00480</t>
        </is>
      </c>
      <c r="C849" s="8" t="n">
        <v>46206</v>
      </c>
      <c r="D849" t="inlineStr">
        <is>
          <t>ORD00259295</t>
        </is>
      </c>
      <c r="E849" t="n">
        <v>13330.64</v>
      </c>
      <c r="F849" t="n">
        <v>2.61</v>
      </c>
      <c r="G849" t="n">
        <v>347.93</v>
      </c>
      <c r="H849" t="inlineStr">
        <is>
          <t>UPI</t>
        </is>
      </c>
      <c r="I849" t="inlineStr">
        <is>
          <t>Success</t>
        </is>
      </c>
      <c r="J849" t="inlineStr">
        <is>
          <t>Delivered</t>
        </is>
      </c>
      <c r="K849" t="n">
        <v>0</v>
      </c>
      <c r="L849" t="n">
        <v>0</v>
      </c>
      <c r="M849" t="inlineStr">
        <is>
          <t>INR</t>
        </is>
      </c>
      <c r="N849" t="inlineStr">
        <is>
          <t>2026-07-03 22:45:41</t>
        </is>
      </c>
    </row>
    <row r="850">
      <c r="A850" t="inlineStr">
        <is>
          <t>TXN00261551</t>
        </is>
      </c>
      <c r="B850" t="inlineStr">
        <is>
          <t>MER00480</t>
        </is>
      </c>
      <c r="C850" s="8" t="n">
        <v>46212</v>
      </c>
      <c r="D850" t="inlineStr">
        <is>
          <t>ORD00261551</t>
        </is>
      </c>
      <c r="E850" t="n">
        <v>3289.62</v>
      </c>
      <c r="F850" t="n">
        <v>2.61</v>
      </c>
      <c r="G850" t="n">
        <v>85.86</v>
      </c>
      <c r="H850" t="inlineStr">
        <is>
          <t>UPI</t>
        </is>
      </c>
      <c r="I850" t="inlineStr">
        <is>
          <t>Success</t>
        </is>
      </c>
      <c r="J850" t="inlineStr">
        <is>
          <t>Returned</t>
        </is>
      </c>
      <c r="K850" t="n">
        <v>3289.62</v>
      </c>
      <c r="L850" t="n">
        <v>477.14</v>
      </c>
      <c r="M850" t="inlineStr">
        <is>
          <t>INR</t>
        </is>
      </c>
      <c r="N850" t="inlineStr">
        <is>
          <t>2026-07-09 03:05:27</t>
        </is>
      </c>
    </row>
    <row r="851">
      <c r="A851" t="inlineStr">
        <is>
          <t>TXN00262383</t>
        </is>
      </c>
      <c r="B851" t="inlineStr">
        <is>
          <t>MER00480</t>
        </is>
      </c>
      <c r="C851" s="8" t="n">
        <v>46214</v>
      </c>
      <c r="D851" t="inlineStr">
        <is>
          <t>ORD00262383</t>
        </is>
      </c>
      <c r="E851" t="n">
        <v>2316.51</v>
      </c>
      <c r="F851" t="n">
        <v>2.61</v>
      </c>
      <c r="G851" t="n">
        <v>60.46</v>
      </c>
      <c r="H851" t="inlineStr">
        <is>
          <t>UPI</t>
        </is>
      </c>
      <c r="I851" t="inlineStr">
        <is>
          <t>Success</t>
        </is>
      </c>
      <c r="J851" t="inlineStr">
        <is>
          <t>Delivered</t>
        </is>
      </c>
      <c r="K851" t="n">
        <v>0</v>
      </c>
      <c r="L851" t="n">
        <v>0</v>
      </c>
      <c r="M851" t="inlineStr">
        <is>
          <t>INR</t>
        </is>
      </c>
      <c r="N851" t="inlineStr">
        <is>
          <t>2026-07-11 17:04:03</t>
        </is>
      </c>
    </row>
    <row r="852">
      <c r="A852" t="inlineStr">
        <is>
          <t>TXN00262384</t>
        </is>
      </c>
      <c r="B852" t="inlineStr">
        <is>
          <t>MER00480</t>
        </is>
      </c>
      <c r="C852" s="8" t="n">
        <v>46214</v>
      </c>
      <c r="D852" t="inlineStr">
        <is>
          <t>ORD00262384</t>
        </is>
      </c>
      <c r="E852" t="n">
        <v>7187.39</v>
      </c>
      <c r="F852" t="n">
        <v>2.61</v>
      </c>
      <c r="G852" t="n">
        <v>187.59</v>
      </c>
      <c r="H852" t="inlineStr">
        <is>
          <t>Card</t>
        </is>
      </c>
      <c r="I852" t="inlineStr">
        <is>
          <t>Success</t>
        </is>
      </c>
      <c r="J852" t="inlineStr">
        <is>
          <t>Returned</t>
        </is>
      </c>
      <c r="K852" t="n">
        <v>3023</v>
      </c>
      <c r="L852" t="n">
        <v>1254.77</v>
      </c>
      <c r="M852" t="inlineStr">
        <is>
          <t>INR</t>
        </is>
      </c>
      <c r="N852" t="inlineStr">
        <is>
          <t>2026-07-11 00:53:27</t>
        </is>
      </c>
    </row>
    <row r="853">
      <c r="A853" t="inlineStr">
        <is>
          <t>TXN00006064</t>
        </is>
      </c>
      <c r="B853" t="inlineStr">
        <is>
          <t>MER00484</t>
        </is>
      </c>
      <c r="C853" s="8" t="n">
        <v>45530</v>
      </c>
      <c r="D853" t="inlineStr">
        <is>
          <t>ORD00006064</t>
        </is>
      </c>
      <c r="E853" t="n">
        <v>3365.43</v>
      </c>
      <c r="F853" t="n">
        <v>3.21</v>
      </c>
      <c r="G853" t="n">
        <v>108.03</v>
      </c>
      <c r="H853" t="inlineStr">
        <is>
          <t>UPI</t>
        </is>
      </c>
      <c r="I853" t="inlineStr">
        <is>
          <t>Success</t>
        </is>
      </c>
      <c r="J853" t="inlineStr">
        <is>
          <t>Delivered</t>
        </is>
      </c>
      <c r="K853" t="n">
        <v>0</v>
      </c>
      <c r="L853" t="n">
        <v>0</v>
      </c>
      <c r="M853" t="inlineStr">
        <is>
          <t>INR</t>
        </is>
      </c>
      <c r="N853" t="inlineStr">
        <is>
          <t>2024-08-26 18:46:23</t>
        </is>
      </c>
    </row>
    <row r="854">
      <c r="A854" t="inlineStr">
        <is>
          <t>TXN00008251</t>
        </is>
      </c>
      <c r="B854" t="inlineStr">
        <is>
          <t>MER00484</t>
        </is>
      </c>
      <c r="C854" s="8" t="n">
        <v>45538</v>
      </c>
      <c r="D854" t="inlineStr">
        <is>
          <t>ORD00008251</t>
        </is>
      </c>
      <c r="E854" t="n">
        <v>2419.33</v>
      </c>
      <c r="F854" t="n">
        <v>3.21</v>
      </c>
      <c r="G854" t="n">
        <v>77.66</v>
      </c>
      <c r="H854" t="inlineStr">
        <is>
          <t>UPI</t>
        </is>
      </c>
      <c r="I854" t="inlineStr">
        <is>
          <t>Success</t>
        </is>
      </c>
      <c r="J854" t="inlineStr">
        <is>
          <t>Delivered</t>
        </is>
      </c>
      <c r="K854" t="n">
        <v>0</v>
      </c>
      <c r="L854" t="n">
        <v>313.51</v>
      </c>
      <c r="M854" t="inlineStr">
        <is>
          <t>INR</t>
        </is>
      </c>
      <c r="N854" t="inlineStr">
        <is>
          <t>2024-09-03 17:34:01</t>
        </is>
      </c>
    </row>
    <row r="855">
      <c r="A855" t="inlineStr">
        <is>
          <t>TXN00008927</t>
        </is>
      </c>
      <c r="B855" t="inlineStr">
        <is>
          <t>MER00484</t>
        </is>
      </c>
      <c r="C855" s="8" t="n">
        <v>45541</v>
      </c>
      <c r="D855" t="inlineStr">
        <is>
          <t>ORD00008927</t>
        </is>
      </c>
      <c r="E855" t="n">
        <v>1675.05</v>
      </c>
      <c r="F855" t="n">
        <v>3.21</v>
      </c>
      <c r="G855" t="n">
        <v>53.77</v>
      </c>
      <c r="H855" t="inlineStr">
        <is>
          <t>Card</t>
        </is>
      </c>
      <c r="I855" t="inlineStr">
        <is>
          <t>Success</t>
        </is>
      </c>
      <c r="J855" t="inlineStr">
        <is>
          <t>Delivered</t>
        </is>
      </c>
      <c r="K855" t="n">
        <v>0</v>
      </c>
      <c r="L855" t="n">
        <v>0</v>
      </c>
      <c r="M855" t="inlineStr">
        <is>
          <t>INR</t>
        </is>
      </c>
      <c r="N855" t="inlineStr">
        <is>
          <t>2024-09-06 14:29:56</t>
        </is>
      </c>
    </row>
    <row r="856">
      <c r="A856" t="inlineStr">
        <is>
          <t>TXN00010857</t>
        </is>
      </c>
      <c r="B856" t="inlineStr">
        <is>
          <t>MER00484</t>
        </is>
      </c>
      <c r="C856" s="8" t="n">
        <v>45547</v>
      </c>
      <c r="D856" t="inlineStr">
        <is>
          <t>ORD00010857</t>
        </is>
      </c>
      <c r="E856" t="n">
        <v>1244.7</v>
      </c>
      <c r="F856" t="n">
        <v>3.21</v>
      </c>
      <c r="G856" t="n">
        <v>39.95</v>
      </c>
      <c r="H856" t="inlineStr">
        <is>
          <t>Card</t>
        </is>
      </c>
      <c r="I856" t="inlineStr">
        <is>
          <t>Success</t>
        </is>
      </c>
      <c r="J856" t="inlineStr">
        <is>
          <t>Delivered</t>
        </is>
      </c>
      <c r="K856" t="n">
        <v>0</v>
      </c>
      <c r="L856" t="n">
        <v>0</v>
      </c>
      <c r="M856" t="inlineStr">
        <is>
          <t>INR</t>
        </is>
      </c>
      <c r="N856" t="inlineStr">
        <is>
          <t>2024-09-12 01:18:37</t>
        </is>
      </c>
    </row>
    <row r="857">
      <c r="A857" t="inlineStr">
        <is>
          <t>TXN00019910</t>
        </is>
      </c>
      <c r="B857" t="inlineStr">
        <is>
          <t>MER00484</t>
        </is>
      </c>
      <c r="C857" s="8" t="n">
        <v>45575</v>
      </c>
      <c r="D857" t="inlineStr">
        <is>
          <t>ORD00019910</t>
        </is>
      </c>
      <c r="E857" t="n">
        <v>434.29</v>
      </c>
      <c r="F857" t="n">
        <v>3.21</v>
      </c>
      <c r="G857" t="n">
        <v>13.94</v>
      </c>
      <c r="H857" t="inlineStr">
        <is>
          <t>COD</t>
        </is>
      </c>
      <c r="I857" t="inlineStr">
        <is>
          <t>Failed</t>
        </is>
      </c>
      <c r="J857" t="inlineStr">
        <is>
          <t>Processing</t>
        </is>
      </c>
      <c r="K857" t="n">
        <v>0</v>
      </c>
      <c r="L857" t="n">
        <v>0</v>
      </c>
      <c r="M857" t="inlineStr">
        <is>
          <t>INR</t>
        </is>
      </c>
      <c r="N857" t="inlineStr">
        <is>
          <t>2024-10-10 00:49:01</t>
        </is>
      </c>
    </row>
    <row r="858">
      <c r="A858" t="inlineStr">
        <is>
          <t>TXN00034436</t>
        </is>
      </c>
      <c r="B858" t="inlineStr">
        <is>
          <t>MER00484</t>
        </is>
      </c>
      <c r="C858" s="8" t="n">
        <v>45611</v>
      </c>
      <c r="D858" t="inlineStr">
        <is>
          <t>ORD00034436</t>
        </is>
      </c>
      <c r="E858" t="n">
        <v>1264.61</v>
      </c>
      <c r="F858" t="n">
        <v>3.21</v>
      </c>
      <c r="G858" t="n">
        <v>40.59</v>
      </c>
      <c r="H858" t="inlineStr">
        <is>
          <t>UPI</t>
        </is>
      </c>
      <c r="I858" t="inlineStr">
        <is>
          <t>Success</t>
        </is>
      </c>
      <c r="J858" t="inlineStr">
        <is>
          <t>Delivered</t>
        </is>
      </c>
      <c r="K858" t="n">
        <v>0</v>
      </c>
      <c r="L858" t="n">
        <v>0</v>
      </c>
      <c r="M858" t="inlineStr">
        <is>
          <t>INR</t>
        </is>
      </c>
      <c r="N858" t="inlineStr">
        <is>
          <t>2024-11-15 06:15:01</t>
        </is>
      </c>
    </row>
    <row r="859">
      <c r="A859" t="inlineStr">
        <is>
          <t>TXN00063068</t>
        </is>
      </c>
      <c r="B859" t="inlineStr">
        <is>
          <t>MER00484</t>
        </is>
      </c>
      <c r="C859" s="8" t="n">
        <v>45689</v>
      </c>
      <c r="D859" t="inlineStr">
        <is>
          <t>ORD00063068</t>
        </is>
      </c>
      <c r="E859" t="n">
        <v>964.41</v>
      </c>
      <c r="F859" t="n">
        <v>3.21</v>
      </c>
      <c r="G859" t="n">
        <v>30.96</v>
      </c>
      <c r="H859" t="inlineStr">
        <is>
          <t>Wallet</t>
        </is>
      </c>
      <c r="I859" t="inlineStr">
        <is>
          <t>Success</t>
        </is>
      </c>
      <c r="J859" t="inlineStr">
        <is>
          <t>Delivered</t>
        </is>
      </c>
      <c r="K859" t="n">
        <v>0</v>
      </c>
      <c r="L859" t="n">
        <v>95.58</v>
      </c>
      <c r="M859" t="inlineStr">
        <is>
          <t>INR</t>
        </is>
      </c>
      <c r="N859" t="inlineStr">
        <is>
          <t>2025-02-01 21:37:49</t>
        </is>
      </c>
    </row>
    <row r="860">
      <c r="A860" t="inlineStr">
        <is>
          <t>TXN00072430</t>
        </is>
      </c>
      <c r="B860" t="inlineStr">
        <is>
          <t>MER00484</t>
        </is>
      </c>
      <c r="C860" s="8" t="n">
        <v>45717</v>
      </c>
      <c r="D860" t="inlineStr">
        <is>
          <t>ORD00072430</t>
        </is>
      </c>
      <c r="E860" t="n">
        <v>2198.81</v>
      </c>
      <c r="F860" t="n">
        <v>3.21</v>
      </c>
      <c r="G860" t="n">
        <v>70.58</v>
      </c>
      <c r="H860" t="inlineStr">
        <is>
          <t>UPI</t>
        </is>
      </c>
      <c r="I860" t="inlineStr">
        <is>
          <t>Success</t>
        </is>
      </c>
      <c r="J860" t="inlineStr">
        <is>
          <t>Returned</t>
        </is>
      </c>
      <c r="K860" t="n">
        <v>2198.81</v>
      </c>
      <c r="L860" t="n">
        <v>0</v>
      </c>
      <c r="M860" t="inlineStr">
        <is>
          <t>INR</t>
        </is>
      </c>
      <c r="N860" t="inlineStr">
        <is>
          <t>2025-03-01 01:50:33</t>
        </is>
      </c>
    </row>
    <row r="861">
      <c r="A861" t="inlineStr">
        <is>
          <t>TXN00093322</t>
        </is>
      </c>
      <c r="B861" t="inlineStr">
        <is>
          <t>MER00484</t>
        </is>
      </c>
      <c r="C861" s="8" t="n">
        <v>45781</v>
      </c>
      <c r="D861" t="inlineStr">
        <is>
          <t>ORD00093322</t>
        </is>
      </c>
      <c r="E861" t="n">
        <v>1024.31</v>
      </c>
      <c r="F861" t="n">
        <v>3.21</v>
      </c>
      <c r="G861" t="n">
        <v>32.88</v>
      </c>
      <c r="H861" t="inlineStr">
        <is>
          <t>Card</t>
        </is>
      </c>
      <c r="I861" t="inlineStr">
        <is>
          <t>Success</t>
        </is>
      </c>
      <c r="J861" t="inlineStr">
        <is>
          <t>Delivered</t>
        </is>
      </c>
      <c r="K861" t="n">
        <v>0</v>
      </c>
      <c r="L861" t="n">
        <v>0</v>
      </c>
      <c r="M861" t="inlineStr">
        <is>
          <t>INR</t>
        </is>
      </c>
      <c r="N861" t="inlineStr">
        <is>
          <t>2025-05-04 03:18:07</t>
        </is>
      </c>
    </row>
    <row r="862">
      <c r="A862" t="inlineStr">
        <is>
          <t>TXN00096358</t>
        </is>
      </c>
      <c r="B862" t="inlineStr">
        <is>
          <t>MER00484</t>
        </is>
      </c>
      <c r="C862" s="8" t="n">
        <v>45791</v>
      </c>
      <c r="D862" t="inlineStr">
        <is>
          <t>ORD00096358</t>
        </is>
      </c>
      <c r="E862" t="n">
        <v>2043.46</v>
      </c>
      <c r="F862" t="n">
        <v>3.21</v>
      </c>
      <c r="G862" t="n">
        <v>65.59999999999999</v>
      </c>
      <c r="H862" t="inlineStr">
        <is>
          <t>Card</t>
        </is>
      </c>
      <c r="I862" t="inlineStr">
        <is>
          <t>Success</t>
        </is>
      </c>
      <c r="J862" t="inlineStr">
        <is>
          <t>Delivered</t>
        </is>
      </c>
      <c r="K862" t="n">
        <v>0</v>
      </c>
      <c r="L862" t="n">
        <v>0</v>
      </c>
      <c r="M862" t="inlineStr">
        <is>
          <t>INR</t>
        </is>
      </c>
      <c r="N862" t="inlineStr">
        <is>
          <t>2025-05-14 16:54:20</t>
        </is>
      </c>
    </row>
    <row r="863">
      <c r="A863" t="inlineStr">
        <is>
          <t>TXN00100111</t>
        </is>
      </c>
      <c r="B863" t="inlineStr">
        <is>
          <t>MER00484</t>
        </is>
      </c>
      <c r="C863" s="8" t="n">
        <v>45802</v>
      </c>
      <c r="D863" t="inlineStr">
        <is>
          <t>ORD00100111</t>
        </is>
      </c>
      <c r="E863" t="n">
        <v>1793.48</v>
      </c>
      <c r="F863" t="n">
        <v>3.21</v>
      </c>
      <c r="G863" t="n">
        <v>57.57</v>
      </c>
      <c r="H863" t="inlineStr">
        <is>
          <t>Wallet</t>
        </is>
      </c>
      <c r="I863" t="inlineStr">
        <is>
          <t>Success</t>
        </is>
      </c>
      <c r="J863" t="inlineStr">
        <is>
          <t>Delivered</t>
        </is>
      </c>
      <c r="K863" t="n">
        <v>0</v>
      </c>
      <c r="L863" t="n">
        <v>0</v>
      </c>
      <c r="M863" t="inlineStr">
        <is>
          <t>INR</t>
        </is>
      </c>
      <c r="N863" t="inlineStr">
        <is>
          <t>2025-05-25 02:42:04</t>
        </is>
      </c>
    </row>
    <row r="864">
      <c r="A864" t="inlineStr">
        <is>
          <t>TXN00106544</t>
        </is>
      </c>
      <c r="B864" t="inlineStr">
        <is>
          <t>MER00484</t>
        </is>
      </c>
      <c r="C864" s="8" t="n">
        <v>45821</v>
      </c>
      <c r="D864" t="inlineStr">
        <is>
          <t>ORD00106544</t>
        </is>
      </c>
      <c r="E864" t="n">
        <v>3251.91</v>
      </c>
      <c r="F864" t="n">
        <v>3.21</v>
      </c>
      <c r="G864" t="n">
        <v>104.39</v>
      </c>
      <c r="H864" t="inlineStr">
        <is>
          <t>Card</t>
        </is>
      </c>
      <c r="I864" t="inlineStr">
        <is>
          <t>Success</t>
        </is>
      </c>
      <c r="J864" t="inlineStr">
        <is>
          <t>Delivered</t>
        </is>
      </c>
      <c r="K864" t="n">
        <v>0</v>
      </c>
      <c r="L864" t="n">
        <v>0</v>
      </c>
      <c r="M864" t="inlineStr">
        <is>
          <t>INR</t>
        </is>
      </c>
      <c r="N864" t="inlineStr">
        <is>
          <t>2025-06-13 09:57:48</t>
        </is>
      </c>
    </row>
    <row r="865">
      <c r="A865" t="inlineStr">
        <is>
          <t>TXN00125490</t>
        </is>
      </c>
      <c r="B865" t="inlineStr">
        <is>
          <t>MER00484</t>
        </is>
      </c>
      <c r="C865" s="8" t="n">
        <v>45878</v>
      </c>
      <c r="D865" t="inlineStr">
        <is>
          <t>ORD00125490</t>
        </is>
      </c>
      <c r="E865" t="n">
        <v>1945.88</v>
      </c>
      <c r="F865" t="n">
        <v>3.21</v>
      </c>
      <c r="G865" t="n">
        <v>62.46</v>
      </c>
      <c r="H865" t="inlineStr">
        <is>
          <t>UPI</t>
        </is>
      </c>
      <c r="I865" t="inlineStr">
        <is>
          <t>Success</t>
        </is>
      </c>
      <c r="J865" t="inlineStr">
        <is>
          <t>Delivered</t>
        </is>
      </c>
      <c r="K865" t="n">
        <v>0</v>
      </c>
      <c r="L865" t="n">
        <v>191.39</v>
      </c>
      <c r="M865" t="inlineStr">
        <is>
          <t>INR</t>
        </is>
      </c>
      <c r="N865" t="inlineStr">
        <is>
          <t>2025-08-09 20:47:47</t>
        </is>
      </c>
    </row>
    <row r="866">
      <c r="A866" t="inlineStr">
        <is>
          <t>TXN00127452</t>
        </is>
      </c>
      <c r="B866" t="inlineStr">
        <is>
          <t>MER00484</t>
        </is>
      </c>
      <c r="C866" s="8" t="n">
        <v>45884</v>
      </c>
      <c r="D866" t="inlineStr">
        <is>
          <t>ORD00127452</t>
        </is>
      </c>
      <c r="E866" t="n">
        <v>723.35</v>
      </c>
      <c r="F866" t="n">
        <v>3.21</v>
      </c>
      <c r="G866" t="n">
        <v>23.22</v>
      </c>
      <c r="H866" t="inlineStr">
        <is>
          <t>Card</t>
        </is>
      </c>
      <c r="I866" t="inlineStr">
        <is>
          <t>Success</t>
        </is>
      </c>
      <c r="J866" t="inlineStr">
        <is>
          <t>Delivered</t>
        </is>
      </c>
      <c r="K866" t="n">
        <v>0</v>
      </c>
      <c r="L866" t="n">
        <v>0</v>
      </c>
      <c r="M866" t="inlineStr">
        <is>
          <t>INR</t>
        </is>
      </c>
      <c r="N866" t="inlineStr">
        <is>
          <t>2025-08-15 14:05:38</t>
        </is>
      </c>
    </row>
    <row r="867">
      <c r="A867" t="inlineStr">
        <is>
          <t>TXN00128579</t>
        </is>
      </c>
      <c r="B867" t="inlineStr">
        <is>
          <t>MER00484</t>
        </is>
      </c>
      <c r="C867" s="8" t="n">
        <v>45887</v>
      </c>
      <c r="D867" t="inlineStr">
        <is>
          <t>ORD00128579</t>
        </is>
      </c>
      <c r="E867" t="n">
        <v>2409.56</v>
      </c>
      <c r="F867" t="n">
        <v>3.21</v>
      </c>
      <c r="G867" t="n">
        <v>77.34999999999999</v>
      </c>
      <c r="H867" t="inlineStr">
        <is>
          <t>Card</t>
        </is>
      </c>
      <c r="I867" t="inlineStr">
        <is>
          <t>Failed</t>
        </is>
      </c>
      <c r="J867" t="inlineStr">
        <is>
          <t>Cancelled</t>
        </is>
      </c>
      <c r="K867" t="n">
        <v>0</v>
      </c>
      <c r="L867" t="n">
        <v>0</v>
      </c>
      <c r="M867" t="inlineStr">
        <is>
          <t>INR</t>
        </is>
      </c>
      <c r="N867" t="inlineStr">
        <is>
          <t>2025-08-18 05:51:36</t>
        </is>
      </c>
    </row>
    <row r="868">
      <c r="A868" t="inlineStr">
        <is>
          <t>TXN00135773</t>
        </is>
      </c>
      <c r="B868" t="inlineStr">
        <is>
          <t>MER00484</t>
        </is>
      </c>
      <c r="C868" s="8" t="n">
        <v>45908</v>
      </c>
      <c r="D868" t="inlineStr">
        <is>
          <t>ORD00135773</t>
        </is>
      </c>
      <c r="E868" t="n">
        <v>611.03</v>
      </c>
      <c r="F868" t="n">
        <v>3.21</v>
      </c>
      <c r="G868" t="n">
        <v>19.61</v>
      </c>
      <c r="H868" t="inlineStr">
        <is>
          <t>Card</t>
        </is>
      </c>
      <c r="I868" t="inlineStr">
        <is>
          <t>Success</t>
        </is>
      </c>
      <c r="J868" t="inlineStr">
        <is>
          <t>Delivered</t>
        </is>
      </c>
      <c r="K868" t="n">
        <v>0</v>
      </c>
      <c r="L868" t="n">
        <v>0</v>
      </c>
      <c r="M868" t="inlineStr">
        <is>
          <t>INR</t>
        </is>
      </c>
      <c r="N868" t="inlineStr">
        <is>
          <t>2025-09-08 00:40:35</t>
        </is>
      </c>
    </row>
    <row r="869">
      <c r="A869" t="inlineStr">
        <is>
          <t>TXN00150156</t>
        </is>
      </c>
      <c r="B869" t="inlineStr">
        <is>
          <t>MER00484</t>
        </is>
      </c>
      <c r="C869" s="8" t="n">
        <v>45945</v>
      </c>
      <c r="D869" t="inlineStr">
        <is>
          <t>ORD00150156</t>
        </is>
      </c>
      <c r="E869" t="n">
        <v>1035.95</v>
      </c>
      <c r="F869" t="n">
        <v>3.23</v>
      </c>
      <c r="G869" t="n">
        <v>33.46</v>
      </c>
      <c r="H869" t="inlineStr">
        <is>
          <t>UPI</t>
        </is>
      </c>
      <c r="I869" t="inlineStr">
        <is>
          <t>Success</t>
        </is>
      </c>
      <c r="J869" t="inlineStr">
        <is>
          <t>Delivered</t>
        </is>
      </c>
      <c r="K869" t="n">
        <v>0</v>
      </c>
      <c r="L869" t="n">
        <v>0</v>
      </c>
      <c r="M869" t="inlineStr">
        <is>
          <t>INR</t>
        </is>
      </c>
      <c r="N869" t="inlineStr">
        <is>
          <t>2025-10-15 04:43:36</t>
        </is>
      </c>
    </row>
    <row r="870">
      <c r="A870" t="inlineStr">
        <is>
          <t>TXN00182427</t>
        </is>
      </c>
      <c r="B870" t="inlineStr">
        <is>
          <t>MER00484</t>
        </is>
      </c>
      <c r="C870" s="8" t="n">
        <v>46012</v>
      </c>
      <c r="D870" t="inlineStr">
        <is>
          <t>ORD00182427</t>
        </is>
      </c>
      <c r="E870" t="n">
        <v>452.98</v>
      </c>
      <c r="F870" t="n">
        <v>3.23</v>
      </c>
      <c r="G870" t="n">
        <v>14.63</v>
      </c>
      <c r="H870" t="inlineStr">
        <is>
          <t>NetBanking</t>
        </is>
      </c>
      <c r="I870" t="inlineStr">
        <is>
          <t>Success</t>
        </is>
      </c>
      <c r="J870" t="inlineStr">
        <is>
          <t>Delivered</t>
        </is>
      </c>
      <c r="K870" t="n">
        <v>0</v>
      </c>
      <c r="L870" t="n">
        <v>54.04</v>
      </c>
      <c r="M870" t="inlineStr">
        <is>
          <t>INR</t>
        </is>
      </c>
      <c r="N870" t="inlineStr">
        <is>
          <t>2025-12-21 20:39:10</t>
        </is>
      </c>
    </row>
    <row r="871">
      <c r="A871" t="inlineStr">
        <is>
          <t>TXN00188758</t>
        </is>
      </c>
      <c r="B871" t="inlineStr">
        <is>
          <t>MER00484</t>
        </is>
      </c>
      <c r="C871" s="8" t="n">
        <v>46028</v>
      </c>
      <c r="D871" t="inlineStr">
        <is>
          <t>ORD00188758</t>
        </is>
      </c>
      <c r="E871" t="n">
        <v>1458.1</v>
      </c>
      <c r="F871" t="n">
        <v>3.23</v>
      </c>
      <c r="G871" t="n">
        <v>47.1</v>
      </c>
      <c r="H871" t="inlineStr">
        <is>
          <t>NetBanking</t>
        </is>
      </c>
      <c r="I871" t="inlineStr">
        <is>
          <t>Success</t>
        </is>
      </c>
      <c r="J871" t="inlineStr">
        <is>
          <t>Delivered</t>
        </is>
      </c>
      <c r="K871" t="n">
        <v>0</v>
      </c>
      <c r="L871" t="n">
        <v>0</v>
      </c>
      <c r="M871" t="inlineStr">
        <is>
          <t>INR</t>
        </is>
      </c>
      <c r="N871" t="inlineStr">
        <is>
          <t>2026-01-06 22:09:13</t>
        </is>
      </c>
    </row>
    <row r="872">
      <c r="A872" t="inlineStr">
        <is>
          <t>TXN00209004</t>
        </is>
      </c>
      <c r="B872" t="inlineStr">
        <is>
          <t>MER00484</t>
        </is>
      </c>
      <c r="C872" s="8" t="n">
        <v>46075</v>
      </c>
      <c r="D872" t="inlineStr">
        <is>
          <t>ORD00209004</t>
        </is>
      </c>
      <c r="E872" t="n">
        <v>1847.89</v>
      </c>
      <c r="F872" t="n">
        <v>3.23</v>
      </c>
      <c r="G872" t="n">
        <v>59.69</v>
      </c>
      <c r="H872" t="inlineStr">
        <is>
          <t>Card</t>
        </is>
      </c>
      <c r="I872" t="inlineStr">
        <is>
          <t>Success</t>
        </is>
      </c>
      <c r="J872" t="inlineStr">
        <is>
          <t>Returned</t>
        </is>
      </c>
      <c r="K872" t="n">
        <v>1847.89</v>
      </c>
      <c r="L872" t="n">
        <v>0</v>
      </c>
      <c r="M872" t="inlineStr">
        <is>
          <t>INR</t>
        </is>
      </c>
      <c r="N872" t="inlineStr">
        <is>
          <t>2026-02-22 08:46:11</t>
        </is>
      </c>
    </row>
    <row r="873">
      <c r="A873" t="inlineStr">
        <is>
          <t>TXN00217501</t>
        </is>
      </c>
      <c r="B873" t="inlineStr">
        <is>
          <t>MER00484</t>
        </is>
      </c>
      <c r="C873" s="8" t="n">
        <v>46097</v>
      </c>
      <c r="D873" t="inlineStr">
        <is>
          <t>ORD00217501</t>
        </is>
      </c>
      <c r="E873" t="n">
        <v>2741.21</v>
      </c>
      <c r="F873" t="n">
        <v>3.23</v>
      </c>
      <c r="G873" t="n">
        <v>88.54000000000001</v>
      </c>
      <c r="H873" t="inlineStr">
        <is>
          <t>UPI</t>
        </is>
      </c>
      <c r="I873" t="inlineStr">
        <is>
          <t>Unknown</t>
        </is>
      </c>
      <c r="J873" t="inlineStr">
        <is>
          <t>Returned</t>
        </is>
      </c>
      <c r="K873" t="n">
        <v>2741.21</v>
      </c>
      <c r="L873" t="n">
        <v>0</v>
      </c>
      <c r="M873" t="inlineStr">
        <is>
          <t>INR</t>
        </is>
      </c>
      <c r="N873" t="inlineStr">
        <is>
          <t>2026-03-16 18:31:06</t>
        </is>
      </c>
    </row>
    <row r="874">
      <c r="A874" t="inlineStr">
        <is>
          <t>TXN00221244</t>
        </is>
      </c>
      <c r="B874" t="inlineStr">
        <is>
          <t>MER00484</t>
        </is>
      </c>
      <c r="C874" s="8" t="n">
        <v>46107</v>
      </c>
      <c r="D874" t="inlineStr">
        <is>
          <t>ORD00221244</t>
        </is>
      </c>
      <c r="E874" t="n">
        <v>1360.22</v>
      </c>
      <c r="F874" t="n">
        <v>3.23</v>
      </c>
      <c r="G874" t="n">
        <v>43.94</v>
      </c>
      <c r="H874" t="inlineStr">
        <is>
          <t>UPI</t>
        </is>
      </c>
      <c r="I874" t="inlineStr">
        <is>
          <t>Success</t>
        </is>
      </c>
      <c r="J874" t="inlineStr">
        <is>
          <t>Delivered</t>
        </is>
      </c>
      <c r="K874" t="n">
        <v>0</v>
      </c>
      <c r="L874" t="n">
        <v>0</v>
      </c>
      <c r="M874" t="inlineStr">
        <is>
          <t>INR</t>
        </is>
      </c>
      <c r="N874" t="inlineStr">
        <is>
          <t>2026-03-26 13:23:05</t>
        </is>
      </c>
    </row>
    <row r="875">
      <c r="A875" t="inlineStr">
        <is>
          <t>TXN00242293</t>
        </is>
      </c>
      <c r="B875" t="inlineStr">
        <is>
          <t>MER00484</t>
        </is>
      </c>
      <c r="C875" s="8" t="n">
        <v>46163</v>
      </c>
      <c r="D875" t="inlineStr">
        <is>
          <t>ORD00242293</t>
        </is>
      </c>
      <c r="E875" t="n">
        <v>1971.57</v>
      </c>
      <c r="F875" t="n">
        <v>3.23</v>
      </c>
      <c r="G875" t="n">
        <v>63.68</v>
      </c>
      <c r="H875" t="inlineStr">
        <is>
          <t>Card</t>
        </is>
      </c>
      <c r="I875" t="inlineStr">
        <is>
          <t>Success</t>
        </is>
      </c>
      <c r="J875" t="inlineStr">
        <is>
          <t>Delivered</t>
        </is>
      </c>
      <c r="K875" t="n">
        <v>0</v>
      </c>
      <c r="L875" t="n">
        <v>0</v>
      </c>
      <c r="M875" t="inlineStr">
        <is>
          <t>INR</t>
        </is>
      </c>
      <c r="N875" t="inlineStr">
        <is>
          <t>2026-05-21 09:01:56</t>
        </is>
      </c>
    </row>
    <row r="876">
      <c r="A876" t="inlineStr">
        <is>
          <t>TXN00011123</t>
        </is>
      </c>
      <c r="B876" t="inlineStr">
        <is>
          <t>MER00502</t>
        </is>
      </c>
      <c r="C876" s="8" t="n">
        <v>45548</v>
      </c>
      <c r="D876" t="inlineStr">
        <is>
          <t>ORD00011123</t>
        </is>
      </c>
      <c r="E876" t="n">
        <v>431.79</v>
      </c>
      <c r="F876" t="n">
        <v>2.7</v>
      </c>
      <c r="G876" t="n">
        <v>11.66</v>
      </c>
      <c r="H876" t="inlineStr">
        <is>
          <t>Wallet</t>
        </is>
      </c>
      <c r="I876" t="inlineStr">
        <is>
          <t>Success</t>
        </is>
      </c>
      <c r="J876" t="inlineStr">
        <is>
          <t>Delivered</t>
        </is>
      </c>
      <c r="K876" t="n">
        <v>0</v>
      </c>
      <c r="L876" t="n">
        <v>0</v>
      </c>
      <c r="M876" t="inlineStr">
        <is>
          <t>INR</t>
        </is>
      </c>
      <c r="N876" t="inlineStr">
        <is>
          <t>2024-09-13 02:13:41</t>
        </is>
      </c>
    </row>
    <row r="877">
      <c r="A877" t="inlineStr">
        <is>
          <t>TXN00030258</t>
        </is>
      </c>
      <c r="B877" t="inlineStr">
        <is>
          <t>MER00502</t>
        </is>
      </c>
      <c r="C877" s="8" t="n">
        <v>45602</v>
      </c>
      <c r="D877" t="inlineStr">
        <is>
          <t>ORD00030258</t>
        </is>
      </c>
      <c r="E877" t="n">
        <v>1018.99</v>
      </c>
      <c r="F877" t="n">
        <v>2.7</v>
      </c>
      <c r="G877" t="n">
        <v>27.51</v>
      </c>
      <c r="H877" t="inlineStr">
        <is>
          <t>NetBanking</t>
        </is>
      </c>
      <c r="I877" t="inlineStr">
        <is>
          <t>Success</t>
        </is>
      </c>
      <c r="J877" t="inlineStr">
        <is>
          <t>Returned</t>
        </is>
      </c>
      <c r="K877" t="n">
        <v>1018.99</v>
      </c>
      <c r="L877" t="n">
        <v>86.2</v>
      </c>
      <c r="M877" t="inlineStr">
        <is>
          <t>INR</t>
        </is>
      </c>
      <c r="N877" t="inlineStr">
        <is>
          <t>2024-11-06 01:18:29</t>
        </is>
      </c>
    </row>
    <row r="878">
      <c r="A878" t="inlineStr">
        <is>
          <t>TXN00040854</t>
        </is>
      </c>
      <c r="B878" t="inlineStr">
        <is>
          <t>MER00502</t>
        </is>
      </c>
      <c r="C878" s="8" t="n">
        <v>45625</v>
      </c>
      <c r="D878" t="inlineStr">
        <is>
          <t>ORD00040854</t>
        </is>
      </c>
      <c r="E878" t="n">
        <v>407.96</v>
      </c>
      <c r="F878" t="n">
        <v>2.7</v>
      </c>
      <c r="G878" t="n">
        <v>11.01</v>
      </c>
      <c r="H878" t="inlineStr">
        <is>
          <t>UPI</t>
        </is>
      </c>
      <c r="I878" t="inlineStr">
        <is>
          <t>Success</t>
        </is>
      </c>
      <c r="J878" t="inlineStr">
        <is>
          <t>Delivered</t>
        </is>
      </c>
      <c r="K878" t="n">
        <v>0</v>
      </c>
      <c r="L878" t="n">
        <v>0</v>
      </c>
      <c r="M878" t="inlineStr">
        <is>
          <t>INR</t>
        </is>
      </c>
      <c r="N878" t="inlineStr">
        <is>
          <t>2024-11-29 02:23:11</t>
        </is>
      </c>
    </row>
    <row r="879">
      <c r="A879" t="inlineStr">
        <is>
          <t>TXN00048310</t>
        </is>
      </c>
      <c r="B879" t="inlineStr">
        <is>
          <t>MER00502</t>
        </is>
      </c>
      <c r="C879" s="8" t="n">
        <v>45648</v>
      </c>
      <c r="D879" t="inlineStr">
        <is>
          <t>ORD00048310</t>
        </is>
      </c>
      <c r="E879" t="n">
        <v>655.76</v>
      </c>
      <c r="F879" t="n">
        <v>2.7</v>
      </c>
      <c r="G879" t="n">
        <v>17.71</v>
      </c>
      <c r="H879" t="inlineStr">
        <is>
          <t>Card</t>
        </is>
      </c>
      <c r="I879" t="inlineStr">
        <is>
          <t>Success</t>
        </is>
      </c>
      <c r="J879" t="inlineStr">
        <is>
          <t>Delivered</t>
        </is>
      </c>
      <c r="K879" t="n">
        <v>0</v>
      </c>
      <c r="L879" t="n">
        <v>0</v>
      </c>
      <c r="M879" t="inlineStr">
        <is>
          <t>INR</t>
        </is>
      </c>
      <c r="N879" t="inlineStr">
        <is>
          <t>2024-12-22 22:45:55</t>
        </is>
      </c>
    </row>
    <row r="880">
      <c r="A880" t="inlineStr">
        <is>
          <t>TXN00052040</t>
        </is>
      </c>
      <c r="B880" t="inlineStr">
        <is>
          <t>MER00502</t>
        </is>
      </c>
      <c r="C880" s="8" t="n">
        <v>45660</v>
      </c>
      <c r="D880" t="inlineStr">
        <is>
          <t>ORD00052040</t>
        </is>
      </c>
      <c r="E880" t="n">
        <v>310.68</v>
      </c>
      <c r="F880" t="n">
        <v>2.7</v>
      </c>
      <c r="G880" t="n">
        <v>8.390000000000001</v>
      </c>
      <c r="H880" t="inlineStr">
        <is>
          <t>UPI</t>
        </is>
      </c>
      <c r="I880" t="inlineStr">
        <is>
          <t>Success</t>
        </is>
      </c>
      <c r="J880" t="inlineStr">
        <is>
          <t>Delivered</t>
        </is>
      </c>
      <c r="K880" t="n">
        <v>0</v>
      </c>
      <c r="L880" t="n">
        <v>0</v>
      </c>
      <c r="M880" t="inlineStr">
        <is>
          <t>INR</t>
        </is>
      </c>
      <c r="N880" t="inlineStr">
        <is>
          <t>2025-01-03 18:09:05</t>
        </is>
      </c>
    </row>
    <row r="881">
      <c r="A881" t="inlineStr">
        <is>
          <t>TXN00054045</t>
        </is>
      </c>
      <c r="B881" t="inlineStr">
        <is>
          <t>MER00502</t>
        </is>
      </c>
      <c r="C881" s="8" t="n">
        <v>45665</v>
      </c>
      <c r="D881" t="inlineStr">
        <is>
          <t>ORD00054045</t>
        </is>
      </c>
      <c r="E881" t="n">
        <v>661.71</v>
      </c>
      <c r="F881" t="n">
        <v>2.7</v>
      </c>
      <c r="G881" t="n">
        <v>17.87</v>
      </c>
      <c r="H881" t="inlineStr">
        <is>
          <t>UPI</t>
        </is>
      </c>
      <c r="I881" t="inlineStr">
        <is>
          <t>Success</t>
        </is>
      </c>
      <c r="J881" t="inlineStr">
        <is>
          <t>Delivered</t>
        </is>
      </c>
      <c r="K881" t="n">
        <v>0</v>
      </c>
      <c r="L881" t="n">
        <v>0</v>
      </c>
      <c r="M881" t="inlineStr">
        <is>
          <t>INR</t>
        </is>
      </c>
      <c r="N881" t="inlineStr">
        <is>
          <t>2025-01-08 10:28:23</t>
        </is>
      </c>
    </row>
    <row r="882">
      <c r="A882" t="inlineStr">
        <is>
          <t>TXN00057969</t>
        </is>
      </c>
      <c r="B882" t="inlineStr">
        <is>
          <t>MER00502</t>
        </is>
      </c>
      <c r="C882" s="8" t="n">
        <v>45675</v>
      </c>
      <c r="D882" t="inlineStr">
        <is>
          <t>ORD00057969</t>
        </is>
      </c>
      <c r="E882" t="n">
        <v>1823.9</v>
      </c>
      <c r="F882" t="n">
        <v>2.7</v>
      </c>
      <c r="G882" t="n">
        <v>49.25</v>
      </c>
      <c r="H882" t="inlineStr">
        <is>
          <t>UPI</t>
        </is>
      </c>
      <c r="I882" t="inlineStr">
        <is>
          <t>Success</t>
        </is>
      </c>
      <c r="J882" t="inlineStr">
        <is>
          <t>Delivered</t>
        </is>
      </c>
      <c r="K882" t="n">
        <v>0</v>
      </c>
      <c r="L882" t="n">
        <v>103.18</v>
      </c>
      <c r="M882" t="inlineStr">
        <is>
          <t>INR</t>
        </is>
      </c>
      <c r="N882" t="inlineStr">
        <is>
          <t>2025-01-18 13:53:20</t>
        </is>
      </c>
    </row>
    <row r="883">
      <c r="A883" t="inlineStr">
        <is>
          <t>TXN00058663</t>
        </is>
      </c>
      <c r="B883" t="inlineStr">
        <is>
          <t>MER00502</t>
        </is>
      </c>
      <c r="C883" s="8" t="n">
        <v>45677</v>
      </c>
      <c r="D883" t="inlineStr">
        <is>
          <t>ORD00058663</t>
        </is>
      </c>
      <c r="E883" t="n">
        <v>1020.51</v>
      </c>
      <c r="F883" t="n">
        <v>2.7</v>
      </c>
      <c r="G883" t="n">
        <v>27.55</v>
      </c>
      <c r="H883" t="inlineStr">
        <is>
          <t>COD</t>
        </is>
      </c>
      <c r="I883" t="inlineStr">
        <is>
          <t>Success</t>
        </is>
      </c>
      <c r="J883" t="inlineStr">
        <is>
          <t>Delivered</t>
        </is>
      </c>
      <c r="K883" t="n">
        <v>0</v>
      </c>
      <c r="L883" t="n">
        <v>0</v>
      </c>
      <c r="M883" t="inlineStr">
        <is>
          <t>INR</t>
        </is>
      </c>
      <c r="N883" t="inlineStr">
        <is>
          <t>2025-01-20 12:03:58</t>
        </is>
      </c>
    </row>
    <row r="884">
      <c r="A884" t="inlineStr">
        <is>
          <t>TXN00064603</t>
        </is>
      </c>
      <c r="B884" t="inlineStr">
        <is>
          <t>MER00502</t>
        </is>
      </c>
      <c r="C884" s="8" t="n">
        <v>45693</v>
      </c>
      <c r="D884" t="inlineStr">
        <is>
          <t>ORD00064603</t>
        </is>
      </c>
      <c r="E884" t="n">
        <v>458.76</v>
      </c>
      <c r="F884" t="n">
        <v>2.7</v>
      </c>
      <c r="G884" t="n">
        <v>12.39</v>
      </c>
      <c r="H884" t="inlineStr">
        <is>
          <t>UPI</t>
        </is>
      </c>
      <c r="I884" t="inlineStr">
        <is>
          <t>Success</t>
        </is>
      </c>
      <c r="J884" t="inlineStr">
        <is>
          <t>Returned</t>
        </is>
      </c>
      <c r="K884" t="n">
        <v>458.76</v>
      </c>
      <c r="L884" t="n">
        <v>0</v>
      </c>
      <c r="M884" t="inlineStr">
        <is>
          <t>INR</t>
        </is>
      </c>
      <c r="N884" t="inlineStr">
        <is>
          <t>2025-02-05 14:26:10</t>
        </is>
      </c>
    </row>
    <row r="885">
      <c r="A885" t="inlineStr">
        <is>
          <t>TXN00072640</t>
        </is>
      </c>
      <c r="B885" t="inlineStr">
        <is>
          <t>MER00502</t>
        </is>
      </c>
      <c r="C885" s="8" t="n">
        <v>45717</v>
      </c>
      <c r="D885" t="inlineStr">
        <is>
          <t>ORD00072640</t>
        </is>
      </c>
      <c r="E885" t="n">
        <v>772.45</v>
      </c>
      <c r="F885" t="n">
        <v>2.7</v>
      </c>
      <c r="G885" t="n">
        <v>20.86</v>
      </c>
      <c r="H885" t="inlineStr">
        <is>
          <t>Card</t>
        </is>
      </c>
      <c r="I885" t="inlineStr">
        <is>
          <t>Pending</t>
        </is>
      </c>
      <c r="J885" t="inlineStr">
        <is>
          <t>Processing</t>
        </is>
      </c>
      <c r="K885" t="n">
        <v>0</v>
      </c>
      <c r="L885" t="n">
        <v>0</v>
      </c>
      <c r="M885" t="inlineStr">
        <is>
          <t>INR</t>
        </is>
      </c>
      <c r="N885" t="inlineStr">
        <is>
          <t>2025-03-01 05:51:39</t>
        </is>
      </c>
    </row>
    <row r="886">
      <c r="A886" t="inlineStr">
        <is>
          <t>TXN00078111</t>
        </is>
      </c>
      <c r="B886" t="inlineStr">
        <is>
          <t>MER00502</t>
        </is>
      </c>
      <c r="C886" s="8" t="n">
        <v>45735</v>
      </c>
      <c r="D886" t="inlineStr">
        <is>
          <t>ORD00078111</t>
        </is>
      </c>
      <c r="E886" t="n">
        <v>1735.39</v>
      </c>
      <c r="F886" t="n">
        <v>2.7</v>
      </c>
      <c r="G886" t="n">
        <v>46.86</v>
      </c>
      <c r="H886" t="inlineStr">
        <is>
          <t>Card</t>
        </is>
      </c>
      <c r="I886" t="inlineStr">
        <is>
          <t>Success</t>
        </is>
      </c>
      <c r="J886" t="inlineStr">
        <is>
          <t>Returned</t>
        </is>
      </c>
      <c r="K886" t="n">
        <v>1396.31</v>
      </c>
      <c r="L886" t="n">
        <v>0</v>
      </c>
      <c r="M886" t="inlineStr">
        <is>
          <t>INR</t>
        </is>
      </c>
      <c r="N886" t="inlineStr">
        <is>
          <t>2025-03-19 19:01:44</t>
        </is>
      </c>
    </row>
    <row r="887">
      <c r="A887" t="inlineStr">
        <is>
          <t>TXN00087182</t>
        </is>
      </c>
      <c r="B887" t="inlineStr">
        <is>
          <t>MER00502</t>
        </is>
      </c>
      <c r="C887" s="8" t="n">
        <v>45763</v>
      </c>
      <c r="D887" t="inlineStr">
        <is>
          <t>ORD00087182</t>
        </is>
      </c>
      <c r="E887" t="n">
        <v>831.1900000000001</v>
      </c>
      <c r="F887" t="n">
        <v>2.7</v>
      </c>
      <c r="G887" t="n">
        <v>22.44</v>
      </c>
      <c r="H887" t="inlineStr">
        <is>
          <t>UPI</t>
        </is>
      </c>
      <c r="I887" t="inlineStr">
        <is>
          <t>Success</t>
        </is>
      </c>
      <c r="J887" t="inlineStr">
        <is>
          <t>Processing</t>
        </is>
      </c>
      <c r="K887" t="n">
        <v>0</v>
      </c>
      <c r="L887" t="n">
        <v>0</v>
      </c>
      <c r="M887" t="inlineStr">
        <is>
          <t>INR</t>
        </is>
      </c>
      <c r="N887" t="inlineStr">
        <is>
          <t>2025-04-16 23:01:19</t>
        </is>
      </c>
    </row>
    <row r="888">
      <c r="A888" t="inlineStr">
        <is>
          <t>TXN00089419</t>
        </is>
      </c>
      <c r="B888" t="inlineStr">
        <is>
          <t>MER00502</t>
        </is>
      </c>
      <c r="C888" s="8" t="n">
        <v>45770</v>
      </c>
      <c r="D888" t="inlineStr">
        <is>
          <t>ORD00089419</t>
        </is>
      </c>
      <c r="E888" t="n">
        <v>1717.41</v>
      </c>
      <c r="F888" t="n">
        <v>2.7</v>
      </c>
      <c r="G888" t="n">
        <v>46.37</v>
      </c>
      <c r="H888" t="inlineStr">
        <is>
          <t>NetBanking</t>
        </is>
      </c>
      <c r="I888" t="inlineStr">
        <is>
          <t>Success</t>
        </is>
      </c>
      <c r="J888" t="inlineStr">
        <is>
          <t>Delivered</t>
        </is>
      </c>
      <c r="K888" t="n">
        <v>0</v>
      </c>
      <c r="L888" t="n">
        <v>242.03</v>
      </c>
      <c r="M888" t="inlineStr">
        <is>
          <t>INR</t>
        </is>
      </c>
      <c r="N888" t="inlineStr">
        <is>
          <t>2025-04-23 15:23:30</t>
        </is>
      </c>
    </row>
    <row r="889">
      <c r="A889" t="inlineStr">
        <is>
          <t>TXN00090981</t>
        </is>
      </c>
      <c r="B889" t="inlineStr">
        <is>
          <t>MER00502</t>
        </is>
      </c>
      <c r="C889" s="8" t="n">
        <v>45774</v>
      </c>
      <c r="D889" t="inlineStr">
        <is>
          <t>ORD00090981</t>
        </is>
      </c>
      <c r="E889" t="n">
        <v>1577.78</v>
      </c>
      <c r="F889" t="n">
        <v>2.7</v>
      </c>
      <c r="G889" t="n">
        <v>42.6</v>
      </c>
      <c r="H889" t="inlineStr">
        <is>
          <t>NetBanking</t>
        </is>
      </c>
      <c r="I889" t="inlineStr">
        <is>
          <t>Success</t>
        </is>
      </c>
      <c r="J889" t="inlineStr">
        <is>
          <t>Delivered</t>
        </is>
      </c>
      <c r="K889" t="n">
        <v>0</v>
      </c>
      <c r="L889" t="n">
        <v>0</v>
      </c>
      <c r="M889" t="inlineStr">
        <is>
          <t>INR</t>
        </is>
      </c>
      <c r="N889" t="inlineStr">
        <is>
          <t>2025-04-27 03:17:12</t>
        </is>
      </c>
    </row>
    <row r="890">
      <c r="A890" t="inlineStr">
        <is>
          <t>TXN00092407</t>
        </is>
      </c>
      <c r="B890" t="inlineStr">
        <is>
          <t>MER00502</t>
        </is>
      </c>
      <c r="C890" s="8" t="n">
        <v>45778</v>
      </c>
      <c r="D890" t="inlineStr">
        <is>
          <t>ORD00092407</t>
        </is>
      </c>
      <c r="E890" t="n">
        <v>630.59</v>
      </c>
      <c r="F890" t="n">
        <v>2.7</v>
      </c>
      <c r="G890" t="n">
        <v>17.03</v>
      </c>
      <c r="H890" t="inlineStr">
        <is>
          <t>UPI</t>
        </is>
      </c>
      <c r="I890" t="inlineStr">
        <is>
          <t>Success</t>
        </is>
      </c>
      <c r="J890" t="inlineStr">
        <is>
          <t>Delivered</t>
        </is>
      </c>
      <c r="K890" t="n">
        <v>0</v>
      </c>
      <c r="L890" t="n">
        <v>0</v>
      </c>
      <c r="M890" t="inlineStr">
        <is>
          <t>INR</t>
        </is>
      </c>
      <c r="N890" t="inlineStr">
        <is>
          <t>2025-05-01 17:43:11</t>
        </is>
      </c>
    </row>
    <row r="891">
      <c r="A891" t="inlineStr">
        <is>
          <t>TXN00099054</t>
        </is>
      </c>
      <c r="B891" t="inlineStr">
        <is>
          <t>MER00502</t>
        </is>
      </c>
      <c r="C891" s="8" t="n">
        <v>45799</v>
      </c>
      <c r="D891" t="inlineStr">
        <is>
          <t>ORD00099054</t>
        </is>
      </c>
      <c r="E891" t="n">
        <v>580.66</v>
      </c>
      <c r="F891" t="n">
        <v>2.7</v>
      </c>
      <c r="G891" t="n">
        <v>15.68</v>
      </c>
      <c r="H891" t="inlineStr">
        <is>
          <t>NetBanking</t>
        </is>
      </c>
      <c r="I891" t="inlineStr">
        <is>
          <t>Success</t>
        </is>
      </c>
      <c r="J891" t="inlineStr">
        <is>
          <t>Delivered</t>
        </is>
      </c>
      <c r="K891" t="n">
        <v>0</v>
      </c>
      <c r="L891" t="n">
        <v>0</v>
      </c>
      <c r="M891" t="inlineStr">
        <is>
          <t>INR</t>
        </is>
      </c>
      <c r="N891" t="inlineStr">
        <is>
          <t>2025-05-22 19:53:46</t>
        </is>
      </c>
    </row>
    <row r="892">
      <c r="A892" t="inlineStr">
        <is>
          <t>TXN00108063</t>
        </is>
      </c>
      <c r="B892" t="inlineStr">
        <is>
          <t>MER00502</t>
        </is>
      </c>
      <c r="C892" s="8" t="n">
        <v>45826</v>
      </c>
      <c r="D892" t="inlineStr">
        <is>
          <t>ORD00108063</t>
        </is>
      </c>
      <c r="E892" t="n">
        <v>1169.19</v>
      </c>
      <c r="F892" t="n">
        <v>2.7</v>
      </c>
      <c r="G892" t="n">
        <v>31.57</v>
      </c>
      <c r="H892" t="inlineStr">
        <is>
          <t>UPI</t>
        </is>
      </c>
      <c r="I892" t="inlineStr">
        <is>
          <t>Success</t>
        </is>
      </c>
      <c r="J892" t="inlineStr">
        <is>
          <t>Returned</t>
        </is>
      </c>
      <c r="K892" t="n">
        <v>1169.19</v>
      </c>
      <c r="L892" t="n">
        <v>0</v>
      </c>
      <c r="M892" t="inlineStr">
        <is>
          <t>INR</t>
        </is>
      </c>
      <c r="N892" t="inlineStr">
        <is>
          <t>2025-06-18 00:29:54</t>
        </is>
      </c>
    </row>
    <row r="893">
      <c r="A893" t="inlineStr">
        <is>
          <t>TXN00111689</t>
        </is>
      </c>
      <c r="B893" t="inlineStr">
        <is>
          <t>MER00502</t>
        </is>
      </c>
      <c r="C893" s="8" t="n">
        <v>45837</v>
      </c>
      <c r="D893" t="inlineStr">
        <is>
          <t>ORD00111689</t>
        </is>
      </c>
      <c r="E893" t="n">
        <v>470.74</v>
      </c>
      <c r="F893" t="n">
        <v>2.7</v>
      </c>
      <c r="G893" t="n">
        <v>12.71</v>
      </c>
      <c r="H893" t="inlineStr">
        <is>
          <t>Wallet</t>
        </is>
      </c>
      <c r="I893" t="inlineStr">
        <is>
          <t>Success</t>
        </is>
      </c>
      <c r="J893" t="inlineStr">
        <is>
          <t>Delivered</t>
        </is>
      </c>
      <c r="K893" t="n">
        <v>0</v>
      </c>
      <c r="L893" t="n">
        <v>0</v>
      </c>
      <c r="M893" t="inlineStr">
        <is>
          <t>INR</t>
        </is>
      </c>
      <c r="N893" t="inlineStr">
        <is>
          <t>2025-06-29 15:47:24</t>
        </is>
      </c>
    </row>
    <row r="894">
      <c r="A894" t="inlineStr">
        <is>
          <t>TXN00113591</t>
        </is>
      </c>
      <c r="B894" t="inlineStr">
        <is>
          <t>MER00502</t>
        </is>
      </c>
      <c r="C894" s="8" t="n">
        <v>45842</v>
      </c>
      <c r="D894" t="inlineStr">
        <is>
          <t>ORD00113591</t>
        </is>
      </c>
      <c r="E894" t="n">
        <v>863.48</v>
      </c>
      <c r="F894" t="n">
        <v>2.7</v>
      </c>
      <c r="G894" t="n">
        <v>23.31</v>
      </c>
      <c r="H894" t="inlineStr">
        <is>
          <t>Card</t>
        </is>
      </c>
      <c r="I894" t="inlineStr">
        <is>
          <t>Success</t>
        </is>
      </c>
      <c r="J894" t="inlineStr">
        <is>
          <t>Delivered</t>
        </is>
      </c>
      <c r="K894" t="n">
        <v>0</v>
      </c>
      <c r="L894" t="n">
        <v>0</v>
      </c>
      <c r="M894" t="inlineStr">
        <is>
          <t>INR</t>
        </is>
      </c>
      <c r="N894" t="inlineStr">
        <is>
          <t>2025-07-04 18:50:03</t>
        </is>
      </c>
    </row>
    <row r="895">
      <c r="A895" t="inlineStr">
        <is>
          <t>TXN00124919</t>
        </is>
      </c>
      <c r="B895" t="inlineStr">
        <is>
          <t>MER00502</t>
        </is>
      </c>
      <c r="C895" s="8" t="n">
        <v>45876</v>
      </c>
      <c r="D895" t="inlineStr">
        <is>
          <t>ORD00124919</t>
        </is>
      </c>
      <c r="E895" t="n">
        <v>1525.42</v>
      </c>
      <c r="F895" t="n">
        <v>2.7</v>
      </c>
      <c r="G895" t="n">
        <v>41.19</v>
      </c>
      <c r="H895" t="inlineStr">
        <is>
          <t>Card</t>
        </is>
      </c>
      <c r="I895" t="inlineStr">
        <is>
          <t>Success</t>
        </is>
      </c>
      <c r="J895" t="inlineStr">
        <is>
          <t>Delivered</t>
        </is>
      </c>
      <c r="K895" t="n">
        <v>0</v>
      </c>
      <c r="L895" t="n">
        <v>0</v>
      </c>
      <c r="M895" t="inlineStr">
        <is>
          <t>INR</t>
        </is>
      </c>
      <c r="N895" t="inlineStr">
        <is>
          <t>2025-08-07 15:51:55</t>
        </is>
      </c>
    </row>
    <row r="896">
      <c r="A896" t="inlineStr">
        <is>
          <t>TXN00128645</t>
        </is>
      </c>
      <c r="B896" t="inlineStr">
        <is>
          <t>MER00502</t>
        </is>
      </c>
      <c r="C896" s="8" t="n">
        <v>45887</v>
      </c>
      <c r="D896" t="inlineStr">
        <is>
          <t>ORD00128645</t>
        </is>
      </c>
      <c r="E896" t="n">
        <v>1261.37</v>
      </c>
      <c r="F896" t="n">
        <v>2.7</v>
      </c>
      <c r="G896" t="n">
        <v>34.06</v>
      </c>
      <c r="H896" t="inlineStr">
        <is>
          <t>UPI</t>
        </is>
      </c>
      <c r="I896" t="inlineStr">
        <is>
          <t>Failed</t>
        </is>
      </c>
      <c r="J896" t="inlineStr">
        <is>
          <t>Processing</t>
        </is>
      </c>
      <c r="K896" t="n">
        <v>0</v>
      </c>
      <c r="L896" t="n">
        <v>0</v>
      </c>
      <c r="M896" t="inlineStr">
        <is>
          <t>INR</t>
        </is>
      </c>
      <c r="N896" t="inlineStr">
        <is>
          <t>2025-08-18 22:46:08</t>
        </is>
      </c>
    </row>
    <row r="897">
      <c r="A897" t="inlineStr">
        <is>
          <t>TXN00142119</t>
        </is>
      </c>
      <c r="B897" t="inlineStr">
        <is>
          <t>MER00502</t>
        </is>
      </c>
      <c r="C897" s="8" t="n">
        <v>45926</v>
      </c>
      <c r="D897" t="inlineStr">
        <is>
          <t>ORD00142119</t>
        </is>
      </c>
      <c r="E897" t="n">
        <v>779.33</v>
      </c>
      <c r="F897" t="n">
        <v>2.7</v>
      </c>
      <c r="G897" t="n">
        <v>21.04</v>
      </c>
      <c r="H897" t="inlineStr">
        <is>
          <t>UPI</t>
        </is>
      </c>
      <c r="I897" t="inlineStr">
        <is>
          <t>Success</t>
        </is>
      </c>
      <c r="J897" t="inlineStr">
        <is>
          <t>Delivered</t>
        </is>
      </c>
      <c r="K897" t="n">
        <v>0</v>
      </c>
      <c r="L897" t="n">
        <v>0</v>
      </c>
      <c r="M897" t="inlineStr">
        <is>
          <t>INR</t>
        </is>
      </c>
      <c r="N897" t="inlineStr">
        <is>
          <t>2025-09-26 13:39:46</t>
        </is>
      </c>
    </row>
    <row r="898">
      <c r="A898" t="inlineStr">
        <is>
          <t>TXN00142906</t>
        </is>
      </c>
      <c r="B898" t="inlineStr">
        <is>
          <t>MER00502</t>
        </is>
      </c>
      <c r="C898" s="8" t="n">
        <v>45929</v>
      </c>
      <c r="D898" t="inlineStr">
        <is>
          <t>ORD00142906</t>
        </is>
      </c>
      <c r="E898" t="n">
        <v>543.4</v>
      </c>
      <c r="F898" t="n">
        <v>2.7</v>
      </c>
      <c r="G898" t="n">
        <v>14.67</v>
      </c>
      <c r="H898" t="inlineStr">
        <is>
          <t>COD</t>
        </is>
      </c>
      <c r="I898" t="inlineStr">
        <is>
          <t>Success</t>
        </is>
      </c>
      <c r="J898" t="inlineStr">
        <is>
          <t>Cancelled</t>
        </is>
      </c>
      <c r="K898" t="n">
        <v>478.43</v>
      </c>
      <c r="L898" t="n">
        <v>0</v>
      </c>
      <c r="M898" t="inlineStr">
        <is>
          <t>INR</t>
        </is>
      </c>
      <c r="N898" t="inlineStr">
        <is>
          <t>2025-09-29 12:35:31</t>
        </is>
      </c>
    </row>
    <row r="899">
      <c r="A899" t="inlineStr">
        <is>
          <t>TXN00145928</t>
        </is>
      </c>
      <c r="B899" t="inlineStr">
        <is>
          <t>MER00502</t>
        </is>
      </c>
      <c r="C899" s="8" t="n">
        <v>45936</v>
      </c>
      <c r="D899" t="inlineStr">
        <is>
          <t>ORD00145928</t>
        </is>
      </c>
      <c r="E899" t="n">
        <v>895.87</v>
      </c>
      <c r="F899" t="n">
        <v>2.7</v>
      </c>
      <c r="G899" t="n">
        <v>24.19</v>
      </c>
      <c r="H899" t="inlineStr">
        <is>
          <t>NetBanking</t>
        </is>
      </c>
      <c r="I899" t="inlineStr">
        <is>
          <t>Success</t>
        </is>
      </c>
      <c r="J899" t="inlineStr">
        <is>
          <t>Delivered</t>
        </is>
      </c>
      <c r="K899" t="n">
        <v>0</v>
      </c>
      <c r="L899" t="n">
        <v>0</v>
      </c>
      <c r="M899" t="inlineStr">
        <is>
          <t>INR</t>
        </is>
      </c>
      <c r="N899" t="inlineStr">
        <is>
          <t>2025-10-06 14:38:33</t>
        </is>
      </c>
    </row>
    <row r="900">
      <c r="A900" t="inlineStr">
        <is>
          <t>TXN00160138</t>
        </is>
      </c>
      <c r="B900" t="inlineStr">
        <is>
          <t>MER00502</t>
        </is>
      </c>
      <c r="C900" s="8" t="n">
        <v>45965</v>
      </c>
      <c r="D900" t="inlineStr">
        <is>
          <t>ORD00160138</t>
        </is>
      </c>
      <c r="E900" t="n">
        <v>1126.99</v>
      </c>
      <c r="F900" t="n">
        <v>2.7</v>
      </c>
      <c r="G900" t="n">
        <v>30.43</v>
      </c>
      <c r="H900" t="inlineStr">
        <is>
          <t>UPI</t>
        </is>
      </c>
      <c r="I900" t="inlineStr">
        <is>
          <t>Success</t>
        </is>
      </c>
      <c r="J900" t="inlineStr">
        <is>
          <t>Returned</t>
        </is>
      </c>
      <c r="K900" t="n">
        <v>1126.99</v>
      </c>
      <c r="L900" t="n">
        <v>0</v>
      </c>
      <c r="M900" t="inlineStr">
        <is>
          <t>INR</t>
        </is>
      </c>
      <c r="N900" t="inlineStr">
        <is>
          <t>2025-11-04 09:25:47</t>
        </is>
      </c>
    </row>
    <row r="901">
      <c r="A901" t="inlineStr">
        <is>
          <t>TXN00166359</t>
        </is>
      </c>
      <c r="B901" t="inlineStr">
        <is>
          <t>MER00502</t>
        </is>
      </c>
      <c r="C901" s="8" t="n">
        <v>45976</v>
      </c>
      <c r="D901" t="inlineStr">
        <is>
          <t>ORD00166359</t>
        </is>
      </c>
      <c r="E901" t="n">
        <v>258.92</v>
      </c>
      <c r="F901" t="n">
        <v>2.7</v>
      </c>
      <c r="G901" t="n">
        <v>6.99</v>
      </c>
      <c r="H901" t="inlineStr">
        <is>
          <t>UPI</t>
        </is>
      </c>
      <c r="I901" t="inlineStr">
        <is>
          <t>Success</t>
        </is>
      </c>
      <c r="J901" t="inlineStr">
        <is>
          <t>Delivered</t>
        </is>
      </c>
      <c r="K901" t="n">
        <v>0</v>
      </c>
      <c r="L901" t="n">
        <v>0</v>
      </c>
      <c r="M901" t="inlineStr">
        <is>
          <t>INR</t>
        </is>
      </c>
      <c r="N901" t="inlineStr">
        <is>
          <t>2025-11-15 13:04:38</t>
        </is>
      </c>
    </row>
    <row r="902">
      <c r="A902" t="inlineStr">
        <is>
          <t>TXN00167137</t>
        </is>
      </c>
      <c r="B902" t="inlineStr">
        <is>
          <t>MER00502</t>
        </is>
      </c>
      <c r="C902" s="8" t="n">
        <v>45978</v>
      </c>
      <c r="D902" t="inlineStr">
        <is>
          <t>ORD00167137</t>
        </is>
      </c>
      <c r="E902" t="n">
        <v>1114.35</v>
      </c>
      <c r="F902" t="n">
        <v>2.7</v>
      </c>
      <c r="G902" t="n">
        <v>30.09</v>
      </c>
      <c r="H902" t="inlineStr">
        <is>
          <t>NetBanking</t>
        </is>
      </c>
      <c r="I902" t="inlineStr">
        <is>
          <t>Success</t>
        </is>
      </c>
      <c r="J902" t="inlineStr">
        <is>
          <t>Delivered</t>
        </is>
      </c>
      <c r="K902" t="n">
        <v>0</v>
      </c>
      <c r="L902" t="n">
        <v>139.93</v>
      </c>
      <c r="M902" t="inlineStr">
        <is>
          <t>INR</t>
        </is>
      </c>
      <c r="N902" t="inlineStr">
        <is>
          <t>2025-11-17 03:04:37</t>
        </is>
      </c>
    </row>
    <row r="903">
      <c r="A903" t="inlineStr">
        <is>
          <t>TXN00170610</t>
        </is>
      </c>
      <c r="B903" t="inlineStr">
        <is>
          <t>MER00502</t>
        </is>
      </c>
      <c r="C903" s="8" t="n">
        <v>45984</v>
      </c>
      <c r="D903" t="inlineStr">
        <is>
          <t>ORD00170610</t>
        </is>
      </c>
      <c r="E903" t="n">
        <v>562.15</v>
      </c>
      <c r="F903" t="n">
        <v>2.7</v>
      </c>
      <c r="G903" t="n">
        <v>15.18</v>
      </c>
      <c r="H903" t="inlineStr">
        <is>
          <t>UPI</t>
        </is>
      </c>
      <c r="I903" t="inlineStr">
        <is>
          <t>Success</t>
        </is>
      </c>
      <c r="J903" t="inlineStr">
        <is>
          <t>Delivered</t>
        </is>
      </c>
      <c r="K903" t="n">
        <v>0</v>
      </c>
      <c r="L903" t="n">
        <v>0</v>
      </c>
      <c r="M903" t="inlineStr">
        <is>
          <t>INR</t>
        </is>
      </c>
      <c r="N903" t="inlineStr">
        <is>
          <t>2025-11-23 05:59:00</t>
        </is>
      </c>
    </row>
    <row r="904">
      <c r="A904" t="inlineStr">
        <is>
          <t>TXN00170614</t>
        </is>
      </c>
      <c r="B904" t="inlineStr">
        <is>
          <t>MER00502</t>
        </is>
      </c>
      <c r="C904" s="8" t="n">
        <v>45984</v>
      </c>
      <c r="D904" t="inlineStr">
        <is>
          <t>ORD00170614</t>
        </is>
      </c>
      <c r="E904" t="n">
        <v>576.04</v>
      </c>
      <c r="F904" t="n">
        <v>2.7</v>
      </c>
      <c r="G904" t="n">
        <v>15.55</v>
      </c>
      <c r="H904" t="inlineStr">
        <is>
          <t>UPI</t>
        </is>
      </c>
      <c r="I904" t="inlineStr">
        <is>
          <t>Success</t>
        </is>
      </c>
      <c r="J904" t="inlineStr">
        <is>
          <t>Delivered</t>
        </is>
      </c>
      <c r="K904" t="n">
        <v>0</v>
      </c>
      <c r="L904" t="n">
        <v>0</v>
      </c>
      <c r="M904" t="inlineStr">
        <is>
          <t>INR</t>
        </is>
      </c>
      <c r="N904" t="inlineStr">
        <is>
          <t>2025-11-23 12:44:32</t>
        </is>
      </c>
    </row>
    <row r="905">
      <c r="A905" t="inlineStr">
        <is>
          <t>TXN00185079</t>
        </is>
      </c>
      <c r="B905" t="inlineStr">
        <is>
          <t>MER00502</t>
        </is>
      </c>
      <c r="C905" s="8" t="n">
        <v>46019</v>
      </c>
      <c r="D905" t="inlineStr">
        <is>
          <t>ORD00185079</t>
        </is>
      </c>
      <c r="E905" t="n">
        <v>1228.91</v>
      </c>
      <c r="F905" t="n">
        <v>2.7</v>
      </c>
      <c r="G905" t="n">
        <v>33.18</v>
      </c>
      <c r="H905" t="inlineStr">
        <is>
          <t>Wallet</t>
        </is>
      </c>
      <c r="I905" t="inlineStr">
        <is>
          <t>Success</t>
        </is>
      </c>
      <c r="J905" t="inlineStr">
        <is>
          <t>Returned</t>
        </is>
      </c>
      <c r="K905" t="n">
        <v>1228.91</v>
      </c>
      <c r="L905" t="n">
        <v>0</v>
      </c>
      <c r="M905" t="inlineStr">
        <is>
          <t>INR</t>
        </is>
      </c>
      <c r="N905" t="inlineStr">
        <is>
          <t>2025-12-28 12:08:16</t>
        </is>
      </c>
    </row>
    <row r="906">
      <c r="A906" t="inlineStr">
        <is>
          <t>TXN00189678</t>
        </is>
      </c>
      <c r="B906" t="inlineStr">
        <is>
          <t>MER00502</t>
        </is>
      </c>
      <c r="C906" s="8" t="n">
        <v>46030</v>
      </c>
      <c r="D906" t="inlineStr">
        <is>
          <t>ORD00189678</t>
        </is>
      </c>
      <c r="E906" t="n">
        <v>603.97</v>
      </c>
      <c r="F906" t="n">
        <v>2.7</v>
      </c>
      <c r="G906" t="n">
        <v>16.31</v>
      </c>
      <c r="H906" t="inlineStr">
        <is>
          <t>UPI</t>
        </is>
      </c>
      <c r="I906" t="inlineStr">
        <is>
          <t>Success</t>
        </is>
      </c>
      <c r="J906" t="inlineStr">
        <is>
          <t>Delivered</t>
        </is>
      </c>
      <c r="K906" t="n">
        <v>0</v>
      </c>
      <c r="L906" t="n">
        <v>0</v>
      </c>
      <c r="M906" t="inlineStr">
        <is>
          <t>INR</t>
        </is>
      </c>
      <c r="N906" t="inlineStr">
        <is>
          <t>2026-01-08 08:03:53</t>
        </is>
      </c>
    </row>
    <row r="907">
      <c r="A907" t="inlineStr">
        <is>
          <t>TXN00190156</t>
        </is>
      </c>
      <c r="B907" t="inlineStr">
        <is>
          <t>MER00502</t>
        </is>
      </c>
      <c r="C907" s="8" t="n">
        <v>46031</v>
      </c>
      <c r="D907" t="inlineStr">
        <is>
          <t>ORD00190156</t>
        </is>
      </c>
      <c r="E907" t="n">
        <v>977.72</v>
      </c>
      <c r="F907" t="n">
        <v>2.7</v>
      </c>
      <c r="G907" t="n">
        <v>26.4</v>
      </c>
      <c r="H907" t="inlineStr">
        <is>
          <t>UPI</t>
        </is>
      </c>
      <c r="I907" t="inlineStr">
        <is>
          <t>Success</t>
        </is>
      </c>
      <c r="J907" t="inlineStr">
        <is>
          <t>Delivered</t>
        </is>
      </c>
      <c r="K907" t="n">
        <v>0</v>
      </c>
      <c r="L907" t="n">
        <v>0</v>
      </c>
      <c r="M907" t="inlineStr">
        <is>
          <t>INR</t>
        </is>
      </c>
      <c r="N907" t="inlineStr">
        <is>
          <t>2026-01-09 13:01:14</t>
        </is>
      </c>
    </row>
    <row r="908">
      <c r="A908" t="inlineStr">
        <is>
          <t>TXN00194706</t>
        </is>
      </c>
      <c r="B908" t="inlineStr">
        <is>
          <t>MER00502</t>
        </is>
      </c>
      <c r="C908" s="8" t="n">
        <v>46041</v>
      </c>
      <c r="D908" t="inlineStr">
        <is>
          <t>ORD00194706</t>
        </is>
      </c>
      <c r="E908" t="n">
        <v>505.81</v>
      </c>
      <c r="F908" t="n">
        <v>2.7</v>
      </c>
      <c r="G908" t="n">
        <v>13.66</v>
      </c>
      <c r="H908" t="inlineStr">
        <is>
          <t>Card</t>
        </is>
      </c>
      <c r="I908" t="inlineStr">
        <is>
          <t>Success</t>
        </is>
      </c>
      <c r="J908" t="inlineStr">
        <is>
          <t>Delivered</t>
        </is>
      </c>
      <c r="K908" t="n">
        <v>0</v>
      </c>
      <c r="L908" t="n">
        <v>0</v>
      </c>
      <c r="M908" t="inlineStr">
        <is>
          <t>INR</t>
        </is>
      </c>
      <c r="N908" t="inlineStr">
        <is>
          <t>2026-01-19 12:56:53</t>
        </is>
      </c>
    </row>
    <row r="909">
      <c r="A909" t="inlineStr">
        <is>
          <t>TXN00195276</t>
        </is>
      </c>
      <c r="B909" t="inlineStr">
        <is>
          <t>MER00502</t>
        </is>
      </c>
      <c r="C909" s="8" t="n">
        <v>46042</v>
      </c>
      <c r="D909" t="inlineStr">
        <is>
          <t>ORD00195276</t>
        </is>
      </c>
      <c r="E909" t="n">
        <v>916.9299999999999</v>
      </c>
      <c r="F909" t="n">
        <v>2.7</v>
      </c>
      <c r="G909" t="n">
        <v>24.76</v>
      </c>
      <c r="H909" t="inlineStr">
        <is>
          <t>UPI</t>
        </is>
      </c>
      <c r="I909" t="inlineStr">
        <is>
          <t>Failed</t>
        </is>
      </c>
      <c r="J909" t="inlineStr">
        <is>
          <t>Cancelled</t>
        </is>
      </c>
      <c r="K909" t="n">
        <v>0</v>
      </c>
      <c r="L909" t="n">
        <v>176.75</v>
      </c>
      <c r="M909" t="inlineStr">
        <is>
          <t>INR</t>
        </is>
      </c>
      <c r="N909" t="inlineStr">
        <is>
          <t>2026-01-20 01:28:55</t>
        </is>
      </c>
    </row>
    <row r="910">
      <c r="A910" t="inlineStr">
        <is>
          <t>TXN00201136</t>
        </is>
      </c>
      <c r="B910" t="inlineStr">
        <is>
          <t>MER00502</t>
        </is>
      </c>
      <c r="C910" s="8" t="n">
        <v>46055</v>
      </c>
      <c r="D910" t="inlineStr">
        <is>
          <t>ORD00201136</t>
        </is>
      </c>
      <c r="E910" t="n">
        <v>1242.87</v>
      </c>
      <c r="F910" t="n">
        <v>2.7</v>
      </c>
      <c r="G910" t="n">
        <v>33.56</v>
      </c>
      <c r="H910" t="inlineStr">
        <is>
          <t>UPI</t>
        </is>
      </c>
      <c r="I910" t="inlineStr">
        <is>
          <t>Success</t>
        </is>
      </c>
      <c r="J910" t="inlineStr">
        <is>
          <t>Delivered</t>
        </is>
      </c>
      <c r="K910" t="n">
        <v>0</v>
      </c>
      <c r="L910" t="n">
        <v>0</v>
      </c>
      <c r="M910" t="inlineStr">
        <is>
          <t>INR</t>
        </is>
      </c>
      <c r="N910" t="inlineStr">
        <is>
          <t>2026-02-02 00:51:40</t>
        </is>
      </c>
    </row>
    <row r="911">
      <c r="A911" t="inlineStr">
        <is>
          <t>TXN00217515</t>
        </is>
      </c>
      <c r="B911" t="inlineStr">
        <is>
          <t>MER00502</t>
        </is>
      </c>
      <c r="C911" s="8" t="n">
        <v>46097</v>
      </c>
      <c r="D911" t="inlineStr">
        <is>
          <t>ORD00217515</t>
        </is>
      </c>
      <c r="E911" t="n">
        <v>1336.24</v>
      </c>
      <c r="F911" t="n">
        <v>2.7</v>
      </c>
      <c r="G911" t="n">
        <v>36.08</v>
      </c>
      <c r="H911" t="inlineStr">
        <is>
          <t>UPI</t>
        </is>
      </c>
      <c r="I911" t="inlineStr">
        <is>
          <t>Success</t>
        </is>
      </c>
      <c r="J911" t="inlineStr">
        <is>
          <t>Delivered</t>
        </is>
      </c>
      <c r="K911" t="n">
        <v>0</v>
      </c>
      <c r="L911" t="n">
        <v>0</v>
      </c>
      <c r="M911" t="inlineStr">
        <is>
          <t>INR</t>
        </is>
      </c>
      <c r="N911" t="inlineStr">
        <is>
          <t>2026-03-16 16:06:22</t>
        </is>
      </c>
    </row>
    <row r="912">
      <c r="A912" t="inlineStr">
        <is>
          <t>TXN00226264</t>
        </is>
      </c>
      <c r="B912" t="inlineStr">
        <is>
          <t>MER00502</t>
        </is>
      </c>
      <c r="C912" s="8" t="n">
        <v>46121</v>
      </c>
      <c r="D912" t="inlineStr">
        <is>
          <t>ORD00226264</t>
        </is>
      </c>
      <c r="E912" t="n">
        <v>833.78</v>
      </c>
      <c r="F912" t="n">
        <v>2.7</v>
      </c>
      <c r="G912" t="n">
        <v>22.51</v>
      </c>
      <c r="H912" t="inlineStr">
        <is>
          <t>Card</t>
        </is>
      </c>
      <c r="I912" t="inlineStr">
        <is>
          <t>Success</t>
        </is>
      </c>
      <c r="J912" t="inlineStr">
        <is>
          <t>Delivered</t>
        </is>
      </c>
      <c r="K912" t="n">
        <v>0</v>
      </c>
      <c r="L912" t="n">
        <v>0</v>
      </c>
      <c r="M912" t="inlineStr">
        <is>
          <t>INR</t>
        </is>
      </c>
      <c r="N912" t="inlineStr">
        <is>
          <t>2026-04-09 06:42:37</t>
        </is>
      </c>
    </row>
    <row r="913">
      <c r="A913" t="inlineStr">
        <is>
          <t>TXN00231725</t>
        </is>
      </c>
      <c r="B913" t="inlineStr">
        <is>
          <t>MER00502</t>
        </is>
      </c>
      <c r="C913" s="8" t="n">
        <v>46135</v>
      </c>
      <c r="D913" t="inlineStr">
        <is>
          <t>ORD00231725</t>
        </is>
      </c>
      <c r="E913" t="n">
        <v>1052.41</v>
      </c>
      <c r="F913" t="n">
        <v>2.7</v>
      </c>
      <c r="G913" t="n">
        <v>28.42</v>
      </c>
      <c r="H913" t="inlineStr">
        <is>
          <t>UPI</t>
        </is>
      </c>
      <c r="I913" t="inlineStr">
        <is>
          <t>Success</t>
        </is>
      </c>
      <c r="J913" t="inlineStr">
        <is>
          <t>Delivered</t>
        </is>
      </c>
      <c r="K913" t="n">
        <v>0</v>
      </c>
      <c r="L913" t="n">
        <v>123.64</v>
      </c>
      <c r="M913" t="inlineStr">
        <is>
          <t>INR</t>
        </is>
      </c>
      <c r="N913" t="inlineStr">
        <is>
          <t>2026-04-23 01:51:12</t>
        </is>
      </c>
    </row>
    <row r="914">
      <c r="A914" t="inlineStr">
        <is>
          <t>TXN00239138</t>
        </is>
      </c>
      <c r="B914" t="inlineStr">
        <is>
          <t>MER00502</t>
        </is>
      </c>
      <c r="C914" s="8" t="n">
        <v>46154</v>
      </c>
      <c r="D914" t="inlineStr">
        <is>
          <t>ORD00239138</t>
        </is>
      </c>
      <c r="E914" t="n">
        <v>1303.1</v>
      </c>
      <c r="F914" t="n">
        <v>2.7</v>
      </c>
      <c r="G914" t="n">
        <v>35.18</v>
      </c>
      <c r="H914" t="inlineStr">
        <is>
          <t>UPI</t>
        </is>
      </c>
      <c r="I914" t="inlineStr">
        <is>
          <t>Success</t>
        </is>
      </c>
      <c r="J914" t="inlineStr">
        <is>
          <t>Returned</t>
        </is>
      </c>
      <c r="K914" t="n">
        <v>1303.1</v>
      </c>
      <c r="L914" t="n">
        <v>0</v>
      </c>
      <c r="M914" t="inlineStr">
        <is>
          <t>INR</t>
        </is>
      </c>
      <c r="N914" t="inlineStr">
        <is>
          <t>2026-05-12 03:44:38</t>
        </is>
      </c>
    </row>
    <row r="915">
      <c r="A915" t="inlineStr">
        <is>
          <t>TXN00241526</t>
        </is>
      </c>
      <c r="B915" t="inlineStr">
        <is>
          <t>MER00502</t>
        </is>
      </c>
      <c r="C915" s="8" t="n">
        <v>46161</v>
      </c>
      <c r="D915" t="inlineStr">
        <is>
          <t>ORD00241526</t>
        </is>
      </c>
      <c r="E915" t="n">
        <v>454.31</v>
      </c>
      <c r="F915" t="n">
        <v>2.7</v>
      </c>
      <c r="G915" t="n">
        <v>12.27</v>
      </c>
      <c r="H915" t="inlineStr">
        <is>
          <t>UPI</t>
        </is>
      </c>
      <c r="I915" t="inlineStr">
        <is>
          <t>Success</t>
        </is>
      </c>
      <c r="J915" t="inlineStr">
        <is>
          <t>Delivered</t>
        </is>
      </c>
      <c r="K915" t="n">
        <v>0</v>
      </c>
      <c r="L915" t="n">
        <v>57.85</v>
      </c>
      <c r="M915" t="inlineStr">
        <is>
          <t>INR</t>
        </is>
      </c>
      <c r="N915" t="inlineStr">
        <is>
          <t>2026-05-19 05:40:10</t>
        </is>
      </c>
    </row>
    <row r="916">
      <c r="A916" t="inlineStr">
        <is>
          <t>TXN00243324</t>
        </is>
      </c>
      <c r="B916" t="inlineStr">
        <is>
          <t>MER00502</t>
        </is>
      </c>
      <c r="C916" s="8" t="n">
        <v>46165</v>
      </c>
      <c r="D916" t="inlineStr">
        <is>
          <t>ORD00243324</t>
        </is>
      </c>
      <c r="E916" t="n">
        <v>879.3200000000001</v>
      </c>
      <c r="F916" t="n">
        <v>2.7</v>
      </c>
      <c r="G916" t="n">
        <v>23.74</v>
      </c>
      <c r="H916" t="inlineStr">
        <is>
          <t>COD</t>
        </is>
      </c>
      <c r="I916" t="inlineStr">
        <is>
          <t>Success</t>
        </is>
      </c>
      <c r="J916" t="inlineStr">
        <is>
          <t>Returned</t>
        </is>
      </c>
      <c r="K916" t="n">
        <v>487.34</v>
      </c>
      <c r="L916" t="n">
        <v>0</v>
      </c>
      <c r="M916" t="inlineStr">
        <is>
          <t>INR</t>
        </is>
      </c>
      <c r="N916" t="inlineStr">
        <is>
          <t>2026-05-23 05:59:14</t>
        </is>
      </c>
    </row>
    <row r="917">
      <c r="A917" t="inlineStr">
        <is>
          <t>TXN00246244</t>
        </is>
      </c>
      <c r="B917" t="inlineStr">
        <is>
          <t>MER00502</t>
        </is>
      </c>
      <c r="C917" s="8" t="n">
        <v>46173</v>
      </c>
      <c r="D917" t="inlineStr">
        <is>
          <t>ORD00246244</t>
        </is>
      </c>
      <c r="E917" t="n">
        <v>200</v>
      </c>
      <c r="F917" t="n">
        <v>2.7</v>
      </c>
      <c r="G917" t="n">
        <v>5.4</v>
      </c>
      <c r="H917" t="inlineStr">
        <is>
          <t>Wallet</t>
        </is>
      </c>
      <c r="I917" t="inlineStr">
        <is>
          <t>Success</t>
        </is>
      </c>
      <c r="J917" t="inlineStr">
        <is>
          <t>Delivered</t>
        </is>
      </c>
      <c r="K917" t="n">
        <v>0</v>
      </c>
      <c r="L917" t="n">
        <v>0</v>
      </c>
      <c r="M917" t="inlineStr">
        <is>
          <t>INR</t>
        </is>
      </c>
      <c r="N917" t="inlineStr">
        <is>
          <t>2026-05-31 15:43:12</t>
        </is>
      </c>
    </row>
    <row r="918">
      <c r="A918" t="inlineStr">
        <is>
          <t>TXN00256969</t>
        </is>
      </c>
      <c r="B918" t="inlineStr">
        <is>
          <t>MER00502</t>
        </is>
      </c>
      <c r="C918" s="8" t="n">
        <v>46200</v>
      </c>
      <c r="D918" t="inlineStr">
        <is>
          <t>ORD00256969</t>
        </is>
      </c>
      <c r="E918" t="n">
        <v>200</v>
      </c>
      <c r="F918" t="n">
        <v>2.7</v>
      </c>
      <c r="G918" t="n">
        <v>5.4</v>
      </c>
      <c r="H918" t="inlineStr">
        <is>
          <t>UPI</t>
        </is>
      </c>
      <c r="I918" t="inlineStr">
        <is>
          <t>Success</t>
        </is>
      </c>
      <c r="J918" t="inlineStr">
        <is>
          <t>Delivered</t>
        </is>
      </c>
      <c r="K918" t="n">
        <v>0</v>
      </c>
      <c r="L918" t="n">
        <v>0</v>
      </c>
      <c r="M918" t="inlineStr">
        <is>
          <t>INR</t>
        </is>
      </c>
      <c r="N918" t="inlineStr">
        <is>
          <t>2026-06-27 05:15:48</t>
        </is>
      </c>
    </row>
    <row r="919">
      <c r="A919" t="inlineStr">
        <is>
          <t>TXN00268983</t>
        </is>
      </c>
      <c r="B919" t="inlineStr">
        <is>
          <t>MER00502</t>
        </is>
      </c>
      <c r="C919" s="8" t="n">
        <v>46231</v>
      </c>
      <c r="D919" t="inlineStr">
        <is>
          <t>ORD00268983</t>
        </is>
      </c>
      <c r="E919" t="n">
        <v>522.64</v>
      </c>
      <c r="F919" t="n">
        <v>2.7</v>
      </c>
      <c r="G919" t="n">
        <v>14.11</v>
      </c>
      <c r="H919" t="inlineStr">
        <is>
          <t>Card</t>
        </is>
      </c>
      <c r="I919" t="inlineStr">
        <is>
          <t>Failed</t>
        </is>
      </c>
      <c r="J919" t="inlineStr">
        <is>
          <t>Cancelled</t>
        </is>
      </c>
      <c r="K919" t="n">
        <v>0</v>
      </c>
      <c r="L919" t="n">
        <v>0</v>
      </c>
      <c r="M919" t="inlineStr">
        <is>
          <t>INR</t>
        </is>
      </c>
      <c r="N919" t="inlineStr">
        <is>
          <t>2026-07-28 09:07:04</t>
        </is>
      </c>
    </row>
    <row r="920">
      <c r="A920" t="inlineStr">
        <is>
          <t>TXN00269537</t>
        </is>
      </c>
      <c r="B920" t="inlineStr">
        <is>
          <t>MER00502</t>
        </is>
      </c>
      <c r="C920" s="8" t="n">
        <v>46232</v>
      </c>
      <c r="D920" t="inlineStr">
        <is>
          <t>ORD00269537</t>
        </is>
      </c>
      <c r="E920" t="n">
        <v>534.8099999999999</v>
      </c>
      <c r="F920" t="n">
        <v>2.7</v>
      </c>
      <c r="G920" t="n">
        <v>14.44</v>
      </c>
      <c r="H920" t="inlineStr">
        <is>
          <t>UPI</t>
        </is>
      </c>
      <c r="I920" t="inlineStr">
        <is>
          <t>Success</t>
        </is>
      </c>
      <c r="J920" t="inlineStr">
        <is>
          <t>Delivered</t>
        </is>
      </c>
      <c r="K920" t="n">
        <v>0</v>
      </c>
      <c r="L920" t="n">
        <v>94.11</v>
      </c>
      <c r="M920" t="inlineStr">
        <is>
          <t>INR</t>
        </is>
      </c>
      <c r="N920" t="inlineStr">
        <is>
          <t>2026-07-29 01:07:39</t>
        </is>
      </c>
    </row>
    <row r="921">
      <c r="A921" t="inlineStr">
        <is>
          <t>TXN00001931</t>
        </is>
      </c>
      <c r="B921" t="inlineStr">
        <is>
          <t>MER00523</t>
        </is>
      </c>
      <c r="C921" s="8" t="n">
        <v>45513</v>
      </c>
      <c r="D921" t="inlineStr">
        <is>
          <t>ORD00001931</t>
        </is>
      </c>
      <c r="E921" t="n">
        <v>1083.44</v>
      </c>
      <c r="F921" t="n">
        <v>2.05</v>
      </c>
      <c r="G921" t="n">
        <v>22.21</v>
      </c>
      <c r="H921" t="inlineStr">
        <is>
          <t>COD</t>
        </is>
      </c>
      <c r="I921" t="inlineStr">
        <is>
          <t>Success</t>
        </is>
      </c>
      <c r="J921" t="inlineStr">
        <is>
          <t>Delivered</t>
        </is>
      </c>
      <c r="K921" t="n">
        <v>0</v>
      </c>
      <c r="L921" t="n">
        <v>0</v>
      </c>
      <c r="M921" t="inlineStr">
        <is>
          <t>INR</t>
        </is>
      </c>
      <c r="N921" t="inlineStr">
        <is>
          <t>2024-08-09 04:04:52</t>
        </is>
      </c>
    </row>
    <row r="922">
      <c r="A922" t="inlineStr">
        <is>
          <t>TXN00003384</t>
        </is>
      </c>
      <c r="B922" t="inlineStr">
        <is>
          <t>MER00523</t>
        </is>
      </c>
      <c r="C922" s="8" t="n">
        <v>45518</v>
      </c>
      <c r="D922" t="inlineStr">
        <is>
          <t>ORD00003384</t>
        </is>
      </c>
      <c r="E922" t="n">
        <v>1072.37</v>
      </c>
      <c r="F922" t="n">
        <v>1.62</v>
      </c>
      <c r="G922" t="n">
        <v>21.98</v>
      </c>
      <c r="H922" t="inlineStr">
        <is>
          <t>Card</t>
        </is>
      </c>
      <c r="I922" t="inlineStr">
        <is>
          <t>Success</t>
        </is>
      </c>
      <c r="J922" t="inlineStr">
        <is>
          <t>Delivered</t>
        </is>
      </c>
      <c r="K922" t="n">
        <v>0</v>
      </c>
      <c r="L922" t="n">
        <v>0</v>
      </c>
      <c r="M922" t="inlineStr">
        <is>
          <t>INR</t>
        </is>
      </c>
      <c r="N922" t="inlineStr">
        <is>
          <t>2024-08-14 22:20:29</t>
        </is>
      </c>
    </row>
    <row r="923">
      <c r="A923" t="inlineStr">
        <is>
          <t>TXN00005082</t>
        </is>
      </c>
      <c r="B923" t="inlineStr">
        <is>
          <t>MER00523</t>
        </is>
      </c>
      <c r="C923" s="8" t="n">
        <v>45526</v>
      </c>
      <c r="D923" t="inlineStr">
        <is>
          <t>ORD00005082</t>
        </is>
      </c>
      <c r="E923" t="n">
        <v>637.34</v>
      </c>
      <c r="F923" t="n">
        <v>2.05</v>
      </c>
      <c r="G923" t="n">
        <v>13.07</v>
      </c>
      <c r="H923" t="inlineStr">
        <is>
          <t>UPI</t>
        </is>
      </c>
      <c r="I923" t="inlineStr">
        <is>
          <t>Success</t>
        </is>
      </c>
      <c r="J923" t="inlineStr">
        <is>
          <t>Delivered</t>
        </is>
      </c>
      <c r="K923" t="n">
        <v>0</v>
      </c>
      <c r="L923" t="n">
        <v>0</v>
      </c>
      <c r="M923" t="inlineStr">
        <is>
          <t>INR</t>
        </is>
      </c>
      <c r="N923" t="inlineStr">
        <is>
          <t>2024-08-22 13:31:55</t>
        </is>
      </c>
    </row>
    <row r="924">
      <c r="A924" t="inlineStr">
        <is>
          <t>TXN00009534</t>
        </is>
      </c>
      <c r="B924" t="inlineStr">
        <is>
          <t>MER00523</t>
        </is>
      </c>
      <c r="C924" s="8" t="n">
        <v>45543</v>
      </c>
      <c r="D924" t="inlineStr">
        <is>
          <t>ORD00009534</t>
        </is>
      </c>
      <c r="E924" t="n">
        <v>1217.95</v>
      </c>
      <c r="F924" t="n">
        <v>2.05</v>
      </c>
      <c r="G924" t="n">
        <v>24.97</v>
      </c>
      <c r="H924" t="inlineStr">
        <is>
          <t>UPI</t>
        </is>
      </c>
      <c r="I924" t="inlineStr">
        <is>
          <t>Success</t>
        </is>
      </c>
      <c r="J924" t="inlineStr">
        <is>
          <t>Delivered</t>
        </is>
      </c>
      <c r="K924" t="n">
        <v>0</v>
      </c>
      <c r="L924" t="n">
        <v>0</v>
      </c>
      <c r="M924" t="inlineStr">
        <is>
          <t>INR</t>
        </is>
      </c>
      <c r="N924" t="inlineStr">
        <is>
          <t>2024-09-08 21:52:32</t>
        </is>
      </c>
    </row>
    <row r="925">
      <c r="A925" t="inlineStr">
        <is>
          <t>TXN00009920</t>
        </is>
      </c>
      <c r="B925" t="inlineStr">
        <is>
          <t>MER00523</t>
        </is>
      </c>
      <c r="C925" s="8" t="n">
        <v>45544</v>
      </c>
      <c r="D925" t="inlineStr">
        <is>
          <t>ORD00009920</t>
        </is>
      </c>
      <c r="E925" t="n">
        <v>499.72</v>
      </c>
      <c r="F925" t="n">
        <v>2.05</v>
      </c>
      <c r="G925" t="n">
        <v>10.24</v>
      </c>
      <c r="H925" t="inlineStr">
        <is>
          <t>UPI</t>
        </is>
      </c>
      <c r="I925" t="inlineStr">
        <is>
          <t>Success</t>
        </is>
      </c>
      <c r="J925" t="inlineStr">
        <is>
          <t>Returned</t>
        </is>
      </c>
      <c r="K925" t="n">
        <v>339.12</v>
      </c>
      <c r="L925" t="n">
        <v>27.37</v>
      </c>
      <c r="M925" t="inlineStr">
        <is>
          <t>INR</t>
        </is>
      </c>
      <c r="N925" t="inlineStr">
        <is>
          <t>2024-09-09 22:38:06</t>
        </is>
      </c>
    </row>
    <row r="926">
      <c r="A926" t="inlineStr">
        <is>
          <t>TXN00017347</t>
        </is>
      </c>
      <c r="B926" t="inlineStr">
        <is>
          <t>MER00523</t>
        </is>
      </c>
      <c r="C926" s="8" t="n">
        <v>45569</v>
      </c>
      <c r="D926" t="inlineStr">
        <is>
          <t>ORD00017347</t>
        </is>
      </c>
      <c r="E926" t="n">
        <v>1233.62</v>
      </c>
      <c r="F926" t="n">
        <v>2.05</v>
      </c>
      <c r="G926" t="n">
        <v>25.29</v>
      </c>
      <c r="H926" t="inlineStr">
        <is>
          <t>Card</t>
        </is>
      </c>
      <c r="I926" t="inlineStr">
        <is>
          <t>Success</t>
        </is>
      </c>
      <c r="J926" t="inlineStr">
        <is>
          <t>Delivered</t>
        </is>
      </c>
      <c r="K926" t="n">
        <v>0</v>
      </c>
      <c r="L926" t="n">
        <v>0</v>
      </c>
      <c r="M926" t="inlineStr">
        <is>
          <t>INR</t>
        </is>
      </c>
      <c r="N926" t="inlineStr">
        <is>
          <t>2024-10-04 03:40:09</t>
        </is>
      </c>
    </row>
    <row r="927">
      <c r="A927" t="inlineStr">
        <is>
          <t>TXN00020475</t>
        </is>
      </c>
      <c r="B927" t="inlineStr">
        <is>
          <t>MER00523</t>
        </is>
      </c>
      <c r="C927" s="8" t="n">
        <v>45577</v>
      </c>
      <c r="D927" t="inlineStr">
        <is>
          <t>ORD00020475</t>
        </is>
      </c>
      <c r="E927" t="n">
        <v>1189.82</v>
      </c>
      <c r="F927" t="n">
        <v>2.05</v>
      </c>
      <c r="G927" t="n">
        <v>24.39</v>
      </c>
      <c r="H927" t="inlineStr">
        <is>
          <t>UPI</t>
        </is>
      </c>
      <c r="I927" t="inlineStr">
        <is>
          <t>Success</t>
        </is>
      </c>
      <c r="J927" t="inlineStr">
        <is>
          <t>Returned</t>
        </is>
      </c>
      <c r="K927" t="n">
        <v>1189.82</v>
      </c>
      <c r="L927" t="n">
        <v>200.34</v>
      </c>
      <c r="M927" t="inlineStr">
        <is>
          <t>INR</t>
        </is>
      </c>
      <c r="N927" t="inlineStr">
        <is>
          <t>2024-10-12 18:49:55</t>
        </is>
      </c>
    </row>
    <row r="928">
      <c r="A928" t="inlineStr">
        <is>
          <t>TXN00028650</t>
        </is>
      </c>
      <c r="B928" t="inlineStr">
        <is>
          <t>MER00523</t>
        </is>
      </c>
      <c r="C928" s="8" t="n">
        <v>45598</v>
      </c>
      <c r="D928" t="inlineStr">
        <is>
          <t>ORD00028650</t>
        </is>
      </c>
      <c r="E928" t="n">
        <v>1209.63</v>
      </c>
      <c r="F928" t="n">
        <v>2.05</v>
      </c>
      <c r="G928" t="n">
        <v>24.8</v>
      </c>
      <c r="H928" t="inlineStr">
        <is>
          <t>UPI</t>
        </is>
      </c>
      <c r="I928" t="inlineStr">
        <is>
          <t>Success</t>
        </is>
      </c>
      <c r="J928" t="inlineStr">
        <is>
          <t>Delivered</t>
        </is>
      </c>
      <c r="K928" t="n">
        <v>0</v>
      </c>
      <c r="L928" t="n">
        <v>0</v>
      </c>
      <c r="M928" t="inlineStr">
        <is>
          <t>INR</t>
        </is>
      </c>
      <c r="N928" t="inlineStr">
        <is>
          <t>2024-11-02 11:42:59</t>
        </is>
      </c>
    </row>
    <row r="929">
      <c r="A929" t="inlineStr">
        <is>
          <t>TXN00031191</t>
        </is>
      </c>
      <c r="B929" t="inlineStr">
        <is>
          <t>MER00523</t>
        </is>
      </c>
      <c r="C929" s="8" t="n">
        <v>45604</v>
      </c>
      <c r="D929" t="inlineStr">
        <is>
          <t>ORD00031191</t>
        </is>
      </c>
      <c r="E929" t="n">
        <v>1222.68</v>
      </c>
      <c r="F929" t="n">
        <v>2.05</v>
      </c>
      <c r="G929" t="n">
        <v>25.06</v>
      </c>
      <c r="H929" t="inlineStr">
        <is>
          <t>UPI</t>
        </is>
      </c>
      <c r="I929" t="inlineStr">
        <is>
          <t>Success</t>
        </is>
      </c>
      <c r="J929" t="inlineStr">
        <is>
          <t>Delivered</t>
        </is>
      </c>
      <c r="K929" t="n">
        <v>0</v>
      </c>
      <c r="L929" t="n">
        <v>0</v>
      </c>
      <c r="M929" t="inlineStr">
        <is>
          <t>INR</t>
        </is>
      </c>
      <c r="N929" t="inlineStr">
        <is>
          <t>2024-11-08 14:48:35</t>
        </is>
      </c>
    </row>
    <row r="930">
      <c r="A930" t="inlineStr">
        <is>
          <t>TXN00032866</t>
        </is>
      </c>
      <c r="B930" t="inlineStr">
        <is>
          <t>MER00523</t>
        </is>
      </c>
      <c r="C930" s="8" t="n">
        <v>45607</v>
      </c>
      <c r="D930" t="inlineStr">
        <is>
          <t>ORD00032866</t>
        </is>
      </c>
      <c r="E930" t="n">
        <v>1075.94</v>
      </c>
      <c r="F930" t="n">
        <v>2.05</v>
      </c>
      <c r="G930" t="n">
        <v>22.06</v>
      </c>
      <c r="H930" t="inlineStr">
        <is>
          <t>UPI</t>
        </is>
      </c>
      <c r="I930" t="inlineStr">
        <is>
          <t>Success</t>
        </is>
      </c>
      <c r="J930" t="inlineStr">
        <is>
          <t>Delivered</t>
        </is>
      </c>
      <c r="K930" t="n">
        <v>0</v>
      </c>
      <c r="L930" t="n">
        <v>0</v>
      </c>
      <c r="M930" t="inlineStr">
        <is>
          <t>INR</t>
        </is>
      </c>
      <c r="N930" t="inlineStr">
        <is>
          <t>2024-11-11 22:51:17</t>
        </is>
      </c>
    </row>
    <row r="931">
      <c r="A931" t="inlineStr">
        <is>
          <t>TXN00037735</t>
        </is>
      </c>
      <c r="B931" t="inlineStr">
        <is>
          <t>MER00523</t>
        </is>
      </c>
      <c r="C931" s="8" t="n">
        <v>45618</v>
      </c>
      <c r="D931" t="inlineStr">
        <is>
          <t>ORD00037735</t>
        </is>
      </c>
      <c r="E931" t="n">
        <v>674.9299999999999</v>
      </c>
      <c r="F931" t="n">
        <v>2.05</v>
      </c>
      <c r="G931" t="n">
        <v>13.84</v>
      </c>
      <c r="H931" t="inlineStr">
        <is>
          <t>UPI</t>
        </is>
      </c>
      <c r="I931" t="inlineStr">
        <is>
          <t>Success</t>
        </is>
      </c>
      <c r="J931" t="inlineStr">
        <is>
          <t>Delivered</t>
        </is>
      </c>
      <c r="K931" t="n">
        <v>0</v>
      </c>
      <c r="L931" t="n">
        <v>84.42</v>
      </c>
      <c r="M931" t="inlineStr">
        <is>
          <t>INR</t>
        </is>
      </c>
      <c r="N931" t="inlineStr">
        <is>
          <t>2024-11-22 22:01:12</t>
        </is>
      </c>
    </row>
    <row r="932">
      <c r="A932" t="inlineStr">
        <is>
          <t>TXN00038226</t>
        </is>
      </c>
      <c r="B932" t="inlineStr">
        <is>
          <t>MER00523</t>
        </is>
      </c>
      <c r="C932" s="8" t="n">
        <v>45619</v>
      </c>
      <c r="D932" t="inlineStr">
        <is>
          <t>ORD00038226</t>
        </is>
      </c>
      <c r="E932" t="n">
        <v>550</v>
      </c>
      <c r="F932" t="n">
        <v>2.05</v>
      </c>
      <c r="G932" t="n">
        <v>11.28</v>
      </c>
      <c r="H932" t="inlineStr">
        <is>
          <t>UPI</t>
        </is>
      </c>
      <c r="I932" t="inlineStr">
        <is>
          <t>Success</t>
        </is>
      </c>
      <c r="J932" t="inlineStr">
        <is>
          <t>Delivered</t>
        </is>
      </c>
      <c r="K932" t="n">
        <v>0</v>
      </c>
      <c r="L932" t="n">
        <v>79.5</v>
      </c>
      <c r="M932" t="inlineStr">
        <is>
          <t>INR</t>
        </is>
      </c>
      <c r="N932" t="inlineStr">
        <is>
          <t>2024-11-23 23:33:31</t>
        </is>
      </c>
    </row>
    <row r="933">
      <c r="A933" t="inlineStr">
        <is>
          <t>TXN00042725</t>
        </is>
      </c>
      <c r="B933" t="inlineStr">
        <is>
          <t>MER00523</t>
        </is>
      </c>
      <c r="C933" s="8" t="n">
        <v>45630</v>
      </c>
      <c r="D933" t="inlineStr">
        <is>
          <t>ORD00042725</t>
        </is>
      </c>
      <c r="E933" t="n">
        <v>1367.02</v>
      </c>
      <c r="F933" t="n">
        <v>2.05</v>
      </c>
      <c r="G933" t="n">
        <v>28.02</v>
      </c>
      <c r="H933" t="inlineStr">
        <is>
          <t>UPI</t>
        </is>
      </c>
      <c r="I933" t="inlineStr">
        <is>
          <t>Success</t>
        </is>
      </c>
      <c r="J933" t="inlineStr">
        <is>
          <t>Delivered</t>
        </is>
      </c>
      <c r="K933" t="n">
        <v>0</v>
      </c>
      <c r="L933" t="n">
        <v>0</v>
      </c>
      <c r="M933" t="inlineStr">
        <is>
          <t>INR</t>
        </is>
      </c>
      <c r="N933" t="inlineStr">
        <is>
          <t>2024-12-04 16:38:36</t>
        </is>
      </c>
    </row>
    <row r="934">
      <c r="A934" t="inlineStr">
        <is>
          <t>TXN00045019</t>
        </is>
      </c>
      <c r="B934" t="inlineStr">
        <is>
          <t>MER00523</t>
        </is>
      </c>
      <c r="C934" s="8" t="n">
        <v>45637</v>
      </c>
      <c r="D934" t="inlineStr">
        <is>
          <t>ORD00045019</t>
        </is>
      </c>
      <c r="E934" t="n">
        <v>541.25</v>
      </c>
      <c r="F934" t="n">
        <v>2.05</v>
      </c>
      <c r="G934" t="n">
        <v>11.1</v>
      </c>
      <c r="H934" t="inlineStr">
        <is>
          <t>Wallet</t>
        </is>
      </c>
      <c r="I934" t="inlineStr">
        <is>
          <t>Success</t>
        </is>
      </c>
      <c r="J934" t="inlineStr">
        <is>
          <t>Returned</t>
        </is>
      </c>
      <c r="K934" t="n">
        <v>541.25</v>
      </c>
      <c r="L934" t="n">
        <v>0</v>
      </c>
      <c r="M934" t="inlineStr">
        <is>
          <t>INR</t>
        </is>
      </c>
      <c r="N934" t="inlineStr">
        <is>
          <t>2024-12-11 23:58:17</t>
        </is>
      </c>
    </row>
    <row r="935">
      <c r="A935" t="inlineStr">
        <is>
          <t>TXN00048026</t>
        </is>
      </c>
      <c r="B935" t="inlineStr">
        <is>
          <t>MER00523</t>
        </is>
      </c>
      <c r="C935" s="8" t="n">
        <v>45647</v>
      </c>
      <c r="D935" t="inlineStr">
        <is>
          <t>ORD00048026</t>
        </is>
      </c>
      <c r="E935" t="n">
        <v>680.84</v>
      </c>
      <c r="F935" t="n">
        <v>2.05</v>
      </c>
      <c r="G935" t="n">
        <v>13.96</v>
      </c>
      <c r="H935" t="inlineStr">
        <is>
          <t>Wallet</t>
        </is>
      </c>
      <c r="I935" t="inlineStr">
        <is>
          <t>Success</t>
        </is>
      </c>
      <c r="J935" t="inlineStr">
        <is>
          <t>Delivered</t>
        </is>
      </c>
      <c r="K935" t="n">
        <v>0</v>
      </c>
      <c r="L935" t="n">
        <v>0</v>
      </c>
      <c r="M935" t="inlineStr">
        <is>
          <t>INR</t>
        </is>
      </c>
      <c r="N935" t="inlineStr">
        <is>
          <t>2024-12-21 17:13:30</t>
        </is>
      </c>
    </row>
    <row r="936">
      <c r="A936" t="inlineStr">
        <is>
          <t>TXN00049128</t>
        </is>
      </c>
      <c r="B936" t="inlineStr">
        <is>
          <t>MER00523</t>
        </is>
      </c>
      <c r="C936" s="8" t="n">
        <v>45651</v>
      </c>
      <c r="D936" t="inlineStr">
        <is>
          <t>ORD00049128</t>
        </is>
      </c>
      <c r="E936" t="n">
        <v>1791.49</v>
      </c>
      <c r="F936" t="n">
        <v>1.49</v>
      </c>
      <c r="G936" t="n">
        <v>36.73</v>
      </c>
      <c r="H936" t="inlineStr">
        <is>
          <t>NetBanking</t>
        </is>
      </c>
      <c r="I936" t="inlineStr">
        <is>
          <t>Success</t>
        </is>
      </c>
      <c r="J936" t="inlineStr">
        <is>
          <t>Delivered</t>
        </is>
      </c>
      <c r="K936" t="n">
        <v>0</v>
      </c>
      <c r="L936" t="n">
        <v>0</v>
      </c>
      <c r="M936" t="inlineStr">
        <is>
          <t>INR</t>
        </is>
      </c>
      <c r="N936" t="inlineStr">
        <is>
          <t>2024-12-25 14:17:14</t>
        </is>
      </c>
    </row>
    <row r="937">
      <c r="A937" t="inlineStr">
        <is>
          <t>TXN00056314</t>
        </is>
      </c>
      <c r="B937" t="inlineStr">
        <is>
          <t>MER00523</t>
        </is>
      </c>
      <c r="C937" s="8" t="n">
        <v>45671</v>
      </c>
      <c r="D937" t="inlineStr">
        <is>
          <t>ORD00056314</t>
        </is>
      </c>
      <c r="E937" t="n">
        <v>1836.17</v>
      </c>
      <c r="F937" t="n">
        <v>2.05</v>
      </c>
      <c r="G937" t="n">
        <v>37.64</v>
      </c>
      <c r="H937" t="inlineStr">
        <is>
          <t>UPI</t>
        </is>
      </c>
      <c r="I937" t="inlineStr">
        <is>
          <t>Success</t>
        </is>
      </c>
      <c r="J937" t="inlineStr">
        <is>
          <t>Delivered</t>
        </is>
      </c>
      <c r="K937" t="n">
        <v>0</v>
      </c>
      <c r="L937" t="n">
        <v>0</v>
      </c>
      <c r="M937" t="inlineStr">
        <is>
          <t>INR</t>
        </is>
      </c>
      <c r="N937" t="inlineStr">
        <is>
          <t>2025-01-14 15:26:08</t>
        </is>
      </c>
    </row>
    <row r="938">
      <c r="A938" t="inlineStr">
        <is>
          <t>TXN00058874</t>
        </is>
      </c>
      <c r="B938" t="inlineStr">
        <is>
          <t>MER00523</t>
        </is>
      </c>
      <c r="C938" s="8" t="n">
        <v>45678</v>
      </c>
      <c r="D938" t="inlineStr">
        <is>
          <t>ORD00058874</t>
        </is>
      </c>
      <c r="E938" t="n">
        <v>1334.39</v>
      </c>
      <c r="F938" t="n">
        <v>2.05</v>
      </c>
      <c r="G938" t="n">
        <v>27.35</v>
      </c>
      <c r="H938" t="inlineStr">
        <is>
          <t>Card</t>
        </is>
      </c>
      <c r="I938" t="inlineStr">
        <is>
          <t>Success</t>
        </is>
      </c>
      <c r="J938" t="inlineStr">
        <is>
          <t>Delivered</t>
        </is>
      </c>
      <c r="K938" t="n">
        <v>0</v>
      </c>
      <c r="L938" t="n">
        <v>0</v>
      </c>
      <c r="M938" t="inlineStr">
        <is>
          <t>INR</t>
        </is>
      </c>
      <c r="N938" t="inlineStr">
        <is>
          <t>2025-01-21 09:13:06</t>
        </is>
      </c>
    </row>
    <row r="939">
      <c r="A939" t="inlineStr">
        <is>
          <t>TXN00060170</t>
        </is>
      </c>
      <c r="B939" t="inlineStr">
        <is>
          <t>MER00523</t>
        </is>
      </c>
      <c r="C939" s="8" t="n">
        <v>45681</v>
      </c>
      <c r="D939" t="inlineStr">
        <is>
          <t>ORD00060170</t>
        </is>
      </c>
      <c r="E939" t="n">
        <v>1107.71</v>
      </c>
      <c r="F939" t="n">
        <v>2.05</v>
      </c>
      <c r="G939" t="n">
        <v>22.71</v>
      </c>
      <c r="H939" t="inlineStr">
        <is>
          <t>UPI</t>
        </is>
      </c>
      <c r="I939" t="inlineStr">
        <is>
          <t>Success</t>
        </is>
      </c>
      <c r="J939" t="inlineStr">
        <is>
          <t>Cancelled</t>
        </is>
      </c>
      <c r="K939" t="n">
        <v>948.22</v>
      </c>
      <c r="L939" t="n">
        <v>0</v>
      </c>
      <c r="M939" t="inlineStr">
        <is>
          <t>INR</t>
        </is>
      </c>
      <c r="N939" t="inlineStr">
        <is>
          <t>2025-01-24 04:54:07</t>
        </is>
      </c>
    </row>
    <row r="940">
      <c r="A940" t="inlineStr">
        <is>
          <t>TXN00060035</t>
        </is>
      </c>
      <c r="B940" t="inlineStr">
        <is>
          <t>MER00523</t>
        </is>
      </c>
      <c r="C940" s="8" t="n">
        <v>45681</v>
      </c>
      <c r="D940" t="inlineStr">
        <is>
          <t>ORD00060035</t>
        </is>
      </c>
      <c r="E940" t="n">
        <v>369.55</v>
      </c>
      <c r="F940" t="n">
        <v>2.05</v>
      </c>
      <c r="G940" t="n">
        <v>7.58</v>
      </c>
      <c r="H940" t="inlineStr">
        <is>
          <t>Card</t>
        </is>
      </c>
      <c r="I940" t="inlineStr">
        <is>
          <t>Success</t>
        </is>
      </c>
      <c r="J940" t="inlineStr">
        <is>
          <t>Delivered</t>
        </is>
      </c>
      <c r="K940" t="n">
        <v>0</v>
      </c>
      <c r="L940" t="n">
        <v>0</v>
      </c>
      <c r="M940" t="inlineStr">
        <is>
          <t>INR</t>
        </is>
      </c>
      <c r="N940" t="inlineStr">
        <is>
          <t>2025-01-24 03:47:35</t>
        </is>
      </c>
    </row>
    <row r="941">
      <c r="A941" t="inlineStr">
        <is>
          <t>TXN00061764</t>
        </is>
      </c>
      <c r="B941" t="inlineStr">
        <is>
          <t>MER00523</t>
        </is>
      </c>
      <c r="C941" s="8" t="n">
        <v>45685</v>
      </c>
      <c r="D941" t="inlineStr">
        <is>
          <t>ORD00061764</t>
        </is>
      </c>
      <c r="E941" t="n">
        <v>758.62</v>
      </c>
      <c r="F941" t="n">
        <v>2.05</v>
      </c>
      <c r="G941" t="n">
        <v>15.55</v>
      </c>
      <c r="H941" t="inlineStr">
        <is>
          <t>UPI</t>
        </is>
      </c>
      <c r="I941" t="inlineStr">
        <is>
          <t>Success</t>
        </is>
      </c>
      <c r="J941" t="inlineStr">
        <is>
          <t>Delivered</t>
        </is>
      </c>
      <c r="K941" t="n">
        <v>0</v>
      </c>
      <c r="L941" t="n">
        <v>51.95</v>
      </c>
      <c r="M941" t="inlineStr">
        <is>
          <t>INR</t>
        </is>
      </c>
      <c r="N941" t="inlineStr">
        <is>
          <t>2025-01-28 03:42:53</t>
        </is>
      </c>
    </row>
    <row r="942">
      <c r="A942" t="inlineStr">
        <is>
          <t>TXN00071493</t>
        </is>
      </c>
      <c r="B942" t="inlineStr">
        <is>
          <t>MER00523</t>
        </is>
      </c>
      <c r="C942" s="8" t="n">
        <v>45714</v>
      </c>
      <c r="D942" t="inlineStr">
        <is>
          <t>ORD00071493</t>
        </is>
      </c>
      <c r="E942" t="n">
        <v>3738.97</v>
      </c>
      <c r="F942" t="n">
        <v>2.05</v>
      </c>
      <c r="G942" t="n">
        <v>76.65000000000001</v>
      </c>
      <c r="H942" t="inlineStr">
        <is>
          <t>Card</t>
        </is>
      </c>
      <c r="I942" t="inlineStr">
        <is>
          <t>Success</t>
        </is>
      </c>
      <c r="J942" t="inlineStr">
        <is>
          <t>Delivered</t>
        </is>
      </c>
      <c r="K942" t="n">
        <v>0</v>
      </c>
      <c r="L942" t="n">
        <v>0</v>
      </c>
      <c r="M942" t="inlineStr">
        <is>
          <t>INR</t>
        </is>
      </c>
      <c r="N942" t="inlineStr">
        <is>
          <t>2025-02-26 01:58:33</t>
        </is>
      </c>
    </row>
    <row r="943">
      <c r="A943" t="inlineStr">
        <is>
          <t>TXN00073732</t>
        </is>
      </c>
      <c r="B943" t="inlineStr">
        <is>
          <t>MER00523</t>
        </is>
      </c>
      <c r="C943" s="8" t="n">
        <v>45721</v>
      </c>
      <c r="D943" t="inlineStr">
        <is>
          <t>ORD00073732</t>
        </is>
      </c>
      <c r="E943" t="n">
        <v>540.85</v>
      </c>
      <c r="F943" t="n">
        <v>2.05</v>
      </c>
      <c r="G943" t="n">
        <v>11.09</v>
      </c>
      <c r="H943" t="inlineStr">
        <is>
          <t>UPI</t>
        </is>
      </c>
      <c r="I943" t="inlineStr">
        <is>
          <t>Success</t>
        </is>
      </c>
      <c r="J943" t="inlineStr">
        <is>
          <t>Delivered</t>
        </is>
      </c>
      <c r="K943" t="n">
        <v>0</v>
      </c>
      <c r="L943" t="n">
        <v>54.91</v>
      </c>
      <c r="M943" t="inlineStr">
        <is>
          <t>INR</t>
        </is>
      </c>
      <c r="N943" t="inlineStr">
        <is>
          <t>2025-03-05 01:16:01</t>
        </is>
      </c>
    </row>
    <row r="944">
      <c r="A944" t="inlineStr">
        <is>
          <t>TXN00074381</t>
        </is>
      </c>
      <c r="B944" t="inlineStr">
        <is>
          <t>MER00523</t>
        </is>
      </c>
      <c r="C944" s="8" t="n">
        <v>45723</v>
      </c>
      <c r="D944" t="inlineStr">
        <is>
          <t>ORD00074381</t>
        </is>
      </c>
      <c r="E944" t="n">
        <v>1021.76</v>
      </c>
      <c r="F944" t="n">
        <v>2.05</v>
      </c>
      <c r="G944" t="n">
        <v>20.95</v>
      </c>
      <c r="H944" t="inlineStr">
        <is>
          <t>Card</t>
        </is>
      </c>
      <c r="I944" t="inlineStr">
        <is>
          <t>Success</t>
        </is>
      </c>
      <c r="J944" t="inlineStr">
        <is>
          <t>Delivered</t>
        </is>
      </c>
      <c r="K944" t="n">
        <v>0</v>
      </c>
      <c r="L944" t="n">
        <v>0</v>
      </c>
      <c r="M944" t="inlineStr">
        <is>
          <t>INR</t>
        </is>
      </c>
      <c r="N944" t="inlineStr">
        <is>
          <t>2025-03-07 21:49:39</t>
        </is>
      </c>
    </row>
    <row r="945">
      <c r="A945" t="inlineStr">
        <is>
          <t>TXN00074902</t>
        </is>
      </c>
      <c r="B945" t="inlineStr">
        <is>
          <t>MER00523</t>
        </is>
      </c>
      <c r="C945" s="8" t="n">
        <v>45725</v>
      </c>
      <c r="D945" t="inlineStr">
        <is>
          <t>ORD00074902</t>
        </is>
      </c>
      <c r="E945" t="n">
        <v>636.04</v>
      </c>
      <c r="F945" t="n">
        <v>1.36</v>
      </c>
      <c r="G945" t="n">
        <v>13.04</v>
      </c>
      <c r="H945" t="inlineStr">
        <is>
          <t>UPI</t>
        </is>
      </c>
      <c r="I945" t="inlineStr">
        <is>
          <t>Success</t>
        </is>
      </c>
      <c r="J945" t="inlineStr">
        <is>
          <t>Delivered</t>
        </is>
      </c>
      <c r="K945" t="n">
        <v>0</v>
      </c>
      <c r="L945" t="n">
        <v>0</v>
      </c>
      <c r="M945" t="inlineStr">
        <is>
          <t>INR</t>
        </is>
      </c>
      <c r="N945" t="inlineStr">
        <is>
          <t>2025-03-09 00:19:08</t>
        </is>
      </c>
    </row>
    <row r="946">
      <c r="A946" t="inlineStr">
        <is>
          <t>TXN00080173</t>
        </is>
      </c>
      <c r="B946" t="inlineStr">
        <is>
          <t>MER00523</t>
        </is>
      </c>
      <c r="C946" s="8" t="n">
        <v>45741</v>
      </c>
      <c r="D946" t="inlineStr">
        <is>
          <t>ORD00080173</t>
        </is>
      </c>
      <c r="E946" t="n">
        <v>1075.76</v>
      </c>
      <c r="F946" t="n">
        <v>2.05</v>
      </c>
      <c r="G946" t="n">
        <v>22.05</v>
      </c>
      <c r="H946" t="inlineStr">
        <is>
          <t>UPI</t>
        </is>
      </c>
      <c r="I946" t="inlineStr">
        <is>
          <t>Success</t>
        </is>
      </c>
      <c r="J946" t="inlineStr">
        <is>
          <t>Cancelled</t>
        </is>
      </c>
      <c r="K946" t="n">
        <v>1013.98</v>
      </c>
      <c r="L946" t="n">
        <v>130.52</v>
      </c>
      <c r="M946" t="inlineStr">
        <is>
          <t>INR</t>
        </is>
      </c>
      <c r="N946" t="inlineStr">
        <is>
          <t>2025-03-25 04:30:16</t>
        </is>
      </c>
    </row>
    <row r="947">
      <c r="A947" t="inlineStr">
        <is>
          <t>TXN00082662</t>
        </is>
      </c>
      <c r="B947" t="inlineStr">
        <is>
          <t>MER00523</t>
        </is>
      </c>
      <c r="C947" s="8" t="n">
        <v>45749</v>
      </c>
      <c r="D947" t="inlineStr">
        <is>
          <t>ORD00082662</t>
        </is>
      </c>
      <c r="E947" t="n">
        <v>625.67</v>
      </c>
      <c r="F947" t="n">
        <v>2.05</v>
      </c>
      <c r="G947" t="n">
        <v>12.83</v>
      </c>
      <c r="H947" t="inlineStr">
        <is>
          <t>UPI</t>
        </is>
      </c>
      <c r="I947" t="inlineStr">
        <is>
          <t>Success</t>
        </is>
      </c>
      <c r="J947" t="inlineStr">
        <is>
          <t>Delivered</t>
        </is>
      </c>
      <c r="K947" t="n">
        <v>0</v>
      </c>
      <c r="L947" t="n">
        <v>0</v>
      </c>
      <c r="M947" t="inlineStr">
        <is>
          <t>INR</t>
        </is>
      </c>
      <c r="N947" t="inlineStr">
        <is>
          <t>2025-04-02 22:57:37</t>
        </is>
      </c>
    </row>
    <row r="948">
      <c r="A948" t="inlineStr">
        <is>
          <t>TXN00082678</t>
        </is>
      </c>
      <c r="B948" t="inlineStr">
        <is>
          <t>MER00523</t>
        </is>
      </c>
      <c r="C948" s="8" t="n">
        <v>45749</v>
      </c>
      <c r="D948" t="inlineStr">
        <is>
          <t>ORD00082678</t>
        </is>
      </c>
      <c r="E948" t="n">
        <v>963.36</v>
      </c>
      <c r="F948" t="n">
        <v>2.05</v>
      </c>
      <c r="G948" t="n">
        <v>19.75</v>
      </c>
      <c r="H948" t="inlineStr">
        <is>
          <t>Card</t>
        </is>
      </c>
      <c r="I948" t="inlineStr">
        <is>
          <t>Success</t>
        </is>
      </c>
      <c r="J948" t="inlineStr">
        <is>
          <t>Returned</t>
        </is>
      </c>
      <c r="K948" t="n">
        <v>963.36</v>
      </c>
      <c r="L948" t="n">
        <v>0</v>
      </c>
      <c r="M948" t="inlineStr">
        <is>
          <t>INR</t>
        </is>
      </c>
      <c r="N948" t="inlineStr">
        <is>
          <t>2025-04-02 03:57:26</t>
        </is>
      </c>
    </row>
    <row r="949">
      <c r="A949" t="inlineStr">
        <is>
          <t>TXN00087084</t>
        </is>
      </c>
      <c r="B949" t="inlineStr">
        <is>
          <t>MER00523</t>
        </is>
      </c>
      <c r="C949" s="8" t="n">
        <v>45762</v>
      </c>
      <c r="D949" t="inlineStr">
        <is>
          <t>ORD00087084</t>
        </is>
      </c>
      <c r="E949" t="n">
        <v>290.08</v>
      </c>
      <c r="F949" t="n">
        <v>2.05</v>
      </c>
      <c r="G949" t="n">
        <v>5.95</v>
      </c>
      <c r="H949" t="inlineStr">
        <is>
          <t>UPI</t>
        </is>
      </c>
      <c r="I949" t="inlineStr">
        <is>
          <t>Success</t>
        </is>
      </c>
      <c r="J949" t="inlineStr">
        <is>
          <t>Delivered</t>
        </is>
      </c>
      <c r="K949" t="n">
        <v>0</v>
      </c>
      <c r="L949" t="n">
        <v>0</v>
      </c>
      <c r="M949" t="inlineStr">
        <is>
          <t>INR</t>
        </is>
      </c>
      <c r="N949" t="inlineStr">
        <is>
          <t>2025-04-15 13:07:54</t>
        </is>
      </c>
    </row>
    <row r="950">
      <c r="A950" t="inlineStr">
        <is>
          <t>TXN00092095</t>
        </is>
      </c>
      <c r="B950" t="inlineStr">
        <is>
          <t>MER00523</t>
        </is>
      </c>
      <c r="C950" s="8" t="n">
        <v>45778</v>
      </c>
      <c r="D950" t="inlineStr">
        <is>
          <t>ORD00092095</t>
        </is>
      </c>
      <c r="E950" t="n">
        <v>1186.45</v>
      </c>
      <c r="F950" t="n">
        <v>2.05</v>
      </c>
      <c r="G950" t="n">
        <v>24.32</v>
      </c>
      <c r="H950" t="inlineStr">
        <is>
          <t>UPI</t>
        </is>
      </c>
      <c r="I950" t="inlineStr">
        <is>
          <t>Success</t>
        </is>
      </c>
      <c r="J950" t="inlineStr">
        <is>
          <t>Delivered</t>
        </is>
      </c>
      <c r="K950" t="n">
        <v>0</v>
      </c>
      <c r="L950" t="n">
        <v>0</v>
      </c>
      <c r="M950" t="inlineStr">
        <is>
          <t>INR</t>
        </is>
      </c>
      <c r="N950" t="inlineStr">
        <is>
          <t>2025-05-01 08:04:17</t>
        </is>
      </c>
    </row>
    <row r="951">
      <c r="A951" t="inlineStr">
        <is>
          <t>TXN00092781</t>
        </is>
      </c>
      <c r="B951" t="inlineStr">
        <is>
          <t>MER00523</t>
        </is>
      </c>
      <c r="C951" s="8" t="n">
        <v>45780</v>
      </c>
      <c r="D951" t="inlineStr">
        <is>
          <t>ORD00092781</t>
        </is>
      </c>
      <c r="E951" t="n">
        <v>1002.9</v>
      </c>
      <c r="F951" t="n">
        <v>2.05</v>
      </c>
      <c r="G951" t="n">
        <v>20.56</v>
      </c>
      <c r="H951" t="inlineStr">
        <is>
          <t>NetBanking</t>
        </is>
      </c>
      <c r="I951" t="inlineStr">
        <is>
          <t>Success</t>
        </is>
      </c>
      <c r="J951" t="inlineStr">
        <is>
          <t>Delivered</t>
        </is>
      </c>
      <c r="K951" t="n">
        <v>0</v>
      </c>
      <c r="L951" t="n">
        <v>0</v>
      </c>
      <c r="M951" t="inlineStr">
        <is>
          <t>INR</t>
        </is>
      </c>
      <c r="N951" t="inlineStr">
        <is>
          <t>2025-05-03 12:51:04</t>
        </is>
      </c>
    </row>
    <row r="952">
      <c r="A952" t="inlineStr">
        <is>
          <t>TXN00093315</t>
        </is>
      </c>
      <c r="B952" t="inlineStr">
        <is>
          <t>MER00523</t>
        </is>
      </c>
      <c r="C952" s="8" t="n">
        <v>45781</v>
      </c>
      <c r="D952" t="inlineStr">
        <is>
          <t>ORD00093315</t>
        </is>
      </c>
      <c r="E952" t="n">
        <v>956.29</v>
      </c>
      <c r="F952" t="n">
        <v>2.05</v>
      </c>
      <c r="G952" t="n">
        <v>19.6</v>
      </c>
      <c r="H952" t="inlineStr">
        <is>
          <t>Wallet</t>
        </is>
      </c>
      <c r="I952" t="inlineStr">
        <is>
          <t>Success</t>
        </is>
      </c>
      <c r="J952" t="inlineStr">
        <is>
          <t>Delivered</t>
        </is>
      </c>
      <c r="K952" t="n">
        <v>0</v>
      </c>
      <c r="L952" t="n">
        <v>0</v>
      </c>
      <c r="M952" t="inlineStr">
        <is>
          <t>INR</t>
        </is>
      </c>
      <c r="N952" t="inlineStr">
        <is>
          <t>2025-05-04 10:24:37</t>
        </is>
      </c>
    </row>
    <row r="953">
      <c r="A953" t="inlineStr">
        <is>
          <t>TXN00095746</t>
        </is>
      </c>
      <c r="B953" t="inlineStr">
        <is>
          <t>MER00523</t>
        </is>
      </c>
      <c r="C953" s="8" t="n">
        <v>45789</v>
      </c>
      <c r="D953" t="inlineStr">
        <is>
          <t>ORD00095746</t>
        </is>
      </c>
      <c r="E953" t="n">
        <v>1136.24</v>
      </c>
      <c r="F953" t="n">
        <v>2.05</v>
      </c>
      <c r="G953" t="n">
        <v>23.29</v>
      </c>
      <c r="H953" t="inlineStr">
        <is>
          <t>Card</t>
        </is>
      </c>
      <c r="I953" t="inlineStr">
        <is>
          <t>Success</t>
        </is>
      </c>
      <c r="J953" t="inlineStr">
        <is>
          <t>Delivered</t>
        </is>
      </c>
      <c r="K953" t="n">
        <v>0</v>
      </c>
      <c r="L953" t="n">
        <v>70.19</v>
      </c>
      <c r="M953" t="inlineStr">
        <is>
          <t>INR</t>
        </is>
      </c>
      <c r="N953" t="inlineStr">
        <is>
          <t>2025-05-12 06:48:52</t>
        </is>
      </c>
    </row>
    <row r="954">
      <c r="A954" t="inlineStr">
        <is>
          <t>TXN00101646</t>
        </is>
      </c>
      <c r="B954" t="inlineStr">
        <is>
          <t>MER00523</t>
        </is>
      </c>
      <c r="C954" s="8" t="n">
        <v>45807</v>
      </c>
      <c r="D954" t="inlineStr">
        <is>
          <t>ORD00101646</t>
        </is>
      </c>
      <c r="E954" t="n">
        <v>1103.74</v>
      </c>
      <c r="F954" t="n">
        <v>2.05</v>
      </c>
      <c r="G954" t="n">
        <v>22.63</v>
      </c>
      <c r="H954" t="inlineStr">
        <is>
          <t>UPI</t>
        </is>
      </c>
      <c r="I954" t="inlineStr">
        <is>
          <t>Success</t>
        </is>
      </c>
      <c r="J954" t="inlineStr">
        <is>
          <t>Delivered</t>
        </is>
      </c>
      <c r="K954" t="n">
        <v>0</v>
      </c>
      <c r="L954" t="n">
        <v>0</v>
      </c>
      <c r="M954" t="inlineStr">
        <is>
          <t>INR</t>
        </is>
      </c>
      <c r="N954" t="inlineStr">
        <is>
          <t>2025-05-30 01:35:23</t>
        </is>
      </c>
    </row>
    <row r="955">
      <c r="A955" t="inlineStr">
        <is>
          <t>TXN00102743</t>
        </is>
      </c>
      <c r="B955" t="inlineStr">
        <is>
          <t>MER00523</t>
        </is>
      </c>
      <c r="C955" s="8" t="n">
        <v>45810</v>
      </c>
      <c r="D955" t="inlineStr">
        <is>
          <t>ORD00102743</t>
        </is>
      </c>
      <c r="E955" t="n">
        <v>1462.14</v>
      </c>
      <c r="F955" t="n">
        <v>2.05</v>
      </c>
      <c r="G955" t="n">
        <v>29.97</v>
      </c>
      <c r="H955" t="inlineStr">
        <is>
          <t>Wallet</t>
        </is>
      </c>
      <c r="I955" t="inlineStr">
        <is>
          <t>Success</t>
        </is>
      </c>
      <c r="J955" t="inlineStr">
        <is>
          <t>Returned</t>
        </is>
      </c>
      <c r="K955" t="n">
        <v>1051.49</v>
      </c>
      <c r="L955" t="n">
        <v>0</v>
      </c>
      <c r="M955" t="inlineStr">
        <is>
          <t>INR</t>
        </is>
      </c>
      <c r="N955" t="inlineStr">
        <is>
          <t>2025-06-02 10:32:03</t>
        </is>
      </c>
    </row>
    <row r="956">
      <c r="A956" t="inlineStr">
        <is>
          <t>TXN00110522</t>
        </is>
      </c>
      <c r="B956" t="inlineStr">
        <is>
          <t>MER00523</t>
        </is>
      </c>
      <c r="C956" s="8" t="n">
        <v>45833</v>
      </c>
      <c r="D956" t="inlineStr">
        <is>
          <t>ORD00110522</t>
        </is>
      </c>
      <c r="E956" t="n">
        <v>1129.5</v>
      </c>
      <c r="F956" t="n">
        <v>2.05</v>
      </c>
      <c r="G956" t="n">
        <v>23.15</v>
      </c>
      <c r="H956" t="inlineStr">
        <is>
          <t>UPI</t>
        </is>
      </c>
      <c r="I956" t="inlineStr">
        <is>
          <t>Success</t>
        </is>
      </c>
      <c r="J956" t="inlineStr">
        <is>
          <t>Delivered</t>
        </is>
      </c>
      <c r="K956" t="n">
        <v>0</v>
      </c>
      <c r="L956" t="n">
        <v>0</v>
      </c>
      <c r="M956" t="inlineStr">
        <is>
          <t>INR</t>
        </is>
      </c>
      <c r="N956" t="inlineStr">
        <is>
          <t>2025-06-25 05:26:13</t>
        </is>
      </c>
    </row>
    <row r="957">
      <c r="A957" t="inlineStr">
        <is>
          <t>TXN00115383</t>
        </is>
      </c>
      <c r="B957" t="inlineStr">
        <is>
          <t>MER00523</t>
        </is>
      </c>
      <c r="C957" s="8" t="n">
        <v>45848</v>
      </c>
      <c r="D957" t="inlineStr">
        <is>
          <t>ORD00115383</t>
        </is>
      </c>
      <c r="E957" t="n">
        <v>2857.82</v>
      </c>
      <c r="F957" t="n">
        <v>1.86</v>
      </c>
      <c r="G957" t="n">
        <v>53.16</v>
      </c>
      <c r="H957" t="inlineStr">
        <is>
          <t>Card</t>
        </is>
      </c>
      <c r="I957" t="inlineStr">
        <is>
          <t>Success</t>
        </is>
      </c>
      <c r="J957" t="inlineStr">
        <is>
          <t>Returned</t>
        </is>
      </c>
      <c r="K957" t="n">
        <v>2857.82</v>
      </c>
      <c r="L957" t="n">
        <v>0</v>
      </c>
      <c r="M957" t="inlineStr">
        <is>
          <t>INR</t>
        </is>
      </c>
      <c r="N957" t="inlineStr">
        <is>
          <t>2025-07-10 12:50:14</t>
        </is>
      </c>
    </row>
    <row r="958">
      <c r="A958" t="inlineStr">
        <is>
          <t>TXN00118556</t>
        </is>
      </c>
      <c r="B958" t="inlineStr">
        <is>
          <t>MER00523</t>
        </is>
      </c>
      <c r="C958" s="8" t="n">
        <v>45857</v>
      </c>
      <c r="D958" t="inlineStr">
        <is>
          <t>ORD00118556</t>
        </is>
      </c>
      <c r="E958" t="n">
        <v>550.75</v>
      </c>
      <c r="F958" t="n">
        <v>1.86</v>
      </c>
      <c r="G958" t="n">
        <v>10.24</v>
      </c>
      <c r="H958" t="inlineStr">
        <is>
          <t>Card</t>
        </is>
      </c>
      <c r="I958" t="inlineStr">
        <is>
          <t>Success</t>
        </is>
      </c>
      <c r="J958" t="inlineStr">
        <is>
          <t>Delivered</t>
        </is>
      </c>
      <c r="K958" t="n">
        <v>0</v>
      </c>
      <c r="L958" t="n">
        <v>58.75</v>
      </c>
      <c r="M958" t="inlineStr">
        <is>
          <t>INR</t>
        </is>
      </c>
      <c r="N958" t="inlineStr">
        <is>
          <t>2025-07-19 17:57:01</t>
        </is>
      </c>
    </row>
    <row r="959">
      <c r="A959" t="inlineStr">
        <is>
          <t>TXN00119887</t>
        </is>
      </c>
      <c r="B959" t="inlineStr">
        <is>
          <t>MER00523</t>
        </is>
      </c>
      <c r="C959" s="8" t="n">
        <v>45861</v>
      </c>
      <c r="D959" t="inlineStr">
        <is>
          <t>ORD00119887</t>
        </is>
      </c>
      <c r="E959" t="n">
        <v>584.77</v>
      </c>
      <c r="F959" t="n">
        <v>1.86</v>
      </c>
      <c r="G959" t="n">
        <v>10.88</v>
      </c>
      <c r="H959" t="inlineStr">
        <is>
          <t>Wallet</t>
        </is>
      </c>
      <c r="I959" t="inlineStr">
        <is>
          <t>Success</t>
        </is>
      </c>
      <c r="J959" t="inlineStr">
        <is>
          <t>Delivered</t>
        </is>
      </c>
      <c r="K959" t="n">
        <v>0</v>
      </c>
      <c r="L959" t="n">
        <v>0</v>
      </c>
      <c r="M959" t="inlineStr">
        <is>
          <t>INR</t>
        </is>
      </c>
      <c r="N959" t="inlineStr">
        <is>
          <t>2025-07-23 13:48:31</t>
        </is>
      </c>
    </row>
    <row r="960">
      <c r="A960" t="inlineStr">
        <is>
          <t>TXN00123632</t>
        </is>
      </c>
      <c r="B960" t="inlineStr">
        <is>
          <t>MER00523</t>
        </is>
      </c>
      <c r="C960" s="8" t="n">
        <v>45872</v>
      </c>
      <c r="D960" t="inlineStr">
        <is>
          <t>ORD00123632</t>
        </is>
      </c>
      <c r="E960" t="n">
        <v>1675.16</v>
      </c>
      <c r="F960" t="n">
        <v>1.86</v>
      </c>
      <c r="G960" t="n">
        <v>31.16</v>
      </c>
      <c r="H960" t="inlineStr">
        <is>
          <t>Card</t>
        </is>
      </c>
      <c r="I960" t="inlineStr">
        <is>
          <t>Success</t>
        </is>
      </c>
      <c r="J960" t="inlineStr">
        <is>
          <t>Delivered</t>
        </is>
      </c>
      <c r="K960" t="n">
        <v>0</v>
      </c>
      <c r="L960" t="n">
        <v>0</v>
      </c>
      <c r="M960" t="inlineStr">
        <is>
          <t>INR</t>
        </is>
      </c>
      <c r="N960" t="inlineStr">
        <is>
          <t>2025-08-03 10:57:23</t>
        </is>
      </c>
    </row>
    <row r="961">
      <c r="A961" t="inlineStr">
        <is>
          <t>TXN00127733</t>
        </is>
      </c>
      <c r="B961" t="inlineStr">
        <is>
          <t>MER00523</t>
        </is>
      </c>
      <c r="C961" s="8" t="n">
        <v>45884</v>
      </c>
      <c r="D961" t="inlineStr">
        <is>
          <t>ORD00127733</t>
        </is>
      </c>
      <c r="E961" t="n">
        <v>1952.76</v>
      </c>
      <c r="F961" t="n">
        <v>1.86</v>
      </c>
      <c r="G961" t="n">
        <v>36.32</v>
      </c>
      <c r="H961" t="inlineStr">
        <is>
          <t>UPI</t>
        </is>
      </c>
      <c r="I961" t="inlineStr">
        <is>
          <t>Success</t>
        </is>
      </c>
      <c r="J961" t="inlineStr">
        <is>
          <t>Delivered</t>
        </is>
      </c>
      <c r="K961" t="n">
        <v>0</v>
      </c>
      <c r="L961" t="n">
        <v>0</v>
      </c>
      <c r="M961" t="inlineStr">
        <is>
          <t>INR</t>
        </is>
      </c>
      <c r="N961" t="inlineStr">
        <is>
          <t>2025-08-15 22:50:34</t>
        </is>
      </c>
    </row>
    <row r="962">
      <c r="A962" t="inlineStr">
        <is>
          <t>TXN00128537</t>
        </is>
      </c>
      <c r="B962" t="inlineStr">
        <is>
          <t>MER00523</t>
        </is>
      </c>
      <c r="C962" s="8" t="n">
        <v>45887</v>
      </c>
      <c r="D962" t="inlineStr">
        <is>
          <t>ORD00128537</t>
        </is>
      </c>
      <c r="E962" t="n">
        <v>354.48</v>
      </c>
      <c r="F962" t="n">
        <v>1.86</v>
      </c>
      <c r="G962" t="n">
        <v>6.59</v>
      </c>
      <c r="H962" t="inlineStr">
        <is>
          <t>UPI</t>
        </is>
      </c>
      <c r="I962" t="inlineStr">
        <is>
          <t>Success</t>
        </is>
      </c>
      <c r="J962" t="inlineStr">
        <is>
          <t>Delivered</t>
        </is>
      </c>
      <c r="K962" t="n">
        <v>0</v>
      </c>
      <c r="L962" t="n">
        <v>0</v>
      </c>
      <c r="M962" t="inlineStr">
        <is>
          <t>INR</t>
        </is>
      </c>
      <c r="N962" t="inlineStr">
        <is>
          <t>2025-08-18 13:35:08</t>
        </is>
      </c>
    </row>
    <row r="963">
      <c r="A963" t="inlineStr">
        <is>
          <t>TXN00128779</t>
        </is>
      </c>
      <c r="B963" t="inlineStr">
        <is>
          <t>MER00523</t>
        </is>
      </c>
      <c r="C963" s="8" t="n">
        <v>45888</v>
      </c>
      <c r="D963" t="inlineStr">
        <is>
          <t>ORD00128779</t>
        </is>
      </c>
      <c r="E963" t="n">
        <v>410.5</v>
      </c>
      <c r="F963" t="n">
        <v>1.86</v>
      </c>
      <c r="G963" t="n">
        <v>7.64</v>
      </c>
      <c r="H963" t="inlineStr">
        <is>
          <t>COD</t>
        </is>
      </c>
      <c r="I963" t="inlineStr">
        <is>
          <t>Success</t>
        </is>
      </c>
      <c r="J963" t="inlineStr">
        <is>
          <t>Delivered</t>
        </is>
      </c>
      <c r="K963" t="n">
        <v>0</v>
      </c>
      <c r="L963" t="n">
        <v>0</v>
      </c>
      <c r="M963" t="inlineStr">
        <is>
          <t>INR</t>
        </is>
      </c>
      <c r="N963" t="inlineStr">
        <is>
          <t>2025-08-19 23:01:24</t>
        </is>
      </c>
    </row>
    <row r="964">
      <c r="A964" t="inlineStr">
        <is>
          <t>TXN00132347</t>
        </is>
      </c>
      <c r="B964" t="inlineStr">
        <is>
          <t>MER00523</t>
        </is>
      </c>
      <c r="C964" s="8" t="n">
        <v>45899</v>
      </c>
      <c r="D964" t="inlineStr">
        <is>
          <t>ORD00132347</t>
        </is>
      </c>
      <c r="E964" t="n">
        <v>715.24</v>
      </c>
      <c r="F964" t="n">
        <v>1.86</v>
      </c>
      <c r="G964" t="n">
        <v>13.3</v>
      </c>
      <c r="H964" t="inlineStr">
        <is>
          <t>Card</t>
        </is>
      </c>
      <c r="I964" t="inlineStr">
        <is>
          <t>Success</t>
        </is>
      </c>
      <c r="J964" t="inlineStr">
        <is>
          <t>Delivered</t>
        </is>
      </c>
      <c r="K964" t="n">
        <v>0</v>
      </c>
      <c r="L964" t="n">
        <v>0</v>
      </c>
      <c r="M964" t="inlineStr">
        <is>
          <t>INR</t>
        </is>
      </c>
      <c r="N964" t="inlineStr">
        <is>
          <t>2025-08-30 04:16:54</t>
        </is>
      </c>
    </row>
    <row r="965">
      <c r="A965" t="inlineStr">
        <is>
          <t>TXN00136264</t>
        </is>
      </c>
      <c r="B965" t="inlineStr">
        <is>
          <t>MER00523</t>
        </is>
      </c>
      <c r="C965" s="8" t="n">
        <v>45910</v>
      </c>
      <c r="D965" t="inlineStr">
        <is>
          <t>ORD00136264</t>
        </is>
      </c>
      <c r="E965" t="n">
        <v>646.4299999999999</v>
      </c>
      <c r="F965" t="n">
        <v>1.86</v>
      </c>
      <c r="G965" t="n">
        <v>12.02</v>
      </c>
      <c r="H965" t="inlineStr">
        <is>
          <t>UPI</t>
        </is>
      </c>
      <c r="I965" t="inlineStr">
        <is>
          <t>Success</t>
        </is>
      </c>
      <c r="J965" t="inlineStr">
        <is>
          <t>Delivered</t>
        </is>
      </c>
      <c r="K965" t="n">
        <v>0</v>
      </c>
      <c r="L965" t="n">
        <v>49.82</v>
      </c>
      <c r="M965" t="inlineStr">
        <is>
          <t>INR</t>
        </is>
      </c>
      <c r="N965" t="inlineStr">
        <is>
          <t>2025-09-10 17:14:44</t>
        </is>
      </c>
    </row>
    <row r="966">
      <c r="A966" t="inlineStr">
        <is>
          <t>TXN00136228</t>
        </is>
      </c>
      <c r="B966" t="inlineStr">
        <is>
          <t>MER00523</t>
        </is>
      </c>
      <c r="C966" s="8" t="n">
        <v>45910</v>
      </c>
      <c r="D966" t="inlineStr">
        <is>
          <t>ORD00136228</t>
        </is>
      </c>
      <c r="E966" t="n">
        <v>318.95</v>
      </c>
      <c r="F966" t="n">
        <v>1.86</v>
      </c>
      <c r="G966" t="n">
        <v>5.93</v>
      </c>
      <c r="H966" t="inlineStr">
        <is>
          <t>UPI</t>
        </is>
      </c>
      <c r="I966" t="inlineStr">
        <is>
          <t>Pending</t>
        </is>
      </c>
      <c r="J966" t="inlineStr">
        <is>
          <t>Processing</t>
        </is>
      </c>
      <c r="K966" t="n">
        <v>0</v>
      </c>
      <c r="L966" t="n">
        <v>0</v>
      </c>
      <c r="M966" t="inlineStr">
        <is>
          <t>INR</t>
        </is>
      </c>
      <c r="N966" t="inlineStr">
        <is>
          <t>2025-09-10 03:35:48</t>
        </is>
      </c>
    </row>
    <row r="967">
      <c r="A967" t="inlineStr">
        <is>
          <t>TXN00137275</t>
        </is>
      </c>
      <c r="B967" t="inlineStr">
        <is>
          <t>MER00523</t>
        </is>
      </c>
      <c r="C967" s="8" t="n">
        <v>45913</v>
      </c>
      <c r="D967" t="inlineStr">
        <is>
          <t>ORD00137275</t>
        </is>
      </c>
      <c r="E967" t="n">
        <v>313.86</v>
      </c>
      <c r="F967" t="n">
        <v>1.86</v>
      </c>
      <c r="G967" t="n">
        <v>5.84</v>
      </c>
      <c r="H967" t="inlineStr">
        <is>
          <t>COD</t>
        </is>
      </c>
      <c r="I967" t="inlineStr">
        <is>
          <t>Failed</t>
        </is>
      </c>
      <c r="J967" t="inlineStr">
        <is>
          <t>Processing</t>
        </is>
      </c>
      <c r="K967" t="n">
        <v>0</v>
      </c>
      <c r="L967" t="n">
        <v>0</v>
      </c>
      <c r="M967" t="inlineStr">
        <is>
          <t>INR</t>
        </is>
      </c>
      <c r="N967" t="inlineStr">
        <is>
          <t>2025-09-13 06:35:44</t>
        </is>
      </c>
    </row>
    <row r="968">
      <c r="A968" t="inlineStr">
        <is>
          <t>TXN00139199</t>
        </is>
      </c>
      <c r="B968" t="inlineStr">
        <is>
          <t>MER00523</t>
        </is>
      </c>
      <c r="C968" s="8" t="n">
        <v>45918</v>
      </c>
      <c r="D968" t="inlineStr">
        <is>
          <t>ORD00139199</t>
        </is>
      </c>
      <c r="E968" t="n">
        <v>954.45</v>
      </c>
      <c r="F968" t="n">
        <v>1.86</v>
      </c>
      <c r="G968" t="n">
        <v>17.75</v>
      </c>
      <c r="H968" t="inlineStr">
        <is>
          <t>NetBanking</t>
        </is>
      </c>
      <c r="I968" t="inlineStr">
        <is>
          <t>Success</t>
        </is>
      </c>
      <c r="J968" t="inlineStr">
        <is>
          <t>Delivered</t>
        </is>
      </c>
      <c r="K968" t="n">
        <v>0</v>
      </c>
      <c r="L968" t="n">
        <v>0</v>
      </c>
      <c r="M968" t="inlineStr">
        <is>
          <t>INR</t>
        </is>
      </c>
      <c r="N968" t="inlineStr">
        <is>
          <t>2025-09-18 22:53:41</t>
        </is>
      </c>
    </row>
    <row r="969">
      <c r="A969" t="inlineStr">
        <is>
          <t>TXN00145153</t>
        </is>
      </c>
      <c r="B969" t="inlineStr">
        <is>
          <t>MER00523</t>
        </is>
      </c>
      <c r="C969" s="8" t="n">
        <v>45934</v>
      </c>
      <c r="D969" t="inlineStr">
        <is>
          <t>ORD00145153</t>
        </is>
      </c>
      <c r="E969" t="n">
        <v>1069.85</v>
      </c>
      <c r="F969" t="n">
        <v>1.86</v>
      </c>
      <c r="G969" t="n">
        <v>19.9</v>
      </c>
      <c r="H969" t="inlineStr">
        <is>
          <t>Card</t>
        </is>
      </c>
      <c r="I969" t="inlineStr">
        <is>
          <t>Success</t>
        </is>
      </c>
      <c r="J969" t="inlineStr">
        <is>
          <t>Returned</t>
        </is>
      </c>
      <c r="K969" t="n">
        <v>858.15</v>
      </c>
      <c r="L969" t="n">
        <v>210.68</v>
      </c>
      <c r="M969" t="inlineStr">
        <is>
          <t>INR</t>
        </is>
      </c>
      <c r="N969" t="inlineStr">
        <is>
          <t>2025-10-04 02:32:31</t>
        </is>
      </c>
    </row>
    <row r="970">
      <c r="A970" t="inlineStr">
        <is>
          <t>TXN00145620</t>
        </is>
      </c>
      <c r="B970" t="inlineStr">
        <is>
          <t>MER00523</t>
        </is>
      </c>
      <c r="C970" s="8" t="n">
        <v>45935</v>
      </c>
      <c r="D970" t="inlineStr">
        <is>
          <t>ORD00145620</t>
        </is>
      </c>
      <c r="E970" t="n">
        <v>1397.1</v>
      </c>
      <c r="F970" t="n">
        <v>1.86</v>
      </c>
      <c r="G970" t="n">
        <v>25.99</v>
      </c>
      <c r="H970" t="inlineStr">
        <is>
          <t>Wallet</t>
        </is>
      </c>
      <c r="I970" t="inlineStr">
        <is>
          <t>Success</t>
        </is>
      </c>
      <c r="J970" t="inlineStr">
        <is>
          <t>Delivered</t>
        </is>
      </c>
      <c r="K970" t="n">
        <v>0</v>
      </c>
      <c r="L970" t="n">
        <v>0</v>
      </c>
      <c r="M970" t="inlineStr">
        <is>
          <t>INR</t>
        </is>
      </c>
      <c r="N970" t="inlineStr">
        <is>
          <t>2025-10-05 03:41:16</t>
        </is>
      </c>
    </row>
    <row r="971">
      <c r="A971" t="inlineStr">
        <is>
          <t>TXN00146823</t>
        </is>
      </c>
      <c r="B971" t="inlineStr">
        <is>
          <t>MER00523</t>
        </is>
      </c>
      <c r="C971" s="8" t="n">
        <v>45938</v>
      </c>
      <c r="D971" t="inlineStr">
        <is>
          <t>ORD00146823</t>
        </is>
      </c>
      <c r="E971" t="n">
        <v>610.29</v>
      </c>
      <c r="F971" t="n">
        <v>1.86</v>
      </c>
      <c r="G971" t="n">
        <v>11.35</v>
      </c>
      <c r="H971" t="inlineStr">
        <is>
          <t>Card</t>
        </is>
      </c>
      <c r="I971" t="inlineStr">
        <is>
          <t>Success</t>
        </is>
      </c>
      <c r="J971" t="inlineStr">
        <is>
          <t>Delivered</t>
        </is>
      </c>
      <c r="K971" t="n">
        <v>0</v>
      </c>
      <c r="L971" t="n">
        <v>0</v>
      </c>
      <c r="M971" t="inlineStr">
        <is>
          <t>INR</t>
        </is>
      </c>
      <c r="N971" t="inlineStr">
        <is>
          <t>2025-10-08 14:39:18</t>
        </is>
      </c>
    </row>
    <row r="972">
      <c r="A972" t="inlineStr">
        <is>
          <t>TXN00151040</t>
        </is>
      </c>
      <c r="B972" t="inlineStr">
        <is>
          <t>MER00523</t>
        </is>
      </c>
      <c r="C972" s="8" t="n">
        <v>45947</v>
      </c>
      <c r="D972" t="inlineStr">
        <is>
          <t>ORD00151040</t>
        </is>
      </c>
      <c r="E972" t="n">
        <v>437.24</v>
      </c>
      <c r="F972" t="n">
        <v>1.86</v>
      </c>
      <c r="G972" t="n">
        <v>8.130000000000001</v>
      </c>
      <c r="H972" t="inlineStr">
        <is>
          <t>Wallet</t>
        </is>
      </c>
      <c r="I972" t="inlineStr">
        <is>
          <t>Success</t>
        </is>
      </c>
      <c r="J972" t="inlineStr">
        <is>
          <t>Delivered</t>
        </is>
      </c>
      <c r="K972" t="n">
        <v>0</v>
      </c>
      <c r="L972" t="n">
        <v>30.81</v>
      </c>
      <c r="M972" t="inlineStr">
        <is>
          <t>INR</t>
        </is>
      </c>
      <c r="N972" t="inlineStr">
        <is>
          <t>2025-10-17 04:22:26</t>
        </is>
      </c>
    </row>
    <row r="973">
      <c r="A973" t="inlineStr">
        <is>
          <t>TXN00151811</t>
        </is>
      </c>
      <c r="B973" t="inlineStr">
        <is>
          <t>MER00523</t>
        </is>
      </c>
      <c r="C973" s="8" t="n">
        <v>45948</v>
      </c>
      <c r="D973" t="inlineStr">
        <is>
          <t>ORD00151811</t>
        </is>
      </c>
      <c r="E973" t="n">
        <v>1947.04</v>
      </c>
      <c r="F973" t="n">
        <v>1.86</v>
      </c>
      <c r="G973" t="n">
        <v>36.21</v>
      </c>
      <c r="H973" t="inlineStr">
        <is>
          <t>COD</t>
        </is>
      </c>
      <c r="I973" t="inlineStr">
        <is>
          <t>Success</t>
        </is>
      </c>
      <c r="J973" t="inlineStr">
        <is>
          <t>Returned</t>
        </is>
      </c>
      <c r="K973" t="n">
        <v>862.15</v>
      </c>
      <c r="L973" t="n">
        <v>0</v>
      </c>
      <c r="M973" t="inlineStr">
        <is>
          <t>INR</t>
        </is>
      </c>
      <c r="N973" t="inlineStr">
        <is>
          <t>2025-10-18 22:37:10</t>
        </is>
      </c>
    </row>
    <row r="974">
      <c r="A974" t="inlineStr">
        <is>
          <t>TXN00155057</t>
        </is>
      </c>
      <c r="B974" t="inlineStr">
        <is>
          <t>MER00523</t>
        </is>
      </c>
      <c r="C974" s="8" t="n">
        <v>45955</v>
      </c>
      <c r="D974" t="inlineStr">
        <is>
          <t>ORD00155057</t>
        </is>
      </c>
      <c r="E974" t="n">
        <v>599.76</v>
      </c>
      <c r="F974" t="n">
        <v>1.86</v>
      </c>
      <c r="G974" t="n">
        <v>11.16</v>
      </c>
      <c r="H974" t="inlineStr">
        <is>
          <t>Wallet</t>
        </is>
      </c>
      <c r="I974" t="inlineStr">
        <is>
          <t>Success</t>
        </is>
      </c>
      <c r="J974" t="inlineStr">
        <is>
          <t>Delivered</t>
        </is>
      </c>
      <c r="K974" t="n">
        <v>0</v>
      </c>
      <c r="L974" t="n">
        <v>85.31999999999999</v>
      </c>
      <c r="M974" t="inlineStr">
        <is>
          <t>INR</t>
        </is>
      </c>
      <c r="N974" t="inlineStr">
        <is>
          <t>2025-10-25 07:53:33</t>
        </is>
      </c>
    </row>
    <row r="975">
      <c r="A975" t="inlineStr">
        <is>
          <t>TXN00157624</t>
        </is>
      </c>
      <c r="B975" t="inlineStr">
        <is>
          <t>MER00523</t>
        </is>
      </c>
      <c r="C975" s="8" t="n">
        <v>45961</v>
      </c>
      <c r="D975" t="inlineStr">
        <is>
          <t>ORD00157624</t>
        </is>
      </c>
      <c r="E975" t="n">
        <v>1696.66</v>
      </c>
      <c r="F975" t="n">
        <v>1.86</v>
      </c>
      <c r="G975" t="n">
        <v>31.56</v>
      </c>
      <c r="H975" t="inlineStr">
        <is>
          <t>UPI</t>
        </is>
      </c>
      <c r="I975" t="inlineStr">
        <is>
          <t>Success</t>
        </is>
      </c>
      <c r="J975" t="inlineStr">
        <is>
          <t>Delivered</t>
        </is>
      </c>
      <c r="K975" t="n">
        <v>0</v>
      </c>
      <c r="L975" t="n">
        <v>257</v>
      </c>
      <c r="M975" t="inlineStr">
        <is>
          <t>INR</t>
        </is>
      </c>
      <c r="N975" t="inlineStr">
        <is>
          <t>2025-10-31 14:10:58</t>
        </is>
      </c>
    </row>
    <row r="976">
      <c r="A976" t="inlineStr">
        <is>
          <t>TXN00161454</t>
        </is>
      </c>
      <c r="B976" t="inlineStr">
        <is>
          <t>MER00523</t>
        </is>
      </c>
      <c r="C976" s="8" t="n">
        <v>45968</v>
      </c>
      <c r="D976" t="inlineStr">
        <is>
          <t>ORD00161454</t>
        </is>
      </c>
      <c r="E976" t="n">
        <v>975.2</v>
      </c>
      <c r="F976" t="n">
        <v>1.86</v>
      </c>
      <c r="G976" t="n">
        <v>18.14</v>
      </c>
      <c r="H976" t="inlineStr">
        <is>
          <t>Wallet</t>
        </is>
      </c>
      <c r="I976" t="inlineStr">
        <is>
          <t>Success</t>
        </is>
      </c>
      <c r="J976" t="inlineStr">
        <is>
          <t>Delivered</t>
        </is>
      </c>
      <c r="K976" t="n">
        <v>0</v>
      </c>
      <c r="L976" t="n">
        <v>0</v>
      </c>
      <c r="M976" t="inlineStr">
        <is>
          <t>INR</t>
        </is>
      </c>
      <c r="N976" t="inlineStr">
        <is>
          <t>2025-11-07 13:04:54</t>
        </is>
      </c>
    </row>
    <row r="977">
      <c r="A977" t="inlineStr">
        <is>
          <t>TXN00162812</t>
        </is>
      </c>
      <c r="B977" t="inlineStr">
        <is>
          <t>MER00523</t>
        </is>
      </c>
      <c r="C977" s="8" t="n">
        <v>45970</v>
      </c>
      <c r="D977" t="inlineStr">
        <is>
          <t>ORD00162812</t>
        </is>
      </c>
      <c r="E977" t="n">
        <v>855.63</v>
      </c>
      <c r="F977" t="n">
        <v>1.86</v>
      </c>
      <c r="G977" t="n">
        <v>15.91</v>
      </c>
      <c r="H977" t="inlineStr">
        <is>
          <t>NetBanking</t>
        </is>
      </c>
      <c r="I977" t="inlineStr">
        <is>
          <t>Success</t>
        </is>
      </c>
      <c r="J977" t="inlineStr">
        <is>
          <t>Delivered</t>
        </is>
      </c>
      <c r="K977" t="n">
        <v>0</v>
      </c>
      <c r="L977" t="n">
        <v>0</v>
      </c>
      <c r="M977" t="inlineStr">
        <is>
          <t>INR</t>
        </is>
      </c>
      <c r="N977" t="inlineStr">
        <is>
          <t>2025-11-09 12:12:39</t>
        </is>
      </c>
    </row>
    <row r="978">
      <c r="A978" t="inlineStr">
        <is>
          <t>TXN00165219</t>
        </is>
      </c>
      <c r="B978" t="inlineStr">
        <is>
          <t>MER00523</t>
        </is>
      </c>
      <c r="C978" s="8" t="n">
        <v>45974</v>
      </c>
      <c r="D978" t="inlineStr">
        <is>
          <t>ORD00165219</t>
        </is>
      </c>
      <c r="E978" t="n">
        <v>707.39</v>
      </c>
      <c r="F978" t="n">
        <v>1.86</v>
      </c>
      <c r="G978" t="n">
        <v>13.16</v>
      </c>
      <c r="H978" t="inlineStr">
        <is>
          <t>UPI</t>
        </is>
      </c>
      <c r="I978" t="inlineStr">
        <is>
          <t>Pending</t>
        </is>
      </c>
      <c r="J978" t="inlineStr">
        <is>
          <t>Processing</t>
        </is>
      </c>
      <c r="K978" t="n">
        <v>0</v>
      </c>
      <c r="L978" t="n">
        <v>101.39</v>
      </c>
      <c r="M978" t="inlineStr">
        <is>
          <t>INR</t>
        </is>
      </c>
      <c r="N978" t="inlineStr">
        <is>
          <t>2025-11-13 07:19:19</t>
        </is>
      </c>
    </row>
    <row r="979">
      <c r="A979" t="inlineStr">
        <is>
          <t>TXN00165216</t>
        </is>
      </c>
      <c r="B979" t="inlineStr">
        <is>
          <t>MER00523</t>
        </is>
      </c>
      <c r="C979" s="8" t="n">
        <v>45974</v>
      </c>
      <c r="D979" t="inlineStr">
        <is>
          <t>ORD00165216</t>
        </is>
      </c>
      <c r="E979" t="n">
        <v>597.75</v>
      </c>
      <c r="F979" t="n">
        <v>1.86</v>
      </c>
      <c r="G979" t="n">
        <v>11.12</v>
      </c>
      <c r="H979" t="inlineStr">
        <is>
          <t>NetBanking</t>
        </is>
      </c>
      <c r="I979" t="inlineStr">
        <is>
          <t>Success</t>
        </is>
      </c>
      <c r="J979" t="inlineStr">
        <is>
          <t>Returned</t>
        </is>
      </c>
      <c r="K979" t="n">
        <v>597.75</v>
      </c>
      <c r="L979" t="n">
        <v>0</v>
      </c>
      <c r="M979" t="inlineStr">
        <is>
          <t>INR</t>
        </is>
      </c>
      <c r="N979" t="inlineStr">
        <is>
          <t>2025-11-13 16:55:28</t>
        </is>
      </c>
    </row>
    <row r="980">
      <c r="A980" t="inlineStr">
        <is>
          <t>TXN00165546</t>
        </is>
      </c>
      <c r="B980" t="inlineStr">
        <is>
          <t>MER00523</t>
        </is>
      </c>
      <c r="C980" s="8" t="n">
        <v>45975</v>
      </c>
      <c r="D980" t="inlineStr">
        <is>
          <t>ORD00165546</t>
        </is>
      </c>
      <c r="E980" t="n">
        <v>1140.32</v>
      </c>
      <c r="F980" t="n">
        <v>1.86</v>
      </c>
      <c r="G980" t="n">
        <v>21.21</v>
      </c>
      <c r="H980" t="inlineStr">
        <is>
          <t>Card</t>
        </is>
      </c>
      <c r="I980" t="inlineStr">
        <is>
          <t>Success</t>
        </is>
      </c>
      <c r="J980" t="inlineStr">
        <is>
          <t>Delivered</t>
        </is>
      </c>
      <c r="K980" t="n">
        <v>0</v>
      </c>
      <c r="L980" t="n">
        <v>0</v>
      </c>
      <c r="M980" t="inlineStr">
        <is>
          <t>INR</t>
        </is>
      </c>
      <c r="N980" t="inlineStr">
        <is>
          <t>2025-11-14 14:26:11</t>
        </is>
      </c>
    </row>
    <row r="981">
      <c r="A981" t="inlineStr">
        <is>
          <t>TXN00173195</t>
        </is>
      </c>
      <c r="B981" t="inlineStr">
        <is>
          <t>MER00523</t>
        </is>
      </c>
      <c r="C981" s="8" t="n">
        <v>45989</v>
      </c>
      <c r="D981" t="inlineStr">
        <is>
          <t>ORD00173195</t>
        </is>
      </c>
      <c r="E981" t="n">
        <v>2634.86</v>
      </c>
      <c r="F981" t="n">
        <v>1.86</v>
      </c>
      <c r="G981" t="n">
        <v>49.01</v>
      </c>
      <c r="H981" t="inlineStr">
        <is>
          <t>Card</t>
        </is>
      </c>
      <c r="I981" t="inlineStr">
        <is>
          <t>Success</t>
        </is>
      </c>
      <c r="J981" t="inlineStr">
        <is>
          <t>Delivered</t>
        </is>
      </c>
      <c r="K981" t="n">
        <v>0</v>
      </c>
      <c r="L981" t="n">
        <v>0</v>
      </c>
      <c r="M981" t="inlineStr">
        <is>
          <t>INR</t>
        </is>
      </c>
      <c r="N981" t="inlineStr">
        <is>
          <t>2025-11-28 06:34:41</t>
        </is>
      </c>
    </row>
    <row r="982">
      <c r="A982" t="inlineStr">
        <is>
          <t>TXN00173156</t>
        </is>
      </c>
      <c r="B982" t="inlineStr">
        <is>
          <t>MER00523</t>
        </is>
      </c>
      <c r="C982" s="8" t="n">
        <v>45989</v>
      </c>
      <c r="D982" t="inlineStr">
        <is>
          <t>ORD00173156</t>
        </is>
      </c>
      <c r="E982" t="n">
        <v>1089.22</v>
      </c>
      <c r="F982" t="n">
        <v>1.86</v>
      </c>
      <c r="G982" t="n">
        <v>20.26</v>
      </c>
      <c r="H982" t="inlineStr">
        <is>
          <t>Card</t>
        </is>
      </c>
      <c r="I982" t="inlineStr">
        <is>
          <t>Success</t>
        </is>
      </c>
      <c r="J982" t="inlineStr">
        <is>
          <t>Delivered</t>
        </is>
      </c>
      <c r="K982" t="n">
        <v>0</v>
      </c>
      <c r="L982" t="n">
        <v>0</v>
      </c>
      <c r="M982" t="inlineStr">
        <is>
          <t>INR</t>
        </is>
      </c>
      <c r="N982" t="inlineStr">
        <is>
          <t>2025-11-28 12:09:32</t>
        </is>
      </c>
    </row>
    <row r="983">
      <c r="A983" t="inlineStr">
        <is>
          <t>TXN00179752</t>
        </is>
      </c>
      <c r="B983" t="inlineStr">
        <is>
          <t>MER00523</t>
        </is>
      </c>
      <c r="C983" s="8" t="n">
        <v>46005</v>
      </c>
      <c r="D983" t="inlineStr">
        <is>
          <t>ORD00179752</t>
        </is>
      </c>
      <c r="E983" t="n">
        <v>1180.47</v>
      </c>
      <c r="F983" t="n">
        <v>1.86</v>
      </c>
      <c r="G983" t="n">
        <v>21.96</v>
      </c>
      <c r="H983" t="inlineStr">
        <is>
          <t>UPI</t>
        </is>
      </c>
      <c r="I983" t="inlineStr">
        <is>
          <t>Success</t>
        </is>
      </c>
      <c r="J983" t="inlineStr">
        <is>
          <t>Delivered</t>
        </is>
      </c>
      <c r="K983" t="n">
        <v>0</v>
      </c>
      <c r="L983" t="n">
        <v>0</v>
      </c>
      <c r="M983" t="inlineStr">
        <is>
          <t>INR</t>
        </is>
      </c>
      <c r="N983" t="inlineStr">
        <is>
          <t>2025-12-14 21:40:46</t>
        </is>
      </c>
    </row>
    <row r="984">
      <c r="A984" t="inlineStr">
        <is>
          <t>TXN00193600</t>
        </is>
      </c>
      <c r="B984" t="inlineStr">
        <is>
          <t>MER00523</t>
        </is>
      </c>
      <c r="C984" s="8" t="n">
        <v>46039</v>
      </c>
      <c r="D984" t="inlineStr">
        <is>
          <t>ORD00193600</t>
        </is>
      </c>
      <c r="E984" t="n">
        <v>481.13</v>
      </c>
      <c r="F984" t="n">
        <v>1.86</v>
      </c>
      <c r="G984" t="n">
        <v>8.949999999999999</v>
      </c>
      <c r="H984" t="inlineStr">
        <is>
          <t>Card</t>
        </is>
      </c>
      <c r="I984" t="inlineStr">
        <is>
          <t>Success</t>
        </is>
      </c>
      <c r="J984" t="inlineStr">
        <is>
          <t>Delivered</t>
        </is>
      </c>
      <c r="K984" t="n">
        <v>0</v>
      </c>
      <c r="L984" t="n">
        <v>0</v>
      </c>
      <c r="M984" t="inlineStr">
        <is>
          <t>INR</t>
        </is>
      </c>
      <c r="N984" t="inlineStr">
        <is>
          <t>2026-01-17 15:27:43</t>
        </is>
      </c>
    </row>
    <row r="985">
      <c r="A985" t="inlineStr">
        <is>
          <t>TXN00199901</t>
        </is>
      </c>
      <c r="B985" t="inlineStr">
        <is>
          <t>MER00523</t>
        </is>
      </c>
      <c r="C985" s="8" t="n">
        <v>46053</v>
      </c>
      <c r="D985" t="inlineStr">
        <is>
          <t>ORD00199901</t>
        </is>
      </c>
      <c r="E985" t="n">
        <v>512.91</v>
      </c>
      <c r="F985" t="n">
        <v>1.86</v>
      </c>
      <c r="G985" t="n">
        <v>9.539999999999999</v>
      </c>
      <c r="H985" t="inlineStr">
        <is>
          <t>UPI</t>
        </is>
      </c>
      <c r="I985" t="inlineStr">
        <is>
          <t>Success</t>
        </is>
      </c>
      <c r="J985" t="inlineStr">
        <is>
          <t>Delivered</t>
        </is>
      </c>
      <c r="K985" t="n">
        <v>0</v>
      </c>
      <c r="L985" t="n">
        <v>0</v>
      </c>
      <c r="M985" t="inlineStr">
        <is>
          <t>INR</t>
        </is>
      </c>
      <c r="N985" t="inlineStr">
        <is>
          <t>2026-01-31 09:28:32</t>
        </is>
      </c>
    </row>
    <row r="986">
      <c r="A986" t="inlineStr">
        <is>
          <t>TXN00203570</t>
        </is>
      </c>
      <c r="B986" t="inlineStr">
        <is>
          <t>MER00523</t>
        </is>
      </c>
      <c r="C986" s="8" t="n">
        <v>46062</v>
      </c>
      <c r="D986" t="inlineStr">
        <is>
          <t>ORD00203570</t>
        </is>
      </c>
      <c r="E986" t="n">
        <v>1112.78</v>
      </c>
      <c r="F986" t="n">
        <v>1.86</v>
      </c>
      <c r="G986" t="n">
        <v>20.7</v>
      </c>
      <c r="H986" t="inlineStr">
        <is>
          <t>NetBanking</t>
        </is>
      </c>
      <c r="I986" t="inlineStr">
        <is>
          <t>Success</t>
        </is>
      </c>
      <c r="J986" t="inlineStr">
        <is>
          <t>Delivered</t>
        </is>
      </c>
      <c r="K986" t="n">
        <v>0</v>
      </c>
      <c r="L986" t="n">
        <v>0</v>
      </c>
      <c r="M986" t="inlineStr">
        <is>
          <t>INR</t>
        </is>
      </c>
      <c r="N986" t="inlineStr">
        <is>
          <t>2026-02-09 10:05:40</t>
        </is>
      </c>
    </row>
    <row r="987">
      <c r="A987" t="inlineStr">
        <is>
          <t>TXN00204027</t>
        </is>
      </c>
      <c r="B987" t="inlineStr">
        <is>
          <t>MER00523</t>
        </is>
      </c>
      <c r="C987" s="8" t="n">
        <v>46063</v>
      </c>
      <c r="D987" t="inlineStr">
        <is>
          <t>ORD00204027</t>
        </is>
      </c>
      <c r="E987" t="n">
        <v>704.8</v>
      </c>
      <c r="F987" t="n">
        <v>1.86</v>
      </c>
      <c r="G987" t="n">
        <v>13.11</v>
      </c>
      <c r="H987" t="inlineStr">
        <is>
          <t>Card</t>
        </is>
      </c>
      <c r="I987" t="inlineStr">
        <is>
          <t>Pending</t>
        </is>
      </c>
      <c r="J987" t="inlineStr">
        <is>
          <t>Processing</t>
        </is>
      </c>
      <c r="K987" t="n">
        <v>0</v>
      </c>
      <c r="L987" t="n">
        <v>0</v>
      </c>
      <c r="M987" t="inlineStr">
        <is>
          <t>INR</t>
        </is>
      </c>
      <c r="N987" t="inlineStr">
        <is>
          <t>2026-02-10 15:39:46</t>
        </is>
      </c>
    </row>
    <row r="988">
      <c r="A988" t="inlineStr">
        <is>
          <t>TXN00205894</t>
        </is>
      </c>
      <c r="B988" t="inlineStr">
        <is>
          <t>MER00523</t>
        </is>
      </c>
      <c r="C988" s="8" t="n">
        <v>46067</v>
      </c>
      <c r="D988" t="inlineStr">
        <is>
          <t>ORD00205894</t>
        </is>
      </c>
      <c r="E988" t="n">
        <v>469.29</v>
      </c>
      <c r="F988" t="n">
        <v>1.86</v>
      </c>
      <c r="G988" t="n">
        <v>8.73</v>
      </c>
      <c r="H988" t="inlineStr">
        <is>
          <t>NetBanking</t>
        </is>
      </c>
      <c r="I988" t="inlineStr">
        <is>
          <t>Success</t>
        </is>
      </c>
      <c r="J988" t="inlineStr">
        <is>
          <t>Delivered</t>
        </is>
      </c>
      <c r="K988" t="n">
        <v>0</v>
      </c>
      <c r="L988" t="n">
        <v>0</v>
      </c>
      <c r="M988" t="inlineStr">
        <is>
          <t>INR</t>
        </is>
      </c>
      <c r="N988" t="inlineStr">
        <is>
          <t>2026-02-14 07:22:51</t>
        </is>
      </c>
    </row>
    <row r="989">
      <c r="A989" t="inlineStr">
        <is>
          <t>TXN00208977</t>
        </is>
      </c>
      <c r="B989" t="inlineStr">
        <is>
          <t>MER00523</t>
        </is>
      </c>
      <c r="C989" s="8" t="n">
        <v>46075</v>
      </c>
      <c r="D989" t="inlineStr">
        <is>
          <t>ORD00208977</t>
        </is>
      </c>
      <c r="E989" t="n">
        <v>2496.07</v>
      </c>
      <c r="F989" t="n">
        <v>1.86</v>
      </c>
      <c r="G989" t="n">
        <v>46.43</v>
      </c>
      <c r="H989" t="inlineStr">
        <is>
          <t>COD</t>
        </is>
      </c>
      <c r="I989" t="inlineStr">
        <is>
          <t>Success</t>
        </is>
      </c>
      <c r="J989" t="inlineStr">
        <is>
          <t>Delivered</t>
        </is>
      </c>
      <c r="K989" t="n">
        <v>0</v>
      </c>
      <c r="L989" t="n">
        <v>0</v>
      </c>
      <c r="M989" t="inlineStr">
        <is>
          <t>INR</t>
        </is>
      </c>
      <c r="N989" t="inlineStr">
        <is>
          <t>2026-02-22 23:15:57</t>
        </is>
      </c>
    </row>
    <row r="990">
      <c r="A990" t="inlineStr">
        <is>
          <t>TXN00211263</t>
        </is>
      </c>
      <c r="B990" t="inlineStr">
        <is>
          <t>MER00523</t>
        </is>
      </c>
      <c r="C990" s="8" t="n">
        <v>46080</v>
      </c>
      <c r="D990" t="inlineStr">
        <is>
          <t>ORD00211263</t>
        </is>
      </c>
      <c r="E990" t="n">
        <v>716.03</v>
      </c>
      <c r="F990" t="n">
        <v>1.86</v>
      </c>
      <c r="G990" t="n">
        <v>13.32</v>
      </c>
      <c r="H990" t="inlineStr">
        <is>
          <t>Card</t>
        </is>
      </c>
      <c r="I990" t="inlineStr">
        <is>
          <t>Success</t>
        </is>
      </c>
      <c r="J990" t="inlineStr">
        <is>
          <t>Delivered</t>
        </is>
      </c>
      <c r="K990" t="n">
        <v>0</v>
      </c>
      <c r="L990" t="n">
        <v>0</v>
      </c>
      <c r="M990" t="inlineStr">
        <is>
          <t>INR</t>
        </is>
      </c>
      <c r="N990" t="inlineStr">
        <is>
          <t>2026-02-27 05:47:44</t>
        </is>
      </c>
    </row>
    <row r="991">
      <c r="A991" t="inlineStr">
        <is>
          <t>TXN00212156</t>
        </is>
      </c>
      <c r="B991" t="inlineStr">
        <is>
          <t>MER00523</t>
        </is>
      </c>
      <c r="C991" s="8" t="n">
        <v>46083</v>
      </c>
      <c r="D991" t="inlineStr">
        <is>
          <t>ORD00212156</t>
        </is>
      </c>
      <c r="E991" t="n">
        <v>969.28</v>
      </c>
      <c r="F991" t="n">
        <v>1.86</v>
      </c>
      <c r="G991" t="n">
        <v>18.03</v>
      </c>
      <c r="H991" t="inlineStr">
        <is>
          <t>UPI</t>
        </is>
      </c>
      <c r="I991" t="inlineStr">
        <is>
          <t>Success</t>
        </is>
      </c>
      <c r="J991" t="inlineStr">
        <is>
          <t>Returned</t>
        </is>
      </c>
      <c r="K991" t="n">
        <v>837.48</v>
      </c>
      <c r="L991" t="n">
        <v>0</v>
      </c>
      <c r="M991" t="inlineStr">
        <is>
          <t>INR</t>
        </is>
      </c>
      <c r="N991" t="inlineStr">
        <is>
          <t>2026-03-02 07:49:40</t>
        </is>
      </c>
    </row>
    <row r="992">
      <c r="A992" t="inlineStr">
        <is>
          <t>TXN00212219</t>
        </is>
      </c>
      <c r="B992" t="inlineStr">
        <is>
          <t>MER00523</t>
        </is>
      </c>
      <c r="C992" s="8" t="n">
        <v>46083</v>
      </c>
      <c r="D992" t="inlineStr">
        <is>
          <t>ORD00212219</t>
        </is>
      </c>
      <c r="E992" t="n">
        <v>2147.3</v>
      </c>
      <c r="F992" t="n">
        <v>1.86</v>
      </c>
      <c r="G992" t="n">
        <v>39.94</v>
      </c>
      <c r="H992" t="inlineStr">
        <is>
          <t>UPI</t>
        </is>
      </c>
      <c r="I992" t="inlineStr">
        <is>
          <t>Unknown</t>
        </is>
      </c>
      <c r="J992" t="inlineStr">
        <is>
          <t>Delivered</t>
        </is>
      </c>
      <c r="K992" t="n">
        <v>0</v>
      </c>
      <c r="L992" t="n">
        <v>0</v>
      </c>
      <c r="M992" t="inlineStr">
        <is>
          <t>INR</t>
        </is>
      </c>
      <c r="N992" t="inlineStr">
        <is>
          <t>2026-03-02 22:11:59</t>
        </is>
      </c>
    </row>
    <row r="993">
      <c r="A993" t="inlineStr">
        <is>
          <t>TXN00214248</t>
        </is>
      </c>
      <c r="B993" t="inlineStr">
        <is>
          <t>MER00523</t>
        </is>
      </c>
      <c r="C993" s="8" t="n">
        <v>46089</v>
      </c>
      <c r="D993" t="inlineStr">
        <is>
          <t>ORD00214248</t>
        </is>
      </c>
      <c r="E993" t="n">
        <v>907.63</v>
      </c>
      <c r="F993" t="n">
        <v>1.86</v>
      </c>
      <c r="G993" t="n">
        <v>16.88</v>
      </c>
      <c r="H993" t="inlineStr">
        <is>
          <t>Card</t>
        </is>
      </c>
      <c r="I993" t="inlineStr">
        <is>
          <t>Failed</t>
        </is>
      </c>
      <c r="J993" t="inlineStr">
        <is>
          <t>Cancelled</t>
        </is>
      </c>
      <c r="K993" t="n">
        <v>0</v>
      </c>
      <c r="L993" t="n">
        <v>139.28</v>
      </c>
      <c r="M993" t="inlineStr">
        <is>
          <t>INR</t>
        </is>
      </c>
      <c r="N993" t="inlineStr">
        <is>
          <t>2026-03-08 22:31:40</t>
        </is>
      </c>
    </row>
    <row r="994">
      <c r="A994" t="inlineStr">
        <is>
          <t>TXN00217896</t>
        </is>
      </c>
      <c r="B994" t="inlineStr">
        <is>
          <t>MER00523</t>
        </is>
      </c>
      <c r="C994" s="8" t="n">
        <v>46098</v>
      </c>
      <c r="D994" t="inlineStr">
        <is>
          <t>ORD00217896</t>
        </is>
      </c>
      <c r="E994" t="n">
        <v>1427.22</v>
      </c>
      <c r="F994" t="n">
        <v>1.86</v>
      </c>
      <c r="G994" t="n">
        <v>26.55</v>
      </c>
      <c r="H994" t="inlineStr">
        <is>
          <t>UPI</t>
        </is>
      </c>
      <c r="I994" t="inlineStr">
        <is>
          <t>Success</t>
        </is>
      </c>
      <c r="J994" t="inlineStr">
        <is>
          <t>Delivered</t>
        </is>
      </c>
      <c r="K994" t="n">
        <v>0</v>
      </c>
      <c r="L994" t="n">
        <v>0</v>
      </c>
      <c r="M994" t="inlineStr">
        <is>
          <t>INR</t>
        </is>
      </c>
      <c r="N994" t="inlineStr">
        <is>
          <t>2026-03-17 03:20:46</t>
        </is>
      </c>
    </row>
    <row r="995">
      <c r="A995" t="inlineStr">
        <is>
          <t>TXN00221888</t>
        </is>
      </c>
      <c r="B995" t="inlineStr">
        <is>
          <t>MER00523</t>
        </is>
      </c>
      <c r="C995" s="8" t="n">
        <v>46109</v>
      </c>
      <c r="D995" t="inlineStr">
        <is>
          <t>ORD00221888</t>
        </is>
      </c>
      <c r="E995" t="n">
        <v>793.5700000000001</v>
      </c>
      <c r="F995" t="n">
        <v>1.86</v>
      </c>
      <c r="G995" t="n">
        <v>14.76</v>
      </c>
      <c r="H995" t="inlineStr">
        <is>
          <t>UPI</t>
        </is>
      </c>
      <c r="I995" t="inlineStr">
        <is>
          <t>Success</t>
        </is>
      </c>
      <c r="J995" t="inlineStr">
        <is>
          <t>Delivered</t>
        </is>
      </c>
      <c r="K995" t="n">
        <v>0</v>
      </c>
      <c r="L995" t="n">
        <v>109.74</v>
      </c>
      <c r="M995" t="inlineStr">
        <is>
          <t>INR</t>
        </is>
      </c>
      <c r="N995" t="inlineStr">
        <is>
          <t>2026-03-28 18:01:19</t>
        </is>
      </c>
    </row>
    <row r="996">
      <c r="A996" t="inlineStr">
        <is>
          <t>TXN00223652</t>
        </is>
      </c>
      <c r="B996" t="inlineStr">
        <is>
          <t>MER00523</t>
        </is>
      </c>
      <c r="C996" s="8" t="n">
        <v>46114</v>
      </c>
      <c r="D996" t="inlineStr">
        <is>
          <t>ORD00223652</t>
        </is>
      </c>
      <c r="E996" t="n">
        <v>1015.96</v>
      </c>
      <c r="F996" t="n">
        <v>1.86</v>
      </c>
      <c r="G996" t="n">
        <v>18.9</v>
      </c>
      <c r="H996" t="inlineStr">
        <is>
          <t>Card</t>
        </is>
      </c>
      <c r="I996" t="inlineStr">
        <is>
          <t>Success</t>
        </is>
      </c>
      <c r="J996" t="inlineStr">
        <is>
          <t>Delivered</t>
        </is>
      </c>
      <c r="K996" t="n">
        <v>0</v>
      </c>
      <c r="L996" t="n">
        <v>0</v>
      </c>
      <c r="M996" t="inlineStr">
        <is>
          <t>INR</t>
        </is>
      </c>
      <c r="N996" t="inlineStr">
        <is>
          <t>2026-04-02 22:57:15</t>
        </is>
      </c>
    </row>
    <row r="997">
      <c r="A997" t="inlineStr">
        <is>
          <t>TXN00234659</t>
        </is>
      </c>
      <c r="B997" t="inlineStr">
        <is>
          <t>MER00523</t>
        </is>
      </c>
      <c r="C997" s="8" t="n">
        <v>46143</v>
      </c>
      <c r="D997" t="inlineStr">
        <is>
          <t>ORD00234659</t>
        </is>
      </c>
      <c r="E997" t="n">
        <v>550.49</v>
      </c>
      <c r="F997" t="n">
        <v>1.86</v>
      </c>
      <c r="G997" t="n">
        <v>10.24</v>
      </c>
      <c r="H997" t="inlineStr">
        <is>
          <t>Wallet</t>
        </is>
      </c>
      <c r="I997" t="inlineStr">
        <is>
          <t>Success</t>
        </is>
      </c>
      <c r="J997" t="inlineStr">
        <is>
          <t>Delivered</t>
        </is>
      </c>
      <c r="K997" t="n">
        <v>0</v>
      </c>
      <c r="L997" t="n">
        <v>0</v>
      </c>
      <c r="M997" t="inlineStr">
        <is>
          <t>INR</t>
        </is>
      </c>
      <c r="N997" t="inlineStr">
        <is>
          <t>2026-05-01 21:23:32</t>
        </is>
      </c>
    </row>
    <row r="998">
      <c r="A998" t="inlineStr">
        <is>
          <t>TXN00235714</t>
        </is>
      </c>
      <c r="B998" t="inlineStr">
        <is>
          <t>MER00523</t>
        </is>
      </c>
      <c r="C998" s="8" t="n">
        <v>46145</v>
      </c>
      <c r="D998" t="inlineStr">
        <is>
          <t>ORD00235714</t>
        </is>
      </c>
      <c r="E998" t="n">
        <v>534.17</v>
      </c>
      <c r="F998" t="n">
        <v>1.86</v>
      </c>
      <c r="G998" t="n">
        <v>9.94</v>
      </c>
      <c r="H998" t="inlineStr">
        <is>
          <t>UPI</t>
        </is>
      </c>
      <c r="I998" t="inlineStr">
        <is>
          <t>Success</t>
        </is>
      </c>
      <c r="J998" t="inlineStr">
        <is>
          <t>Delivered</t>
        </is>
      </c>
      <c r="K998" t="n">
        <v>0</v>
      </c>
      <c r="L998" t="n">
        <v>0</v>
      </c>
      <c r="M998" t="inlineStr">
        <is>
          <t>INR</t>
        </is>
      </c>
      <c r="N998" t="inlineStr">
        <is>
          <t>2026-05-03 12:22:10</t>
        </is>
      </c>
    </row>
    <row r="999">
      <c r="A999" t="inlineStr">
        <is>
          <t>TXN00237140</t>
        </is>
      </c>
      <c r="B999" t="inlineStr">
        <is>
          <t>MER00523</t>
        </is>
      </c>
      <c r="C999" s="8" t="n">
        <v>46149</v>
      </c>
      <c r="D999" t="inlineStr">
        <is>
          <t>ORD00237140</t>
        </is>
      </c>
      <c r="E999" t="n">
        <v>900.97</v>
      </c>
      <c r="F999" t="n">
        <v>1.86</v>
      </c>
      <c r="G999" t="n">
        <v>16.76</v>
      </c>
      <c r="H999" t="inlineStr">
        <is>
          <t>Card</t>
        </is>
      </c>
      <c r="I999" t="inlineStr">
        <is>
          <t>Success</t>
        </is>
      </c>
      <c r="J999" t="inlineStr">
        <is>
          <t>Delivered</t>
        </is>
      </c>
      <c r="K999" t="n">
        <v>0</v>
      </c>
      <c r="L999" t="n">
        <v>134.45</v>
      </c>
      <c r="M999" t="inlineStr">
        <is>
          <t>INR</t>
        </is>
      </c>
      <c r="N999" t="inlineStr">
        <is>
          <t>2026-05-07 23:39:20</t>
        </is>
      </c>
    </row>
    <row r="1000">
      <c r="A1000" t="inlineStr">
        <is>
          <t>TXN00241538</t>
        </is>
      </c>
      <c r="B1000" t="inlineStr">
        <is>
          <t>MER00523</t>
        </is>
      </c>
      <c r="C1000" s="8" t="n">
        <v>46161</v>
      </c>
      <c r="D1000" t="inlineStr">
        <is>
          <t>ORD00241538</t>
        </is>
      </c>
      <c r="E1000" t="n">
        <v>435.09</v>
      </c>
      <c r="F1000" t="n">
        <v>1.86</v>
      </c>
      <c r="G1000" t="n">
        <v>8.09</v>
      </c>
      <c r="H1000" t="inlineStr">
        <is>
          <t>UPI</t>
        </is>
      </c>
      <c r="I1000" t="inlineStr">
        <is>
          <t>Success</t>
        </is>
      </c>
      <c r="J1000" t="inlineStr">
        <is>
          <t>Delivered</t>
        </is>
      </c>
      <c r="K1000" t="n">
        <v>0</v>
      </c>
      <c r="L1000" t="n">
        <v>37.23</v>
      </c>
      <c r="M1000" t="inlineStr">
        <is>
          <t>INR</t>
        </is>
      </c>
      <c r="N1000" t="inlineStr">
        <is>
          <t>2026-05-19 10:46:17</t>
        </is>
      </c>
    </row>
    <row r="1001">
      <c r="A1001" t="inlineStr">
        <is>
          <t>TXN00242557</t>
        </is>
      </c>
      <c r="B1001" t="inlineStr">
        <is>
          <t>MER00523</t>
        </is>
      </c>
      <c r="C1001" s="8" t="n">
        <v>46164</v>
      </c>
      <c r="D1001" t="inlineStr">
        <is>
          <t>ORD00242557</t>
        </is>
      </c>
      <c r="E1001" t="n">
        <v>1456.25</v>
      </c>
      <c r="F1001" t="n">
        <v>1.41</v>
      </c>
      <c r="G1001" t="n">
        <v>27.09</v>
      </c>
      <c r="H1001" t="inlineStr">
        <is>
          <t>Card</t>
        </is>
      </c>
      <c r="I1001" t="inlineStr">
        <is>
          <t>Success</t>
        </is>
      </c>
      <c r="J1001" t="inlineStr">
        <is>
          <t>Delivered</t>
        </is>
      </c>
      <c r="K1001" t="n">
        <v>0</v>
      </c>
      <c r="L1001" t="n">
        <v>0</v>
      </c>
      <c r="M1001" t="inlineStr">
        <is>
          <t>INR</t>
        </is>
      </c>
      <c r="N1001" t="inlineStr">
        <is>
          <t>2026-05-22 08:59:20</t>
        </is>
      </c>
    </row>
    <row r="1002">
      <c r="A1002" t="inlineStr">
        <is>
          <t>TXN00243549</t>
        </is>
      </c>
      <c r="B1002" t="inlineStr">
        <is>
          <t>MER00523</t>
        </is>
      </c>
      <c r="C1002" s="8" t="n">
        <v>46166</v>
      </c>
      <c r="D1002" t="inlineStr">
        <is>
          <t>ORD00243549</t>
        </is>
      </c>
      <c r="E1002" t="n">
        <v>200</v>
      </c>
      <c r="F1002" t="n">
        <v>1.86</v>
      </c>
      <c r="G1002" t="n">
        <v>3.72</v>
      </c>
      <c r="H1002" t="inlineStr">
        <is>
          <t>UPI</t>
        </is>
      </c>
      <c r="I1002" t="inlineStr">
        <is>
          <t>Success</t>
        </is>
      </c>
      <c r="J1002" t="inlineStr">
        <is>
          <t>Delivered</t>
        </is>
      </c>
      <c r="K1002" t="n">
        <v>0</v>
      </c>
      <c r="L1002" t="n">
        <v>0</v>
      </c>
      <c r="M1002" t="inlineStr">
        <is>
          <t>INR</t>
        </is>
      </c>
      <c r="N1002" t="inlineStr">
        <is>
          <t>2026-05-24 00:25:16</t>
        </is>
      </c>
    </row>
    <row r="1003">
      <c r="A1003" t="inlineStr">
        <is>
          <t>TXN00245095</t>
        </is>
      </c>
      <c r="B1003" t="inlineStr">
        <is>
          <t>MER00523</t>
        </is>
      </c>
      <c r="C1003" s="8" t="n">
        <v>46170</v>
      </c>
      <c r="D1003" t="inlineStr">
        <is>
          <t>ORD00245095</t>
        </is>
      </c>
      <c r="E1003" t="n">
        <v>708.54</v>
      </c>
      <c r="F1003" t="n">
        <v>1.86</v>
      </c>
      <c r="G1003" t="n">
        <v>13.18</v>
      </c>
      <c r="H1003" t="inlineStr">
        <is>
          <t>UPI</t>
        </is>
      </c>
      <c r="I1003" t="inlineStr">
        <is>
          <t>Success</t>
        </is>
      </c>
      <c r="J1003" t="inlineStr">
        <is>
          <t>Delivered</t>
        </is>
      </c>
      <c r="K1003" t="n">
        <v>0</v>
      </c>
      <c r="L1003" t="n">
        <v>0</v>
      </c>
      <c r="M1003" t="inlineStr">
        <is>
          <t>INR</t>
        </is>
      </c>
      <c r="N1003" t="inlineStr">
        <is>
          <t>2026-05-28 12:03:40</t>
        </is>
      </c>
    </row>
    <row r="1004">
      <c r="A1004" t="inlineStr">
        <is>
          <t>TXN00249814</t>
        </is>
      </c>
      <c r="B1004" t="inlineStr">
        <is>
          <t>MER00523</t>
        </is>
      </c>
      <c r="C1004" s="8" t="n">
        <v>46182</v>
      </c>
      <c r="D1004" t="inlineStr">
        <is>
          <t>ORD00249814</t>
        </is>
      </c>
      <c r="E1004" t="n">
        <v>558.78</v>
      </c>
      <c r="F1004" t="n">
        <v>1.86</v>
      </c>
      <c r="G1004" t="n">
        <v>10.39</v>
      </c>
      <c r="H1004" t="inlineStr">
        <is>
          <t>UPI</t>
        </is>
      </c>
      <c r="I1004" t="inlineStr">
        <is>
          <t>Success</t>
        </is>
      </c>
      <c r="J1004" t="inlineStr">
        <is>
          <t>Delivered</t>
        </is>
      </c>
      <c r="K1004" t="n">
        <v>0</v>
      </c>
      <c r="L1004" t="n">
        <v>0</v>
      </c>
      <c r="M1004" t="inlineStr">
        <is>
          <t>INR</t>
        </is>
      </c>
      <c r="N1004" t="inlineStr">
        <is>
          <t>2026-06-09 17:52:21</t>
        </is>
      </c>
    </row>
    <row r="1005">
      <c r="A1005" t="inlineStr">
        <is>
          <t>TXN00251380</t>
        </is>
      </c>
      <c r="B1005" t="inlineStr">
        <is>
          <t>MER00523</t>
        </is>
      </c>
      <c r="C1005" s="8" t="n">
        <v>46186</v>
      </c>
      <c r="D1005" t="inlineStr">
        <is>
          <t>ORD00251380</t>
        </is>
      </c>
      <c r="E1005" t="n">
        <v>850.9299999999999</v>
      </c>
      <c r="F1005" t="n">
        <v>1.86</v>
      </c>
      <c r="G1005" t="n">
        <v>15.83</v>
      </c>
      <c r="H1005" t="inlineStr">
        <is>
          <t>Card</t>
        </is>
      </c>
      <c r="I1005" t="inlineStr">
        <is>
          <t>Success</t>
        </is>
      </c>
      <c r="J1005" t="inlineStr">
        <is>
          <t>Delivered</t>
        </is>
      </c>
      <c r="K1005" t="n">
        <v>0</v>
      </c>
      <c r="L1005" t="n">
        <v>0</v>
      </c>
      <c r="M1005" t="inlineStr">
        <is>
          <t>INR</t>
        </is>
      </c>
      <c r="N1005" t="inlineStr">
        <is>
          <t>2026-06-13 15:50:37</t>
        </is>
      </c>
    </row>
    <row r="1006">
      <c r="A1006" t="inlineStr">
        <is>
          <t>TXN00252166</t>
        </is>
      </c>
      <c r="B1006" t="inlineStr">
        <is>
          <t>MER00523</t>
        </is>
      </c>
      <c r="C1006" s="8" t="n">
        <v>46188</v>
      </c>
      <c r="D1006" t="inlineStr">
        <is>
          <t>ORD00252166</t>
        </is>
      </c>
      <c r="E1006" t="n">
        <v>743.08</v>
      </c>
      <c r="F1006" t="n">
        <v>1.86</v>
      </c>
      <c r="G1006" t="n">
        <v>13.82</v>
      </c>
      <c r="H1006" t="inlineStr">
        <is>
          <t>NetBanking</t>
        </is>
      </c>
      <c r="I1006" t="inlineStr">
        <is>
          <t>Success</t>
        </is>
      </c>
      <c r="J1006" t="inlineStr">
        <is>
          <t>Delivered</t>
        </is>
      </c>
      <c r="K1006" t="n">
        <v>0</v>
      </c>
      <c r="L1006" t="n">
        <v>0</v>
      </c>
      <c r="M1006" t="inlineStr">
        <is>
          <t>INR</t>
        </is>
      </c>
      <c r="N1006" t="inlineStr">
        <is>
          <t>2026-06-15 02:09:03</t>
        </is>
      </c>
    </row>
    <row r="1007">
      <c r="A1007" t="inlineStr">
        <is>
          <t>TXN00257310</t>
        </is>
      </c>
      <c r="B1007" t="inlineStr">
        <is>
          <t>MER00523</t>
        </is>
      </c>
      <c r="C1007" s="8" t="n">
        <v>46201</v>
      </c>
      <c r="D1007" t="inlineStr">
        <is>
          <t>ORD00257310</t>
        </is>
      </c>
      <c r="E1007" t="n">
        <v>694.83</v>
      </c>
      <c r="F1007" t="n">
        <v>1.86</v>
      </c>
      <c r="G1007" t="n">
        <v>12.92</v>
      </c>
      <c r="H1007" t="inlineStr">
        <is>
          <t>UPI</t>
        </is>
      </c>
      <c r="I1007" t="inlineStr">
        <is>
          <t>Success</t>
        </is>
      </c>
      <c r="J1007" t="inlineStr">
        <is>
          <t>Delivered</t>
        </is>
      </c>
      <c r="K1007" t="n">
        <v>0</v>
      </c>
      <c r="L1007" t="n">
        <v>0</v>
      </c>
      <c r="M1007" t="inlineStr">
        <is>
          <t>INR</t>
        </is>
      </c>
      <c r="N1007" t="inlineStr">
        <is>
          <t>2026-06-28 17:05:43</t>
        </is>
      </c>
    </row>
    <row r="1008">
      <c r="A1008" t="inlineStr">
        <is>
          <t>TXN00258004</t>
        </is>
      </c>
      <c r="B1008" t="inlineStr">
        <is>
          <t>MER00523</t>
        </is>
      </c>
      <c r="C1008" s="8" t="n">
        <v>46203</v>
      </c>
      <c r="D1008" t="inlineStr">
        <is>
          <t>ORD00258004</t>
        </is>
      </c>
      <c r="E1008" t="n">
        <v>1372.87</v>
      </c>
      <c r="F1008" t="n">
        <v>1.86</v>
      </c>
      <c r="G1008" t="n">
        <v>25.54</v>
      </c>
      <c r="H1008" t="inlineStr">
        <is>
          <t>NetBanking</t>
        </is>
      </c>
      <c r="I1008" t="inlineStr">
        <is>
          <t>Success</t>
        </is>
      </c>
      <c r="J1008" t="inlineStr">
        <is>
          <t>Delivered</t>
        </is>
      </c>
      <c r="K1008" t="n">
        <v>0</v>
      </c>
      <c r="L1008" t="n">
        <v>0</v>
      </c>
      <c r="M1008" t="inlineStr">
        <is>
          <t>INR</t>
        </is>
      </c>
      <c r="N1008" t="inlineStr">
        <is>
          <t>2026-06-30 04:01:39</t>
        </is>
      </c>
    </row>
    <row r="1009">
      <c r="A1009" t="inlineStr">
        <is>
          <t>TXN00258633</t>
        </is>
      </c>
      <c r="B1009" t="inlineStr">
        <is>
          <t>MER00523</t>
        </is>
      </c>
      <c r="C1009" s="8" t="n">
        <v>46204</v>
      </c>
      <c r="D1009" t="inlineStr">
        <is>
          <t>ORD00258633</t>
        </is>
      </c>
      <c r="E1009" t="n">
        <v>1509.98</v>
      </c>
      <c r="F1009" t="n">
        <v>1.23</v>
      </c>
      <c r="G1009" t="n">
        <v>28.09</v>
      </c>
      <c r="H1009" t="inlineStr">
        <is>
          <t>Wallet</t>
        </is>
      </c>
      <c r="I1009" t="inlineStr">
        <is>
          <t>Success</t>
        </is>
      </c>
      <c r="J1009" t="inlineStr">
        <is>
          <t>Delivered</t>
        </is>
      </c>
      <c r="K1009" t="n">
        <v>0</v>
      </c>
      <c r="L1009" t="n">
        <v>0</v>
      </c>
      <c r="M1009" t="inlineStr">
        <is>
          <t>INR</t>
        </is>
      </c>
      <c r="N1009" t="inlineStr">
        <is>
          <t>2026-07-01 16:17:37</t>
        </is>
      </c>
    </row>
    <row r="1010">
      <c r="A1010" t="inlineStr">
        <is>
          <t>TXN00258910</t>
        </is>
      </c>
      <c r="B1010" t="inlineStr">
        <is>
          <t>MER00523</t>
        </is>
      </c>
      <c r="C1010" s="8" t="n">
        <v>46205</v>
      </c>
      <c r="D1010" t="inlineStr">
        <is>
          <t>ORD00258910</t>
        </is>
      </c>
      <c r="E1010" t="n">
        <v>468.12</v>
      </c>
      <c r="F1010" t="n">
        <v>1.86</v>
      </c>
      <c r="G1010" t="n">
        <v>8.710000000000001</v>
      </c>
      <c r="H1010" t="inlineStr">
        <is>
          <t>UPI</t>
        </is>
      </c>
      <c r="I1010" t="inlineStr">
        <is>
          <t>Success</t>
        </is>
      </c>
      <c r="J1010" t="inlineStr">
        <is>
          <t>Delivered</t>
        </is>
      </c>
      <c r="K1010" t="n">
        <v>0</v>
      </c>
      <c r="L1010" t="n">
        <v>0</v>
      </c>
      <c r="M1010" t="inlineStr">
        <is>
          <t>INR</t>
        </is>
      </c>
      <c r="N1010" t="inlineStr">
        <is>
          <t>2026-07-02 12:21:09</t>
        </is>
      </c>
    </row>
    <row r="1011">
      <c r="A1011" t="inlineStr">
        <is>
          <t>TXN00265923</t>
        </is>
      </c>
      <c r="B1011" t="inlineStr">
        <is>
          <t>MER00523</t>
        </is>
      </c>
      <c r="C1011" s="8" t="n">
        <v>46223</v>
      </c>
      <c r="D1011" t="inlineStr">
        <is>
          <t>ORD00265923</t>
        </is>
      </c>
      <c r="E1011" t="n">
        <v>443.56</v>
      </c>
      <c r="F1011" t="n">
        <v>1.86</v>
      </c>
      <c r="G1011" t="n">
        <v>8.25</v>
      </c>
      <c r="H1011" t="inlineStr">
        <is>
          <t>Card</t>
        </is>
      </c>
      <c r="I1011" t="inlineStr">
        <is>
          <t>Success</t>
        </is>
      </c>
      <c r="J1011" t="inlineStr">
        <is>
          <t>Delivered</t>
        </is>
      </c>
      <c r="K1011" t="n">
        <v>0</v>
      </c>
      <c r="L1011" t="n">
        <v>0</v>
      </c>
      <c r="M1011" t="inlineStr">
        <is>
          <t>INR</t>
        </is>
      </c>
      <c r="N1011" t="inlineStr">
        <is>
          <t>2026-07-20 11:52:57</t>
        </is>
      </c>
    </row>
    <row r="1012">
      <c r="A1012" t="inlineStr">
        <is>
          <t>TXN00267373</t>
        </is>
      </c>
      <c r="B1012" t="inlineStr">
        <is>
          <t>MER00523</t>
        </is>
      </c>
      <c r="C1012" s="8" t="n">
        <v>46227</v>
      </c>
      <c r="D1012" t="inlineStr">
        <is>
          <t>ORD00267373</t>
        </is>
      </c>
      <c r="E1012" t="n">
        <v>1017.83</v>
      </c>
      <c r="F1012" t="n">
        <v>1.86</v>
      </c>
      <c r="G1012" t="n">
        <v>18.93</v>
      </c>
      <c r="H1012" t="inlineStr">
        <is>
          <t>UPI</t>
        </is>
      </c>
      <c r="I1012" t="inlineStr">
        <is>
          <t>Success</t>
        </is>
      </c>
      <c r="J1012" t="inlineStr">
        <is>
          <t>Delivered</t>
        </is>
      </c>
      <c r="K1012" t="n">
        <v>0</v>
      </c>
      <c r="L1012" t="n">
        <v>60.69</v>
      </c>
      <c r="M1012" t="inlineStr">
        <is>
          <t>INR</t>
        </is>
      </c>
      <c r="N1012" t="inlineStr">
        <is>
          <t>2026-07-24 20:27:09</t>
        </is>
      </c>
    </row>
    <row r="1013">
      <c r="A1013" t="inlineStr">
        <is>
          <t>TXN00001342</t>
        </is>
      </c>
      <c r="B1013" t="inlineStr">
        <is>
          <t>MER00530</t>
        </is>
      </c>
      <c r="C1013" s="8" t="n">
        <v>45510</v>
      </c>
      <c r="D1013" t="inlineStr">
        <is>
          <t>ORD00001342</t>
        </is>
      </c>
      <c r="E1013" t="n">
        <v>6083.55</v>
      </c>
      <c r="F1013" t="n">
        <v>3.06</v>
      </c>
      <c r="G1013" t="n">
        <v>186.16</v>
      </c>
      <c r="H1013" t="inlineStr">
        <is>
          <t>COD</t>
        </is>
      </c>
      <c r="I1013" t="inlineStr">
        <is>
          <t>Success</t>
        </is>
      </c>
      <c r="J1013" t="inlineStr">
        <is>
          <t>Delivered</t>
        </is>
      </c>
      <c r="K1013" t="n">
        <v>0</v>
      </c>
      <c r="L1013" t="n">
        <v>0</v>
      </c>
      <c r="M1013" t="inlineStr">
        <is>
          <t>INR</t>
        </is>
      </c>
      <c r="N1013" t="inlineStr">
        <is>
          <t>2024-08-06 13:05:51</t>
        </is>
      </c>
    </row>
    <row r="1014">
      <c r="A1014" t="inlineStr">
        <is>
          <t>TXN00010484</t>
        </is>
      </c>
      <c r="B1014" t="inlineStr">
        <is>
          <t>MER00530</t>
        </is>
      </c>
      <c r="C1014" s="8" t="n">
        <v>45546</v>
      </c>
      <c r="D1014" t="inlineStr">
        <is>
          <t>ORD00010484</t>
        </is>
      </c>
      <c r="E1014" t="n">
        <v>543.33</v>
      </c>
      <c r="F1014" t="n">
        <v>3.06</v>
      </c>
      <c r="G1014" t="n">
        <v>16.63</v>
      </c>
      <c r="H1014" t="inlineStr">
        <is>
          <t>UPI</t>
        </is>
      </c>
      <c r="I1014" t="inlineStr">
        <is>
          <t>Success</t>
        </is>
      </c>
      <c r="J1014" t="inlineStr">
        <is>
          <t>Delivered</t>
        </is>
      </c>
      <c r="K1014" t="n">
        <v>0</v>
      </c>
      <c r="L1014" t="n">
        <v>0</v>
      </c>
      <c r="M1014" t="inlineStr">
        <is>
          <t>INR</t>
        </is>
      </c>
      <c r="N1014" t="inlineStr">
        <is>
          <t>2024-09-11 23:12:49</t>
        </is>
      </c>
    </row>
    <row r="1015">
      <c r="A1015" t="inlineStr">
        <is>
          <t>TXN00019593</t>
        </is>
      </c>
      <c r="B1015" t="inlineStr">
        <is>
          <t>MER00530</t>
        </is>
      </c>
      <c r="C1015" s="8" t="n">
        <v>45575</v>
      </c>
      <c r="D1015" t="inlineStr">
        <is>
          <t>ORD00019593</t>
        </is>
      </c>
      <c r="E1015" t="n">
        <v>2813.79</v>
      </c>
      <c r="F1015" t="n">
        <v>3.06</v>
      </c>
      <c r="G1015" t="n">
        <v>86.09999999999999</v>
      </c>
      <c r="H1015" t="inlineStr">
        <is>
          <t>Card</t>
        </is>
      </c>
      <c r="I1015" t="inlineStr">
        <is>
          <t>Success</t>
        </is>
      </c>
      <c r="J1015" t="inlineStr">
        <is>
          <t>Delivered</t>
        </is>
      </c>
      <c r="K1015" t="n">
        <v>0</v>
      </c>
      <c r="L1015" t="n">
        <v>0</v>
      </c>
      <c r="M1015" t="inlineStr">
        <is>
          <t>INR</t>
        </is>
      </c>
      <c r="N1015" t="inlineStr">
        <is>
          <t>2024-10-10 08:37:17</t>
        </is>
      </c>
    </row>
    <row r="1016">
      <c r="A1016" t="inlineStr">
        <is>
          <t>TXN00021612</t>
        </is>
      </c>
      <c r="B1016" t="inlineStr">
        <is>
          <t>MER00530</t>
        </is>
      </c>
      <c r="C1016" s="8" t="n">
        <v>45580</v>
      </c>
      <c r="D1016" t="inlineStr">
        <is>
          <t>ORD00021612</t>
        </is>
      </c>
      <c r="E1016" t="n">
        <v>3477.56</v>
      </c>
      <c r="F1016" t="n">
        <v>3.06</v>
      </c>
      <c r="G1016" t="n">
        <v>106.41</v>
      </c>
      <c r="H1016" t="inlineStr">
        <is>
          <t>Wallet</t>
        </is>
      </c>
      <c r="I1016" t="inlineStr">
        <is>
          <t>Pending</t>
        </is>
      </c>
      <c r="J1016" t="inlineStr">
        <is>
          <t>Processing</t>
        </is>
      </c>
      <c r="K1016" t="n">
        <v>0</v>
      </c>
      <c r="L1016" t="n">
        <v>0</v>
      </c>
      <c r="M1016" t="inlineStr">
        <is>
          <t>INR</t>
        </is>
      </c>
      <c r="N1016" t="inlineStr">
        <is>
          <t>2024-10-15 05:33:09</t>
        </is>
      </c>
    </row>
    <row r="1017">
      <c r="A1017" t="inlineStr">
        <is>
          <t>TXN00028593</t>
        </is>
      </c>
      <c r="B1017" t="inlineStr">
        <is>
          <t>MER00530</t>
        </is>
      </c>
      <c r="C1017" s="8" t="n">
        <v>45598</v>
      </c>
      <c r="D1017" t="inlineStr">
        <is>
          <t>ORD00028593</t>
        </is>
      </c>
      <c r="E1017" t="n">
        <v>4682.17</v>
      </c>
      <c r="F1017" t="n">
        <v>3.06</v>
      </c>
      <c r="G1017" t="n">
        <v>143.27</v>
      </c>
      <c r="H1017" t="inlineStr">
        <is>
          <t>UPI</t>
        </is>
      </c>
      <c r="I1017" t="inlineStr">
        <is>
          <t>Success</t>
        </is>
      </c>
      <c r="J1017" t="inlineStr">
        <is>
          <t>Delivered</t>
        </is>
      </c>
      <c r="K1017" t="n">
        <v>0</v>
      </c>
      <c r="L1017" t="n">
        <v>0</v>
      </c>
      <c r="M1017" t="inlineStr">
        <is>
          <t>INR</t>
        </is>
      </c>
      <c r="N1017" t="inlineStr">
        <is>
          <t>2024-11-02 08:19:26</t>
        </is>
      </c>
    </row>
    <row r="1018">
      <c r="A1018" t="inlineStr">
        <is>
          <t>TXN00034139</t>
        </is>
      </c>
      <c r="B1018" t="inlineStr">
        <is>
          <t>MER00530</t>
        </is>
      </c>
      <c r="C1018" s="8" t="n">
        <v>45610</v>
      </c>
      <c r="D1018" t="inlineStr">
        <is>
          <t>ORD00034139</t>
        </is>
      </c>
      <c r="E1018" t="n">
        <v>2994.72</v>
      </c>
      <c r="F1018" t="n">
        <v>3.06</v>
      </c>
      <c r="G1018" t="n">
        <v>91.64</v>
      </c>
      <c r="H1018" t="inlineStr">
        <is>
          <t>UPI</t>
        </is>
      </c>
      <c r="I1018" t="inlineStr">
        <is>
          <t>Success</t>
        </is>
      </c>
      <c r="J1018" t="inlineStr">
        <is>
          <t>Delivered</t>
        </is>
      </c>
      <c r="K1018" t="n">
        <v>0</v>
      </c>
      <c r="L1018" t="n">
        <v>0</v>
      </c>
      <c r="M1018" t="inlineStr">
        <is>
          <t>INR</t>
        </is>
      </c>
      <c r="N1018" t="inlineStr">
        <is>
          <t>2024-11-14 04:43:44</t>
        </is>
      </c>
    </row>
    <row r="1019">
      <c r="A1019" t="inlineStr">
        <is>
          <t>TXN00041228</t>
        </is>
      </c>
      <c r="B1019" t="inlineStr">
        <is>
          <t>MER00530</t>
        </is>
      </c>
      <c r="C1019" s="8" t="n">
        <v>45626</v>
      </c>
      <c r="D1019" t="inlineStr">
        <is>
          <t>ORD00041228</t>
        </is>
      </c>
      <c r="E1019" t="n">
        <v>3734</v>
      </c>
      <c r="F1019" t="n">
        <v>3.06</v>
      </c>
      <c r="G1019" t="n">
        <v>114.26</v>
      </c>
      <c r="H1019" t="inlineStr">
        <is>
          <t>UPI</t>
        </is>
      </c>
      <c r="I1019" t="inlineStr">
        <is>
          <t>Success</t>
        </is>
      </c>
      <c r="J1019" t="inlineStr">
        <is>
          <t>Delivered</t>
        </is>
      </c>
      <c r="K1019" t="n">
        <v>0</v>
      </c>
      <c r="L1019" t="n">
        <v>0</v>
      </c>
      <c r="M1019" t="inlineStr">
        <is>
          <t>INR</t>
        </is>
      </c>
      <c r="N1019" t="inlineStr">
        <is>
          <t>2024-11-30 19:35:57</t>
        </is>
      </c>
    </row>
    <row r="1020">
      <c r="A1020" t="inlineStr">
        <is>
          <t>TXN00047516</t>
        </is>
      </c>
      <c r="B1020" t="inlineStr">
        <is>
          <t>MER00530</t>
        </is>
      </c>
      <c r="C1020" s="8" t="n">
        <v>45645</v>
      </c>
      <c r="D1020" t="inlineStr">
        <is>
          <t>ORD00047516</t>
        </is>
      </c>
      <c r="E1020" t="n">
        <v>1222.71</v>
      </c>
      <c r="F1020" t="n">
        <v>3.06</v>
      </c>
      <c r="G1020" t="n">
        <v>37.41</v>
      </c>
      <c r="H1020" t="inlineStr">
        <is>
          <t>UPI</t>
        </is>
      </c>
      <c r="I1020" t="inlineStr">
        <is>
          <t>Success</t>
        </is>
      </c>
      <c r="J1020" t="inlineStr">
        <is>
          <t>Processing</t>
        </is>
      </c>
      <c r="K1020" t="n">
        <v>0</v>
      </c>
      <c r="L1020" t="n">
        <v>0</v>
      </c>
      <c r="M1020" t="inlineStr">
        <is>
          <t>INR</t>
        </is>
      </c>
      <c r="N1020" t="inlineStr">
        <is>
          <t>2024-12-19 22:58:41</t>
        </is>
      </c>
    </row>
    <row r="1021">
      <c r="A1021" t="inlineStr">
        <is>
          <t>TXN00058528</t>
        </is>
      </c>
      <c r="B1021" t="inlineStr">
        <is>
          <t>MER00530</t>
        </is>
      </c>
      <c r="C1021" s="8" t="n">
        <v>45677</v>
      </c>
      <c r="D1021" t="inlineStr">
        <is>
          <t>ORD00058528</t>
        </is>
      </c>
      <c r="E1021" t="n">
        <v>1486.81</v>
      </c>
      <c r="F1021" t="n">
        <v>3.06</v>
      </c>
      <c r="G1021" t="n">
        <v>45.5</v>
      </c>
      <c r="H1021" t="inlineStr">
        <is>
          <t>UPI</t>
        </is>
      </c>
      <c r="I1021" t="inlineStr">
        <is>
          <t>Success</t>
        </is>
      </c>
      <c r="J1021" t="inlineStr">
        <is>
          <t>Delivered</t>
        </is>
      </c>
      <c r="K1021" t="n">
        <v>0</v>
      </c>
      <c r="L1021" t="n">
        <v>0</v>
      </c>
      <c r="M1021" t="inlineStr">
        <is>
          <t>INR</t>
        </is>
      </c>
      <c r="N1021" t="inlineStr">
        <is>
          <t>2025-01-20 15:24:24</t>
        </is>
      </c>
    </row>
    <row r="1022">
      <c r="A1022" t="inlineStr">
        <is>
          <t>TXN00099242</t>
        </is>
      </c>
      <c r="B1022" t="inlineStr">
        <is>
          <t>MER00530</t>
        </is>
      </c>
      <c r="C1022" s="8" t="n">
        <v>45800</v>
      </c>
      <c r="D1022" t="inlineStr">
        <is>
          <t>ORD00099242</t>
        </is>
      </c>
      <c r="E1022" t="n">
        <v>2489.16</v>
      </c>
      <c r="F1022" t="n">
        <v>3.06</v>
      </c>
      <c r="G1022" t="n">
        <v>76.17</v>
      </c>
      <c r="H1022" t="inlineStr">
        <is>
          <t>UPI</t>
        </is>
      </c>
      <c r="I1022" t="inlineStr">
        <is>
          <t>Success</t>
        </is>
      </c>
      <c r="J1022" t="inlineStr">
        <is>
          <t>Processing</t>
        </is>
      </c>
      <c r="K1022" t="n">
        <v>0</v>
      </c>
      <c r="L1022" t="n">
        <v>0</v>
      </c>
      <c r="M1022" t="inlineStr">
        <is>
          <t>INR</t>
        </is>
      </c>
      <c r="N1022" t="inlineStr">
        <is>
          <t>2025-05-23 15:06:55</t>
        </is>
      </c>
    </row>
    <row r="1023">
      <c r="A1023" t="inlineStr">
        <is>
          <t>TXN00115295</t>
        </is>
      </c>
      <c r="B1023" t="inlineStr">
        <is>
          <t>MER00530</t>
        </is>
      </c>
      <c r="C1023" s="8" t="n">
        <v>45847</v>
      </c>
      <c r="D1023" t="inlineStr">
        <is>
          <t>ORD00115295</t>
        </is>
      </c>
      <c r="E1023" t="n">
        <v>918.49</v>
      </c>
      <c r="F1023" t="n">
        <v>3.06</v>
      </c>
      <c r="G1023" t="n">
        <v>28.11</v>
      </c>
      <c r="H1023" t="inlineStr">
        <is>
          <t>Card</t>
        </is>
      </c>
      <c r="I1023" t="inlineStr">
        <is>
          <t>Success</t>
        </is>
      </c>
      <c r="J1023" t="inlineStr">
        <is>
          <t>Returned</t>
        </is>
      </c>
      <c r="K1023" t="n">
        <v>918.49</v>
      </c>
      <c r="L1023" t="n">
        <v>46.9</v>
      </c>
      <c r="M1023" t="inlineStr">
        <is>
          <t>INR</t>
        </is>
      </c>
      <c r="N1023" t="inlineStr">
        <is>
          <t>2025-07-09 11:29:33</t>
        </is>
      </c>
    </row>
    <row r="1024">
      <c r="A1024" t="inlineStr">
        <is>
          <t>TXN00131337</t>
        </is>
      </c>
      <c r="B1024" t="inlineStr">
        <is>
          <t>MER00530</t>
        </is>
      </c>
      <c r="C1024" s="8" t="n">
        <v>45896</v>
      </c>
      <c r="D1024" t="inlineStr">
        <is>
          <t>ORD00131337</t>
        </is>
      </c>
      <c r="E1024" t="n">
        <v>2244.66</v>
      </c>
      <c r="F1024" t="n">
        <v>3.06</v>
      </c>
      <c r="G1024" t="n">
        <v>68.69</v>
      </c>
      <c r="H1024" t="inlineStr">
        <is>
          <t>Wallet</t>
        </is>
      </c>
      <c r="I1024" t="inlineStr">
        <is>
          <t>Success</t>
        </is>
      </c>
      <c r="J1024" t="inlineStr">
        <is>
          <t>Processing</t>
        </is>
      </c>
      <c r="K1024" t="n">
        <v>0</v>
      </c>
      <c r="L1024" t="n">
        <v>0</v>
      </c>
      <c r="M1024" t="inlineStr">
        <is>
          <t>INR</t>
        </is>
      </c>
      <c r="N1024" t="inlineStr">
        <is>
          <t>2025-08-27 03:23:21</t>
        </is>
      </c>
    </row>
    <row r="1025">
      <c r="A1025" t="inlineStr">
        <is>
          <t>TXN00151832</t>
        </is>
      </c>
      <c r="B1025" t="inlineStr">
        <is>
          <t>MER00530</t>
        </is>
      </c>
      <c r="C1025" s="8" t="n">
        <v>45948</v>
      </c>
      <c r="D1025" t="inlineStr">
        <is>
          <t>ORD00151832</t>
        </is>
      </c>
      <c r="E1025" t="n">
        <v>1950.65</v>
      </c>
      <c r="F1025" t="n">
        <v>3.06</v>
      </c>
      <c r="G1025" t="n">
        <v>59.69</v>
      </c>
      <c r="H1025" t="inlineStr">
        <is>
          <t>Card</t>
        </is>
      </c>
      <c r="I1025" t="inlineStr">
        <is>
          <t>Success</t>
        </is>
      </c>
      <c r="J1025" t="inlineStr">
        <is>
          <t>Delivered</t>
        </is>
      </c>
      <c r="K1025" t="n">
        <v>0</v>
      </c>
      <c r="L1025" t="n">
        <v>0</v>
      </c>
      <c r="M1025" t="inlineStr">
        <is>
          <t>INR</t>
        </is>
      </c>
      <c r="N1025" t="inlineStr">
        <is>
          <t>2025-10-18 07:51:51</t>
        </is>
      </c>
    </row>
    <row r="1026">
      <c r="A1026" t="inlineStr">
        <is>
          <t>TXN00164667</t>
        </is>
      </c>
      <c r="B1026" t="inlineStr">
        <is>
          <t>MER00530</t>
        </is>
      </c>
      <c r="C1026" s="8" t="n">
        <v>45973</v>
      </c>
      <c r="D1026" t="inlineStr">
        <is>
          <t>ORD00164667</t>
        </is>
      </c>
      <c r="E1026" t="n">
        <v>904.25</v>
      </c>
      <c r="F1026" t="n">
        <v>3.06</v>
      </c>
      <c r="G1026" t="n">
        <v>27.67</v>
      </c>
      <c r="H1026" t="inlineStr">
        <is>
          <t>UPI</t>
        </is>
      </c>
      <c r="I1026" t="inlineStr">
        <is>
          <t>Success</t>
        </is>
      </c>
      <c r="J1026" t="inlineStr">
        <is>
          <t>Delivered</t>
        </is>
      </c>
      <c r="K1026" t="n">
        <v>0</v>
      </c>
      <c r="L1026" t="n">
        <v>0</v>
      </c>
      <c r="M1026" t="inlineStr">
        <is>
          <t>INR</t>
        </is>
      </c>
      <c r="N1026" t="inlineStr">
        <is>
          <t>2025-11-12 12:04:43</t>
        </is>
      </c>
    </row>
    <row r="1027">
      <c r="A1027" t="inlineStr">
        <is>
          <t>TXN00167333</t>
        </is>
      </c>
      <c r="B1027" t="inlineStr">
        <is>
          <t>MER00530</t>
        </is>
      </c>
      <c r="C1027" s="8" t="n">
        <v>45978</v>
      </c>
      <c r="D1027" t="inlineStr">
        <is>
          <t>ORD00167333</t>
        </is>
      </c>
      <c r="E1027" t="n">
        <v>2103.87</v>
      </c>
      <c r="F1027" t="n">
        <v>3.06</v>
      </c>
      <c r="G1027" t="n">
        <v>64.38</v>
      </c>
      <c r="H1027" t="inlineStr">
        <is>
          <t>UPI</t>
        </is>
      </c>
      <c r="I1027" t="inlineStr">
        <is>
          <t>Success</t>
        </is>
      </c>
      <c r="J1027" t="inlineStr">
        <is>
          <t>Delivered</t>
        </is>
      </c>
      <c r="K1027" t="n">
        <v>0</v>
      </c>
      <c r="L1027" t="n">
        <v>0</v>
      </c>
      <c r="M1027" t="inlineStr">
        <is>
          <t>INR</t>
        </is>
      </c>
      <c r="N1027" t="inlineStr">
        <is>
          <t>2025-11-17 06:51:41</t>
        </is>
      </c>
    </row>
    <row r="1028">
      <c r="A1028" t="inlineStr">
        <is>
          <t>TXN00169012</t>
        </is>
      </c>
      <c r="B1028" t="inlineStr">
        <is>
          <t>MER00530</t>
        </is>
      </c>
      <c r="C1028" s="8" t="n">
        <v>45981</v>
      </c>
      <c r="D1028" t="inlineStr">
        <is>
          <t>ORD00169012</t>
        </is>
      </c>
      <c r="E1028" t="n">
        <v>2331.27</v>
      </c>
      <c r="F1028" t="n">
        <v>3.06</v>
      </c>
      <c r="G1028" t="n">
        <v>71.34</v>
      </c>
      <c r="H1028" t="inlineStr">
        <is>
          <t>Wallet</t>
        </is>
      </c>
      <c r="I1028" t="inlineStr">
        <is>
          <t>Success</t>
        </is>
      </c>
      <c r="J1028" t="inlineStr">
        <is>
          <t>Delivered</t>
        </is>
      </c>
      <c r="K1028" t="n">
        <v>0</v>
      </c>
      <c r="L1028" t="n">
        <v>0</v>
      </c>
      <c r="M1028" t="inlineStr">
        <is>
          <t>INR</t>
        </is>
      </c>
      <c r="N1028" t="inlineStr">
        <is>
          <t>2025-11-20 12:05:05</t>
        </is>
      </c>
    </row>
    <row r="1029">
      <c r="A1029" t="inlineStr">
        <is>
          <t>TXN00171149</t>
        </is>
      </c>
      <c r="B1029" t="inlineStr">
        <is>
          <t>MER00530</t>
        </is>
      </c>
      <c r="C1029" s="8" t="n">
        <v>45985</v>
      </c>
      <c r="D1029" t="inlineStr">
        <is>
          <t>ORD00171149</t>
        </is>
      </c>
      <c r="E1029" t="n">
        <v>2616.97</v>
      </c>
      <c r="F1029" t="n">
        <v>3.06</v>
      </c>
      <c r="G1029" t="n">
        <v>80.08</v>
      </c>
      <c r="H1029" t="inlineStr">
        <is>
          <t>UPI</t>
        </is>
      </c>
      <c r="I1029" t="inlineStr">
        <is>
          <t>Success</t>
        </is>
      </c>
      <c r="J1029" t="inlineStr">
        <is>
          <t>Delivered</t>
        </is>
      </c>
      <c r="K1029" t="n">
        <v>0</v>
      </c>
      <c r="L1029" t="n">
        <v>0</v>
      </c>
      <c r="M1029" t="inlineStr">
        <is>
          <t>INR</t>
        </is>
      </c>
      <c r="N1029" t="inlineStr">
        <is>
          <t>2025-11-24 12:36:21</t>
        </is>
      </c>
    </row>
    <row r="1030">
      <c r="A1030" t="inlineStr">
        <is>
          <t>TXN00202242</t>
        </is>
      </c>
      <c r="B1030" t="inlineStr">
        <is>
          <t>MER00530</t>
        </is>
      </c>
      <c r="C1030" s="8" t="n">
        <v>46058</v>
      </c>
      <c r="D1030" t="inlineStr">
        <is>
          <t>ORD00202242</t>
        </is>
      </c>
      <c r="E1030" t="n">
        <v>908.3</v>
      </c>
      <c r="F1030" t="n">
        <v>3.06</v>
      </c>
      <c r="G1030" t="n">
        <v>27.79</v>
      </c>
      <c r="H1030" t="inlineStr">
        <is>
          <t>UPI</t>
        </is>
      </c>
      <c r="I1030" t="inlineStr">
        <is>
          <t>Success</t>
        </is>
      </c>
      <c r="J1030" t="inlineStr">
        <is>
          <t>Returned</t>
        </is>
      </c>
      <c r="K1030" t="n">
        <v>908.3</v>
      </c>
      <c r="L1030" t="n">
        <v>0</v>
      </c>
      <c r="M1030" t="inlineStr">
        <is>
          <t>INR</t>
        </is>
      </c>
      <c r="N1030" t="inlineStr">
        <is>
          <t>2026-02-05 10:40:49</t>
        </is>
      </c>
    </row>
    <row r="1031">
      <c r="A1031" t="inlineStr">
        <is>
          <t>TXN00217441</t>
        </is>
      </c>
      <c r="B1031" t="inlineStr">
        <is>
          <t>MER00530</t>
        </is>
      </c>
      <c r="C1031" s="8" t="n">
        <v>46097</v>
      </c>
      <c r="D1031" t="inlineStr">
        <is>
          <t>ORD00217441</t>
        </is>
      </c>
      <c r="E1031" t="n">
        <v>2575.91</v>
      </c>
      <c r="F1031" t="n">
        <v>3.06</v>
      </c>
      <c r="G1031" t="n">
        <v>78.81999999999999</v>
      </c>
      <c r="H1031" t="inlineStr">
        <is>
          <t>UPI</t>
        </is>
      </c>
      <c r="I1031" t="inlineStr">
        <is>
          <t>Success</t>
        </is>
      </c>
      <c r="J1031" t="inlineStr">
        <is>
          <t>Delivered</t>
        </is>
      </c>
      <c r="K1031" t="n">
        <v>0</v>
      </c>
      <c r="L1031" t="n">
        <v>0</v>
      </c>
      <c r="M1031" t="inlineStr">
        <is>
          <t>INR</t>
        </is>
      </c>
      <c r="N1031" t="inlineStr">
        <is>
          <t>2026-03-16 23:16:04</t>
        </is>
      </c>
    </row>
    <row r="1032">
      <c r="A1032" t="inlineStr">
        <is>
          <t>TXN00247587</t>
        </is>
      </c>
      <c r="B1032" t="inlineStr">
        <is>
          <t>MER00530</t>
        </is>
      </c>
      <c r="C1032" s="8" t="n">
        <v>46177</v>
      </c>
      <c r="D1032" t="inlineStr">
        <is>
          <t>ORD00247587</t>
        </is>
      </c>
      <c r="E1032" t="n">
        <v>1614.07</v>
      </c>
      <c r="F1032" t="n">
        <v>3.15</v>
      </c>
      <c r="G1032" t="n">
        <v>50.84</v>
      </c>
      <c r="H1032" t="inlineStr">
        <is>
          <t>NetBanking</t>
        </is>
      </c>
      <c r="I1032" t="inlineStr">
        <is>
          <t>Success</t>
        </is>
      </c>
      <c r="J1032" t="inlineStr">
        <is>
          <t>Delivered</t>
        </is>
      </c>
      <c r="K1032" t="n">
        <v>0</v>
      </c>
      <c r="L1032" t="n">
        <v>0</v>
      </c>
      <c r="M1032" t="inlineStr">
        <is>
          <t>INR</t>
        </is>
      </c>
      <c r="N1032" t="inlineStr">
        <is>
          <t>2026-06-04 03:39:40</t>
        </is>
      </c>
    </row>
    <row r="1033">
      <c r="A1033" t="inlineStr">
        <is>
          <t>TXN00002244</t>
        </is>
      </c>
      <c r="B1033" t="inlineStr">
        <is>
          <t>MER00549</t>
        </is>
      </c>
      <c r="C1033" s="8" t="n">
        <v>45514</v>
      </c>
      <c r="D1033" t="inlineStr">
        <is>
          <t>ORD00002244</t>
        </is>
      </c>
      <c r="E1033" t="n">
        <v>3393.9</v>
      </c>
      <c r="F1033" t="n">
        <v>1.94</v>
      </c>
      <c r="G1033" t="n">
        <v>65.84</v>
      </c>
      <c r="H1033" t="inlineStr">
        <is>
          <t>UPI</t>
        </is>
      </c>
      <c r="I1033" t="inlineStr">
        <is>
          <t>Success</t>
        </is>
      </c>
      <c r="J1033" t="inlineStr">
        <is>
          <t>Delivered</t>
        </is>
      </c>
      <c r="K1033" t="n">
        <v>0</v>
      </c>
      <c r="L1033" t="n">
        <v>194.39</v>
      </c>
      <c r="M1033" t="inlineStr">
        <is>
          <t>INR</t>
        </is>
      </c>
      <c r="N1033" t="inlineStr">
        <is>
          <t>2024-08-10 16:40:17</t>
        </is>
      </c>
    </row>
    <row r="1034">
      <c r="A1034" t="inlineStr">
        <is>
          <t>TXN00003581</t>
        </is>
      </c>
      <c r="B1034" t="inlineStr">
        <is>
          <t>MER00549</t>
        </is>
      </c>
      <c r="C1034" s="8" t="n">
        <v>45519</v>
      </c>
      <c r="D1034" t="inlineStr">
        <is>
          <t>ORD00003581</t>
        </is>
      </c>
      <c r="E1034" t="n">
        <v>3202.67</v>
      </c>
      <c r="F1034" t="n">
        <v>1.94</v>
      </c>
      <c r="G1034" t="n">
        <v>62.13</v>
      </c>
      <c r="H1034" t="inlineStr">
        <is>
          <t>UPI</t>
        </is>
      </c>
      <c r="I1034" t="inlineStr">
        <is>
          <t>Success</t>
        </is>
      </c>
      <c r="J1034" t="inlineStr">
        <is>
          <t>Delivered</t>
        </is>
      </c>
      <c r="K1034" t="n">
        <v>0</v>
      </c>
      <c r="L1034" t="n">
        <v>0</v>
      </c>
      <c r="M1034" t="inlineStr">
        <is>
          <t>INR</t>
        </is>
      </c>
      <c r="N1034" t="inlineStr">
        <is>
          <t>2024-08-15 09:10:38</t>
        </is>
      </c>
    </row>
    <row r="1035">
      <c r="A1035" t="inlineStr">
        <is>
          <t>TXN00003584</t>
        </is>
      </c>
      <c r="B1035" t="inlineStr">
        <is>
          <t>MER00549</t>
        </is>
      </c>
      <c r="C1035" s="8" t="n">
        <v>45519</v>
      </c>
      <c r="D1035" t="inlineStr">
        <is>
          <t>ORD00003584</t>
        </is>
      </c>
      <c r="E1035" t="n">
        <v>1057.61</v>
      </c>
      <c r="F1035" t="n">
        <v>1.94</v>
      </c>
      <c r="G1035" t="n">
        <v>20.52</v>
      </c>
      <c r="H1035" t="inlineStr">
        <is>
          <t>NetBanking</t>
        </is>
      </c>
      <c r="I1035" t="inlineStr">
        <is>
          <t>Success</t>
        </is>
      </c>
      <c r="J1035" t="inlineStr">
        <is>
          <t>Cancelled</t>
        </is>
      </c>
      <c r="K1035" t="n">
        <v>993.83</v>
      </c>
      <c r="L1035" t="n">
        <v>203.17</v>
      </c>
      <c r="M1035" t="inlineStr">
        <is>
          <t>INR</t>
        </is>
      </c>
      <c r="N1035" t="inlineStr">
        <is>
          <t>2024-08-15 19:53:31</t>
        </is>
      </c>
    </row>
    <row r="1036">
      <c r="A1036" t="inlineStr">
        <is>
          <t>TXN00007674</t>
        </is>
      </c>
      <c r="B1036" t="inlineStr">
        <is>
          <t>MER00549</t>
        </is>
      </c>
      <c r="C1036" s="8" t="n">
        <v>45536</v>
      </c>
      <c r="D1036" t="inlineStr">
        <is>
          <t>ORD00007674</t>
        </is>
      </c>
      <c r="E1036" t="n">
        <v>1032.32</v>
      </c>
      <c r="F1036" t="n">
        <v>1.94</v>
      </c>
      <c r="G1036" t="n">
        <v>20.03</v>
      </c>
      <c r="H1036" t="inlineStr">
        <is>
          <t>UPI</t>
        </is>
      </c>
      <c r="I1036" t="inlineStr">
        <is>
          <t>Success</t>
        </is>
      </c>
      <c r="J1036" t="inlineStr">
        <is>
          <t>Cancelled</t>
        </is>
      </c>
      <c r="K1036" t="n">
        <v>953.53</v>
      </c>
      <c r="L1036" t="n">
        <v>0</v>
      </c>
      <c r="M1036" t="inlineStr">
        <is>
          <t>INR</t>
        </is>
      </c>
      <c r="N1036" t="inlineStr">
        <is>
          <t>2024-09-01 06:28:12</t>
        </is>
      </c>
    </row>
    <row r="1037">
      <c r="A1037" t="inlineStr">
        <is>
          <t>TXN00007685</t>
        </is>
      </c>
      <c r="B1037" t="inlineStr">
        <is>
          <t>MER00549</t>
        </is>
      </c>
      <c r="C1037" s="8" t="n">
        <v>45536</v>
      </c>
      <c r="D1037" t="inlineStr">
        <is>
          <t>ORD00007685</t>
        </is>
      </c>
      <c r="E1037" t="n">
        <v>3383.55</v>
      </c>
      <c r="F1037" t="n">
        <v>1.01</v>
      </c>
      <c r="G1037" t="n">
        <v>65.64</v>
      </c>
      <c r="H1037" t="inlineStr">
        <is>
          <t>Card</t>
        </is>
      </c>
      <c r="I1037" t="inlineStr">
        <is>
          <t>Failed</t>
        </is>
      </c>
      <c r="J1037" t="inlineStr">
        <is>
          <t>Cancelled</t>
        </is>
      </c>
      <c r="K1037" t="n">
        <v>0</v>
      </c>
      <c r="L1037" t="n">
        <v>629.72</v>
      </c>
      <c r="M1037" t="inlineStr">
        <is>
          <t>INR</t>
        </is>
      </c>
      <c r="N1037" t="inlineStr">
        <is>
          <t>2024-09-01 10:29:42</t>
        </is>
      </c>
    </row>
    <row r="1038">
      <c r="A1038" t="inlineStr">
        <is>
          <t>TXN00009583</t>
        </is>
      </c>
      <c r="B1038" t="inlineStr">
        <is>
          <t>MER00549</t>
        </is>
      </c>
      <c r="C1038" s="8" t="n">
        <v>45543</v>
      </c>
      <c r="D1038" t="inlineStr">
        <is>
          <t>ORD00009583</t>
        </is>
      </c>
      <c r="E1038" t="n">
        <v>6656.39</v>
      </c>
      <c r="F1038" t="n">
        <v>1.94</v>
      </c>
      <c r="G1038" t="n">
        <v>129.13</v>
      </c>
      <c r="H1038" t="inlineStr">
        <is>
          <t>Card</t>
        </is>
      </c>
      <c r="I1038" t="inlineStr">
        <is>
          <t>Unknown</t>
        </is>
      </c>
      <c r="J1038" t="inlineStr">
        <is>
          <t>Delivered</t>
        </is>
      </c>
      <c r="K1038" t="n">
        <v>0</v>
      </c>
      <c r="L1038" t="n">
        <v>0</v>
      </c>
      <c r="M1038" t="inlineStr">
        <is>
          <t>INR</t>
        </is>
      </c>
      <c r="N1038" t="inlineStr">
        <is>
          <t>2024-09-08 03:09:31</t>
        </is>
      </c>
    </row>
    <row r="1039">
      <c r="A1039" t="inlineStr">
        <is>
          <t>TXN00010197</t>
        </is>
      </c>
      <c r="B1039" t="inlineStr">
        <is>
          <t>MER00549</t>
        </is>
      </c>
      <c r="C1039" s="8" t="n">
        <v>45545</v>
      </c>
      <c r="D1039" t="inlineStr">
        <is>
          <t>ORD00010197</t>
        </is>
      </c>
      <c r="E1039" t="n">
        <v>2403.43</v>
      </c>
      <c r="F1039" t="n">
        <v>1.94</v>
      </c>
      <c r="G1039" t="n">
        <v>46.63</v>
      </c>
      <c r="H1039" t="inlineStr">
        <is>
          <t>UPI</t>
        </is>
      </c>
      <c r="I1039" t="inlineStr">
        <is>
          <t>Success</t>
        </is>
      </c>
      <c r="J1039" t="inlineStr">
        <is>
          <t>Delivered</t>
        </is>
      </c>
      <c r="K1039" t="n">
        <v>0</v>
      </c>
      <c r="L1039" t="n">
        <v>0</v>
      </c>
      <c r="M1039" t="inlineStr">
        <is>
          <t>INR</t>
        </is>
      </c>
      <c r="N1039" t="inlineStr">
        <is>
          <t>2024-09-10 06:02:05</t>
        </is>
      </c>
    </row>
    <row r="1040">
      <c r="A1040" t="inlineStr">
        <is>
          <t>TXN00011647</t>
        </is>
      </c>
      <c r="B1040" t="inlineStr">
        <is>
          <t>MER00549</t>
        </is>
      </c>
      <c r="C1040" s="8" t="n">
        <v>45550</v>
      </c>
      <c r="D1040" t="inlineStr">
        <is>
          <t>ORD00011647</t>
        </is>
      </c>
      <c r="E1040" t="n">
        <v>3612.51</v>
      </c>
      <c r="F1040" t="n">
        <v>1.94</v>
      </c>
      <c r="G1040" t="n">
        <v>70.08</v>
      </c>
      <c r="H1040" t="inlineStr">
        <is>
          <t>UPI</t>
        </is>
      </c>
      <c r="I1040" t="inlineStr">
        <is>
          <t>Failed</t>
        </is>
      </c>
      <c r="J1040" t="inlineStr">
        <is>
          <t>Cancelled</t>
        </is>
      </c>
      <c r="K1040" t="n">
        <v>0</v>
      </c>
      <c r="L1040" t="n">
        <v>0</v>
      </c>
      <c r="M1040" t="inlineStr">
        <is>
          <t>INR</t>
        </is>
      </c>
      <c r="N1040" t="inlineStr">
        <is>
          <t>2024-09-15 06:48:55</t>
        </is>
      </c>
    </row>
    <row r="1041">
      <c r="A1041" t="inlineStr">
        <is>
          <t>TXN00013055</t>
        </is>
      </c>
      <c r="B1041" t="inlineStr">
        <is>
          <t>MER00549</t>
        </is>
      </c>
      <c r="C1041" s="8" t="n">
        <v>45555</v>
      </c>
      <c r="D1041" t="inlineStr">
        <is>
          <t>ORD00013055</t>
        </is>
      </c>
      <c r="E1041" t="n">
        <v>7729.62</v>
      </c>
      <c r="F1041" t="n">
        <v>1.94</v>
      </c>
      <c r="G1041" t="n">
        <v>149.95</v>
      </c>
      <c r="H1041" t="inlineStr">
        <is>
          <t>UPI</t>
        </is>
      </c>
      <c r="I1041" t="inlineStr">
        <is>
          <t>Success</t>
        </is>
      </c>
      <c r="J1041" t="inlineStr">
        <is>
          <t>Delivered</t>
        </is>
      </c>
      <c r="K1041" t="n">
        <v>0</v>
      </c>
      <c r="L1041" t="n">
        <v>0</v>
      </c>
      <c r="M1041" t="inlineStr">
        <is>
          <t>INR</t>
        </is>
      </c>
      <c r="N1041" t="inlineStr">
        <is>
          <t>2024-09-20 06:33:11</t>
        </is>
      </c>
    </row>
    <row r="1042">
      <c r="A1042" t="inlineStr">
        <is>
          <t>TXN00013333</t>
        </is>
      </c>
      <c r="B1042" t="inlineStr">
        <is>
          <t>MER00549</t>
        </is>
      </c>
      <c r="C1042" s="8" t="n">
        <v>45556</v>
      </c>
      <c r="D1042" t="inlineStr">
        <is>
          <t>ORD00013333</t>
        </is>
      </c>
      <c r="E1042" t="n">
        <v>3847.63</v>
      </c>
      <c r="F1042" t="n">
        <v>1.94</v>
      </c>
      <c r="G1042" t="n">
        <v>74.64</v>
      </c>
      <c r="H1042" t="inlineStr">
        <is>
          <t>NetBanking</t>
        </is>
      </c>
      <c r="I1042" t="inlineStr">
        <is>
          <t>Success</t>
        </is>
      </c>
      <c r="J1042" t="inlineStr">
        <is>
          <t>Delivered</t>
        </is>
      </c>
      <c r="K1042" t="n">
        <v>0</v>
      </c>
      <c r="L1042" t="n">
        <v>515.2</v>
      </c>
      <c r="M1042" t="inlineStr">
        <is>
          <t>INR</t>
        </is>
      </c>
      <c r="N1042" t="inlineStr">
        <is>
          <t>2024-09-21 16:27:58</t>
        </is>
      </c>
    </row>
    <row r="1043">
      <c r="A1043" t="inlineStr">
        <is>
          <t>TXN00014837</t>
        </is>
      </c>
      <c r="B1043" t="inlineStr">
        <is>
          <t>MER00549</t>
        </is>
      </c>
      <c r="C1043" s="8" t="n">
        <v>45561</v>
      </c>
      <c r="D1043" t="inlineStr">
        <is>
          <t>ORD00014837</t>
        </is>
      </c>
      <c r="E1043" t="n">
        <v>1231.68</v>
      </c>
      <c r="F1043" t="n">
        <v>1.94</v>
      </c>
      <c r="G1043" t="n">
        <v>23.89</v>
      </c>
      <c r="H1043" t="inlineStr">
        <is>
          <t>Wallet</t>
        </is>
      </c>
      <c r="I1043" t="inlineStr">
        <is>
          <t>Failed</t>
        </is>
      </c>
      <c r="J1043" t="inlineStr">
        <is>
          <t>Cancelled</t>
        </is>
      </c>
      <c r="K1043" t="n">
        <v>0</v>
      </c>
      <c r="L1043" t="n">
        <v>0</v>
      </c>
      <c r="M1043" t="inlineStr">
        <is>
          <t>INR</t>
        </is>
      </c>
      <c r="N1043" t="inlineStr">
        <is>
          <t>2024-09-26 23:33:01</t>
        </is>
      </c>
    </row>
    <row r="1044">
      <c r="A1044" t="inlineStr">
        <is>
          <t>TXN00015792</t>
        </is>
      </c>
      <c r="B1044" t="inlineStr">
        <is>
          <t>MER00549</t>
        </is>
      </c>
      <c r="C1044" s="8" t="n">
        <v>45564</v>
      </c>
      <c r="D1044" t="inlineStr">
        <is>
          <t>ORD00015792</t>
        </is>
      </c>
      <c r="E1044" t="n">
        <v>5635.43</v>
      </c>
      <c r="F1044" t="n">
        <v>1.94</v>
      </c>
      <c r="G1044" t="n">
        <v>109.33</v>
      </c>
      <c r="H1044" t="inlineStr">
        <is>
          <t>Card</t>
        </is>
      </c>
      <c r="I1044" t="inlineStr">
        <is>
          <t>Success</t>
        </is>
      </c>
      <c r="J1044" t="inlineStr">
        <is>
          <t>Returned</t>
        </is>
      </c>
      <c r="K1044" t="n">
        <v>5635.43</v>
      </c>
      <c r="L1044" t="n">
        <v>0</v>
      </c>
      <c r="M1044" t="inlineStr">
        <is>
          <t>INR</t>
        </is>
      </c>
      <c r="N1044" t="inlineStr">
        <is>
          <t>2024-09-29 13:08:55</t>
        </is>
      </c>
    </row>
    <row r="1045">
      <c r="A1045" t="inlineStr">
        <is>
          <t>TXN00015791</t>
        </is>
      </c>
      <c r="B1045" t="inlineStr">
        <is>
          <t>MER00549</t>
        </is>
      </c>
      <c r="C1045" s="8" t="n">
        <v>45564</v>
      </c>
      <c r="D1045" t="inlineStr">
        <is>
          <t>ORD00015791</t>
        </is>
      </c>
      <c r="E1045" t="n">
        <v>2190.7</v>
      </c>
      <c r="F1045" t="n">
        <v>1.94</v>
      </c>
      <c r="G1045" t="n">
        <v>42.5</v>
      </c>
      <c r="H1045" t="inlineStr">
        <is>
          <t>Card</t>
        </is>
      </c>
      <c r="I1045" t="inlineStr">
        <is>
          <t>Success</t>
        </is>
      </c>
      <c r="J1045" t="inlineStr">
        <is>
          <t>Processing</t>
        </is>
      </c>
      <c r="K1045" t="n">
        <v>0</v>
      </c>
      <c r="L1045" t="n">
        <v>0</v>
      </c>
      <c r="M1045" t="inlineStr">
        <is>
          <t>INR</t>
        </is>
      </c>
      <c r="N1045" t="inlineStr">
        <is>
          <t>2024-09-29 09:05:36</t>
        </is>
      </c>
    </row>
    <row r="1046">
      <c r="A1046" t="inlineStr">
        <is>
          <t>TXN00016520</t>
        </is>
      </c>
      <c r="B1046" t="inlineStr">
        <is>
          <t>MER00549</t>
        </is>
      </c>
      <c r="C1046" s="8" t="n">
        <v>45566</v>
      </c>
      <c r="D1046" t="inlineStr">
        <is>
          <t>ORD00016520</t>
        </is>
      </c>
      <c r="E1046" t="n">
        <v>2609.27</v>
      </c>
      <c r="F1046" t="n">
        <v>1.94</v>
      </c>
      <c r="G1046" t="n">
        <v>50.62</v>
      </c>
      <c r="H1046" t="inlineStr">
        <is>
          <t>UPI</t>
        </is>
      </c>
      <c r="I1046" t="inlineStr">
        <is>
          <t>Success</t>
        </is>
      </c>
      <c r="J1046" t="inlineStr">
        <is>
          <t>Delivered</t>
        </is>
      </c>
      <c r="K1046" t="n">
        <v>0</v>
      </c>
      <c r="L1046" t="n">
        <v>0</v>
      </c>
      <c r="M1046" t="inlineStr">
        <is>
          <t>INR</t>
        </is>
      </c>
      <c r="N1046" t="inlineStr">
        <is>
          <t>2024-10-01 22:41:37</t>
        </is>
      </c>
    </row>
    <row r="1047">
      <c r="A1047" t="inlineStr">
        <is>
          <t>TXN00016955</t>
        </is>
      </c>
      <c r="B1047" t="inlineStr">
        <is>
          <t>MER00549</t>
        </is>
      </c>
      <c r="C1047" s="8" t="n">
        <v>45568</v>
      </c>
      <c r="D1047" t="inlineStr">
        <is>
          <t>ORD00016955</t>
        </is>
      </c>
      <c r="E1047" t="n">
        <v>10128.17</v>
      </c>
      <c r="F1047" t="n">
        <v>1.94</v>
      </c>
      <c r="G1047" t="n">
        <v>196.49</v>
      </c>
      <c r="H1047" t="inlineStr">
        <is>
          <t>UPI</t>
        </is>
      </c>
      <c r="I1047" t="inlineStr">
        <is>
          <t>Success</t>
        </is>
      </c>
      <c r="J1047" t="inlineStr">
        <is>
          <t>Delivered</t>
        </is>
      </c>
      <c r="K1047" t="n">
        <v>0</v>
      </c>
      <c r="L1047" t="n">
        <v>0</v>
      </c>
      <c r="M1047" t="inlineStr">
        <is>
          <t>INR</t>
        </is>
      </c>
      <c r="N1047" t="inlineStr">
        <is>
          <t>2024-10-03 13:57:47</t>
        </is>
      </c>
    </row>
    <row r="1048">
      <c r="A1048" t="inlineStr">
        <is>
          <t>TXN00017234</t>
        </is>
      </c>
      <c r="B1048" t="inlineStr">
        <is>
          <t>MER00549</t>
        </is>
      </c>
      <c r="C1048" s="8" t="n">
        <v>45568</v>
      </c>
      <c r="D1048" t="inlineStr">
        <is>
          <t>ORD00017234</t>
        </is>
      </c>
      <c r="E1048" t="n">
        <v>2077.51</v>
      </c>
      <c r="F1048" t="n">
        <v>1.94</v>
      </c>
      <c r="G1048" t="n">
        <v>40.3</v>
      </c>
      <c r="H1048" t="inlineStr">
        <is>
          <t>UPI</t>
        </is>
      </c>
      <c r="I1048" t="inlineStr">
        <is>
          <t>Success</t>
        </is>
      </c>
      <c r="J1048" t="inlineStr">
        <is>
          <t>Delivered</t>
        </is>
      </c>
      <c r="K1048" t="n">
        <v>0</v>
      </c>
      <c r="L1048" t="n">
        <v>128.59</v>
      </c>
      <c r="M1048" t="inlineStr">
        <is>
          <t>INR</t>
        </is>
      </c>
      <c r="N1048" t="inlineStr">
        <is>
          <t>2024-10-03 03:04:00</t>
        </is>
      </c>
    </row>
    <row r="1049">
      <c r="A1049" t="inlineStr">
        <is>
          <t>TXN00017362</t>
        </is>
      </c>
      <c r="B1049" t="inlineStr">
        <is>
          <t>MER00549</t>
        </is>
      </c>
      <c r="C1049" s="8" t="n">
        <v>45569</v>
      </c>
      <c r="D1049" t="inlineStr">
        <is>
          <t>ORD00017362</t>
        </is>
      </c>
      <c r="E1049" t="n">
        <v>1623.1</v>
      </c>
      <c r="F1049" t="n">
        <v>1.94</v>
      </c>
      <c r="G1049" t="n">
        <v>31.49</v>
      </c>
      <c r="H1049" t="inlineStr">
        <is>
          <t>Card</t>
        </is>
      </c>
      <c r="I1049" t="inlineStr">
        <is>
          <t>Success</t>
        </is>
      </c>
      <c r="J1049" t="inlineStr">
        <is>
          <t>Delivered</t>
        </is>
      </c>
      <c r="K1049" t="n">
        <v>0</v>
      </c>
      <c r="L1049" t="n">
        <v>0</v>
      </c>
      <c r="M1049" t="inlineStr">
        <is>
          <t>INR</t>
        </is>
      </c>
      <c r="N1049" t="inlineStr">
        <is>
          <t>2024-10-04 15:49:38</t>
        </is>
      </c>
    </row>
    <row r="1050">
      <c r="A1050" t="inlineStr">
        <is>
          <t>TXN00017893</t>
        </is>
      </c>
      <c r="B1050" t="inlineStr">
        <is>
          <t>MER00549</t>
        </is>
      </c>
      <c r="C1050" s="8" t="n">
        <v>45570</v>
      </c>
      <c r="D1050" t="inlineStr">
        <is>
          <t>ORD00017893</t>
        </is>
      </c>
      <c r="E1050" t="n">
        <v>5564.48</v>
      </c>
      <c r="F1050" t="n">
        <v>1.94</v>
      </c>
      <c r="G1050" t="n">
        <v>107.95</v>
      </c>
      <c r="H1050" t="inlineStr">
        <is>
          <t>UPI</t>
        </is>
      </c>
      <c r="I1050" t="inlineStr">
        <is>
          <t>Success</t>
        </is>
      </c>
      <c r="J1050" t="inlineStr">
        <is>
          <t>Delivered</t>
        </is>
      </c>
      <c r="K1050" t="n">
        <v>0</v>
      </c>
      <c r="L1050" t="n">
        <v>0</v>
      </c>
      <c r="M1050" t="inlineStr">
        <is>
          <t>INR</t>
        </is>
      </c>
      <c r="N1050" t="inlineStr">
        <is>
          <t>2024-10-05 06:01:31</t>
        </is>
      </c>
    </row>
    <row r="1051">
      <c r="A1051" t="inlineStr">
        <is>
          <t>TXN00018855</t>
        </is>
      </c>
      <c r="B1051" t="inlineStr">
        <is>
          <t>MER00549</t>
        </is>
      </c>
      <c r="C1051" s="8" t="n">
        <v>45573</v>
      </c>
      <c r="D1051" t="inlineStr">
        <is>
          <t>ORD00018855</t>
        </is>
      </c>
      <c r="E1051" t="n">
        <v>2506.06</v>
      </c>
      <c r="F1051" t="n">
        <v>2.82</v>
      </c>
      <c r="G1051" t="n">
        <v>48.62</v>
      </c>
      <c r="H1051" t="inlineStr">
        <is>
          <t>UPI</t>
        </is>
      </c>
      <c r="I1051" t="inlineStr">
        <is>
          <t>Success</t>
        </is>
      </c>
      <c r="J1051" t="inlineStr">
        <is>
          <t>Delivered</t>
        </is>
      </c>
      <c r="K1051" t="n">
        <v>0</v>
      </c>
      <c r="L1051" t="n">
        <v>0</v>
      </c>
      <c r="M1051" t="inlineStr">
        <is>
          <t>INR</t>
        </is>
      </c>
      <c r="N1051" t="inlineStr">
        <is>
          <t>2024-10-08 00:51:23</t>
        </is>
      </c>
    </row>
    <row r="1052">
      <c r="A1052" t="inlineStr">
        <is>
          <t>TXN00019333</t>
        </is>
      </c>
      <c r="B1052" t="inlineStr">
        <is>
          <t>MER00549</t>
        </is>
      </c>
      <c r="C1052" s="8" t="n">
        <v>45574</v>
      </c>
      <c r="D1052" t="inlineStr">
        <is>
          <t>ORD00019333</t>
        </is>
      </c>
      <c r="E1052" t="n">
        <v>3963.72</v>
      </c>
      <c r="F1052" t="n">
        <v>1.94</v>
      </c>
      <c r="G1052" t="n">
        <v>76.90000000000001</v>
      </c>
      <c r="H1052" t="inlineStr">
        <is>
          <t>UPI</t>
        </is>
      </c>
      <c r="I1052" t="inlineStr">
        <is>
          <t>Failed</t>
        </is>
      </c>
      <c r="J1052" t="inlineStr">
        <is>
          <t>Cancelled</t>
        </is>
      </c>
      <c r="K1052" t="n">
        <v>0</v>
      </c>
      <c r="L1052" t="n">
        <v>0</v>
      </c>
      <c r="M1052" t="inlineStr">
        <is>
          <t>INR</t>
        </is>
      </c>
      <c r="N1052" t="inlineStr">
        <is>
          <t>2024-10-09 02:22:39</t>
        </is>
      </c>
    </row>
    <row r="1053">
      <c r="A1053" t="inlineStr">
        <is>
          <t>TXN00019926</t>
        </is>
      </c>
      <c r="B1053" t="inlineStr">
        <is>
          <t>MER00549</t>
        </is>
      </c>
      <c r="C1053" s="8" t="n">
        <v>45575</v>
      </c>
      <c r="D1053" t="inlineStr">
        <is>
          <t>ORD00019926</t>
        </is>
      </c>
      <c r="E1053" t="n">
        <v>4377.82</v>
      </c>
      <c r="F1053" t="n">
        <v>1.94</v>
      </c>
      <c r="G1053" t="n">
        <v>84.93000000000001</v>
      </c>
      <c r="H1053" t="inlineStr">
        <is>
          <t>Card</t>
        </is>
      </c>
      <c r="I1053" t="inlineStr">
        <is>
          <t>Pending</t>
        </is>
      </c>
      <c r="J1053" t="inlineStr">
        <is>
          <t>Processing</t>
        </is>
      </c>
      <c r="K1053" t="n">
        <v>0</v>
      </c>
      <c r="L1053" t="n">
        <v>0</v>
      </c>
      <c r="M1053" t="inlineStr">
        <is>
          <t>INR</t>
        </is>
      </c>
      <c r="N1053" t="inlineStr">
        <is>
          <t>2024-10-10 09:58:39</t>
        </is>
      </c>
    </row>
    <row r="1054">
      <c r="A1054" t="inlineStr">
        <is>
          <t>TXN00021468</t>
        </is>
      </c>
      <c r="B1054" t="inlineStr">
        <is>
          <t>MER00549</t>
        </is>
      </c>
      <c r="C1054" s="8" t="n">
        <v>45579</v>
      </c>
      <c r="D1054" t="inlineStr">
        <is>
          <t>ORD00021468</t>
        </is>
      </c>
      <c r="E1054" t="n">
        <v>1735.63</v>
      </c>
      <c r="F1054" t="n">
        <v>1.94</v>
      </c>
      <c r="G1054" t="n">
        <v>33.67</v>
      </c>
      <c r="H1054" t="inlineStr">
        <is>
          <t>UPI</t>
        </is>
      </c>
      <c r="I1054" t="inlineStr">
        <is>
          <t>Success</t>
        </is>
      </c>
      <c r="J1054" t="inlineStr">
        <is>
          <t>Delivered</t>
        </is>
      </c>
      <c r="K1054" t="n">
        <v>0</v>
      </c>
      <c r="L1054" t="n">
        <v>0</v>
      </c>
      <c r="M1054" t="inlineStr">
        <is>
          <t>INR</t>
        </is>
      </c>
      <c r="N1054" t="inlineStr">
        <is>
          <t>2024-10-14 22:10:34</t>
        </is>
      </c>
    </row>
    <row r="1055">
      <c r="A1055" t="inlineStr">
        <is>
          <t>TXN00023549</t>
        </is>
      </c>
      <c r="B1055" t="inlineStr">
        <is>
          <t>MER00549</t>
        </is>
      </c>
      <c r="C1055" s="8" t="n">
        <v>45585</v>
      </c>
      <c r="D1055" t="inlineStr">
        <is>
          <t>ORD00023549</t>
        </is>
      </c>
      <c r="E1055" t="n">
        <v>3266.24</v>
      </c>
      <c r="F1055" t="n">
        <v>1.94</v>
      </c>
      <c r="G1055" t="n">
        <v>63.37</v>
      </c>
      <c r="H1055" t="inlineStr">
        <is>
          <t>Card</t>
        </is>
      </c>
      <c r="I1055" t="inlineStr">
        <is>
          <t>Success</t>
        </is>
      </c>
      <c r="J1055" t="inlineStr">
        <is>
          <t>Delivered</t>
        </is>
      </c>
      <c r="K1055" t="n">
        <v>0</v>
      </c>
      <c r="L1055" t="n">
        <v>0</v>
      </c>
      <c r="M1055" t="inlineStr">
        <is>
          <t>INR</t>
        </is>
      </c>
      <c r="N1055" t="inlineStr">
        <is>
          <t>2024-10-20 23:32:54</t>
        </is>
      </c>
    </row>
    <row r="1056">
      <c r="A1056" t="inlineStr">
        <is>
          <t>TXN00023496</t>
        </is>
      </c>
      <c r="B1056" t="inlineStr">
        <is>
          <t>MER00549</t>
        </is>
      </c>
      <c r="C1056" s="8" t="n">
        <v>45585</v>
      </c>
      <c r="D1056" t="inlineStr">
        <is>
          <t>ORD00023496</t>
        </is>
      </c>
      <c r="E1056" t="n">
        <v>1459.89</v>
      </c>
      <c r="F1056" t="n">
        <v>1.94</v>
      </c>
      <c r="G1056" t="n">
        <v>28.32</v>
      </c>
      <c r="H1056" t="inlineStr">
        <is>
          <t>UPI</t>
        </is>
      </c>
      <c r="I1056" t="inlineStr">
        <is>
          <t>Success</t>
        </is>
      </c>
      <c r="J1056" t="inlineStr">
        <is>
          <t>Delivered</t>
        </is>
      </c>
      <c r="K1056" t="n">
        <v>0</v>
      </c>
      <c r="L1056" t="n">
        <v>0</v>
      </c>
      <c r="M1056" t="inlineStr">
        <is>
          <t>INR</t>
        </is>
      </c>
      <c r="N1056" t="inlineStr">
        <is>
          <t>2024-10-20 00:07:54</t>
        </is>
      </c>
    </row>
    <row r="1057">
      <c r="A1057" t="inlineStr">
        <is>
          <t>TXN00025391</t>
        </is>
      </c>
      <c r="B1057" t="inlineStr">
        <is>
          <t>MER00549</t>
        </is>
      </c>
      <c r="C1057" s="8" t="n">
        <v>45590</v>
      </c>
      <c r="D1057" t="inlineStr">
        <is>
          <t>ORD00025391</t>
        </is>
      </c>
      <c r="E1057" t="n">
        <v>4302.26</v>
      </c>
      <c r="F1057" t="n">
        <v>1.94</v>
      </c>
      <c r="G1057" t="n">
        <v>83.45999999999999</v>
      </c>
      <c r="H1057" t="inlineStr">
        <is>
          <t>UPI</t>
        </is>
      </c>
      <c r="I1057" t="inlineStr">
        <is>
          <t>Success</t>
        </is>
      </c>
      <c r="J1057" t="inlineStr">
        <is>
          <t>Delivered</t>
        </is>
      </c>
      <c r="K1057" t="n">
        <v>0</v>
      </c>
      <c r="L1057" t="n">
        <v>0</v>
      </c>
      <c r="M1057" t="inlineStr">
        <is>
          <t>INR</t>
        </is>
      </c>
      <c r="N1057" t="inlineStr">
        <is>
          <t>2024-10-25 19:34:20</t>
        </is>
      </c>
    </row>
    <row r="1058">
      <c r="A1058" t="inlineStr">
        <is>
          <t>TXN00025395</t>
        </is>
      </c>
      <c r="B1058" t="inlineStr">
        <is>
          <t>MER00549</t>
        </is>
      </c>
      <c r="C1058" s="8" t="n">
        <v>45590</v>
      </c>
      <c r="D1058" t="inlineStr">
        <is>
          <t>ORD00025395</t>
        </is>
      </c>
      <c r="E1058" t="n">
        <v>6090.57</v>
      </c>
      <c r="F1058" t="n">
        <v>1.94</v>
      </c>
      <c r="G1058" t="n">
        <v>118.16</v>
      </c>
      <c r="H1058" t="inlineStr">
        <is>
          <t>Card</t>
        </is>
      </c>
      <c r="I1058" t="inlineStr">
        <is>
          <t>Failed</t>
        </is>
      </c>
      <c r="J1058" t="inlineStr">
        <is>
          <t>Cancelled</t>
        </is>
      </c>
      <c r="K1058" t="n">
        <v>0</v>
      </c>
      <c r="L1058" t="n">
        <v>1046.56</v>
      </c>
      <c r="M1058" t="inlineStr">
        <is>
          <t>INR</t>
        </is>
      </c>
      <c r="N1058" t="inlineStr">
        <is>
          <t>2024-10-25 02:58:11</t>
        </is>
      </c>
    </row>
    <row r="1059">
      <c r="A1059" t="inlineStr">
        <is>
          <t>TXN00025826</t>
        </is>
      </c>
      <c r="B1059" t="inlineStr">
        <is>
          <t>MER00549</t>
        </is>
      </c>
      <c r="C1059" s="8" t="n">
        <v>45591</v>
      </c>
      <c r="D1059" t="inlineStr">
        <is>
          <t>ORD00025826</t>
        </is>
      </c>
      <c r="E1059" t="n">
        <v>3488.72</v>
      </c>
      <c r="F1059" t="n">
        <v>1.94</v>
      </c>
      <c r="G1059" t="n">
        <v>67.68000000000001</v>
      </c>
      <c r="H1059" t="inlineStr">
        <is>
          <t>UPI</t>
        </is>
      </c>
      <c r="I1059" t="inlineStr">
        <is>
          <t>Success</t>
        </is>
      </c>
      <c r="J1059" t="inlineStr">
        <is>
          <t>Delivered</t>
        </is>
      </c>
      <c r="K1059" t="n">
        <v>0</v>
      </c>
      <c r="L1059" t="n">
        <v>0</v>
      </c>
      <c r="M1059" t="inlineStr">
        <is>
          <t>INR</t>
        </is>
      </c>
      <c r="N1059" t="inlineStr">
        <is>
          <t>2024-10-26 12:38:24</t>
        </is>
      </c>
    </row>
    <row r="1060">
      <c r="A1060" t="inlineStr">
        <is>
          <t>TXN00026075</t>
        </is>
      </c>
      <c r="B1060" t="inlineStr">
        <is>
          <t>MER00549</t>
        </is>
      </c>
      <c r="C1060" s="8" t="n">
        <v>45592</v>
      </c>
      <c r="D1060" t="inlineStr">
        <is>
          <t>ORD00026075</t>
        </is>
      </c>
      <c r="E1060" t="n">
        <v>3749.91</v>
      </c>
      <c r="F1060" t="n">
        <v>1.94</v>
      </c>
      <c r="G1060" t="n">
        <v>72.75</v>
      </c>
      <c r="H1060" t="inlineStr">
        <is>
          <t>UPI</t>
        </is>
      </c>
      <c r="I1060" t="inlineStr">
        <is>
          <t>Success</t>
        </is>
      </c>
      <c r="J1060" t="inlineStr">
        <is>
          <t>Delivered</t>
        </is>
      </c>
      <c r="K1060" t="n">
        <v>0</v>
      </c>
      <c r="L1060" t="n">
        <v>0</v>
      </c>
      <c r="M1060" t="inlineStr">
        <is>
          <t>INR</t>
        </is>
      </c>
      <c r="N1060" t="inlineStr">
        <is>
          <t>2024-10-27 21:20:11</t>
        </is>
      </c>
    </row>
    <row r="1061">
      <c r="A1061" t="inlineStr">
        <is>
          <t>TXN00026814</t>
        </is>
      </c>
      <c r="B1061" t="inlineStr">
        <is>
          <t>MER00549</t>
        </is>
      </c>
      <c r="C1061" s="8" t="n">
        <v>45593</v>
      </c>
      <c r="D1061" t="inlineStr">
        <is>
          <t>ORD00026814</t>
        </is>
      </c>
      <c r="E1061" t="n">
        <v>4781.65</v>
      </c>
      <c r="F1061" t="n">
        <v>1.94</v>
      </c>
      <c r="G1061" t="n">
        <v>92.76000000000001</v>
      </c>
      <c r="H1061" t="inlineStr">
        <is>
          <t>UPI</t>
        </is>
      </c>
      <c r="I1061" t="inlineStr">
        <is>
          <t>Success</t>
        </is>
      </c>
      <c r="J1061" t="inlineStr">
        <is>
          <t>Delivered</t>
        </is>
      </c>
      <c r="K1061" t="n">
        <v>0</v>
      </c>
      <c r="L1061" t="n">
        <v>0</v>
      </c>
      <c r="M1061" t="inlineStr">
        <is>
          <t>INR</t>
        </is>
      </c>
      <c r="N1061" t="inlineStr">
        <is>
          <t>2024-10-28 00:38:47</t>
        </is>
      </c>
    </row>
    <row r="1062">
      <c r="A1062" t="inlineStr">
        <is>
          <t>TXN00026838</t>
        </is>
      </c>
      <c r="B1062" t="inlineStr">
        <is>
          <t>MER00549</t>
        </is>
      </c>
      <c r="C1062" s="8" t="n">
        <v>45593</v>
      </c>
      <c r="D1062" t="inlineStr">
        <is>
          <t>ORD00026838</t>
        </is>
      </c>
      <c r="E1062" t="n">
        <v>1598.99</v>
      </c>
      <c r="F1062" t="n">
        <v>1.94</v>
      </c>
      <c r="G1062" t="n">
        <v>31.02</v>
      </c>
      <c r="H1062" t="inlineStr">
        <is>
          <t>UPI</t>
        </is>
      </c>
      <c r="I1062" t="inlineStr">
        <is>
          <t>Success</t>
        </is>
      </c>
      <c r="J1062" t="inlineStr">
        <is>
          <t>Delivered</t>
        </is>
      </c>
      <c r="K1062" t="n">
        <v>0</v>
      </c>
      <c r="L1062" t="n">
        <v>0</v>
      </c>
      <c r="M1062" t="inlineStr">
        <is>
          <t>INR</t>
        </is>
      </c>
      <c r="N1062" t="inlineStr">
        <is>
          <t>2024-10-28 08:23:43</t>
        </is>
      </c>
    </row>
    <row r="1063">
      <c r="A1063" t="inlineStr">
        <is>
          <t>TXN00026972</t>
        </is>
      </c>
      <c r="B1063" t="inlineStr">
        <is>
          <t>MER00549</t>
        </is>
      </c>
      <c r="C1063" s="8" t="n">
        <v>45594</v>
      </c>
      <c r="D1063" t="inlineStr">
        <is>
          <t>ORD00026972</t>
        </is>
      </c>
      <c r="E1063" t="n">
        <v>5276.62</v>
      </c>
      <c r="F1063" t="n">
        <v>1.94</v>
      </c>
      <c r="G1063" t="n">
        <v>102.37</v>
      </c>
      <c r="H1063" t="inlineStr">
        <is>
          <t>COD</t>
        </is>
      </c>
      <c r="I1063" t="inlineStr">
        <is>
          <t>Success</t>
        </is>
      </c>
      <c r="J1063" t="inlineStr">
        <is>
          <t>Returned</t>
        </is>
      </c>
      <c r="K1063" t="n">
        <v>5276.62</v>
      </c>
      <c r="L1063" t="n">
        <v>997.33</v>
      </c>
      <c r="M1063" t="inlineStr">
        <is>
          <t>INR</t>
        </is>
      </c>
      <c r="N1063" t="inlineStr">
        <is>
          <t>2024-10-29 20:59:34</t>
        </is>
      </c>
    </row>
    <row r="1064">
      <c r="A1064" t="inlineStr">
        <is>
          <t>TXN00028582</t>
        </is>
      </c>
      <c r="B1064" t="inlineStr">
        <is>
          <t>MER00549</t>
        </is>
      </c>
      <c r="C1064" s="8" t="n">
        <v>45598</v>
      </c>
      <c r="D1064" t="inlineStr">
        <is>
          <t>ORD00028582</t>
        </is>
      </c>
      <c r="E1064" t="n">
        <v>2620.64</v>
      </c>
      <c r="F1064" t="n">
        <v>1.94</v>
      </c>
      <c r="G1064" t="n">
        <v>50.84</v>
      </c>
      <c r="H1064" t="inlineStr">
        <is>
          <t>UPI</t>
        </is>
      </c>
      <c r="I1064" t="inlineStr">
        <is>
          <t>Success</t>
        </is>
      </c>
      <c r="J1064" t="inlineStr">
        <is>
          <t>Returned</t>
        </is>
      </c>
      <c r="K1064" t="n">
        <v>2620.64</v>
      </c>
      <c r="L1064" t="n">
        <v>0</v>
      </c>
      <c r="M1064" t="inlineStr">
        <is>
          <t>INR</t>
        </is>
      </c>
      <c r="N1064" t="inlineStr">
        <is>
          <t>2024-11-02 01:08:48</t>
        </is>
      </c>
    </row>
    <row r="1065">
      <c r="A1065" t="inlineStr">
        <is>
          <t>TXN00028671</t>
        </is>
      </c>
      <c r="B1065" t="inlineStr">
        <is>
          <t>MER00549</t>
        </is>
      </c>
      <c r="C1065" s="8" t="n">
        <v>45598</v>
      </c>
      <c r="D1065" t="inlineStr">
        <is>
          <t>ORD00028671</t>
        </is>
      </c>
      <c r="E1065" t="n">
        <v>3548</v>
      </c>
      <c r="F1065" t="n">
        <v>1.94</v>
      </c>
      <c r="G1065" t="n">
        <v>68.83</v>
      </c>
      <c r="H1065" t="inlineStr">
        <is>
          <t>UPI</t>
        </is>
      </c>
      <c r="I1065" t="inlineStr">
        <is>
          <t>Success</t>
        </is>
      </c>
      <c r="J1065" t="inlineStr">
        <is>
          <t>Returned</t>
        </is>
      </c>
      <c r="K1065" t="n">
        <v>3548</v>
      </c>
      <c r="L1065" t="n">
        <v>0</v>
      </c>
      <c r="M1065" t="inlineStr">
        <is>
          <t>INR</t>
        </is>
      </c>
      <c r="N1065" t="inlineStr">
        <is>
          <t>2024-11-02 08:20:12</t>
        </is>
      </c>
    </row>
    <row r="1066">
      <c r="A1066" t="inlineStr">
        <is>
          <t>TXN00030405</t>
        </is>
      </c>
      <c r="B1066" t="inlineStr">
        <is>
          <t>MER00549</t>
        </is>
      </c>
      <c r="C1066" s="8" t="n">
        <v>45602</v>
      </c>
      <c r="D1066" t="inlineStr">
        <is>
          <t>ORD00030405</t>
        </is>
      </c>
      <c r="E1066" t="n">
        <v>2940.39</v>
      </c>
      <c r="F1066" t="n">
        <v>1.94</v>
      </c>
      <c r="G1066" t="n">
        <v>57.04</v>
      </c>
      <c r="H1066" t="inlineStr">
        <is>
          <t>UPI</t>
        </is>
      </c>
      <c r="I1066" t="inlineStr">
        <is>
          <t>Success</t>
        </is>
      </c>
      <c r="J1066" t="inlineStr">
        <is>
          <t>Delivered</t>
        </is>
      </c>
      <c r="K1066" t="n">
        <v>0</v>
      </c>
      <c r="L1066" t="n">
        <v>0</v>
      </c>
      <c r="M1066" t="inlineStr">
        <is>
          <t>INR</t>
        </is>
      </c>
      <c r="N1066" t="inlineStr">
        <is>
          <t>2024-11-06 06:34:34</t>
        </is>
      </c>
    </row>
    <row r="1067">
      <c r="A1067" t="inlineStr">
        <is>
          <t>TXN00031142</t>
        </is>
      </c>
      <c r="B1067" t="inlineStr">
        <is>
          <t>MER00549</t>
        </is>
      </c>
      <c r="C1067" s="8" t="n">
        <v>45603</v>
      </c>
      <c r="D1067" t="inlineStr">
        <is>
          <t>ORD00031142</t>
        </is>
      </c>
      <c r="E1067" t="n">
        <v>4414.29</v>
      </c>
      <c r="F1067" t="n">
        <v>1.94</v>
      </c>
      <c r="G1067" t="n">
        <v>85.64</v>
      </c>
      <c r="H1067" t="inlineStr">
        <is>
          <t>UPI</t>
        </is>
      </c>
      <c r="I1067" t="inlineStr">
        <is>
          <t>Success</t>
        </is>
      </c>
      <c r="J1067" t="inlineStr">
        <is>
          <t>Delivered</t>
        </is>
      </c>
      <c r="K1067" t="n">
        <v>0</v>
      </c>
      <c r="L1067" t="n">
        <v>382.88</v>
      </c>
      <c r="M1067" t="inlineStr">
        <is>
          <t>INR</t>
        </is>
      </c>
      <c r="N1067" t="inlineStr">
        <is>
          <t>2024-11-07 21:04:21</t>
        </is>
      </c>
    </row>
    <row r="1068">
      <c r="A1068" t="inlineStr">
        <is>
          <t>TXN00031098</t>
        </is>
      </c>
      <c r="B1068" t="inlineStr">
        <is>
          <t>MER00549</t>
        </is>
      </c>
      <c r="C1068" s="8" t="n">
        <v>45603</v>
      </c>
      <c r="D1068" t="inlineStr">
        <is>
          <t>ORD00031098</t>
        </is>
      </c>
      <c r="E1068" t="n">
        <v>2632.53</v>
      </c>
      <c r="F1068" t="n">
        <v>1.94</v>
      </c>
      <c r="G1068" t="n">
        <v>51.07</v>
      </c>
      <c r="H1068" t="inlineStr">
        <is>
          <t>Card</t>
        </is>
      </c>
      <c r="I1068" t="inlineStr">
        <is>
          <t>Success</t>
        </is>
      </c>
      <c r="J1068" t="inlineStr">
        <is>
          <t>Delivered</t>
        </is>
      </c>
      <c r="K1068" t="n">
        <v>0</v>
      </c>
      <c r="L1068" t="n">
        <v>0</v>
      </c>
      <c r="M1068" t="inlineStr">
        <is>
          <t>INR</t>
        </is>
      </c>
      <c r="N1068" t="inlineStr">
        <is>
          <t>2024-11-07 10:34:14</t>
        </is>
      </c>
    </row>
    <row r="1069">
      <c r="A1069" t="inlineStr">
        <is>
          <t>TXN00031294</t>
        </is>
      </c>
      <c r="B1069" t="inlineStr">
        <is>
          <t>MER00549</t>
        </is>
      </c>
      <c r="C1069" s="8" t="n">
        <v>45604</v>
      </c>
      <c r="D1069" t="inlineStr">
        <is>
          <t>ORD00031294</t>
        </is>
      </c>
      <c r="E1069" t="n">
        <v>1080.73</v>
      </c>
      <c r="F1069" t="n">
        <v>1.94</v>
      </c>
      <c r="G1069" t="n">
        <v>20.97</v>
      </c>
      <c r="H1069" t="inlineStr">
        <is>
          <t>UPI</t>
        </is>
      </c>
      <c r="I1069" t="inlineStr">
        <is>
          <t>Failed</t>
        </is>
      </c>
      <c r="J1069" t="inlineStr">
        <is>
          <t>Processing</t>
        </is>
      </c>
      <c r="K1069" t="n">
        <v>0</v>
      </c>
      <c r="L1069" t="n">
        <v>0</v>
      </c>
      <c r="M1069" t="inlineStr">
        <is>
          <t>INR</t>
        </is>
      </c>
      <c r="N1069" t="inlineStr">
        <is>
          <t>2024-11-08 21:23:10</t>
        </is>
      </c>
    </row>
    <row r="1070">
      <c r="A1070" t="inlineStr">
        <is>
          <t>TXN00033313</t>
        </is>
      </c>
      <c r="B1070" t="inlineStr">
        <is>
          <t>MER00549</t>
        </is>
      </c>
      <c r="C1070" s="8" t="n">
        <v>45608</v>
      </c>
      <c r="D1070" t="inlineStr">
        <is>
          <t>ORD00033313</t>
        </is>
      </c>
      <c r="E1070" t="n">
        <v>5080.85</v>
      </c>
      <c r="F1070" t="n">
        <v>1.94</v>
      </c>
      <c r="G1070" t="n">
        <v>98.56999999999999</v>
      </c>
      <c r="H1070" t="inlineStr">
        <is>
          <t>UPI</t>
        </is>
      </c>
      <c r="I1070" t="inlineStr">
        <is>
          <t>Success</t>
        </is>
      </c>
      <c r="J1070" t="inlineStr">
        <is>
          <t>Delivered</t>
        </is>
      </c>
      <c r="K1070" t="n">
        <v>0</v>
      </c>
      <c r="L1070" t="n">
        <v>958.6900000000001</v>
      </c>
      <c r="M1070" t="inlineStr">
        <is>
          <t>INR</t>
        </is>
      </c>
      <c r="N1070" t="inlineStr">
        <is>
          <t>2024-11-12 06:33:45</t>
        </is>
      </c>
    </row>
    <row r="1071">
      <c r="A1071" t="inlineStr">
        <is>
          <t>TXN00033318</t>
        </is>
      </c>
      <c r="B1071" t="inlineStr">
        <is>
          <t>MER00549</t>
        </is>
      </c>
      <c r="C1071" s="8" t="n">
        <v>45608</v>
      </c>
      <c r="D1071" t="inlineStr">
        <is>
          <t>ORD00033318</t>
        </is>
      </c>
      <c r="E1071" t="n">
        <v>2304.05</v>
      </c>
      <c r="F1071" t="n">
        <v>1.94</v>
      </c>
      <c r="G1071" t="n">
        <v>44.7</v>
      </c>
      <c r="H1071" t="inlineStr">
        <is>
          <t>UPI</t>
        </is>
      </c>
      <c r="I1071" t="inlineStr">
        <is>
          <t>Success</t>
        </is>
      </c>
      <c r="J1071" t="inlineStr">
        <is>
          <t>Delivered</t>
        </is>
      </c>
      <c r="K1071" t="n">
        <v>0</v>
      </c>
      <c r="L1071" t="n">
        <v>0</v>
      </c>
      <c r="M1071" t="inlineStr">
        <is>
          <t>INR</t>
        </is>
      </c>
      <c r="N1071" t="inlineStr">
        <is>
          <t>2024-11-12 03:38:24</t>
        </is>
      </c>
    </row>
    <row r="1072">
      <c r="A1072" t="inlineStr">
        <is>
          <t>TXN00033870</t>
        </is>
      </c>
      <c r="B1072" t="inlineStr">
        <is>
          <t>MER00549</t>
        </is>
      </c>
      <c r="C1072" s="8" t="n">
        <v>45609</v>
      </c>
      <c r="D1072" t="inlineStr">
        <is>
          <t>ORD00033870</t>
        </is>
      </c>
      <c r="E1072" t="n">
        <v>2687.9</v>
      </c>
      <c r="F1072" t="n">
        <v>2.62</v>
      </c>
      <c r="G1072" t="n">
        <v>52.15</v>
      </c>
      <c r="H1072" t="inlineStr">
        <is>
          <t>UPI</t>
        </is>
      </c>
      <c r="I1072" t="inlineStr">
        <is>
          <t>Success</t>
        </is>
      </c>
      <c r="J1072" t="inlineStr">
        <is>
          <t>Delivered</t>
        </is>
      </c>
      <c r="K1072" t="n">
        <v>0</v>
      </c>
      <c r="L1072" t="n">
        <v>0</v>
      </c>
      <c r="M1072" t="inlineStr">
        <is>
          <t>INR</t>
        </is>
      </c>
      <c r="N1072" t="inlineStr">
        <is>
          <t>2024-11-13 21:04:16</t>
        </is>
      </c>
    </row>
    <row r="1073">
      <c r="A1073" t="inlineStr">
        <is>
          <t>TXN00034328</t>
        </is>
      </c>
      <c r="B1073" t="inlineStr">
        <is>
          <t>MER00549</t>
        </is>
      </c>
      <c r="C1073" s="8" t="n">
        <v>45610</v>
      </c>
      <c r="D1073" t="inlineStr">
        <is>
          <t>ORD00034328</t>
        </is>
      </c>
      <c r="E1073" t="n">
        <v>2940.17</v>
      </c>
      <c r="F1073" t="n">
        <v>1.94</v>
      </c>
      <c r="G1073" t="n">
        <v>57.04</v>
      </c>
      <c r="H1073" t="inlineStr">
        <is>
          <t>UPI</t>
        </is>
      </c>
      <c r="I1073" t="inlineStr">
        <is>
          <t>Success</t>
        </is>
      </c>
      <c r="J1073" t="inlineStr">
        <is>
          <t>Delivered</t>
        </is>
      </c>
      <c r="K1073" t="n">
        <v>0</v>
      </c>
      <c r="L1073" t="n">
        <v>0</v>
      </c>
      <c r="M1073" t="inlineStr">
        <is>
          <t>INR</t>
        </is>
      </c>
      <c r="N1073" t="inlineStr">
        <is>
          <t>2024-11-14 12:40:42</t>
        </is>
      </c>
    </row>
    <row r="1074">
      <c r="A1074" t="inlineStr">
        <is>
          <t>TXN00036051</t>
        </is>
      </c>
      <c r="B1074" t="inlineStr">
        <is>
          <t>MER00549</t>
        </is>
      </c>
      <c r="C1074" s="8" t="n">
        <v>45614</v>
      </c>
      <c r="D1074" t="inlineStr">
        <is>
          <t>ORD00036051</t>
        </is>
      </c>
      <c r="E1074" t="n">
        <v>3715.24</v>
      </c>
      <c r="F1074" t="n">
        <v>1.94</v>
      </c>
      <c r="G1074" t="n">
        <v>72.08</v>
      </c>
      <c r="H1074" t="inlineStr">
        <is>
          <t>UPI</t>
        </is>
      </c>
      <c r="I1074" t="inlineStr">
        <is>
          <t>Pending</t>
        </is>
      </c>
      <c r="J1074" t="inlineStr">
        <is>
          <t>Processing</t>
        </is>
      </c>
      <c r="K1074" t="n">
        <v>0</v>
      </c>
      <c r="L1074" t="n">
        <v>0</v>
      </c>
      <c r="M1074" t="inlineStr">
        <is>
          <t>INR</t>
        </is>
      </c>
      <c r="N1074" t="inlineStr">
        <is>
          <t>2024-11-18 18:15:05</t>
        </is>
      </c>
    </row>
    <row r="1075">
      <c r="A1075" t="inlineStr">
        <is>
          <t>TXN00036992</t>
        </is>
      </c>
      <c r="B1075" t="inlineStr">
        <is>
          <t>MER00549</t>
        </is>
      </c>
      <c r="C1075" s="8" t="n">
        <v>45616</v>
      </c>
      <c r="D1075" t="inlineStr">
        <is>
          <t>ORD00036992</t>
        </is>
      </c>
      <c r="E1075" t="n">
        <v>7986.98</v>
      </c>
      <c r="F1075" t="n">
        <v>1.94</v>
      </c>
      <c r="G1075" t="n">
        <v>154.95</v>
      </c>
      <c r="H1075" t="inlineStr">
        <is>
          <t>UPI</t>
        </is>
      </c>
      <c r="I1075" t="inlineStr">
        <is>
          <t>Success</t>
        </is>
      </c>
      <c r="J1075" t="inlineStr">
        <is>
          <t>Returned</t>
        </is>
      </c>
      <c r="K1075" t="n">
        <v>7986.98</v>
      </c>
      <c r="L1075" t="n">
        <v>0</v>
      </c>
      <c r="M1075" t="inlineStr">
        <is>
          <t>INR</t>
        </is>
      </c>
      <c r="N1075" t="inlineStr">
        <is>
          <t>2024-11-20 20:17:47</t>
        </is>
      </c>
    </row>
    <row r="1076">
      <c r="A1076" t="inlineStr">
        <is>
          <t>TXN00038115</t>
        </is>
      </c>
      <c r="B1076" t="inlineStr">
        <is>
          <t>MER00549</t>
        </is>
      </c>
      <c r="C1076" s="8" t="n">
        <v>45619</v>
      </c>
      <c r="D1076" t="inlineStr">
        <is>
          <t>ORD00038115</t>
        </is>
      </c>
      <c r="E1076" t="n">
        <v>3339.75</v>
      </c>
      <c r="F1076" t="n">
        <v>1.94</v>
      </c>
      <c r="G1076" t="n">
        <v>64.79000000000001</v>
      </c>
      <c r="H1076" t="inlineStr">
        <is>
          <t>Card</t>
        </is>
      </c>
      <c r="I1076" t="inlineStr">
        <is>
          <t>Success</t>
        </is>
      </c>
      <c r="J1076" t="inlineStr">
        <is>
          <t>Returned</t>
        </is>
      </c>
      <c r="K1076" t="n">
        <v>3339.75</v>
      </c>
      <c r="L1076" t="n">
        <v>0</v>
      </c>
      <c r="M1076" t="inlineStr">
        <is>
          <t>INR</t>
        </is>
      </c>
      <c r="N1076" t="inlineStr">
        <is>
          <t>2024-11-23 14:43:38</t>
        </is>
      </c>
    </row>
    <row r="1077">
      <c r="A1077" t="inlineStr">
        <is>
          <t>TXN00038728</t>
        </is>
      </c>
      <c r="B1077" t="inlineStr">
        <is>
          <t>MER00549</t>
        </is>
      </c>
      <c r="C1077" s="8" t="n">
        <v>45620</v>
      </c>
      <c r="D1077" t="inlineStr">
        <is>
          <t>ORD00038728</t>
        </is>
      </c>
      <c r="E1077" t="n">
        <v>4945.49</v>
      </c>
      <c r="F1077" t="n">
        <v>1.94</v>
      </c>
      <c r="G1077" t="n">
        <v>95.94</v>
      </c>
      <c r="H1077" t="inlineStr">
        <is>
          <t>UPI</t>
        </is>
      </c>
      <c r="I1077" t="inlineStr">
        <is>
          <t>Success</t>
        </is>
      </c>
      <c r="J1077" t="inlineStr">
        <is>
          <t>Returned</t>
        </is>
      </c>
      <c r="K1077" t="n">
        <v>4276.03</v>
      </c>
      <c r="L1077" t="n">
        <v>0</v>
      </c>
      <c r="M1077" t="inlineStr">
        <is>
          <t>INR</t>
        </is>
      </c>
      <c r="N1077" t="inlineStr">
        <is>
          <t>2024-11-24 09:54:19</t>
        </is>
      </c>
    </row>
    <row r="1078">
      <c r="A1078" t="inlineStr">
        <is>
          <t>TXN00038825</t>
        </is>
      </c>
      <c r="B1078" t="inlineStr">
        <is>
          <t>MER00549</t>
        </is>
      </c>
      <c r="C1078" s="8" t="n">
        <v>45620</v>
      </c>
      <c r="D1078" t="inlineStr">
        <is>
          <t>ORD00038825</t>
        </is>
      </c>
      <c r="E1078" t="n">
        <v>3775.05</v>
      </c>
      <c r="F1078" t="n">
        <v>1.94</v>
      </c>
      <c r="G1078" t="n">
        <v>73.23999999999999</v>
      </c>
      <c r="H1078" t="inlineStr">
        <is>
          <t>Card</t>
        </is>
      </c>
      <c r="I1078" t="inlineStr">
        <is>
          <t>Success</t>
        </is>
      </c>
      <c r="J1078" t="inlineStr">
        <is>
          <t>Delivered</t>
        </is>
      </c>
      <c r="K1078" t="n">
        <v>0</v>
      </c>
      <c r="L1078" t="n">
        <v>0</v>
      </c>
      <c r="M1078" t="inlineStr">
        <is>
          <t>INR</t>
        </is>
      </c>
      <c r="N1078" t="inlineStr">
        <is>
          <t>2024-11-24 03:38:27</t>
        </is>
      </c>
    </row>
    <row r="1079">
      <c r="A1079" t="inlineStr">
        <is>
          <t>TXN00038977</t>
        </is>
      </c>
      <c r="B1079" t="inlineStr">
        <is>
          <t>MER00549</t>
        </is>
      </c>
      <c r="C1079" s="8" t="n">
        <v>45621</v>
      </c>
      <c r="D1079" t="inlineStr">
        <is>
          <t>ORD00038977</t>
        </is>
      </c>
      <c r="E1079" t="n">
        <v>2982.82</v>
      </c>
      <c r="F1079" t="n">
        <v>1.94</v>
      </c>
      <c r="G1079" t="n">
        <v>57.87</v>
      </c>
      <c r="H1079" t="inlineStr">
        <is>
          <t>UPI</t>
        </is>
      </c>
      <c r="I1079" t="inlineStr">
        <is>
          <t>Success</t>
        </is>
      </c>
      <c r="J1079" t="inlineStr">
        <is>
          <t>Delivered</t>
        </is>
      </c>
      <c r="K1079" t="n">
        <v>0</v>
      </c>
      <c r="L1079" t="n">
        <v>0</v>
      </c>
      <c r="M1079" t="inlineStr">
        <is>
          <t>INR</t>
        </is>
      </c>
      <c r="N1079" t="inlineStr">
        <is>
          <t>2024-11-25 19:45:29</t>
        </is>
      </c>
    </row>
    <row r="1080">
      <c r="A1080" t="inlineStr">
        <is>
          <t>TXN00038983</t>
        </is>
      </c>
      <c r="B1080" t="inlineStr">
        <is>
          <t>MER00549</t>
        </is>
      </c>
      <c r="C1080" s="8" t="n">
        <v>45621</v>
      </c>
      <c r="D1080" t="inlineStr">
        <is>
          <t>ORD00038983</t>
        </is>
      </c>
      <c r="E1080" t="n">
        <v>4906.29</v>
      </c>
      <c r="F1080" t="n">
        <v>1.94</v>
      </c>
      <c r="G1080" t="n">
        <v>95.18000000000001</v>
      </c>
      <c r="H1080" t="inlineStr">
        <is>
          <t>UPI</t>
        </is>
      </c>
      <c r="I1080" t="inlineStr">
        <is>
          <t>Success</t>
        </is>
      </c>
      <c r="J1080" t="inlineStr">
        <is>
          <t>Delivered</t>
        </is>
      </c>
      <c r="K1080" t="n">
        <v>0</v>
      </c>
      <c r="L1080" t="n">
        <v>301.11</v>
      </c>
      <c r="M1080" t="inlineStr">
        <is>
          <t>INR</t>
        </is>
      </c>
      <c r="N1080" t="inlineStr">
        <is>
          <t>2024-11-25 01:42:45</t>
        </is>
      </c>
    </row>
    <row r="1081">
      <c r="A1081" t="inlineStr">
        <is>
          <t>TXN00039337</t>
        </is>
      </c>
      <c r="B1081" t="inlineStr">
        <is>
          <t>MER00549</t>
        </is>
      </c>
      <c r="C1081" s="8" t="n">
        <v>45621</v>
      </c>
      <c r="D1081" t="inlineStr">
        <is>
          <t>ORD00039337</t>
        </is>
      </c>
      <c r="E1081" t="n">
        <v>3813.25</v>
      </c>
      <c r="F1081" t="n">
        <v>1.94</v>
      </c>
      <c r="G1081" t="n">
        <v>73.98</v>
      </c>
      <c r="H1081" t="inlineStr">
        <is>
          <t>UPI</t>
        </is>
      </c>
      <c r="I1081" t="inlineStr">
        <is>
          <t>Success</t>
        </is>
      </c>
      <c r="J1081" t="inlineStr">
        <is>
          <t>Delivered</t>
        </is>
      </c>
      <c r="K1081" t="n">
        <v>0</v>
      </c>
      <c r="L1081" t="n">
        <v>0</v>
      </c>
      <c r="M1081" t="inlineStr">
        <is>
          <t>INR</t>
        </is>
      </c>
      <c r="N1081" t="inlineStr">
        <is>
          <t>2024-11-25 23:01:31</t>
        </is>
      </c>
    </row>
    <row r="1082">
      <c r="A1082" t="inlineStr">
        <is>
          <t>TXN00040189</t>
        </is>
      </c>
      <c r="B1082" t="inlineStr">
        <is>
          <t>MER00549</t>
        </is>
      </c>
      <c r="C1082" s="8" t="n">
        <v>45623</v>
      </c>
      <c r="D1082" t="inlineStr">
        <is>
          <t>ORD00040189</t>
        </is>
      </c>
      <c r="E1082" t="n">
        <v>2670.22</v>
      </c>
      <c r="F1082" t="n">
        <v>1.94</v>
      </c>
      <c r="G1082" t="n">
        <v>51.8</v>
      </c>
      <c r="H1082" t="inlineStr">
        <is>
          <t>UPI</t>
        </is>
      </c>
      <c r="I1082" t="inlineStr">
        <is>
          <t>Success</t>
        </is>
      </c>
      <c r="J1082" t="inlineStr">
        <is>
          <t>Delivered</t>
        </is>
      </c>
      <c r="K1082" t="n">
        <v>0</v>
      </c>
      <c r="L1082" t="n">
        <v>0</v>
      </c>
      <c r="M1082" t="inlineStr">
        <is>
          <t>INR</t>
        </is>
      </c>
      <c r="N1082" t="inlineStr">
        <is>
          <t>2024-11-27 18:54:45</t>
        </is>
      </c>
    </row>
    <row r="1083">
      <c r="A1083" t="inlineStr">
        <is>
          <t>TXN00041312</t>
        </is>
      </c>
      <c r="B1083" t="inlineStr">
        <is>
          <t>MER00549</t>
        </is>
      </c>
      <c r="C1083" s="8" t="n">
        <v>45626</v>
      </c>
      <c r="D1083" t="inlineStr">
        <is>
          <t>ORD00041312</t>
        </is>
      </c>
      <c r="E1083" t="n">
        <v>6119.38</v>
      </c>
      <c r="F1083" t="n">
        <v>1.94</v>
      </c>
      <c r="G1083" t="n">
        <v>118.72</v>
      </c>
      <c r="H1083" t="inlineStr">
        <is>
          <t>UPI</t>
        </is>
      </c>
      <c r="I1083" t="inlineStr">
        <is>
          <t>Failed</t>
        </is>
      </c>
      <c r="J1083" t="inlineStr">
        <is>
          <t>Cancelled</t>
        </is>
      </c>
      <c r="K1083" t="n">
        <v>0</v>
      </c>
      <c r="L1083" t="n">
        <v>0</v>
      </c>
      <c r="M1083" t="inlineStr">
        <is>
          <t>INR</t>
        </is>
      </c>
      <c r="N1083" t="inlineStr">
        <is>
          <t>2024-11-30 08:02:33</t>
        </is>
      </c>
    </row>
    <row r="1084">
      <c r="A1084" t="inlineStr">
        <is>
          <t>TXN00042523</t>
        </is>
      </c>
      <c r="B1084" t="inlineStr">
        <is>
          <t>MER00549</t>
        </is>
      </c>
      <c r="C1084" s="8" t="n">
        <v>45629</v>
      </c>
      <c r="D1084" t="inlineStr">
        <is>
          <t>ORD00042523</t>
        </is>
      </c>
      <c r="E1084" t="n">
        <v>4833.01</v>
      </c>
      <c r="F1084" t="n">
        <v>1.94</v>
      </c>
      <c r="G1084" t="n">
        <v>93.76000000000001</v>
      </c>
      <c r="H1084" t="inlineStr">
        <is>
          <t>Wallet</t>
        </is>
      </c>
      <c r="I1084" t="inlineStr">
        <is>
          <t>Success</t>
        </is>
      </c>
      <c r="J1084" t="inlineStr">
        <is>
          <t>Returned</t>
        </is>
      </c>
      <c r="K1084" t="n">
        <v>2115.5</v>
      </c>
      <c r="L1084" t="n">
        <v>0</v>
      </c>
      <c r="M1084" t="inlineStr">
        <is>
          <t>INR</t>
        </is>
      </c>
      <c r="N1084" t="inlineStr">
        <is>
          <t>2024-12-03 11:46:26</t>
        </is>
      </c>
    </row>
    <row r="1085">
      <c r="A1085" t="inlineStr">
        <is>
          <t>TXN00043938</t>
        </is>
      </c>
      <c r="B1085" t="inlineStr">
        <is>
          <t>MER00549</t>
        </is>
      </c>
      <c r="C1085" s="8" t="n">
        <v>45634</v>
      </c>
      <c r="D1085" t="inlineStr">
        <is>
          <t>ORD00043938</t>
        </is>
      </c>
      <c r="E1085" t="n">
        <v>2222.76</v>
      </c>
      <c r="F1085" t="n">
        <v>1.94</v>
      </c>
      <c r="G1085" t="n">
        <v>43.12</v>
      </c>
      <c r="H1085" t="inlineStr">
        <is>
          <t>Card</t>
        </is>
      </c>
      <c r="I1085" t="inlineStr">
        <is>
          <t>Success</t>
        </is>
      </c>
      <c r="J1085" t="inlineStr">
        <is>
          <t>Delivered</t>
        </is>
      </c>
      <c r="K1085" t="n">
        <v>0</v>
      </c>
      <c r="L1085" t="n">
        <v>0</v>
      </c>
      <c r="M1085" t="inlineStr">
        <is>
          <t>INR</t>
        </is>
      </c>
      <c r="N1085" t="inlineStr">
        <is>
          <t>2024-12-08 15:13:13</t>
        </is>
      </c>
    </row>
    <row r="1086">
      <c r="A1086" t="inlineStr">
        <is>
          <t>TXN00044821</t>
        </is>
      </c>
      <c r="B1086" t="inlineStr">
        <is>
          <t>MER00549</t>
        </is>
      </c>
      <c r="C1086" s="8" t="n">
        <v>45637</v>
      </c>
      <c r="D1086" t="inlineStr">
        <is>
          <t>ORD00044821</t>
        </is>
      </c>
      <c r="E1086" t="n">
        <v>3520.15</v>
      </c>
      <c r="F1086" t="n">
        <v>1.94</v>
      </c>
      <c r="G1086" t="n">
        <v>68.29000000000001</v>
      </c>
      <c r="H1086" t="inlineStr">
        <is>
          <t>Wallet</t>
        </is>
      </c>
      <c r="I1086" t="inlineStr">
        <is>
          <t>Success</t>
        </is>
      </c>
      <c r="J1086" t="inlineStr">
        <is>
          <t>Delivered</t>
        </is>
      </c>
      <c r="K1086" t="n">
        <v>0</v>
      </c>
      <c r="L1086" t="n">
        <v>0</v>
      </c>
      <c r="M1086" t="inlineStr">
        <is>
          <t>INR</t>
        </is>
      </c>
      <c r="N1086" t="inlineStr">
        <is>
          <t>2024-12-11 12:19:57</t>
        </is>
      </c>
    </row>
    <row r="1087">
      <c r="A1087" t="inlineStr">
        <is>
          <t>TXN00045931</t>
        </is>
      </c>
      <c r="B1087" t="inlineStr">
        <is>
          <t>MER00549</t>
        </is>
      </c>
      <c r="C1087" s="8" t="n">
        <v>45640</v>
      </c>
      <c r="D1087" t="inlineStr">
        <is>
          <t>ORD00045931</t>
        </is>
      </c>
      <c r="E1087" t="n">
        <v>2907.39</v>
      </c>
      <c r="F1087" t="n">
        <v>1.94</v>
      </c>
      <c r="G1087" t="n">
        <v>56.4</v>
      </c>
      <c r="H1087" t="inlineStr">
        <is>
          <t>NetBanking</t>
        </is>
      </c>
      <c r="I1087" t="inlineStr">
        <is>
          <t>Success</t>
        </is>
      </c>
      <c r="J1087" t="inlineStr">
        <is>
          <t>Delivered</t>
        </is>
      </c>
      <c r="K1087" t="n">
        <v>0</v>
      </c>
      <c r="L1087" t="n">
        <v>0</v>
      </c>
      <c r="M1087" t="inlineStr">
        <is>
          <t>INR</t>
        </is>
      </c>
      <c r="N1087" t="inlineStr">
        <is>
          <t>2024-12-14 08:47:40</t>
        </is>
      </c>
    </row>
    <row r="1088">
      <c r="A1088" t="inlineStr">
        <is>
          <t>TXN00046329</t>
        </is>
      </c>
      <c r="B1088" t="inlineStr">
        <is>
          <t>MER00549</t>
        </is>
      </c>
      <c r="C1088" s="8" t="n">
        <v>45642</v>
      </c>
      <c r="D1088" t="inlineStr">
        <is>
          <t>ORD00046329</t>
        </is>
      </c>
      <c r="E1088" t="n">
        <v>3574.06</v>
      </c>
      <c r="F1088" t="n">
        <v>1.94</v>
      </c>
      <c r="G1088" t="n">
        <v>69.34</v>
      </c>
      <c r="H1088" t="inlineStr">
        <is>
          <t>UPI</t>
        </is>
      </c>
      <c r="I1088" t="inlineStr">
        <is>
          <t>Success</t>
        </is>
      </c>
      <c r="J1088" t="inlineStr">
        <is>
          <t>Delivered</t>
        </is>
      </c>
      <c r="K1088" t="n">
        <v>0</v>
      </c>
      <c r="L1088" t="n">
        <v>0</v>
      </c>
      <c r="M1088" t="inlineStr">
        <is>
          <t>INR</t>
        </is>
      </c>
      <c r="N1088" t="inlineStr">
        <is>
          <t>2024-12-16 10:00:15</t>
        </is>
      </c>
    </row>
    <row r="1089">
      <c r="A1089" t="inlineStr">
        <is>
          <t>TXN00047387</t>
        </is>
      </c>
      <c r="B1089" t="inlineStr">
        <is>
          <t>MER00549</t>
        </is>
      </c>
      <c r="C1089" s="8" t="n">
        <v>45645</v>
      </c>
      <c r="D1089" t="inlineStr">
        <is>
          <t>ORD00047387</t>
        </is>
      </c>
      <c r="E1089" t="n">
        <v>2890.51</v>
      </c>
      <c r="F1089" t="n">
        <v>1.94</v>
      </c>
      <c r="G1089" t="n">
        <v>56.08</v>
      </c>
      <c r="H1089" t="inlineStr">
        <is>
          <t>NetBanking</t>
        </is>
      </c>
      <c r="I1089" t="inlineStr">
        <is>
          <t>Success</t>
        </is>
      </c>
      <c r="J1089" t="inlineStr">
        <is>
          <t>Returned</t>
        </is>
      </c>
      <c r="K1089" t="n">
        <v>2890.51</v>
      </c>
      <c r="L1089" t="n">
        <v>0</v>
      </c>
      <c r="M1089" t="inlineStr">
        <is>
          <t>INR</t>
        </is>
      </c>
      <c r="N1089" t="inlineStr">
        <is>
          <t>2024-12-19 10:19:46</t>
        </is>
      </c>
    </row>
    <row r="1090">
      <c r="A1090" t="inlineStr">
        <is>
          <t>TXN00047587</t>
        </is>
      </c>
      <c r="B1090" t="inlineStr">
        <is>
          <t>MER00549</t>
        </is>
      </c>
      <c r="C1090" s="8" t="n">
        <v>45646</v>
      </c>
      <c r="D1090" t="inlineStr">
        <is>
          <t>ORD00047587</t>
        </is>
      </c>
      <c r="E1090" t="n">
        <v>3115.48</v>
      </c>
      <c r="F1090" t="n">
        <v>1.94</v>
      </c>
      <c r="G1090" t="n">
        <v>60.44</v>
      </c>
      <c r="H1090" t="inlineStr">
        <is>
          <t>Card</t>
        </is>
      </c>
      <c r="I1090" t="inlineStr">
        <is>
          <t>Success</t>
        </is>
      </c>
      <c r="J1090" t="inlineStr">
        <is>
          <t>Delivered</t>
        </is>
      </c>
      <c r="K1090" t="n">
        <v>0</v>
      </c>
      <c r="L1090" t="n">
        <v>541.74</v>
      </c>
      <c r="M1090" t="inlineStr">
        <is>
          <t>INR</t>
        </is>
      </c>
      <c r="N1090" t="inlineStr">
        <is>
          <t>2024-12-20 05:46:29</t>
        </is>
      </c>
    </row>
    <row r="1091">
      <c r="A1091" t="inlineStr">
        <is>
          <t>TXN00048282</t>
        </is>
      </c>
      <c r="B1091" t="inlineStr">
        <is>
          <t>MER00549</t>
        </is>
      </c>
      <c r="C1091" s="8" t="n">
        <v>45648</v>
      </c>
      <c r="D1091" t="inlineStr">
        <is>
          <t>ORD00048282</t>
        </is>
      </c>
      <c r="E1091" t="n">
        <v>3873.67</v>
      </c>
      <c r="F1091" t="n">
        <v>1.94</v>
      </c>
      <c r="G1091" t="n">
        <v>75.15000000000001</v>
      </c>
      <c r="H1091" t="inlineStr">
        <is>
          <t>UPI</t>
        </is>
      </c>
      <c r="I1091" t="inlineStr">
        <is>
          <t>Pending</t>
        </is>
      </c>
      <c r="J1091" t="inlineStr">
        <is>
          <t>Processing</t>
        </is>
      </c>
      <c r="K1091" t="n">
        <v>0</v>
      </c>
      <c r="L1091" t="n">
        <v>0</v>
      </c>
      <c r="M1091" t="inlineStr">
        <is>
          <t>INR</t>
        </is>
      </c>
      <c r="N1091" t="inlineStr">
        <is>
          <t>2024-12-22 12:32:19</t>
        </is>
      </c>
    </row>
    <row r="1092">
      <c r="A1092" t="inlineStr">
        <is>
          <t>TXN00048837</t>
        </is>
      </c>
      <c r="B1092" t="inlineStr">
        <is>
          <t>MER00549</t>
        </is>
      </c>
      <c r="C1092" s="8" t="n">
        <v>45650</v>
      </c>
      <c r="D1092" t="inlineStr">
        <is>
          <t>ORD00048837</t>
        </is>
      </c>
      <c r="E1092" t="n">
        <v>1295.34</v>
      </c>
      <c r="F1092" t="n">
        <v>1.94</v>
      </c>
      <c r="G1092" t="n">
        <v>25.13</v>
      </c>
      <c r="H1092" t="inlineStr">
        <is>
          <t>Card</t>
        </is>
      </c>
      <c r="I1092" t="inlineStr">
        <is>
          <t>Success</t>
        </is>
      </c>
      <c r="J1092" t="inlineStr">
        <is>
          <t>Delivered</t>
        </is>
      </c>
      <c r="K1092" t="n">
        <v>0</v>
      </c>
      <c r="L1092" t="n">
        <v>0</v>
      </c>
      <c r="M1092" t="inlineStr">
        <is>
          <t>INR</t>
        </is>
      </c>
      <c r="N1092" t="inlineStr">
        <is>
          <t>2024-12-24 08:38:28</t>
        </is>
      </c>
    </row>
    <row r="1093">
      <c r="A1093" t="inlineStr">
        <is>
          <t>TXN00049274</t>
        </is>
      </c>
      <c r="B1093" t="inlineStr">
        <is>
          <t>MER00549</t>
        </is>
      </c>
      <c r="C1093" s="8" t="n">
        <v>45651</v>
      </c>
      <c r="D1093" t="inlineStr">
        <is>
          <t>ORD00049274</t>
        </is>
      </c>
      <c r="E1093" t="n">
        <v>1800.25</v>
      </c>
      <c r="F1093" t="n">
        <v>1.94</v>
      </c>
      <c r="G1093" t="n">
        <v>34.92</v>
      </c>
      <c r="H1093" t="inlineStr">
        <is>
          <t>UPI</t>
        </is>
      </c>
      <c r="I1093" t="inlineStr">
        <is>
          <t>Success</t>
        </is>
      </c>
      <c r="J1093" t="inlineStr">
        <is>
          <t>Delivered</t>
        </is>
      </c>
      <c r="K1093" t="n">
        <v>0</v>
      </c>
      <c r="L1093" t="n">
        <v>0</v>
      </c>
      <c r="M1093" t="inlineStr">
        <is>
          <t>INR</t>
        </is>
      </c>
      <c r="N1093" t="inlineStr">
        <is>
          <t>2024-12-25 01:57:53</t>
        </is>
      </c>
    </row>
    <row r="1094">
      <c r="A1094" t="inlineStr">
        <is>
          <t>TXN00052730</t>
        </is>
      </c>
      <c r="B1094" t="inlineStr">
        <is>
          <t>MER00549</t>
        </is>
      </c>
      <c r="C1094" s="8" t="n">
        <v>45661</v>
      </c>
      <c r="D1094" t="inlineStr">
        <is>
          <t>ORD00052730</t>
        </is>
      </c>
      <c r="E1094" t="n">
        <v>1593.14</v>
      </c>
      <c r="F1094" t="n">
        <v>1.94</v>
      </c>
      <c r="G1094" t="n">
        <v>30.91</v>
      </c>
      <c r="H1094" t="inlineStr">
        <is>
          <t>Card</t>
        </is>
      </c>
      <c r="I1094" t="inlineStr">
        <is>
          <t>Success</t>
        </is>
      </c>
      <c r="J1094" t="inlineStr">
        <is>
          <t>Delivered</t>
        </is>
      </c>
      <c r="K1094" t="n">
        <v>0</v>
      </c>
      <c r="L1094" t="n">
        <v>0</v>
      </c>
      <c r="M1094" t="inlineStr">
        <is>
          <t>INR</t>
        </is>
      </c>
      <c r="N1094" t="inlineStr">
        <is>
          <t>2025-01-04 12:45:56</t>
        </is>
      </c>
    </row>
    <row r="1095">
      <c r="A1095" t="inlineStr">
        <is>
          <t>TXN00053938</t>
        </is>
      </c>
      <c r="B1095" t="inlineStr">
        <is>
          <t>MER00549</t>
        </is>
      </c>
      <c r="C1095" s="8" t="n">
        <v>45665</v>
      </c>
      <c r="D1095" t="inlineStr">
        <is>
          <t>ORD00053938</t>
        </is>
      </c>
      <c r="E1095" t="n">
        <v>2173.92</v>
      </c>
      <c r="F1095" t="n">
        <v>1.94</v>
      </c>
      <c r="G1095" t="n">
        <v>42.17</v>
      </c>
      <c r="H1095" t="inlineStr">
        <is>
          <t>UPI</t>
        </is>
      </c>
      <c r="I1095" t="inlineStr">
        <is>
          <t>Success</t>
        </is>
      </c>
      <c r="J1095" t="inlineStr">
        <is>
          <t>Delivered</t>
        </is>
      </c>
      <c r="K1095" t="n">
        <v>0</v>
      </c>
      <c r="L1095" t="n">
        <v>283.68</v>
      </c>
      <c r="M1095" t="inlineStr">
        <is>
          <t>INR</t>
        </is>
      </c>
      <c r="N1095" t="inlineStr">
        <is>
          <t>2025-01-08 13:51:44</t>
        </is>
      </c>
    </row>
    <row r="1096">
      <c r="A1096" t="inlineStr">
        <is>
          <t>TXN00057660</t>
        </is>
      </c>
      <c r="B1096" t="inlineStr">
        <is>
          <t>MER00549</t>
        </is>
      </c>
      <c r="C1096" s="8" t="n">
        <v>45675</v>
      </c>
      <c r="D1096" t="inlineStr">
        <is>
          <t>ORD00057660</t>
        </is>
      </c>
      <c r="E1096" t="n">
        <v>1956.88</v>
      </c>
      <c r="F1096" t="n">
        <v>1.94</v>
      </c>
      <c r="G1096" t="n">
        <v>37.96</v>
      </c>
      <c r="H1096" t="inlineStr">
        <is>
          <t>UPI</t>
        </is>
      </c>
      <c r="I1096" t="inlineStr">
        <is>
          <t>Success</t>
        </is>
      </c>
      <c r="J1096" t="inlineStr">
        <is>
          <t>Delivered</t>
        </is>
      </c>
      <c r="K1096" t="n">
        <v>0</v>
      </c>
      <c r="L1096" t="n">
        <v>0</v>
      </c>
      <c r="M1096" t="inlineStr">
        <is>
          <t>INR</t>
        </is>
      </c>
      <c r="N1096" t="inlineStr">
        <is>
          <t>2025-01-18 07:25:21</t>
        </is>
      </c>
    </row>
    <row r="1097">
      <c r="A1097" t="inlineStr">
        <is>
          <t>TXN00058096</t>
        </is>
      </c>
      <c r="B1097" t="inlineStr">
        <is>
          <t>MER00549</t>
        </is>
      </c>
      <c r="C1097" s="8" t="n">
        <v>45676</v>
      </c>
      <c r="D1097" t="inlineStr">
        <is>
          <t>ORD00058096</t>
        </is>
      </c>
      <c r="E1097" t="n">
        <v>1820.56</v>
      </c>
      <c r="F1097" t="n">
        <v>1.94</v>
      </c>
      <c r="G1097" t="n">
        <v>35.32</v>
      </c>
      <c r="H1097" t="inlineStr">
        <is>
          <t>Card</t>
        </is>
      </c>
      <c r="I1097" t="inlineStr">
        <is>
          <t>Success</t>
        </is>
      </c>
      <c r="J1097" t="inlineStr">
        <is>
          <t>Delivered</t>
        </is>
      </c>
      <c r="K1097" t="n">
        <v>0</v>
      </c>
      <c r="L1097" t="n">
        <v>0</v>
      </c>
      <c r="M1097" t="inlineStr">
        <is>
          <t>INR</t>
        </is>
      </c>
      <c r="N1097" t="inlineStr">
        <is>
          <t>2025-01-19 21:52:37</t>
        </is>
      </c>
    </row>
    <row r="1098">
      <c r="A1098" t="inlineStr">
        <is>
          <t>TXN00059080</t>
        </is>
      </c>
      <c r="B1098" t="inlineStr">
        <is>
          <t>MER00549</t>
        </is>
      </c>
      <c r="C1098" s="8" t="n">
        <v>45678</v>
      </c>
      <c r="D1098" t="inlineStr">
        <is>
          <t>ORD00059080</t>
        </is>
      </c>
      <c r="E1098" t="n">
        <v>1346.66</v>
      </c>
      <c r="F1098" t="n">
        <v>1.43</v>
      </c>
      <c r="G1098" t="n">
        <v>26.13</v>
      </c>
      <c r="H1098" t="inlineStr">
        <is>
          <t>UPI</t>
        </is>
      </c>
      <c r="I1098" t="inlineStr">
        <is>
          <t>Success</t>
        </is>
      </c>
      <c r="J1098" t="inlineStr">
        <is>
          <t>Returned</t>
        </is>
      </c>
      <c r="K1098" t="n">
        <v>1346.66</v>
      </c>
      <c r="L1098" t="n">
        <v>0</v>
      </c>
      <c r="M1098" t="inlineStr">
        <is>
          <t>INR</t>
        </is>
      </c>
      <c r="N1098" t="inlineStr">
        <is>
          <t>2025-01-21 19:56:46</t>
        </is>
      </c>
    </row>
    <row r="1099">
      <c r="A1099" t="inlineStr">
        <is>
          <t>TXN00061794</t>
        </is>
      </c>
      <c r="B1099" t="inlineStr">
        <is>
          <t>MER00549</t>
        </is>
      </c>
      <c r="C1099" s="8" t="n">
        <v>45685</v>
      </c>
      <c r="D1099" t="inlineStr">
        <is>
          <t>ORD00061794</t>
        </is>
      </c>
      <c r="E1099" t="n">
        <v>3892.63</v>
      </c>
      <c r="F1099" t="n">
        <v>1.94</v>
      </c>
      <c r="G1099" t="n">
        <v>75.52</v>
      </c>
      <c r="H1099" t="inlineStr">
        <is>
          <t>UPI</t>
        </is>
      </c>
      <c r="I1099" t="inlineStr">
        <is>
          <t>Success</t>
        </is>
      </c>
      <c r="J1099" t="inlineStr">
        <is>
          <t>Returned</t>
        </is>
      </c>
      <c r="K1099" t="n">
        <v>3892.63</v>
      </c>
      <c r="L1099" t="n">
        <v>0</v>
      </c>
      <c r="M1099" t="inlineStr">
        <is>
          <t>INR</t>
        </is>
      </c>
      <c r="N1099" t="inlineStr">
        <is>
          <t>2025-01-28 12:47:47</t>
        </is>
      </c>
    </row>
    <row r="1100">
      <c r="A1100" t="inlineStr">
        <is>
          <t>TXN00062901</t>
        </is>
      </c>
      <c r="B1100" t="inlineStr">
        <is>
          <t>MER00549</t>
        </is>
      </c>
      <c r="C1100" s="8" t="n">
        <v>45688</v>
      </c>
      <c r="D1100" t="inlineStr">
        <is>
          <t>ORD00062901</t>
        </is>
      </c>
      <c r="E1100" t="n">
        <v>1056.86</v>
      </c>
      <c r="F1100" t="n">
        <v>1.94</v>
      </c>
      <c r="G1100" t="n">
        <v>20.5</v>
      </c>
      <c r="H1100" t="inlineStr">
        <is>
          <t>Card</t>
        </is>
      </c>
      <c r="I1100" t="inlineStr">
        <is>
          <t>Success</t>
        </is>
      </c>
      <c r="J1100" t="inlineStr">
        <is>
          <t>Delivered</t>
        </is>
      </c>
      <c r="K1100" t="n">
        <v>0</v>
      </c>
      <c r="L1100" t="n">
        <v>0</v>
      </c>
      <c r="M1100" t="inlineStr">
        <is>
          <t>INR</t>
        </is>
      </c>
      <c r="N1100" t="inlineStr">
        <is>
          <t>2025-01-31 13:50:31</t>
        </is>
      </c>
    </row>
    <row r="1101">
      <c r="A1101" t="inlineStr">
        <is>
          <t>TXN00063137</t>
        </is>
      </c>
      <c r="B1101" t="inlineStr">
        <is>
          <t>MER00549</t>
        </is>
      </c>
      <c r="C1101" s="8" t="n">
        <v>45689</v>
      </c>
      <c r="D1101" t="inlineStr">
        <is>
          <t>ORD00063137</t>
        </is>
      </c>
      <c r="E1101" t="n">
        <v>1599.6</v>
      </c>
      <c r="F1101" t="n">
        <v>1.94</v>
      </c>
      <c r="G1101" t="n">
        <v>31.03</v>
      </c>
      <c r="H1101" t="inlineStr">
        <is>
          <t>NetBanking</t>
        </is>
      </c>
      <c r="I1101" t="inlineStr">
        <is>
          <t>Success</t>
        </is>
      </c>
      <c r="J1101" t="inlineStr">
        <is>
          <t>Returned</t>
        </is>
      </c>
      <c r="K1101" t="n">
        <v>847</v>
      </c>
      <c r="L1101" t="n">
        <v>0</v>
      </c>
      <c r="M1101" t="inlineStr">
        <is>
          <t>INR</t>
        </is>
      </c>
      <c r="N1101" t="inlineStr">
        <is>
          <t>2025-02-01 09:41:28</t>
        </is>
      </c>
    </row>
    <row r="1102">
      <c r="A1102" t="inlineStr">
        <is>
          <t>TXN00064625</t>
        </is>
      </c>
      <c r="B1102" t="inlineStr">
        <is>
          <t>MER00549</t>
        </is>
      </c>
      <c r="C1102" s="8" t="n">
        <v>45693</v>
      </c>
      <c r="D1102" t="inlineStr">
        <is>
          <t>ORD00064625</t>
        </is>
      </c>
      <c r="E1102" t="n">
        <v>1784.59</v>
      </c>
      <c r="F1102" t="n">
        <v>1.94</v>
      </c>
      <c r="G1102" t="n">
        <v>34.62</v>
      </c>
      <c r="H1102" t="inlineStr">
        <is>
          <t>UPI</t>
        </is>
      </c>
      <c r="I1102" t="inlineStr">
        <is>
          <t>Success</t>
        </is>
      </c>
      <c r="J1102" t="inlineStr">
        <is>
          <t>Delivered</t>
        </is>
      </c>
      <c r="K1102" t="n">
        <v>0</v>
      </c>
      <c r="L1102" t="n">
        <v>0</v>
      </c>
      <c r="M1102" t="inlineStr">
        <is>
          <t>INR</t>
        </is>
      </c>
      <c r="N1102" t="inlineStr">
        <is>
          <t>2025-02-05 14:38:06</t>
        </is>
      </c>
    </row>
    <row r="1103">
      <c r="A1103" t="inlineStr">
        <is>
          <t>TXN00065930</t>
        </is>
      </c>
      <c r="B1103" t="inlineStr">
        <is>
          <t>MER00549</t>
        </is>
      </c>
      <c r="C1103" s="8" t="n">
        <v>45697</v>
      </c>
      <c r="D1103" t="inlineStr">
        <is>
          <t>ORD00065930</t>
        </is>
      </c>
      <c r="E1103" t="n">
        <v>2711.27</v>
      </c>
      <c r="F1103" t="n">
        <v>1.94</v>
      </c>
      <c r="G1103" t="n">
        <v>52.6</v>
      </c>
      <c r="H1103" t="inlineStr">
        <is>
          <t>UPI</t>
        </is>
      </c>
      <c r="I1103" t="inlineStr">
        <is>
          <t>Success</t>
        </is>
      </c>
      <c r="J1103" t="inlineStr">
        <is>
          <t>Delivered</t>
        </is>
      </c>
      <c r="K1103" t="n">
        <v>0</v>
      </c>
      <c r="L1103" t="n">
        <v>0</v>
      </c>
      <c r="M1103" t="inlineStr">
        <is>
          <t>INR</t>
        </is>
      </c>
      <c r="N1103" t="inlineStr">
        <is>
          <t>2025-02-09 00:24:45</t>
        </is>
      </c>
    </row>
    <row r="1104">
      <c r="A1104" t="inlineStr">
        <is>
          <t>TXN00066346</t>
        </is>
      </c>
      <c r="B1104" t="inlineStr">
        <is>
          <t>MER00549</t>
        </is>
      </c>
      <c r="C1104" s="8" t="n">
        <v>45699</v>
      </c>
      <c r="D1104" t="inlineStr">
        <is>
          <t>ORD00066346</t>
        </is>
      </c>
      <c r="E1104" t="n">
        <v>2302.64</v>
      </c>
      <c r="F1104" t="n">
        <v>1.94</v>
      </c>
      <c r="G1104" t="n">
        <v>44.67</v>
      </c>
      <c r="H1104" t="inlineStr">
        <is>
          <t>UPI</t>
        </is>
      </c>
      <c r="I1104" t="inlineStr">
        <is>
          <t>Success</t>
        </is>
      </c>
      <c r="J1104" t="inlineStr">
        <is>
          <t>Delivered</t>
        </is>
      </c>
      <c r="K1104" t="n">
        <v>0</v>
      </c>
      <c r="L1104" t="n">
        <v>0</v>
      </c>
      <c r="M1104" t="inlineStr">
        <is>
          <t>INR</t>
        </is>
      </c>
      <c r="N1104" t="inlineStr">
        <is>
          <t>2025-02-11 09:43:50</t>
        </is>
      </c>
    </row>
    <row r="1105">
      <c r="A1105" t="inlineStr">
        <is>
          <t>TXN00066906</t>
        </is>
      </c>
      <c r="B1105" t="inlineStr">
        <is>
          <t>MER00549</t>
        </is>
      </c>
      <c r="C1105" s="8" t="n">
        <v>45700</v>
      </c>
      <c r="D1105" t="inlineStr">
        <is>
          <t>ORD00066906</t>
        </is>
      </c>
      <c r="E1105" t="n">
        <v>3953.81</v>
      </c>
      <c r="F1105" t="n">
        <v>1.94</v>
      </c>
      <c r="G1105" t="n">
        <v>76.7</v>
      </c>
      <c r="H1105" t="inlineStr">
        <is>
          <t>UPI</t>
        </is>
      </c>
      <c r="I1105" t="inlineStr">
        <is>
          <t>Success</t>
        </is>
      </c>
      <c r="J1105" t="inlineStr">
        <is>
          <t>Delivered</t>
        </is>
      </c>
      <c r="K1105" t="n">
        <v>0</v>
      </c>
      <c r="L1105" t="n">
        <v>609.4299999999999</v>
      </c>
      <c r="M1105" t="inlineStr">
        <is>
          <t>INR</t>
        </is>
      </c>
      <c r="N1105" t="inlineStr">
        <is>
          <t>2025-02-12 11:03:04</t>
        </is>
      </c>
    </row>
    <row r="1106">
      <c r="A1106" t="inlineStr">
        <is>
          <t>TXN00067479</t>
        </is>
      </c>
      <c r="B1106" t="inlineStr">
        <is>
          <t>MER00549</t>
        </is>
      </c>
      <c r="C1106" s="8" t="n">
        <v>45702</v>
      </c>
      <c r="D1106" t="inlineStr">
        <is>
          <t>ORD00067479</t>
        </is>
      </c>
      <c r="E1106" t="n">
        <v>2146.43</v>
      </c>
      <c r="F1106" t="n">
        <v>1.94</v>
      </c>
      <c r="G1106" t="n">
        <v>41.64</v>
      </c>
      <c r="H1106" t="inlineStr">
        <is>
          <t>Card</t>
        </is>
      </c>
      <c r="I1106" t="inlineStr">
        <is>
          <t>Success</t>
        </is>
      </c>
      <c r="J1106" t="inlineStr">
        <is>
          <t>Delivered</t>
        </is>
      </c>
      <c r="K1106" t="n">
        <v>0</v>
      </c>
      <c r="L1106" t="n">
        <v>225.44</v>
      </c>
      <c r="M1106" t="inlineStr">
        <is>
          <t>INR</t>
        </is>
      </c>
      <c r="N1106" t="inlineStr">
        <is>
          <t>2025-02-14 13:48:31</t>
        </is>
      </c>
    </row>
    <row r="1107">
      <c r="A1107" t="inlineStr">
        <is>
          <t>TXN00067413</t>
        </is>
      </c>
      <c r="B1107" t="inlineStr">
        <is>
          <t>MER00549</t>
        </is>
      </c>
      <c r="C1107" s="8" t="n">
        <v>45702</v>
      </c>
      <c r="D1107" t="inlineStr">
        <is>
          <t>ORD00067413</t>
        </is>
      </c>
      <c r="E1107" t="n">
        <v>1459.06</v>
      </c>
      <c r="F1107" t="n">
        <v>1.94</v>
      </c>
      <c r="G1107" t="n">
        <v>28.31</v>
      </c>
      <c r="H1107" t="inlineStr">
        <is>
          <t>Card</t>
        </is>
      </c>
      <c r="I1107" t="inlineStr">
        <is>
          <t>Success</t>
        </is>
      </c>
      <c r="J1107" t="inlineStr">
        <is>
          <t>Delivered</t>
        </is>
      </c>
      <c r="K1107" t="n">
        <v>0</v>
      </c>
      <c r="L1107" t="n">
        <v>0</v>
      </c>
      <c r="M1107" t="inlineStr">
        <is>
          <t>INR</t>
        </is>
      </c>
      <c r="N1107" t="inlineStr">
        <is>
          <t>2025-02-14 07:33:18</t>
        </is>
      </c>
    </row>
    <row r="1108">
      <c r="A1108" t="inlineStr">
        <is>
          <t>TXN00069299</t>
        </is>
      </c>
      <c r="B1108" t="inlineStr">
        <is>
          <t>MER00549</t>
        </is>
      </c>
      <c r="C1108" s="8" t="n">
        <v>45707</v>
      </c>
      <c r="D1108" t="inlineStr">
        <is>
          <t>ORD00069299</t>
        </is>
      </c>
      <c r="E1108" t="n">
        <v>3206.23</v>
      </c>
      <c r="F1108" t="n">
        <v>1.94</v>
      </c>
      <c r="G1108" t="n">
        <v>62.2</v>
      </c>
      <c r="H1108" t="inlineStr">
        <is>
          <t>UPI</t>
        </is>
      </c>
      <c r="I1108" t="inlineStr">
        <is>
          <t>Success</t>
        </is>
      </c>
      <c r="J1108" t="inlineStr">
        <is>
          <t>Delivered</t>
        </is>
      </c>
      <c r="K1108" t="n">
        <v>0</v>
      </c>
      <c r="L1108" t="n">
        <v>471.22</v>
      </c>
      <c r="M1108" t="inlineStr">
        <is>
          <t>INR</t>
        </is>
      </c>
      <c r="N1108" t="inlineStr">
        <is>
          <t>2025-02-19 17:47:09</t>
        </is>
      </c>
    </row>
    <row r="1109">
      <c r="A1109" t="inlineStr">
        <is>
          <t>TXN00070502</t>
        </is>
      </c>
      <c r="B1109" t="inlineStr">
        <is>
          <t>MER00549</t>
        </is>
      </c>
      <c r="C1109" s="8" t="n">
        <v>45711</v>
      </c>
      <c r="D1109" t="inlineStr">
        <is>
          <t>ORD00070502</t>
        </is>
      </c>
      <c r="E1109" t="n">
        <v>5349.26</v>
      </c>
      <c r="F1109" t="n">
        <v>1.94</v>
      </c>
      <c r="G1109" t="n">
        <v>103.78</v>
      </c>
      <c r="H1109" t="inlineStr">
        <is>
          <t>NetBanking</t>
        </is>
      </c>
      <c r="I1109" t="inlineStr">
        <is>
          <t>Success</t>
        </is>
      </c>
      <c r="J1109" t="inlineStr">
        <is>
          <t>Delivered</t>
        </is>
      </c>
      <c r="K1109" t="n">
        <v>0</v>
      </c>
      <c r="L1109" t="n">
        <v>0</v>
      </c>
      <c r="M1109" t="inlineStr">
        <is>
          <t>INR</t>
        </is>
      </c>
      <c r="N1109" t="inlineStr">
        <is>
          <t>2025-02-23 01:01:22</t>
        </is>
      </c>
    </row>
    <row r="1110">
      <c r="A1110" t="inlineStr">
        <is>
          <t>TXN00073171</t>
        </is>
      </c>
      <c r="B1110" t="inlineStr">
        <is>
          <t>MER00549</t>
        </is>
      </c>
      <c r="C1110" s="8" t="n">
        <v>45719</v>
      </c>
      <c r="D1110" t="inlineStr">
        <is>
          <t>ORD00073171</t>
        </is>
      </c>
      <c r="E1110" t="n">
        <v>1889.27</v>
      </c>
      <c r="F1110" t="n">
        <v>1.94</v>
      </c>
      <c r="G1110" t="n">
        <v>36.65</v>
      </c>
      <c r="H1110" t="inlineStr">
        <is>
          <t>Card</t>
        </is>
      </c>
      <c r="I1110" t="inlineStr">
        <is>
          <t>Success</t>
        </is>
      </c>
      <c r="J1110" t="inlineStr">
        <is>
          <t>Delivered</t>
        </is>
      </c>
      <c r="K1110" t="n">
        <v>0</v>
      </c>
      <c r="L1110" t="n">
        <v>0</v>
      </c>
      <c r="M1110" t="inlineStr">
        <is>
          <t>INR</t>
        </is>
      </c>
      <c r="N1110" t="inlineStr">
        <is>
          <t>2025-03-03 17:16:03</t>
        </is>
      </c>
    </row>
    <row r="1111">
      <c r="A1111" t="inlineStr">
        <is>
          <t>TXN00073522</t>
        </is>
      </c>
      <c r="B1111" t="inlineStr">
        <is>
          <t>MER00549</t>
        </is>
      </c>
      <c r="C1111" s="8" t="n">
        <v>45720</v>
      </c>
      <c r="D1111" t="inlineStr">
        <is>
          <t>ORD00073522</t>
        </is>
      </c>
      <c r="E1111" t="n">
        <v>1417.85</v>
      </c>
      <c r="F1111" t="n">
        <v>1.94</v>
      </c>
      <c r="G1111" t="n">
        <v>27.51</v>
      </c>
      <c r="H1111" t="inlineStr">
        <is>
          <t>UPI</t>
        </is>
      </c>
      <c r="I1111" t="inlineStr">
        <is>
          <t>Success</t>
        </is>
      </c>
      <c r="J1111" t="inlineStr">
        <is>
          <t>Delivered</t>
        </is>
      </c>
      <c r="K1111" t="n">
        <v>0</v>
      </c>
      <c r="L1111" t="n">
        <v>0</v>
      </c>
      <c r="M1111" t="inlineStr">
        <is>
          <t>INR</t>
        </is>
      </c>
      <c r="N1111" t="inlineStr">
        <is>
          <t>2025-03-04 04:37:59</t>
        </is>
      </c>
    </row>
    <row r="1112">
      <c r="A1112" t="inlineStr">
        <is>
          <t>TXN00074115</t>
        </is>
      </c>
      <c r="B1112" t="inlineStr">
        <is>
          <t>MER00549</t>
        </is>
      </c>
      <c r="C1112" s="8" t="n">
        <v>45722</v>
      </c>
      <c r="D1112" t="inlineStr">
        <is>
          <t>ORD00074115</t>
        </is>
      </c>
      <c r="E1112" t="n">
        <v>4993.4</v>
      </c>
      <c r="F1112" t="n">
        <v>1.22</v>
      </c>
      <c r="G1112" t="n">
        <v>96.87</v>
      </c>
      <c r="H1112" t="inlineStr">
        <is>
          <t>Card</t>
        </is>
      </c>
      <c r="I1112" t="inlineStr">
        <is>
          <t>Success</t>
        </is>
      </c>
      <c r="J1112" t="inlineStr">
        <is>
          <t>Processing</t>
        </is>
      </c>
      <c r="K1112" t="n">
        <v>0</v>
      </c>
      <c r="L1112" t="n">
        <v>0</v>
      </c>
      <c r="M1112" t="inlineStr">
        <is>
          <t>INR</t>
        </is>
      </c>
      <c r="N1112" t="inlineStr">
        <is>
          <t>2025-03-06 06:30:01</t>
        </is>
      </c>
    </row>
    <row r="1113">
      <c r="A1113" t="inlineStr">
        <is>
          <t>TXN00076216</t>
        </is>
      </c>
      <c r="B1113" t="inlineStr">
        <is>
          <t>MER00549</t>
        </is>
      </c>
      <c r="C1113" s="8" t="n">
        <v>45729</v>
      </c>
      <c r="D1113" t="inlineStr">
        <is>
          <t>ORD00076216</t>
        </is>
      </c>
      <c r="E1113" t="n">
        <v>1115.1</v>
      </c>
      <c r="F1113" t="n">
        <v>1.94</v>
      </c>
      <c r="G1113" t="n">
        <v>21.63</v>
      </c>
      <c r="H1113" t="inlineStr">
        <is>
          <t>COD</t>
        </is>
      </c>
      <c r="I1113" t="inlineStr">
        <is>
          <t>Success</t>
        </is>
      </c>
      <c r="J1113" t="inlineStr">
        <is>
          <t>Delivered</t>
        </is>
      </c>
      <c r="K1113" t="n">
        <v>0</v>
      </c>
      <c r="L1113" t="n">
        <v>0</v>
      </c>
      <c r="M1113" t="inlineStr">
        <is>
          <t>INR</t>
        </is>
      </c>
      <c r="N1113" t="inlineStr">
        <is>
          <t>2025-03-13 14:22:49</t>
        </is>
      </c>
    </row>
    <row r="1114">
      <c r="A1114" t="inlineStr">
        <is>
          <t>TXN00077192</t>
        </is>
      </c>
      <c r="B1114" t="inlineStr">
        <is>
          <t>MER00549</t>
        </is>
      </c>
      <c r="C1114" s="8" t="n">
        <v>45732</v>
      </c>
      <c r="D1114" t="inlineStr">
        <is>
          <t>ORD00077192</t>
        </is>
      </c>
      <c r="E1114" t="n">
        <v>4807.41</v>
      </c>
      <c r="F1114" t="n">
        <v>1.94</v>
      </c>
      <c r="G1114" t="n">
        <v>93.26000000000001</v>
      </c>
      <c r="H1114" t="inlineStr">
        <is>
          <t>UPI</t>
        </is>
      </c>
      <c r="I1114" t="inlineStr">
        <is>
          <t>Success</t>
        </is>
      </c>
      <c r="J1114" t="inlineStr">
        <is>
          <t>Delivered</t>
        </is>
      </c>
      <c r="K1114" t="n">
        <v>0</v>
      </c>
      <c r="L1114" t="n">
        <v>0</v>
      </c>
      <c r="M1114" t="inlineStr">
        <is>
          <t>INR</t>
        </is>
      </c>
      <c r="N1114" t="inlineStr">
        <is>
          <t>2025-03-16 18:13:47</t>
        </is>
      </c>
    </row>
    <row r="1115">
      <c r="A1115" t="inlineStr">
        <is>
          <t>TXN00077894</t>
        </is>
      </c>
      <c r="B1115" t="inlineStr">
        <is>
          <t>MER00549</t>
        </is>
      </c>
      <c r="C1115" s="8" t="n">
        <v>45734</v>
      </c>
      <c r="D1115" t="inlineStr">
        <is>
          <t>ORD00077894</t>
        </is>
      </c>
      <c r="E1115" t="n">
        <v>3754.72</v>
      </c>
      <c r="F1115" t="n">
        <v>1.94</v>
      </c>
      <c r="G1115" t="n">
        <v>72.84</v>
      </c>
      <c r="H1115" t="inlineStr">
        <is>
          <t>Card</t>
        </is>
      </c>
      <c r="I1115" t="inlineStr">
        <is>
          <t>Success</t>
        </is>
      </c>
      <c r="J1115" t="inlineStr">
        <is>
          <t>Delivered</t>
        </is>
      </c>
      <c r="K1115" t="n">
        <v>0</v>
      </c>
      <c r="L1115" t="n">
        <v>283.08</v>
      </c>
      <c r="M1115" t="inlineStr">
        <is>
          <t>INR</t>
        </is>
      </c>
      <c r="N1115" t="inlineStr">
        <is>
          <t>2025-03-18 22:57:51</t>
        </is>
      </c>
    </row>
    <row r="1116">
      <c r="A1116" t="inlineStr">
        <is>
          <t>TXN00078624</t>
        </is>
      </c>
      <c r="B1116" t="inlineStr">
        <is>
          <t>MER00549</t>
        </is>
      </c>
      <c r="C1116" s="8" t="n">
        <v>45736</v>
      </c>
      <c r="D1116" t="inlineStr">
        <is>
          <t>ORD00078624</t>
        </is>
      </c>
      <c r="E1116" t="n">
        <v>924.01</v>
      </c>
      <c r="F1116" t="n">
        <v>0.96</v>
      </c>
      <c r="G1116" t="n">
        <v>17.93</v>
      </c>
      <c r="H1116" t="inlineStr">
        <is>
          <t>UPI</t>
        </is>
      </c>
      <c r="I1116" t="inlineStr">
        <is>
          <t>Success</t>
        </is>
      </c>
      <c r="J1116" t="inlineStr">
        <is>
          <t>Delivered</t>
        </is>
      </c>
      <c r="K1116" t="n">
        <v>0</v>
      </c>
      <c r="L1116" t="n">
        <v>113.26</v>
      </c>
      <c r="M1116" t="inlineStr">
        <is>
          <t>INR</t>
        </is>
      </c>
      <c r="N1116" t="inlineStr">
        <is>
          <t>2025-03-20 23:28:26</t>
        </is>
      </c>
    </row>
    <row r="1117">
      <c r="A1117" t="inlineStr">
        <is>
          <t>TXN00078669</t>
        </is>
      </c>
      <c r="B1117" t="inlineStr">
        <is>
          <t>MER00549</t>
        </is>
      </c>
      <c r="C1117" s="8" t="n">
        <v>45737</v>
      </c>
      <c r="D1117" t="inlineStr">
        <is>
          <t>ORD00078669</t>
        </is>
      </c>
      <c r="E1117" t="n">
        <v>2514.29</v>
      </c>
      <c r="F1117" t="n">
        <v>1.94</v>
      </c>
      <c r="G1117" t="n">
        <v>48.78</v>
      </c>
      <c r="H1117" t="inlineStr">
        <is>
          <t>UPI</t>
        </is>
      </c>
      <c r="I1117" t="inlineStr">
        <is>
          <t>Success</t>
        </is>
      </c>
      <c r="J1117" t="inlineStr">
        <is>
          <t>Delivered</t>
        </is>
      </c>
      <c r="K1117" t="n">
        <v>0</v>
      </c>
      <c r="L1117" t="n">
        <v>0</v>
      </c>
      <c r="M1117" t="inlineStr">
        <is>
          <t>INR</t>
        </is>
      </c>
      <c r="N1117" t="inlineStr">
        <is>
          <t>2025-03-21 00:05:47</t>
        </is>
      </c>
    </row>
    <row r="1118">
      <c r="A1118" t="inlineStr">
        <is>
          <t>TXN00079328</t>
        </is>
      </c>
      <c r="B1118" t="inlineStr">
        <is>
          <t>MER00549</t>
        </is>
      </c>
      <c r="C1118" s="8" t="n">
        <v>45739</v>
      </c>
      <c r="D1118" t="inlineStr">
        <is>
          <t>ORD00079328</t>
        </is>
      </c>
      <c r="E1118" t="n">
        <v>1388.32</v>
      </c>
      <c r="F1118" t="n">
        <v>1.94</v>
      </c>
      <c r="G1118" t="n">
        <v>26.93</v>
      </c>
      <c r="H1118" t="inlineStr">
        <is>
          <t>UPI</t>
        </is>
      </c>
      <c r="I1118" t="inlineStr">
        <is>
          <t>Success</t>
        </is>
      </c>
      <c r="J1118" t="inlineStr">
        <is>
          <t>Delivered</t>
        </is>
      </c>
      <c r="K1118" t="n">
        <v>0</v>
      </c>
      <c r="L1118" t="n">
        <v>0</v>
      </c>
      <c r="M1118" t="inlineStr">
        <is>
          <t>INR</t>
        </is>
      </c>
      <c r="N1118" t="inlineStr">
        <is>
          <t>2025-03-23 15:14:57</t>
        </is>
      </c>
    </row>
    <row r="1119">
      <c r="A1119" t="inlineStr">
        <is>
          <t>TXN00079887</t>
        </is>
      </c>
      <c r="B1119" t="inlineStr">
        <is>
          <t>MER00549</t>
        </is>
      </c>
      <c r="C1119" s="8" t="n">
        <v>45740</v>
      </c>
      <c r="D1119" t="inlineStr">
        <is>
          <t>ORD00079887</t>
        </is>
      </c>
      <c r="E1119" t="n">
        <v>2345.2</v>
      </c>
      <c r="F1119" t="n">
        <v>1.94</v>
      </c>
      <c r="G1119" t="n">
        <v>45.5</v>
      </c>
      <c r="H1119" t="inlineStr">
        <is>
          <t>Card</t>
        </is>
      </c>
      <c r="I1119" t="inlineStr">
        <is>
          <t>Success</t>
        </is>
      </c>
      <c r="J1119" t="inlineStr">
        <is>
          <t>Delivered</t>
        </is>
      </c>
      <c r="K1119" t="n">
        <v>0</v>
      </c>
      <c r="L1119" t="n">
        <v>0</v>
      </c>
      <c r="M1119" t="inlineStr">
        <is>
          <t>INR</t>
        </is>
      </c>
      <c r="N1119" t="inlineStr">
        <is>
          <t>2025-03-24 12:04:30</t>
        </is>
      </c>
    </row>
    <row r="1120">
      <c r="A1120" t="inlineStr">
        <is>
          <t>TXN00079944</t>
        </is>
      </c>
      <c r="B1120" t="inlineStr">
        <is>
          <t>MER00549</t>
        </is>
      </c>
      <c r="C1120" s="8" t="n">
        <v>45741</v>
      </c>
      <c r="D1120" t="inlineStr">
        <is>
          <t>ORD00079944</t>
        </is>
      </c>
      <c r="E1120" t="n">
        <v>1700.83</v>
      </c>
      <c r="F1120" t="n">
        <v>1.94</v>
      </c>
      <c r="G1120" t="n">
        <v>33</v>
      </c>
      <c r="H1120" t="inlineStr">
        <is>
          <t>COD</t>
        </is>
      </c>
      <c r="I1120" t="inlineStr">
        <is>
          <t>Success</t>
        </is>
      </c>
      <c r="J1120" t="inlineStr">
        <is>
          <t>Returned</t>
        </is>
      </c>
      <c r="K1120" t="n">
        <v>1700.83</v>
      </c>
      <c r="L1120" t="n">
        <v>0</v>
      </c>
      <c r="M1120" t="inlineStr">
        <is>
          <t>INR</t>
        </is>
      </c>
      <c r="N1120" t="inlineStr">
        <is>
          <t>2025-03-25 10:04:34</t>
        </is>
      </c>
    </row>
    <row r="1121">
      <c r="A1121" t="inlineStr">
        <is>
          <t>TXN00080266</t>
        </is>
      </c>
      <c r="B1121" t="inlineStr">
        <is>
          <t>MER00549</t>
        </is>
      </c>
      <c r="C1121" s="8" t="n">
        <v>45742</v>
      </c>
      <c r="D1121" t="inlineStr">
        <is>
          <t>ORD00080266</t>
        </is>
      </c>
      <c r="E1121" t="n">
        <v>3533.77</v>
      </c>
      <c r="F1121" t="n">
        <v>1.94</v>
      </c>
      <c r="G1121" t="n">
        <v>68.56</v>
      </c>
      <c r="H1121" t="inlineStr">
        <is>
          <t>Card</t>
        </is>
      </c>
      <c r="I1121" t="inlineStr">
        <is>
          <t>Success</t>
        </is>
      </c>
      <c r="J1121" t="inlineStr">
        <is>
          <t>Delivered</t>
        </is>
      </c>
      <c r="K1121" t="n">
        <v>0</v>
      </c>
      <c r="L1121" t="n">
        <v>0</v>
      </c>
      <c r="M1121" t="inlineStr">
        <is>
          <t>INR</t>
        </is>
      </c>
      <c r="N1121" t="inlineStr">
        <is>
          <t>2025-03-26 16:15:28</t>
        </is>
      </c>
    </row>
    <row r="1122">
      <c r="A1122" t="inlineStr">
        <is>
          <t>TXN00080256</t>
        </is>
      </c>
      <c r="B1122" t="inlineStr">
        <is>
          <t>MER00549</t>
        </is>
      </c>
      <c r="C1122" s="8" t="n">
        <v>45742</v>
      </c>
      <c r="D1122" t="inlineStr">
        <is>
          <t>ORD00080256</t>
        </is>
      </c>
      <c r="E1122" t="n">
        <v>3770.05</v>
      </c>
      <c r="F1122" t="n">
        <v>1.94</v>
      </c>
      <c r="G1122" t="n">
        <v>73.14</v>
      </c>
      <c r="H1122" t="inlineStr">
        <is>
          <t>Wallet</t>
        </is>
      </c>
      <c r="I1122" t="inlineStr">
        <is>
          <t>Success</t>
        </is>
      </c>
      <c r="J1122" t="inlineStr">
        <is>
          <t>Delivered</t>
        </is>
      </c>
      <c r="K1122" t="n">
        <v>0</v>
      </c>
      <c r="L1122" t="n">
        <v>0</v>
      </c>
      <c r="M1122" t="inlineStr">
        <is>
          <t>INR</t>
        </is>
      </c>
      <c r="N1122" t="inlineStr">
        <is>
          <t>2025-03-26 05:50:08</t>
        </is>
      </c>
    </row>
    <row r="1123">
      <c r="A1123" t="inlineStr">
        <is>
          <t>TXN00080268</t>
        </is>
      </c>
      <c r="B1123" t="inlineStr">
        <is>
          <t>MER00549</t>
        </is>
      </c>
      <c r="C1123" s="8" t="n">
        <v>45742</v>
      </c>
      <c r="D1123" t="inlineStr">
        <is>
          <t>ORD00080268</t>
        </is>
      </c>
      <c r="E1123" t="n">
        <v>2520.15</v>
      </c>
      <c r="F1123" t="n">
        <v>1.94</v>
      </c>
      <c r="G1123" t="n">
        <v>48.89</v>
      </c>
      <c r="H1123" t="inlineStr">
        <is>
          <t>Card</t>
        </is>
      </c>
      <c r="I1123" t="inlineStr">
        <is>
          <t>Success</t>
        </is>
      </c>
      <c r="J1123" t="inlineStr">
        <is>
          <t>Delivered</t>
        </is>
      </c>
      <c r="K1123" t="n">
        <v>0</v>
      </c>
      <c r="L1123" t="n">
        <v>0</v>
      </c>
      <c r="M1123" t="inlineStr">
        <is>
          <t>INR</t>
        </is>
      </c>
      <c r="N1123" t="inlineStr">
        <is>
          <t>2025-03-26 02:18:37</t>
        </is>
      </c>
    </row>
    <row r="1124">
      <c r="A1124" t="inlineStr">
        <is>
          <t>TXN00080877</t>
        </is>
      </c>
      <c r="B1124" t="inlineStr">
        <is>
          <t>MER00549</t>
        </is>
      </c>
      <c r="C1124" s="8" t="n">
        <v>45743</v>
      </c>
      <c r="D1124" t="inlineStr">
        <is>
          <t>ORD00080877</t>
        </is>
      </c>
      <c r="E1124" t="n">
        <v>8081.7</v>
      </c>
      <c r="F1124" t="n">
        <v>2.37</v>
      </c>
      <c r="G1124" t="n">
        <v>156.78</v>
      </c>
      <c r="H1124" t="inlineStr">
        <is>
          <t>Card</t>
        </is>
      </c>
      <c r="I1124" t="inlineStr">
        <is>
          <t>Failed</t>
        </is>
      </c>
      <c r="J1124" t="inlineStr">
        <is>
          <t>Processing</t>
        </is>
      </c>
      <c r="K1124" t="n">
        <v>0</v>
      </c>
      <c r="L1124" t="n">
        <v>0</v>
      </c>
      <c r="M1124" t="inlineStr">
        <is>
          <t>INR</t>
        </is>
      </c>
      <c r="N1124" t="inlineStr">
        <is>
          <t>2025-03-27 08:12:52</t>
        </is>
      </c>
    </row>
    <row r="1125">
      <c r="A1125" t="inlineStr">
        <is>
          <t>TXN00084396</t>
        </is>
      </c>
      <c r="B1125" t="inlineStr">
        <is>
          <t>MER00549</t>
        </is>
      </c>
      <c r="C1125" s="8" t="n">
        <v>45754</v>
      </c>
      <c r="D1125" t="inlineStr">
        <is>
          <t>ORD00084396</t>
        </is>
      </c>
      <c r="E1125" t="n">
        <v>1584.49</v>
      </c>
      <c r="F1125" t="n">
        <v>1.94</v>
      </c>
      <c r="G1125" t="n">
        <v>30.74</v>
      </c>
      <c r="H1125" t="inlineStr">
        <is>
          <t>UPI</t>
        </is>
      </c>
      <c r="I1125" t="inlineStr">
        <is>
          <t>Success</t>
        </is>
      </c>
      <c r="J1125" t="inlineStr">
        <is>
          <t>Delivered</t>
        </is>
      </c>
      <c r="K1125" t="n">
        <v>0</v>
      </c>
      <c r="L1125" t="n">
        <v>0</v>
      </c>
      <c r="M1125" t="inlineStr">
        <is>
          <t>INR</t>
        </is>
      </c>
      <c r="N1125" t="inlineStr">
        <is>
          <t>2025-04-07 12:39:49</t>
        </is>
      </c>
    </row>
    <row r="1126">
      <c r="A1126" t="inlineStr">
        <is>
          <t>TXN00084439</t>
        </is>
      </c>
      <c r="B1126" t="inlineStr">
        <is>
          <t>MER00549</t>
        </is>
      </c>
      <c r="C1126" s="8" t="n">
        <v>45754</v>
      </c>
      <c r="D1126" t="inlineStr">
        <is>
          <t>ORD00084439</t>
        </is>
      </c>
      <c r="E1126" t="n">
        <v>12857.2</v>
      </c>
      <c r="F1126" t="n">
        <v>1.94</v>
      </c>
      <c r="G1126" t="n">
        <v>249.43</v>
      </c>
      <c r="H1126" t="inlineStr">
        <is>
          <t>UPI</t>
        </is>
      </c>
      <c r="I1126" t="inlineStr">
        <is>
          <t>Success</t>
        </is>
      </c>
      <c r="J1126" t="inlineStr">
        <is>
          <t>Delivered</t>
        </is>
      </c>
      <c r="K1126" t="n">
        <v>0</v>
      </c>
      <c r="L1126" t="n">
        <v>0</v>
      </c>
      <c r="M1126" t="inlineStr">
        <is>
          <t>INR</t>
        </is>
      </c>
      <c r="N1126" t="inlineStr">
        <is>
          <t>2025-04-07 20:57:39</t>
        </is>
      </c>
    </row>
    <row r="1127">
      <c r="A1127" t="inlineStr">
        <is>
          <t>TXN00085733</t>
        </is>
      </c>
      <c r="B1127" t="inlineStr">
        <is>
          <t>MER00549</t>
        </is>
      </c>
      <c r="C1127" s="8" t="n">
        <v>45758</v>
      </c>
      <c r="D1127" t="inlineStr">
        <is>
          <t>ORD00085733</t>
        </is>
      </c>
      <c r="E1127" t="n">
        <v>4391.68</v>
      </c>
      <c r="F1127" t="n">
        <v>1.94</v>
      </c>
      <c r="G1127" t="n">
        <v>85.2</v>
      </c>
      <c r="H1127" t="inlineStr">
        <is>
          <t>Card</t>
        </is>
      </c>
      <c r="I1127" t="inlineStr">
        <is>
          <t>Success</t>
        </is>
      </c>
      <c r="J1127" t="inlineStr">
        <is>
          <t>Delivered</t>
        </is>
      </c>
      <c r="K1127" t="n">
        <v>0</v>
      </c>
      <c r="L1127" t="n">
        <v>0</v>
      </c>
      <c r="M1127" t="inlineStr">
        <is>
          <t>INR</t>
        </is>
      </c>
      <c r="N1127" t="inlineStr">
        <is>
          <t>2025-04-11 00:19:54</t>
        </is>
      </c>
    </row>
    <row r="1128">
      <c r="A1128" t="inlineStr">
        <is>
          <t>TXN00086775</t>
        </is>
      </c>
      <c r="B1128" t="inlineStr">
        <is>
          <t>MER00549</t>
        </is>
      </c>
      <c r="C1128" s="8" t="n">
        <v>45761</v>
      </c>
      <c r="D1128" t="inlineStr">
        <is>
          <t>ORD00086775</t>
        </is>
      </c>
      <c r="E1128" t="n">
        <v>1586.33</v>
      </c>
      <c r="F1128" t="n">
        <v>1.94</v>
      </c>
      <c r="G1128" t="n">
        <v>30.77</v>
      </c>
      <c r="H1128" t="inlineStr">
        <is>
          <t>Wallet</t>
        </is>
      </c>
      <c r="I1128" t="inlineStr">
        <is>
          <t>Success</t>
        </is>
      </c>
      <c r="J1128" t="inlineStr">
        <is>
          <t>Delivered</t>
        </is>
      </c>
      <c r="K1128" t="n">
        <v>0</v>
      </c>
      <c r="L1128" t="n">
        <v>0</v>
      </c>
      <c r="M1128" t="inlineStr">
        <is>
          <t>INR</t>
        </is>
      </c>
      <c r="N1128" t="inlineStr">
        <is>
          <t>2025-04-14 11:46:26</t>
        </is>
      </c>
    </row>
    <row r="1129">
      <c r="A1129" t="inlineStr">
        <is>
          <t>TXN00086706</t>
        </is>
      </c>
      <c r="B1129" t="inlineStr">
        <is>
          <t>MER00549</t>
        </is>
      </c>
      <c r="C1129" s="8" t="n">
        <v>45761</v>
      </c>
      <c r="D1129" t="inlineStr">
        <is>
          <t>ORD00086706</t>
        </is>
      </c>
      <c r="E1129" t="n">
        <v>3968.14</v>
      </c>
      <c r="F1129" t="n">
        <v>1.94</v>
      </c>
      <c r="G1129" t="n">
        <v>76.98</v>
      </c>
      <c r="H1129" t="inlineStr">
        <is>
          <t>UPI</t>
        </is>
      </c>
      <c r="I1129" t="inlineStr">
        <is>
          <t>Success</t>
        </is>
      </c>
      <c r="J1129" t="inlineStr">
        <is>
          <t>Delivered</t>
        </is>
      </c>
      <c r="K1129" t="n">
        <v>0</v>
      </c>
      <c r="L1129" t="n">
        <v>204.33</v>
      </c>
      <c r="M1129" t="inlineStr">
        <is>
          <t>INR</t>
        </is>
      </c>
      <c r="N1129" t="inlineStr">
        <is>
          <t>2025-04-14 10:24:00</t>
        </is>
      </c>
    </row>
    <row r="1130">
      <c r="A1130" t="inlineStr">
        <is>
          <t>TXN00086704</t>
        </is>
      </c>
      <c r="B1130" t="inlineStr">
        <is>
          <t>MER00549</t>
        </is>
      </c>
      <c r="C1130" s="8" t="n">
        <v>45761</v>
      </c>
      <c r="D1130" t="inlineStr">
        <is>
          <t>ORD00086704</t>
        </is>
      </c>
      <c r="E1130" t="n">
        <v>4184.62</v>
      </c>
      <c r="F1130" t="n">
        <v>1.55</v>
      </c>
      <c r="G1130" t="n">
        <v>81.18000000000001</v>
      </c>
      <c r="H1130" t="inlineStr">
        <is>
          <t>UPI</t>
        </is>
      </c>
      <c r="I1130" t="inlineStr">
        <is>
          <t>Success</t>
        </is>
      </c>
      <c r="J1130" t="inlineStr">
        <is>
          <t>Delivered</t>
        </is>
      </c>
      <c r="K1130" t="n">
        <v>0</v>
      </c>
      <c r="L1130" t="n">
        <v>0</v>
      </c>
      <c r="M1130" t="inlineStr">
        <is>
          <t>INR</t>
        </is>
      </c>
      <c r="N1130" t="inlineStr">
        <is>
          <t>2025-04-14 05:21:40</t>
        </is>
      </c>
    </row>
    <row r="1131">
      <c r="A1131" t="inlineStr">
        <is>
          <t>TXN00086865</t>
        </is>
      </c>
      <c r="B1131" t="inlineStr">
        <is>
          <t>MER00549</t>
        </is>
      </c>
      <c r="C1131" s="8" t="n">
        <v>45762</v>
      </c>
      <c r="D1131" t="inlineStr">
        <is>
          <t>ORD00086865</t>
        </is>
      </c>
      <c r="E1131" t="n">
        <v>2217.42</v>
      </c>
      <c r="F1131" t="n">
        <v>1.94</v>
      </c>
      <c r="G1131" t="n">
        <v>43.02</v>
      </c>
      <c r="H1131" t="inlineStr">
        <is>
          <t>UPI</t>
        </is>
      </c>
      <c r="I1131" t="inlineStr">
        <is>
          <t>Success</t>
        </is>
      </c>
      <c r="J1131" t="inlineStr">
        <is>
          <t>Cancelled</t>
        </is>
      </c>
      <c r="K1131" t="n">
        <v>2199.92</v>
      </c>
      <c r="L1131" t="n">
        <v>0</v>
      </c>
      <c r="M1131" t="inlineStr">
        <is>
          <t>INR</t>
        </is>
      </c>
      <c r="N1131" t="inlineStr">
        <is>
          <t>2025-04-15 01:29:10</t>
        </is>
      </c>
    </row>
    <row r="1132">
      <c r="A1132" t="inlineStr">
        <is>
          <t>TXN00088953</t>
        </is>
      </c>
      <c r="B1132" t="inlineStr">
        <is>
          <t>MER00549</t>
        </is>
      </c>
      <c r="C1132" s="8" t="n">
        <v>45768</v>
      </c>
      <c r="D1132" t="inlineStr">
        <is>
          <t>ORD00088953</t>
        </is>
      </c>
      <c r="E1132" t="n">
        <v>1389.87</v>
      </c>
      <c r="F1132" t="n">
        <v>1.94</v>
      </c>
      <c r="G1132" t="n">
        <v>26.96</v>
      </c>
      <c r="H1132" t="inlineStr">
        <is>
          <t>UPI</t>
        </is>
      </c>
      <c r="I1132" t="inlineStr">
        <is>
          <t>Success</t>
        </is>
      </c>
      <c r="J1132" t="inlineStr">
        <is>
          <t>Delivered</t>
        </is>
      </c>
      <c r="K1132" t="n">
        <v>0</v>
      </c>
      <c r="L1132" t="n">
        <v>0</v>
      </c>
      <c r="M1132" t="inlineStr">
        <is>
          <t>INR</t>
        </is>
      </c>
      <c r="N1132" t="inlineStr">
        <is>
          <t>2025-04-21 13:00:35</t>
        </is>
      </c>
    </row>
    <row r="1133">
      <c r="A1133" t="inlineStr">
        <is>
          <t>TXN00093098</t>
        </is>
      </c>
      <c r="B1133" t="inlineStr">
        <is>
          <t>MER00549</t>
        </is>
      </c>
      <c r="C1133" s="8" t="n">
        <v>45781</v>
      </c>
      <c r="D1133" t="inlineStr">
        <is>
          <t>ORD00093098</t>
        </is>
      </c>
      <c r="E1133" t="n">
        <v>3009.53</v>
      </c>
      <c r="F1133" t="n">
        <v>1.94</v>
      </c>
      <c r="G1133" t="n">
        <v>58.38</v>
      </c>
      <c r="H1133" t="inlineStr">
        <is>
          <t>Card</t>
        </is>
      </c>
      <c r="I1133" t="inlineStr">
        <is>
          <t>Success</t>
        </is>
      </c>
      <c r="J1133" t="inlineStr">
        <is>
          <t>Delivered</t>
        </is>
      </c>
      <c r="K1133" t="n">
        <v>0</v>
      </c>
      <c r="L1133" t="n">
        <v>0</v>
      </c>
      <c r="M1133" t="inlineStr">
        <is>
          <t>INR</t>
        </is>
      </c>
      <c r="N1133" t="inlineStr">
        <is>
          <t>2025-05-04 07:14:52</t>
        </is>
      </c>
    </row>
    <row r="1134">
      <c r="A1134" t="inlineStr">
        <is>
          <t>TXN00094875</t>
        </is>
      </c>
      <c r="B1134" t="inlineStr">
        <is>
          <t>MER00549</t>
        </is>
      </c>
      <c r="C1134" s="8" t="n">
        <v>45786</v>
      </c>
      <c r="D1134" t="inlineStr">
        <is>
          <t>ORD00094875</t>
        </is>
      </c>
      <c r="E1134" t="n">
        <v>6522.32</v>
      </c>
      <c r="F1134" t="n">
        <v>1.94</v>
      </c>
      <c r="G1134" t="n">
        <v>126.53</v>
      </c>
      <c r="H1134" t="inlineStr">
        <is>
          <t>COD</t>
        </is>
      </c>
      <c r="I1134" t="inlineStr">
        <is>
          <t>Success</t>
        </is>
      </c>
      <c r="J1134" t="inlineStr">
        <is>
          <t>Delivered</t>
        </is>
      </c>
      <c r="K1134" t="n">
        <v>0</v>
      </c>
      <c r="L1134" t="n">
        <v>0</v>
      </c>
      <c r="M1134" t="inlineStr">
        <is>
          <t>INR</t>
        </is>
      </c>
      <c r="N1134" t="inlineStr">
        <is>
          <t>2025-05-09 11:04:05</t>
        </is>
      </c>
    </row>
    <row r="1135">
      <c r="A1135" t="inlineStr">
        <is>
          <t>TXN00095158</t>
        </is>
      </c>
      <c r="B1135" t="inlineStr">
        <is>
          <t>MER00549</t>
        </is>
      </c>
      <c r="C1135" s="8" t="n">
        <v>45787</v>
      </c>
      <c r="D1135" t="inlineStr">
        <is>
          <t>ORD00095158</t>
        </is>
      </c>
      <c r="E1135" t="n">
        <v>5956.96</v>
      </c>
      <c r="F1135" t="n">
        <v>1.94</v>
      </c>
      <c r="G1135" t="n">
        <v>115.57</v>
      </c>
      <c r="H1135" t="inlineStr">
        <is>
          <t>UPI</t>
        </is>
      </c>
      <c r="I1135" t="inlineStr">
        <is>
          <t>Success</t>
        </is>
      </c>
      <c r="J1135" t="inlineStr">
        <is>
          <t>Returned</t>
        </is>
      </c>
      <c r="K1135" t="n">
        <v>2873.98</v>
      </c>
      <c r="L1135" t="n">
        <v>0</v>
      </c>
      <c r="M1135" t="inlineStr">
        <is>
          <t>INR</t>
        </is>
      </c>
      <c r="N1135" t="inlineStr">
        <is>
          <t>2025-05-10 23:45:20</t>
        </is>
      </c>
    </row>
    <row r="1136">
      <c r="A1136" t="inlineStr">
        <is>
          <t>TXN00095390</t>
        </is>
      </c>
      <c r="B1136" t="inlineStr">
        <is>
          <t>MER00549</t>
        </is>
      </c>
      <c r="C1136" s="8" t="n">
        <v>45788</v>
      </c>
      <c r="D1136" t="inlineStr">
        <is>
          <t>ORD00095390</t>
        </is>
      </c>
      <c r="E1136" t="n">
        <v>5853.7</v>
      </c>
      <c r="F1136" t="n">
        <v>1.54</v>
      </c>
      <c r="G1136" t="n">
        <v>113.56</v>
      </c>
      <c r="H1136" t="inlineStr">
        <is>
          <t>Card</t>
        </is>
      </c>
      <c r="I1136" t="inlineStr">
        <is>
          <t>Success</t>
        </is>
      </c>
      <c r="J1136" t="inlineStr">
        <is>
          <t>Delivered</t>
        </is>
      </c>
      <c r="K1136" t="n">
        <v>0</v>
      </c>
      <c r="L1136" t="n">
        <v>585.46</v>
      </c>
      <c r="M1136" t="inlineStr">
        <is>
          <t>INR</t>
        </is>
      </c>
      <c r="N1136" t="inlineStr">
        <is>
          <t>2025-05-11 23:56:36</t>
        </is>
      </c>
    </row>
    <row r="1137">
      <c r="A1137" t="inlineStr">
        <is>
          <t>TXN00095913</t>
        </is>
      </c>
      <c r="B1137" t="inlineStr">
        <is>
          <t>MER00549</t>
        </is>
      </c>
      <c r="C1137" s="8" t="n">
        <v>45789</v>
      </c>
      <c r="D1137" t="inlineStr">
        <is>
          <t>ORD00095913</t>
        </is>
      </c>
      <c r="E1137" t="n">
        <v>2277.41</v>
      </c>
      <c r="F1137" t="n">
        <v>1.94</v>
      </c>
      <c r="G1137" t="n">
        <v>44.18</v>
      </c>
      <c r="H1137" t="inlineStr">
        <is>
          <t>UPI</t>
        </is>
      </c>
      <c r="I1137" t="inlineStr">
        <is>
          <t>Success</t>
        </is>
      </c>
      <c r="J1137" t="inlineStr">
        <is>
          <t>Delivered</t>
        </is>
      </c>
      <c r="K1137" t="n">
        <v>0</v>
      </c>
      <c r="L1137" t="n">
        <v>0</v>
      </c>
      <c r="M1137" t="inlineStr">
        <is>
          <t>INR</t>
        </is>
      </c>
      <c r="N1137" t="inlineStr">
        <is>
          <t>2025-05-12 20:17:20</t>
        </is>
      </c>
    </row>
    <row r="1138">
      <c r="A1138" t="inlineStr">
        <is>
          <t>TXN00097534</t>
        </is>
      </c>
      <c r="B1138" t="inlineStr">
        <is>
          <t>MER00549</t>
        </is>
      </c>
      <c r="C1138" s="8" t="n">
        <v>45794</v>
      </c>
      <c r="D1138" t="inlineStr">
        <is>
          <t>ORD00097534</t>
        </is>
      </c>
      <c r="E1138" t="n">
        <v>2941.22</v>
      </c>
      <c r="F1138" t="n">
        <v>1.94</v>
      </c>
      <c r="G1138" t="n">
        <v>57.06</v>
      </c>
      <c r="H1138" t="inlineStr">
        <is>
          <t>Wallet</t>
        </is>
      </c>
      <c r="I1138" t="inlineStr">
        <is>
          <t>Success</t>
        </is>
      </c>
      <c r="J1138" t="inlineStr">
        <is>
          <t>Delivered</t>
        </is>
      </c>
      <c r="K1138" t="n">
        <v>0</v>
      </c>
      <c r="L1138" t="n">
        <v>0</v>
      </c>
      <c r="M1138" t="inlineStr">
        <is>
          <t>INR</t>
        </is>
      </c>
      <c r="N1138" t="inlineStr">
        <is>
          <t>2025-05-17 22:37:39</t>
        </is>
      </c>
    </row>
    <row r="1139">
      <c r="A1139" t="inlineStr">
        <is>
          <t>TXN00098697</t>
        </is>
      </c>
      <c r="B1139" t="inlineStr">
        <is>
          <t>MER00549</t>
        </is>
      </c>
      <c r="C1139" s="8" t="n">
        <v>45798</v>
      </c>
      <c r="D1139" t="inlineStr">
        <is>
          <t>ORD00098697</t>
        </is>
      </c>
      <c r="E1139" t="n">
        <v>2082.85</v>
      </c>
      <c r="F1139" t="n">
        <v>1.94</v>
      </c>
      <c r="G1139" t="n">
        <v>40.41</v>
      </c>
      <c r="H1139" t="inlineStr">
        <is>
          <t>Card</t>
        </is>
      </c>
      <c r="I1139" t="inlineStr">
        <is>
          <t>Failed</t>
        </is>
      </c>
      <c r="J1139" t="inlineStr">
        <is>
          <t>Cancelled</t>
        </is>
      </c>
      <c r="K1139" t="n">
        <v>0</v>
      </c>
      <c r="L1139" t="n">
        <v>0</v>
      </c>
      <c r="M1139" t="inlineStr">
        <is>
          <t>INR</t>
        </is>
      </c>
      <c r="N1139" t="inlineStr">
        <is>
          <t>2025-05-21 21:32:09</t>
        </is>
      </c>
    </row>
    <row r="1140">
      <c r="A1140" t="inlineStr">
        <is>
          <t>TXN00099887</t>
        </is>
      </c>
      <c r="B1140" t="inlineStr">
        <is>
          <t>MER00549</t>
        </is>
      </c>
      <c r="C1140" s="8" t="n">
        <v>45802</v>
      </c>
      <c r="D1140" t="inlineStr">
        <is>
          <t>ORD00099887</t>
        </is>
      </c>
      <c r="E1140" t="n">
        <v>1240.94</v>
      </c>
      <c r="F1140" t="n">
        <v>1.94</v>
      </c>
      <c r="G1140" t="n">
        <v>24.07</v>
      </c>
      <c r="H1140" t="inlineStr">
        <is>
          <t>UPI</t>
        </is>
      </c>
      <c r="I1140" t="inlineStr">
        <is>
          <t>Success</t>
        </is>
      </c>
      <c r="J1140" t="inlineStr">
        <is>
          <t>Delivered</t>
        </is>
      </c>
      <c r="K1140" t="n">
        <v>0</v>
      </c>
      <c r="L1140" t="n">
        <v>0</v>
      </c>
      <c r="M1140" t="inlineStr">
        <is>
          <t>INR</t>
        </is>
      </c>
      <c r="N1140" t="inlineStr">
        <is>
          <t>2025-05-25 14:27:07</t>
        </is>
      </c>
    </row>
    <row r="1141">
      <c r="A1141" t="inlineStr">
        <is>
          <t>TXN00103758</t>
        </is>
      </c>
      <c r="B1141" t="inlineStr">
        <is>
          <t>MER00549</t>
        </is>
      </c>
      <c r="C1141" s="8" t="n">
        <v>45813</v>
      </c>
      <c r="D1141" t="inlineStr">
        <is>
          <t>ORD00103758</t>
        </is>
      </c>
      <c r="E1141" t="n">
        <v>2645.48</v>
      </c>
      <c r="F1141" t="n">
        <v>1.94</v>
      </c>
      <c r="G1141" t="n">
        <v>51.32</v>
      </c>
      <c r="H1141" t="inlineStr">
        <is>
          <t>UPI</t>
        </is>
      </c>
      <c r="I1141" t="inlineStr">
        <is>
          <t>Failed</t>
        </is>
      </c>
      <c r="J1141" t="inlineStr">
        <is>
          <t>Cancelled</t>
        </is>
      </c>
      <c r="K1141" t="n">
        <v>0</v>
      </c>
      <c r="L1141" t="n">
        <v>400.7</v>
      </c>
      <c r="M1141" t="inlineStr">
        <is>
          <t>INR</t>
        </is>
      </c>
      <c r="N1141" t="inlineStr">
        <is>
          <t>2025-06-05 01:29:44</t>
        </is>
      </c>
    </row>
    <row r="1142">
      <c r="A1142" t="inlineStr">
        <is>
          <t>TXN00105257</t>
        </is>
      </c>
      <c r="B1142" t="inlineStr">
        <is>
          <t>MER00549</t>
        </is>
      </c>
      <c r="C1142" s="8" t="n">
        <v>45817</v>
      </c>
      <c r="D1142" t="inlineStr">
        <is>
          <t>ORD00105257</t>
        </is>
      </c>
      <c r="E1142" t="n">
        <v>4498.83</v>
      </c>
      <c r="F1142" t="n">
        <v>1.94</v>
      </c>
      <c r="G1142" t="n">
        <v>87.28</v>
      </c>
      <c r="H1142" t="inlineStr">
        <is>
          <t>Card</t>
        </is>
      </c>
      <c r="I1142" t="inlineStr">
        <is>
          <t>Success</t>
        </is>
      </c>
      <c r="J1142" t="inlineStr">
        <is>
          <t>Delivered</t>
        </is>
      </c>
      <c r="K1142" t="n">
        <v>0</v>
      </c>
      <c r="L1142" t="n">
        <v>0</v>
      </c>
      <c r="M1142" t="inlineStr">
        <is>
          <t>INR</t>
        </is>
      </c>
      <c r="N1142" t="inlineStr">
        <is>
          <t>2025-06-09 23:13:43</t>
        </is>
      </c>
    </row>
    <row r="1143">
      <c r="A1143" t="inlineStr">
        <is>
          <t>TXN00105620</t>
        </is>
      </c>
      <c r="B1143" t="inlineStr">
        <is>
          <t>MER00549</t>
        </is>
      </c>
      <c r="C1143" s="8" t="n">
        <v>45818</v>
      </c>
      <c r="D1143" t="inlineStr">
        <is>
          <t>ORD00105620</t>
        </is>
      </c>
      <c r="E1143" t="n">
        <v>3878.66</v>
      </c>
      <c r="F1143" t="n">
        <v>1.94</v>
      </c>
      <c r="G1143" t="n">
        <v>75.25</v>
      </c>
      <c r="H1143" t="inlineStr">
        <is>
          <t>UPI</t>
        </is>
      </c>
      <c r="I1143" t="inlineStr">
        <is>
          <t>Success</t>
        </is>
      </c>
      <c r="J1143" t="inlineStr">
        <is>
          <t>Delivered</t>
        </is>
      </c>
      <c r="K1143" t="n">
        <v>0</v>
      </c>
      <c r="L1143" t="n">
        <v>0</v>
      </c>
      <c r="M1143" t="inlineStr">
        <is>
          <t>INR</t>
        </is>
      </c>
      <c r="N1143" t="inlineStr">
        <is>
          <t>2025-06-10 11:50:21</t>
        </is>
      </c>
    </row>
    <row r="1144">
      <c r="A1144" t="inlineStr">
        <is>
          <t>TXN00105498</t>
        </is>
      </c>
      <c r="B1144" t="inlineStr">
        <is>
          <t>MER00549</t>
        </is>
      </c>
      <c r="C1144" s="8" t="n">
        <v>45818</v>
      </c>
      <c r="D1144" t="inlineStr">
        <is>
          <t>ORD00105498</t>
        </is>
      </c>
      <c r="E1144" t="n">
        <v>3311.58</v>
      </c>
      <c r="F1144" t="n">
        <v>1.94</v>
      </c>
      <c r="G1144" t="n">
        <v>64.23999999999999</v>
      </c>
      <c r="H1144" t="inlineStr">
        <is>
          <t>UPI</t>
        </is>
      </c>
      <c r="I1144" t="inlineStr">
        <is>
          <t>Success</t>
        </is>
      </c>
      <c r="J1144" t="inlineStr">
        <is>
          <t>Delivered</t>
        </is>
      </c>
      <c r="K1144" t="n">
        <v>0</v>
      </c>
      <c r="L1144" t="n">
        <v>0</v>
      </c>
      <c r="M1144" t="inlineStr">
        <is>
          <t>INR</t>
        </is>
      </c>
      <c r="N1144" t="inlineStr">
        <is>
          <t>2025-06-10 20:07:19</t>
        </is>
      </c>
    </row>
    <row r="1145">
      <c r="A1145" t="inlineStr">
        <is>
          <t>TXN00109566</t>
        </is>
      </c>
      <c r="B1145" t="inlineStr">
        <is>
          <t>MER00549</t>
        </is>
      </c>
      <c r="C1145" s="8" t="n">
        <v>45830</v>
      </c>
      <c r="D1145" t="inlineStr">
        <is>
          <t>ORD00109566</t>
        </is>
      </c>
      <c r="E1145" t="n">
        <v>12753.6</v>
      </c>
      <c r="F1145" t="n">
        <v>1.94</v>
      </c>
      <c r="G1145" t="n">
        <v>247.42</v>
      </c>
      <c r="H1145" t="inlineStr">
        <is>
          <t>UPI</t>
        </is>
      </c>
      <c r="I1145" t="inlineStr">
        <is>
          <t>Success</t>
        </is>
      </c>
      <c r="J1145" t="inlineStr">
        <is>
          <t>Delivered</t>
        </is>
      </c>
      <c r="K1145" t="n">
        <v>0</v>
      </c>
      <c r="L1145" t="n">
        <v>0</v>
      </c>
      <c r="M1145" t="inlineStr">
        <is>
          <t>INR</t>
        </is>
      </c>
      <c r="N1145" t="inlineStr">
        <is>
          <t>2025-06-22 07:53:39</t>
        </is>
      </c>
    </row>
    <row r="1146">
      <c r="A1146" t="inlineStr">
        <is>
          <t>TXN00111100</t>
        </is>
      </c>
      <c r="B1146" t="inlineStr">
        <is>
          <t>MER00549</t>
        </is>
      </c>
      <c r="C1146" s="8" t="n">
        <v>45835</v>
      </c>
      <c r="D1146" t="inlineStr">
        <is>
          <t>ORD00111100</t>
        </is>
      </c>
      <c r="E1146" t="n">
        <v>4605.98</v>
      </c>
      <c r="F1146" t="n">
        <v>1.94</v>
      </c>
      <c r="G1146" t="n">
        <v>89.36</v>
      </c>
      <c r="H1146" t="inlineStr">
        <is>
          <t>UPI</t>
        </is>
      </c>
      <c r="I1146" t="inlineStr">
        <is>
          <t>Success</t>
        </is>
      </c>
      <c r="J1146" t="inlineStr">
        <is>
          <t>Delivered</t>
        </is>
      </c>
      <c r="K1146" t="n">
        <v>0</v>
      </c>
      <c r="L1146" t="n">
        <v>0</v>
      </c>
      <c r="M1146" t="inlineStr">
        <is>
          <t>INR</t>
        </is>
      </c>
      <c r="N1146" t="inlineStr">
        <is>
          <t>2025-06-27 17:53:46</t>
        </is>
      </c>
    </row>
    <row r="1147">
      <c r="A1147" t="inlineStr">
        <is>
          <t>TXN00111587</t>
        </is>
      </c>
      <c r="B1147" t="inlineStr">
        <is>
          <t>MER00549</t>
        </is>
      </c>
      <c r="C1147" s="8" t="n">
        <v>45836</v>
      </c>
      <c r="D1147" t="inlineStr">
        <is>
          <t>ORD00111587</t>
        </is>
      </c>
      <c r="E1147" t="n">
        <v>1541.69</v>
      </c>
      <c r="F1147" t="n">
        <v>1.21</v>
      </c>
      <c r="G1147" t="n">
        <v>29.91</v>
      </c>
      <c r="H1147" t="inlineStr">
        <is>
          <t>UPI</t>
        </is>
      </c>
      <c r="I1147" t="inlineStr">
        <is>
          <t>Success</t>
        </is>
      </c>
      <c r="J1147" t="inlineStr">
        <is>
          <t>Delivered</t>
        </is>
      </c>
      <c r="K1147" t="n">
        <v>0</v>
      </c>
      <c r="L1147" t="n">
        <v>284.31</v>
      </c>
      <c r="M1147" t="inlineStr">
        <is>
          <t>INR</t>
        </is>
      </c>
      <c r="N1147" t="inlineStr">
        <is>
          <t>2025-06-28 08:22:03</t>
        </is>
      </c>
    </row>
    <row r="1148">
      <c r="A1148" t="inlineStr">
        <is>
          <t>TXN00111567</t>
        </is>
      </c>
      <c r="B1148" t="inlineStr">
        <is>
          <t>MER00549</t>
        </is>
      </c>
      <c r="C1148" s="8" t="n">
        <v>45836</v>
      </c>
      <c r="D1148" t="inlineStr">
        <is>
          <t>ORD00111567</t>
        </is>
      </c>
      <c r="E1148" t="n">
        <v>6033.93</v>
      </c>
      <c r="F1148" t="n">
        <v>1.94</v>
      </c>
      <c r="G1148" t="n">
        <v>117.06</v>
      </c>
      <c r="H1148" t="inlineStr">
        <is>
          <t>Wallet</t>
        </is>
      </c>
      <c r="I1148" t="inlineStr">
        <is>
          <t>Success</t>
        </is>
      </c>
      <c r="J1148" t="inlineStr">
        <is>
          <t>Returned</t>
        </is>
      </c>
      <c r="K1148" t="n">
        <v>6033.93</v>
      </c>
      <c r="L1148" t="n">
        <v>0</v>
      </c>
      <c r="M1148" t="inlineStr">
        <is>
          <t>INR</t>
        </is>
      </c>
      <c r="N1148" t="inlineStr">
        <is>
          <t>2025-06-28 20:52:50</t>
        </is>
      </c>
    </row>
    <row r="1149">
      <c r="A1149" t="inlineStr">
        <is>
          <t>TXN00112196</t>
        </is>
      </c>
      <c r="B1149" t="inlineStr">
        <is>
          <t>MER00549</t>
        </is>
      </c>
      <c r="C1149" s="8" t="n">
        <v>45838</v>
      </c>
      <c r="D1149" t="inlineStr">
        <is>
          <t>ORD00112196</t>
        </is>
      </c>
      <c r="E1149" t="n">
        <v>4176.79</v>
      </c>
      <c r="F1149" t="n">
        <v>1.94</v>
      </c>
      <c r="G1149" t="n">
        <v>81.03</v>
      </c>
      <c r="H1149" t="inlineStr">
        <is>
          <t>COD</t>
        </is>
      </c>
      <c r="I1149" t="inlineStr">
        <is>
          <t>Success</t>
        </is>
      </c>
      <c r="J1149" t="inlineStr">
        <is>
          <t>Delivered</t>
        </is>
      </c>
      <c r="K1149" t="n">
        <v>0</v>
      </c>
      <c r="L1149" t="n">
        <v>0</v>
      </c>
      <c r="M1149" t="inlineStr">
        <is>
          <t>INR</t>
        </is>
      </c>
      <c r="N1149" t="inlineStr">
        <is>
          <t>2025-06-30 16:10:13</t>
        </is>
      </c>
    </row>
    <row r="1150">
      <c r="A1150" t="inlineStr">
        <is>
          <t>TXN00113977</t>
        </is>
      </c>
      <c r="B1150" t="inlineStr">
        <is>
          <t>MER00549</t>
        </is>
      </c>
      <c r="C1150" s="8" t="n">
        <v>45843</v>
      </c>
      <c r="D1150" t="inlineStr">
        <is>
          <t>ORD00113977</t>
        </is>
      </c>
      <c r="E1150" t="n">
        <v>3634.04</v>
      </c>
      <c r="F1150" t="n">
        <v>1.94</v>
      </c>
      <c r="G1150" t="n">
        <v>70.5</v>
      </c>
      <c r="H1150" t="inlineStr">
        <is>
          <t>NetBanking</t>
        </is>
      </c>
      <c r="I1150" t="inlineStr">
        <is>
          <t>Success</t>
        </is>
      </c>
      <c r="J1150" t="inlineStr">
        <is>
          <t>Delivered</t>
        </is>
      </c>
      <c r="K1150" t="n">
        <v>0</v>
      </c>
      <c r="L1150" t="n">
        <v>0</v>
      </c>
      <c r="M1150" t="inlineStr">
        <is>
          <t>INR</t>
        </is>
      </c>
      <c r="N1150" t="inlineStr">
        <is>
          <t>2025-07-05 16:39:44</t>
        </is>
      </c>
    </row>
    <row r="1151">
      <c r="A1151" t="inlineStr">
        <is>
          <t>TXN00116708</t>
        </is>
      </c>
      <c r="B1151" t="inlineStr">
        <is>
          <t>MER00549</t>
        </is>
      </c>
      <c r="C1151" s="8" t="n">
        <v>45852</v>
      </c>
      <c r="D1151" t="inlineStr">
        <is>
          <t>ORD00116708</t>
        </is>
      </c>
      <c r="E1151" t="n">
        <v>1784.1</v>
      </c>
      <c r="F1151" t="n">
        <v>1.94</v>
      </c>
      <c r="G1151" t="n">
        <v>34.61</v>
      </c>
      <c r="H1151" t="inlineStr">
        <is>
          <t>COD</t>
        </is>
      </c>
      <c r="I1151" t="inlineStr">
        <is>
          <t>Success</t>
        </is>
      </c>
      <c r="J1151" t="inlineStr">
        <is>
          <t>Delivered</t>
        </is>
      </c>
      <c r="K1151" t="n">
        <v>0</v>
      </c>
      <c r="L1151" t="n">
        <v>335.24</v>
      </c>
      <c r="M1151" t="inlineStr">
        <is>
          <t>INR</t>
        </is>
      </c>
      <c r="N1151" t="inlineStr">
        <is>
          <t>2025-07-14 19:13:04</t>
        </is>
      </c>
    </row>
    <row r="1152">
      <c r="A1152" t="inlineStr">
        <is>
          <t>TXN00118108</t>
        </is>
      </c>
      <c r="B1152" t="inlineStr">
        <is>
          <t>MER00549</t>
        </is>
      </c>
      <c r="C1152" s="8" t="n">
        <v>45856</v>
      </c>
      <c r="D1152" t="inlineStr">
        <is>
          <t>ORD00118108</t>
        </is>
      </c>
      <c r="E1152" t="n">
        <v>2591.75</v>
      </c>
      <c r="F1152" t="n">
        <v>1.94</v>
      </c>
      <c r="G1152" t="n">
        <v>50.28</v>
      </c>
      <c r="H1152" t="inlineStr">
        <is>
          <t>UPI</t>
        </is>
      </c>
      <c r="I1152" t="inlineStr">
        <is>
          <t>Success</t>
        </is>
      </c>
      <c r="J1152" t="inlineStr">
        <is>
          <t>Delivered</t>
        </is>
      </c>
      <c r="K1152" t="n">
        <v>0</v>
      </c>
      <c r="L1152" t="n">
        <v>0</v>
      </c>
      <c r="M1152" t="inlineStr">
        <is>
          <t>INR</t>
        </is>
      </c>
      <c r="N1152" t="inlineStr">
        <is>
          <t>2025-07-18 00:43:04</t>
        </is>
      </c>
    </row>
    <row r="1153">
      <c r="A1153" t="inlineStr">
        <is>
          <t>TXN00118765</t>
        </is>
      </c>
      <c r="B1153" t="inlineStr">
        <is>
          <t>MER00549</t>
        </is>
      </c>
      <c r="C1153" s="8" t="n">
        <v>45858</v>
      </c>
      <c r="D1153" t="inlineStr">
        <is>
          <t>ORD00118765</t>
        </is>
      </c>
      <c r="E1153" t="n">
        <v>3479.89</v>
      </c>
      <c r="F1153" t="n">
        <v>1.94</v>
      </c>
      <c r="G1153" t="n">
        <v>67.51000000000001</v>
      </c>
      <c r="H1153" t="inlineStr">
        <is>
          <t>Card</t>
        </is>
      </c>
      <c r="I1153" t="inlineStr">
        <is>
          <t>Success</t>
        </is>
      </c>
      <c r="J1153" t="inlineStr">
        <is>
          <t>Delivered</t>
        </is>
      </c>
      <c r="K1153" t="n">
        <v>0</v>
      </c>
      <c r="L1153" t="n">
        <v>0</v>
      </c>
      <c r="M1153" t="inlineStr">
        <is>
          <t>INR</t>
        </is>
      </c>
      <c r="N1153" t="inlineStr">
        <is>
          <t>2025-07-20 04:14:42</t>
        </is>
      </c>
    </row>
    <row r="1154">
      <c r="A1154" t="inlineStr">
        <is>
          <t>TXN00118703</t>
        </is>
      </c>
      <c r="B1154" t="inlineStr">
        <is>
          <t>MER00549</t>
        </is>
      </c>
      <c r="C1154" s="8" t="n">
        <v>45858</v>
      </c>
      <c r="D1154" t="inlineStr">
        <is>
          <t>ORD00118703</t>
        </is>
      </c>
      <c r="E1154" t="n">
        <v>2316.96</v>
      </c>
      <c r="F1154" t="n">
        <v>1.33</v>
      </c>
      <c r="G1154" t="n">
        <v>44.95</v>
      </c>
      <c r="H1154" t="inlineStr">
        <is>
          <t>UPI</t>
        </is>
      </c>
      <c r="I1154" t="inlineStr">
        <is>
          <t>Success</t>
        </is>
      </c>
      <c r="J1154" t="inlineStr">
        <is>
          <t>Delivered</t>
        </is>
      </c>
      <c r="K1154" t="n">
        <v>0</v>
      </c>
      <c r="L1154" t="n">
        <v>0</v>
      </c>
      <c r="M1154" t="inlineStr">
        <is>
          <t>INR</t>
        </is>
      </c>
      <c r="N1154" t="inlineStr">
        <is>
          <t>2025-07-20 19:18:59</t>
        </is>
      </c>
    </row>
    <row r="1155">
      <c r="A1155" t="inlineStr">
        <is>
          <t>TXN00119241</t>
        </is>
      </c>
      <c r="B1155" t="inlineStr">
        <is>
          <t>MER00549</t>
        </is>
      </c>
      <c r="C1155" s="8" t="n">
        <v>45859</v>
      </c>
      <c r="D1155" t="inlineStr">
        <is>
          <t>ORD00119241</t>
        </is>
      </c>
      <c r="E1155" t="n">
        <v>6049.31</v>
      </c>
      <c r="F1155" t="n">
        <v>1.94</v>
      </c>
      <c r="G1155" t="n">
        <v>117.36</v>
      </c>
      <c r="H1155" t="inlineStr">
        <is>
          <t>NetBanking</t>
        </is>
      </c>
      <c r="I1155" t="inlineStr">
        <is>
          <t>Success</t>
        </is>
      </c>
      <c r="J1155" t="inlineStr">
        <is>
          <t>Delivered</t>
        </is>
      </c>
      <c r="K1155" t="n">
        <v>0</v>
      </c>
      <c r="L1155" t="n">
        <v>0</v>
      </c>
      <c r="M1155" t="inlineStr">
        <is>
          <t>INR</t>
        </is>
      </c>
      <c r="N1155" t="inlineStr">
        <is>
          <t>2025-07-21 03:07:07</t>
        </is>
      </c>
    </row>
    <row r="1156">
      <c r="A1156" t="inlineStr">
        <is>
          <t>TXN00119425</t>
        </is>
      </c>
      <c r="B1156" t="inlineStr">
        <is>
          <t>MER00549</t>
        </is>
      </c>
      <c r="C1156" s="8" t="n">
        <v>45860</v>
      </c>
      <c r="D1156" t="inlineStr">
        <is>
          <t>ORD00119425</t>
        </is>
      </c>
      <c r="E1156" t="n">
        <v>2154.31</v>
      </c>
      <c r="F1156" t="n">
        <v>2.45</v>
      </c>
      <c r="G1156" t="n">
        <v>41.79</v>
      </c>
      <c r="H1156" t="inlineStr">
        <is>
          <t>Card</t>
        </is>
      </c>
      <c r="I1156" t="inlineStr">
        <is>
          <t>Success</t>
        </is>
      </c>
      <c r="J1156" t="inlineStr">
        <is>
          <t>Delivered</t>
        </is>
      </c>
      <c r="K1156" t="n">
        <v>0</v>
      </c>
      <c r="L1156" t="n">
        <v>0</v>
      </c>
      <c r="M1156" t="inlineStr">
        <is>
          <t>INR</t>
        </is>
      </c>
      <c r="N1156" t="inlineStr">
        <is>
          <t>2025-07-22 23:17:23</t>
        </is>
      </c>
    </row>
    <row r="1157">
      <c r="A1157" t="inlineStr">
        <is>
          <t>TXN00120334</t>
        </is>
      </c>
      <c r="B1157" t="inlineStr">
        <is>
          <t>MER00549</t>
        </is>
      </c>
      <c r="C1157" s="8" t="n">
        <v>45863</v>
      </c>
      <c r="D1157" t="inlineStr">
        <is>
          <t>ORD00120334</t>
        </is>
      </c>
      <c r="E1157" t="n">
        <v>2490.47</v>
      </c>
      <c r="F1157" t="n">
        <v>1.94</v>
      </c>
      <c r="G1157" t="n">
        <v>48.32</v>
      </c>
      <c r="H1157" t="inlineStr">
        <is>
          <t>Wallet</t>
        </is>
      </c>
      <c r="I1157" t="inlineStr">
        <is>
          <t>Success</t>
        </is>
      </c>
      <c r="J1157" t="inlineStr">
        <is>
          <t>Delivered</t>
        </is>
      </c>
      <c r="K1157" t="n">
        <v>0</v>
      </c>
      <c r="L1157" t="n">
        <v>184.31</v>
      </c>
      <c r="M1157" t="inlineStr">
        <is>
          <t>INR</t>
        </is>
      </c>
      <c r="N1157" t="inlineStr">
        <is>
          <t>2025-07-25 22:57:27</t>
        </is>
      </c>
    </row>
    <row r="1158">
      <c r="A1158" t="inlineStr">
        <is>
          <t>TXN00120493</t>
        </is>
      </c>
      <c r="B1158" t="inlineStr">
        <is>
          <t>MER00549</t>
        </is>
      </c>
      <c r="C1158" s="8" t="n">
        <v>45863</v>
      </c>
      <c r="D1158" t="inlineStr">
        <is>
          <t>ORD00120493</t>
        </is>
      </c>
      <c r="E1158" t="n">
        <v>4973.48</v>
      </c>
      <c r="F1158" t="n">
        <v>1.94</v>
      </c>
      <c r="G1158" t="n">
        <v>96.48999999999999</v>
      </c>
      <c r="H1158" t="inlineStr">
        <is>
          <t>UPI</t>
        </is>
      </c>
      <c r="I1158" t="inlineStr">
        <is>
          <t>Success</t>
        </is>
      </c>
      <c r="J1158" t="inlineStr">
        <is>
          <t>Delivered</t>
        </is>
      </c>
      <c r="K1158" t="n">
        <v>0</v>
      </c>
      <c r="L1158" t="n">
        <v>0</v>
      </c>
      <c r="M1158" t="inlineStr">
        <is>
          <t>INR</t>
        </is>
      </c>
      <c r="N1158" t="inlineStr">
        <is>
          <t>2025-07-25 10:26:58</t>
        </is>
      </c>
    </row>
    <row r="1159">
      <c r="A1159" t="inlineStr">
        <is>
          <t>TXN00120679</t>
        </is>
      </c>
      <c r="B1159" t="inlineStr">
        <is>
          <t>MER00549</t>
        </is>
      </c>
      <c r="C1159" s="8" t="n">
        <v>45864</v>
      </c>
      <c r="D1159" t="inlineStr">
        <is>
          <t>ORD00120679</t>
        </is>
      </c>
      <c r="E1159" t="n">
        <v>2012.97</v>
      </c>
      <c r="F1159" t="n">
        <v>1.94</v>
      </c>
      <c r="G1159" t="n">
        <v>39.05</v>
      </c>
      <c r="H1159" t="inlineStr">
        <is>
          <t>UPI</t>
        </is>
      </c>
      <c r="I1159" t="inlineStr">
        <is>
          <t>Success</t>
        </is>
      </c>
      <c r="J1159" t="inlineStr">
        <is>
          <t>Delivered</t>
        </is>
      </c>
      <c r="K1159" t="n">
        <v>0</v>
      </c>
      <c r="L1159" t="n">
        <v>0</v>
      </c>
      <c r="M1159" t="inlineStr">
        <is>
          <t>INR</t>
        </is>
      </c>
      <c r="N1159" t="inlineStr">
        <is>
          <t>2025-07-26 16:59:45</t>
        </is>
      </c>
    </row>
    <row r="1160">
      <c r="A1160" t="inlineStr">
        <is>
          <t>TXN00121855</t>
        </is>
      </c>
      <c r="B1160" t="inlineStr">
        <is>
          <t>MER00549</t>
        </is>
      </c>
      <c r="C1160" s="8" t="n">
        <v>45867</v>
      </c>
      <c r="D1160" t="inlineStr">
        <is>
          <t>ORD00121855</t>
        </is>
      </c>
      <c r="E1160" t="n">
        <v>4085.23</v>
      </c>
      <c r="F1160" t="n">
        <v>1.94</v>
      </c>
      <c r="G1160" t="n">
        <v>79.25</v>
      </c>
      <c r="H1160" t="inlineStr">
        <is>
          <t>UPI</t>
        </is>
      </c>
      <c r="I1160" t="inlineStr">
        <is>
          <t>Success</t>
        </is>
      </c>
      <c r="J1160" t="inlineStr">
        <is>
          <t>Delivered</t>
        </is>
      </c>
      <c r="K1160" t="n">
        <v>0</v>
      </c>
      <c r="L1160" t="n">
        <v>0</v>
      </c>
      <c r="M1160" t="inlineStr">
        <is>
          <t>INR</t>
        </is>
      </c>
      <c r="N1160" t="inlineStr">
        <is>
          <t>2025-07-29 11:35:59</t>
        </is>
      </c>
    </row>
    <row r="1161">
      <c r="A1161" t="inlineStr">
        <is>
          <t>TXN00124583</t>
        </is>
      </c>
      <c r="B1161" t="inlineStr">
        <is>
          <t>MER00549</t>
        </is>
      </c>
      <c r="C1161" s="8" t="n">
        <v>45875</v>
      </c>
      <c r="D1161" t="inlineStr">
        <is>
          <t>ORD00124583</t>
        </is>
      </c>
      <c r="E1161" t="n">
        <v>6655.62</v>
      </c>
      <c r="F1161" t="n">
        <v>1.94</v>
      </c>
      <c r="G1161" t="n">
        <v>129.12</v>
      </c>
      <c r="H1161" t="inlineStr">
        <is>
          <t>UPI</t>
        </is>
      </c>
      <c r="I1161" t="inlineStr">
        <is>
          <t>Success</t>
        </is>
      </c>
      <c r="J1161" t="inlineStr">
        <is>
          <t>Delivered</t>
        </is>
      </c>
      <c r="K1161" t="n">
        <v>0</v>
      </c>
      <c r="L1161" t="n">
        <v>0</v>
      </c>
      <c r="M1161" t="inlineStr">
        <is>
          <t>INR</t>
        </is>
      </c>
      <c r="N1161" t="inlineStr">
        <is>
          <t>2025-08-06 10:34:30</t>
        </is>
      </c>
    </row>
    <row r="1162">
      <c r="A1162" t="inlineStr">
        <is>
          <t>TXN00124988</t>
        </is>
      </c>
      <c r="B1162" t="inlineStr">
        <is>
          <t>MER00549</t>
        </is>
      </c>
      <c r="C1162" s="8" t="n">
        <v>45876</v>
      </c>
      <c r="D1162" t="inlineStr">
        <is>
          <t>ORD00124988</t>
        </is>
      </c>
      <c r="E1162" t="n">
        <v>5875.46</v>
      </c>
      <c r="F1162" t="n">
        <v>1.94</v>
      </c>
      <c r="G1162" t="n">
        <v>113.98</v>
      </c>
      <c r="H1162" t="inlineStr">
        <is>
          <t>UPI</t>
        </is>
      </c>
      <c r="I1162" t="inlineStr">
        <is>
          <t>Success</t>
        </is>
      </c>
      <c r="J1162" t="inlineStr">
        <is>
          <t>Delivered</t>
        </is>
      </c>
      <c r="K1162" t="n">
        <v>0</v>
      </c>
      <c r="L1162" t="n">
        <v>1004.47</v>
      </c>
      <c r="M1162" t="inlineStr">
        <is>
          <t>INR</t>
        </is>
      </c>
      <c r="N1162" t="inlineStr">
        <is>
          <t>2025-08-07 17:36:42</t>
        </is>
      </c>
    </row>
    <row r="1163">
      <c r="A1163" t="inlineStr">
        <is>
          <t>TXN00124992</t>
        </is>
      </c>
      <c r="B1163" t="inlineStr">
        <is>
          <t>MER00549</t>
        </is>
      </c>
      <c r="C1163" s="8" t="n">
        <v>45876</v>
      </c>
      <c r="D1163" t="inlineStr">
        <is>
          <t>ORD00124992</t>
        </is>
      </c>
      <c r="E1163" t="n">
        <v>5137.91</v>
      </c>
      <c r="F1163" t="n">
        <v>1.94</v>
      </c>
      <c r="G1163" t="n">
        <v>99.68000000000001</v>
      </c>
      <c r="H1163" t="inlineStr">
        <is>
          <t>Card</t>
        </is>
      </c>
      <c r="I1163" t="inlineStr">
        <is>
          <t>Success</t>
        </is>
      </c>
      <c r="J1163" t="inlineStr">
        <is>
          <t>Delivered</t>
        </is>
      </c>
      <c r="K1163" t="n">
        <v>0</v>
      </c>
      <c r="L1163" t="n">
        <v>0</v>
      </c>
      <c r="M1163" t="inlineStr">
        <is>
          <t>INR</t>
        </is>
      </c>
      <c r="N1163" t="inlineStr">
        <is>
          <t>2025-08-07 04:57:05</t>
        </is>
      </c>
    </row>
    <row r="1164">
      <c r="A1164" t="inlineStr">
        <is>
          <t>TXN00125124</t>
        </is>
      </c>
      <c r="B1164" t="inlineStr">
        <is>
          <t>MER00549</t>
        </is>
      </c>
      <c r="C1164" s="8" t="n">
        <v>45877</v>
      </c>
      <c r="D1164" t="inlineStr">
        <is>
          <t>ORD00125124</t>
        </is>
      </c>
      <c r="E1164" t="n">
        <v>3299.74</v>
      </c>
      <c r="F1164" t="n">
        <v>1.94</v>
      </c>
      <c r="G1164" t="n">
        <v>64.01000000000001</v>
      </c>
      <c r="H1164" t="inlineStr">
        <is>
          <t>UPI</t>
        </is>
      </c>
      <c r="I1164" t="inlineStr">
        <is>
          <t>Success</t>
        </is>
      </c>
      <c r="J1164" t="inlineStr">
        <is>
          <t>Delivered</t>
        </is>
      </c>
      <c r="K1164" t="n">
        <v>0</v>
      </c>
      <c r="L1164" t="n">
        <v>0</v>
      </c>
      <c r="M1164" t="inlineStr">
        <is>
          <t>INR</t>
        </is>
      </c>
      <c r="N1164" t="inlineStr">
        <is>
          <t>2025-08-08 05:10:35</t>
        </is>
      </c>
    </row>
    <row r="1165">
      <c r="A1165" t="inlineStr">
        <is>
          <t>TXN00125577</t>
        </is>
      </c>
      <c r="B1165" t="inlineStr">
        <is>
          <t>MER00549</t>
        </is>
      </c>
      <c r="C1165" s="8" t="n">
        <v>45878</v>
      </c>
      <c r="D1165" t="inlineStr">
        <is>
          <t>ORD00125577</t>
        </is>
      </c>
      <c r="E1165" t="n">
        <v>3542.95</v>
      </c>
      <c r="F1165" t="n">
        <v>1.94</v>
      </c>
      <c r="G1165" t="n">
        <v>68.73</v>
      </c>
      <c r="H1165" t="inlineStr">
        <is>
          <t>UPI</t>
        </is>
      </c>
      <c r="I1165" t="inlineStr">
        <is>
          <t>Success</t>
        </is>
      </c>
      <c r="J1165" t="inlineStr">
        <is>
          <t>Delivered</t>
        </is>
      </c>
      <c r="K1165" t="n">
        <v>0</v>
      </c>
      <c r="L1165" t="n">
        <v>0</v>
      </c>
      <c r="M1165" t="inlineStr">
        <is>
          <t>INR</t>
        </is>
      </c>
      <c r="N1165" t="inlineStr">
        <is>
          <t>2025-08-09 10:00:39</t>
        </is>
      </c>
    </row>
    <row r="1166">
      <c r="A1166" t="inlineStr">
        <is>
          <t>TXN00125908</t>
        </is>
      </c>
      <c r="B1166" t="inlineStr">
        <is>
          <t>MER00549</t>
        </is>
      </c>
      <c r="C1166" s="8" t="n">
        <v>45879</v>
      </c>
      <c r="D1166" t="inlineStr">
        <is>
          <t>ORD00125908</t>
        </is>
      </c>
      <c r="E1166" t="n">
        <v>3705.92</v>
      </c>
      <c r="F1166" t="n">
        <v>1.94</v>
      </c>
      <c r="G1166" t="n">
        <v>71.89</v>
      </c>
      <c r="H1166" t="inlineStr">
        <is>
          <t>UPI</t>
        </is>
      </c>
      <c r="I1166" t="inlineStr">
        <is>
          <t>Success</t>
        </is>
      </c>
      <c r="J1166" t="inlineStr">
        <is>
          <t>Delivered</t>
        </is>
      </c>
      <c r="K1166" t="n">
        <v>0</v>
      </c>
      <c r="L1166" t="n">
        <v>0</v>
      </c>
      <c r="M1166" t="inlineStr">
        <is>
          <t>INR</t>
        </is>
      </c>
      <c r="N1166" t="inlineStr">
        <is>
          <t>2025-08-10 14:16:25</t>
        </is>
      </c>
    </row>
    <row r="1167">
      <c r="A1167" t="inlineStr">
        <is>
          <t>TXN00125786</t>
        </is>
      </c>
      <c r="B1167" t="inlineStr">
        <is>
          <t>MER00549</t>
        </is>
      </c>
      <c r="C1167" s="8" t="n">
        <v>45879</v>
      </c>
      <c r="D1167" t="inlineStr">
        <is>
          <t>ORD00125786</t>
        </is>
      </c>
      <c r="E1167" t="n">
        <v>2970.42</v>
      </c>
      <c r="F1167" t="n">
        <v>1.94</v>
      </c>
      <c r="G1167" t="n">
        <v>57.63</v>
      </c>
      <c r="H1167" t="inlineStr">
        <is>
          <t>UPI</t>
        </is>
      </c>
      <c r="I1167" t="inlineStr">
        <is>
          <t>Success</t>
        </is>
      </c>
      <c r="J1167" t="inlineStr">
        <is>
          <t>Returned</t>
        </is>
      </c>
      <c r="K1167" t="n">
        <v>2299.34</v>
      </c>
      <c r="L1167" t="n">
        <v>0</v>
      </c>
      <c r="M1167" t="inlineStr">
        <is>
          <t>INR</t>
        </is>
      </c>
      <c r="N1167" t="inlineStr">
        <is>
          <t>2025-08-10 04:25:57</t>
        </is>
      </c>
    </row>
    <row r="1168">
      <c r="A1168" t="inlineStr">
        <is>
          <t>TXN00127855</t>
        </is>
      </c>
      <c r="B1168" t="inlineStr">
        <is>
          <t>MER00549</t>
        </is>
      </c>
      <c r="C1168" s="8" t="n">
        <v>45885</v>
      </c>
      <c r="D1168" t="inlineStr">
        <is>
          <t>ORD00127855</t>
        </is>
      </c>
      <c r="E1168" t="n">
        <v>5917.1</v>
      </c>
      <c r="F1168" t="n">
        <v>1.94</v>
      </c>
      <c r="G1168" t="n">
        <v>114.79</v>
      </c>
      <c r="H1168" t="inlineStr">
        <is>
          <t>UPI</t>
        </is>
      </c>
      <c r="I1168" t="inlineStr">
        <is>
          <t>Success</t>
        </is>
      </c>
      <c r="J1168" t="inlineStr">
        <is>
          <t>Returned</t>
        </is>
      </c>
      <c r="K1168" t="n">
        <v>5917.1</v>
      </c>
      <c r="L1168" t="n">
        <v>0</v>
      </c>
      <c r="M1168" t="inlineStr">
        <is>
          <t>INR</t>
        </is>
      </c>
      <c r="N1168" t="inlineStr">
        <is>
          <t>2025-08-16 11:41:28</t>
        </is>
      </c>
    </row>
    <row r="1169">
      <c r="A1169" t="inlineStr">
        <is>
          <t>TXN00127866</t>
        </is>
      </c>
      <c r="B1169" t="inlineStr">
        <is>
          <t>MER00549</t>
        </is>
      </c>
      <c r="C1169" s="8" t="n">
        <v>45885</v>
      </c>
      <c r="D1169" t="inlineStr">
        <is>
          <t>ORD00127866</t>
        </is>
      </c>
      <c r="E1169" t="n">
        <v>2192.09</v>
      </c>
      <c r="F1169" t="n">
        <v>1.94</v>
      </c>
      <c r="G1169" t="n">
        <v>42.53</v>
      </c>
      <c r="H1169" t="inlineStr">
        <is>
          <t>UPI</t>
        </is>
      </c>
      <c r="I1169" t="inlineStr">
        <is>
          <t>Success</t>
        </is>
      </c>
      <c r="J1169" t="inlineStr">
        <is>
          <t>Delivered</t>
        </is>
      </c>
      <c r="K1169" t="n">
        <v>0</v>
      </c>
      <c r="L1169" t="n">
        <v>0</v>
      </c>
      <c r="M1169" t="inlineStr">
        <is>
          <t>INR</t>
        </is>
      </c>
      <c r="N1169" t="inlineStr">
        <is>
          <t>2025-08-16 03:31:54</t>
        </is>
      </c>
    </row>
    <row r="1170">
      <c r="A1170" t="inlineStr">
        <is>
          <t>TXN00129701</t>
        </is>
      </c>
      <c r="B1170" t="inlineStr">
        <is>
          <t>MER00549</t>
        </is>
      </c>
      <c r="C1170" s="8" t="n">
        <v>45891</v>
      </c>
      <c r="D1170" t="inlineStr">
        <is>
          <t>ORD00129701</t>
        </is>
      </c>
      <c r="E1170" t="n">
        <v>1138.3</v>
      </c>
      <c r="F1170" t="n">
        <v>1.94</v>
      </c>
      <c r="G1170" t="n">
        <v>22.08</v>
      </c>
      <c r="H1170" t="inlineStr">
        <is>
          <t>UPI</t>
        </is>
      </c>
      <c r="I1170" t="inlineStr">
        <is>
          <t>Success</t>
        </is>
      </c>
      <c r="J1170" t="inlineStr">
        <is>
          <t>Delivered</t>
        </is>
      </c>
      <c r="K1170" t="n">
        <v>0</v>
      </c>
      <c r="L1170" t="n">
        <v>0</v>
      </c>
      <c r="M1170" t="inlineStr">
        <is>
          <t>INR</t>
        </is>
      </c>
      <c r="N1170" t="inlineStr">
        <is>
          <t>2025-08-22 08:22:47</t>
        </is>
      </c>
    </row>
    <row r="1171">
      <c r="A1171" t="inlineStr">
        <is>
          <t>TXN00129935</t>
        </is>
      </c>
      <c r="B1171" t="inlineStr">
        <is>
          <t>MER00549</t>
        </is>
      </c>
      <c r="C1171" s="8" t="n">
        <v>45891</v>
      </c>
      <c r="D1171" t="inlineStr">
        <is>
          <t>ORD00129935</t>
        </is>
      </c>
      <c r="E1171" t="n">
        <v>8416.16</v>
      </c>
      <c r="F1171" t="n">
        <v>1.94</v>
      </c>
      <c r="G1171" t="n">
        <v>163.27</v>
      </c>
      <c r="H1171" t="inlineStr">
        <is>
          <t>Card</t>
        </is>
      </c>
      <c r="I1171" t="inlineStr">
        <is>
          <t>Success</t>
        </is>
      </c>
      <c r="J1171" t="inlineStr">
        <is>
          <t>Delivered</t>
        </is>
      </c>
      <c r="K1171" t="n">
        <v>0</v>
      </c>
      <c r="L1171" t="n">
        <v>0</v>
      </c>
      <c r="M1171" t="inlineStr">
        <is>
          <t>INR</t>
        </is>
      </c>
      <c r="N1171" t="inlineStr">
        <is>
          <t>2025-08-22 10:13:33</t>
        </is>
      </c>
    </row>
    <row r="1172">
      <c r="A1172" t="inlineStr">
        <is>
          <t>TXN00130973</t>
        </is>
      </c>
      <c r="B1172" t="inlineStr">
        <is>
          <t>MER00549</t>
        </is>
      </c>
      <c r="C1172" s="8" t="n">
        <v>45894</v>
      </c>
      <c r="D1172" t="inlineStr">
        <is>
          <t>ORD00130973</t>
        </is>
      </c>
      <c r="E1172" t="n">
        <v>2004.07</v>
      </c>
      <c r="F1172" t="n">
        <v>1.94</v>
      </c>
      <c r="G1172" t="n">
        <v>38.88</v>
      </c>
      <c r="H1172" t="inlineStr">
        <is>
          <t>Card</t>
        </is>
      </c>
      <c r="I1172" t="inlineStr">
        <is>
          <t>Success</t>
        </is>
      </c>
      <c r="J1172" t="inlineStr">
        <is>
          <t>Delivered</t>
        </is>
      </c>
      <c r="K1172" t="n">
        <v>0</v>
      </c>
      <c r="L1172" t="n">
        <v>0</v>
      </c>
      <c r="M1172" t="inlineStr">
        <is>
          <t>INR</t>
        </is>
      </c>
      <c r="N1172" t="inlineStr">
        <is>
          <t>2025-08-25 12:33:36</t>
        </is>
      </c>
    </row>
    <row r="1173">
      <c r="A1173" t="inlineStr">
        <is>
          <t>TXN00132671</t>
        </is>
      </c>
      <c r="B1173" t="inlineStr">
        <is>
          <t>MER00549</t>
        </is>
      </c>
      <c r="C1173" s="8" t="n">
        <v>45900</v>
      </c>
      <c r="D1173" t="inlineStr">
        <is>
          <t>ORD00132671</t>
        </is>
      </c>
      <c r="E1173" t="n">
        <v>8688.27</v>
      </c>
      <c r="F1173" t="n">
        <v>1.94</v>
      </c>
      <c r="G1173" t="n">
        <v>168.55</v>
      </c>
      <c r="H1173" t="inlineStr">
        <is>
          <t>UPI</t>
        </is>
      </c>
      <c r="I1173" t="inlineStr">
        <is>
          <t>Success</t>
        </is>
      </c>
      <c r="J1173" t="inlineStr">
        <is>
          <t>Delivered</t>
        </is>
      </c>
      <c r="K1173" t="n">
        <v>0</v>
      </c>
      <c r="L1173" t="n">
        <v>0</v>
      </c>
      <c r="M1173" t="inlineStr">
        <is>
          <t>INR</t>
        </is>
      </c>
      <c r="N1173" t="inlineStr">
        <is>
          <t>2025-08-31 06:58:19</t>
        </is>
      </c>
    </row>
    <row r="1174">
      <c r="A1174" t="inlineStr">
        <is>
          <t>TXN00134422</t>
        </is>
      </c>
      <c r="B1174" t="inlineStr">
        <is>
          <t>MER00549</t>
        </is>
      </c>
      <c r="C1174" s="8" t="n">
        <v>45904</v>
      </c>
      <c r="D1174" t="inlineStr">
        <is>
          <t>ORD00134422</t>
        </is>
      </c>
      <c r="E1174" t="n">
        <v>5245.96</v>
      </c>
      <c r="F1174" t="n">
        <v>1.94</v>
      </c>
      <c r="G1174" t="n">
        <v>101.77</v>
      </c>
      <c r="H1174" t="inlineStr">
        <is>
          <t>Card</t>
        </is>
      </c>
      <c r="I1174" t="inlineStr">
        <is>
          <t>Success</t>
        </is>
      </c>
      <c r="J1174" t="inlineStr">
        <is>
          <t>Delivered</t>
        </is>
      </c>
      <c r="K1174" t="n">
        <v>0</v>
      </c>
      <c r="L1174" t="n">
        <v>0</v>
      </c>
      <c r="M1174" t="inlineStr">
        <is>
          <t>INR</t>
        </is>
      </c>
      <c r="N1174" t="inlineStr">
        <is>
          <t>2025-09-04 04:48:22</t>
        </is>
      </c>
    </row>
    <row r="1175">
      <c r="A1175" t="inlineStr">
        <is>
          <t>TXN00136921</t>
        </is>
      </c>
      <c r="B1175" t="inlineStr">
        <is>
          <t>MER00549</t>
        </is>
      </c>
      <c r="C1175" s="8" t="n">
        <v>45912</v>
      </c>
      <c r="D1175" t="inlineStr">
        <is>
          <t>ORD00136921</t>
        </is>
      </c>
      <c r="E1175" t="n">
        <v>2000.28</v>
      </c>
      <c r="F1175" t="n">
        <v>1.94</v>
      </c>
      <c r="G1175" t="n">
        <v>38.81</v>
      </c>
      <c r="H1175" t="inlineStr">
        <is>
          <t>UPI</t>
        </is>
      </c>
      <c r="I1175" t="inlineStr">
        <is>
          <t>Success</t>
        </is>
      </c>
      <c r="J1175" t="inlineStr">
        <is>
          <t>Delivered</t>
        </is>
      </c>
      <c r="K1175" t="n">
        <v>0</v>
      </c>
      <c r="L1175" t="n">
        <v>0</v>
      </c>
      <c r="M1175" t="inlineStr">
        <is>
          <t>INR</t>
        </is>
      </c>
      <c r="N1175" t="inlineStr">
        <is>
          <t>2025-09-12 20:31:58</t>
        </is>
      </c>
    </row>
    <row r="1176">
      <c r="A1176" t="inlineStr">
        <is>
          <t>TXN00140749</t>
        </is>
      </c>
      <c r="B1176" t="inlineStr">
        <is>
          <t>MER00549</t>
        </is>
      </c>
      <c r="C1176" s="8" t="n">
        <v>45922</v>
      </c>
      <c r="D1176" t="inlineStr">
        <is>
          <t>ORD00140749</t>
        </is>
      </c>
      <c r="E1176" t="n">
        <v>936.6799999999999</v>
      </c>
      <c r="F1176" t="n">
        <v>1.94</v>
      </c>
      <c r="G1176" t="n">
        <v>18.17</v>
      </c>
      <c r="H1176" t="inlineStr">
        <is>
          <t>UPI</t>
        </is>
      </c>
      <c r="I1176" t="inlineStr">
        <is>
          <t>Success</t>
        </is>
      </c>
      <c r="J1176" t="inlineStr">
        <is>
          <t>Delivered</t>
        </is>
      </c>
      <c r="K1176" t="n">
        <v>0</v>
      </c>
      <c r="L1176" t="n">
        <v>0</v>
      </c>
      <c r="M1176" t="inlineStr">
        <is>
          <t>INR</t>
        </is>
      </c>
      <c r="N1176" t="inlineStr">
        <is>
          <t>2025-09-22 06:46:50</t>
        </is>
      </c>
    </row>
    <row r="1177">
      <c r="A1177" t="inlineStr">
        <is>
          <t>TXN00141064</t>
        </is>
      </c>
      <c r="B1177" t="inlineStr">
        <is>
          <t>MER00549</t>
        </is>
      </c>
      <c r="C1177" s="8" t="n">
        <v>45923</v>
      </c>
      <c r="D1177" t="inlineStr">
        <is>
          <t>ORD00141064</t>
        </is>
      </c>
      <c r="E1177" t="n">
        <v>3703.91</v>
      </c>
      <c r="F1177" t="n">
        <v>1.94</v>
      </c>
      <c r="G1177" t="n">
        <v>71.86</v>
      </c>
      <c r="H1177" t="inlineStr">
        <is>
          <t>UPI</t>
        </is>
      </c>
      <c r="I1177" t="inlineStr">
        <is>
          <t>Success</t>
        </is>
      </c>
      <c r="J1177" t="inlineStr">
        <is>
          <t>Cancelled</t>
        </is>
      </c>
      <c r="K1177" t="n">
        <v>3514.3</v>
      </c>
      <c r="L1177" t="n">
        <v>455.79</v>
      </c>
      <c r="M1177" t="inlineStr">
        <is>
          <t>INR</t>
        </is>
      </c>
      <c r="N1177" t="inlineStr">
        <is>
          <t>2025-09-23 17:23:04</t>
        </is>
      </c>
    </row>
    <row r="1178">
      <c r="A1178" t="inlineStr">
        <is>
          <t>TXN00141998</t>
        </is>
      </c>
      <c r="B1178" t="inlineStr">
        <is>
          <t>MER00549</t>
        </is>
      </c>
      <c r="C1178" s="8" t="n">
        <v>45926</v>
      </c>
      <c r="D1178" t="inlineStr">
        <is>
          <t>ORD00141998</t>
        </is>
      </c>
      <c r="E1178" t="n">
        <v>4905.52</v>
      </c>
      <c r="F1178" t="n">
        <v>1.94</v>
      </c>
      <c r="G1178" t="n">
        <v>95.17</v>
      </c>
      <c r="H1178" t="inlineStr">
        <is>
          <t>Wallet</t>
        </is>
      </c>
      <c r="I1178" t="inlineStr">
        <is>
          <t>Success</t>
        </is>
      </c>
      <c r="J1178" t="inlineStr">
        <is>
          <t>Delivered</t>
        </is>
      </c>
      <c r="K1178" t="n">
        <v>0</v>
      </c>
      <c r="L1178" t="n">
        <v>0</v>
      </c>
      <c r="M1178" t="inlineStr">
        <is>
          <t>INR</t>
        </is>
      </c>
      <c r="N1178" t="inlineStr">
        <is>
          <t>2025-09-26 13:56:25</t>
        </is>
      </c>
    </row>
    <row r="1179">
      <c r="A1179" t="inlineStr">
        <is>
          <t>TXN00142931</t>
        </is>
      </c>
      <c r="B1179" t="inlineStr">
        <is>
          <t>MER00549</t>
        </is>
      </c>
      <c r="C1179" s="8" t="n">
        <v>45929</v>
      </c>
      <c r="D1179" t="inlineStr">
        <is>
          <t>ORD00142931</t>
        </is>
      </c>
      <c r="E1179" t="n">
        <v>3342.21</v>
      </c>
      <c r="F1179" t="n">
        <v>1.94</v>
      </c>
      <c r="G1179" t="n">
        <v>64.84</v>
      </c>
      <c r="H1179" t="inlineStr">
        <is>
          <t>Card</t>
        </is>
      </c>
      <c r="I1179" t="inlineStr">
        <is>
          <t>Success</t>
        </is>
      </c>
      <c r="J1179" t="inlineStr">
        <is>
          <t>Delivered</t>
        </is>
      </c>
      <c r="K1179" t="n">
        <v>0</v>
      </c>
      <c r="L1179" t="n">
        <v>0</v>
      </c>
      <c r="M1179" t="inlineStr">
        <is>
          <t>INR</t>
        </is>
      </c>
      <c r="N1179" t="inlineStr">
        <is>
          <t>2025-09-29 12:21:31</t>
        </is>
      </c>
    </row>
    <row r="1180">
      <c r="A1180" t="inlineStr">
        <is>
          <t>TXN00143421</t>
        </is>
      </c>
      <c r="B1180" t="inlineStr">
        <is>
          <t>MER00549</t>
        </is>
      </c>
      <c r="C1180" s="8" t="n">
        <v>45930</v>
      </c>
      <c r="D1180" t="inlineStr">
        <is>
          <t>ORD00143421</t>
        </is>
      </c>
      <c r="E1180" t="n">
        <v>3758.78</v>
      </c>
      <c r="F1180" t="n">
        <v>1.94</v>
      </c>
      <c r="G1180" t="n">
        <v>72.92</v>
      </c>
      <c r="H1180" t="inlineStr">
        <is>
          <t>UPI</t>
        </is>
      </c>
      <c r="I1180" t="inlineStr">
        <is>
          <t>Success</t>
        </is>
      </c>
      <c r="J1180" t="inlineStr">
        <is>
          <t>Delivered</t>
        </is>
      </c>
      <c r="K1180" t="n">
        <v>0</v>
      </c>
      <c r="L1180" t="n">
        <v>0</v>
      </c>
      <c r="M1180" t="inlineStr">
        <is>
          <t>INR</t>
        </is>
      </c>
      <c r="N1180" t="inlineStr">
        <is>
          <t>2025-09-30 09:11:59</t>
        </is>
      </c>
    </row>
    <row r="1181">
      <c r="A1181" t="inlineStr">
        <is>
          <t>TXN00144329</t>
        </is>
      </c>
      <c r="B1181" t="inlineStr">
        <is>
          <t>MER00549</t>
        </is>
      </c>
      <c r="C1181" s="8" t="n">
        <v>45932</v>
      </c>
      <c r="D1181" t="inlineStr">
        <is>
          <t>ORD00144329</t>
        </is>
      </c>
      <c r="E1181" t="n">
        <v>3387.84</v>
      </c>
      <c r="F1181" t="n">
        <v>1.94</v>
      </c>
      <c r="G1181" t="n">
        <v>65.72</v>
      </c>
      <c r="H1181" t="inlineStr">
        <is>
          <t>UPI</t>
        </is>
      </c>
      <c r="I1181" t="inlineStr">
        <is>
          <t>Success</t>
        </is>
      </c>
      <c r="J1181" t="inlineStr">
        <is>
          <t>Delivered</t>
        </is>
      </c>
      <c r="K1181" t="n">
        <v>0</v>
      </c>
      <c r="L1181" t="n">
        <v>404.25</v>
      </c>
      <c r="M1181" t="inlineStr">
        <is>
          <t>INR</t>
        </is>
      </c>
      <c r="N1181" t="inlineStr">
        <is>
          <t>2025-10-02 00:23:17</t>
        </is>
      </c>
    </row>
    <row r="1182">
      <c r="A1182" t="inlineStr">
        <is>
          <t>TXN00145076</t>
        </is>
      </c>
      <c r="B1182" t="inlineStr">
        <is>
          <t>MER00549</t>
        </is>
      </c>
      <c r="C1182" s="8" t="n">
        <v>45934</v>
      </c>
      <c r="D1182" t="inlineStr">
        <is>
          <t>ORD00145076</t>
        </is>
      </c>
      <c r="E1182" t="n">
        <v>4865.57</v>
      </c>
      <c r="F1182" t="n">
        <v>1.94</v>
      </c>
      <c r="G1182" t="n">
        <v>94.39</v>
      </c>
      <c r="H1182" t="inlineStr">
        <is>
          <t>UPI</t>
        </is>
      </c>
      <c r="I1182" t="inlineStr">
        <is>
          <t>Success</t>
        </is>
      </c>
      <c r="J1182" t="inlineStr">
        <is>
          <t>Delivered</t>
        </is>
      </c>
      <c r="K1182" t="n">
        <v>0</v>
      </c>
      <c r="L1182" t="n">
        <v>294.61</v>
      </c>
      <c r="M1182" t="inlineStr">
        <is>
          <t>INR</t>
        </is>
      </c>
      <c r="N1182" t="inlineStr">
        <is>
          <t>2025-10-04 07:47:58</t>
        </is>
      </c>
    </row>
    <row r="1183">
      <c r="A1183" t="inlineStr">
        <is>
          <t>TXN00145596</t>
        </is>
      </c>
      <c r="B1183" t="inlineStr">
        <is>
          <t>MER00549</t>
        </is>
      </c>
      <c r="C1183" s="8" t="n">
        <v>45935</v>
      </c>
      <c r="D1183" t="inlineStr">
        <is>
          <t>ORD00145596</t>
        </is>
      </c>
      <c r="E1183" t="n">
        <v>4483.28</v>
      </c>
      <c r="F1183" t="n">
        <v>1.94</v>
      </c>
      <c r="G1183" t="n">
        <v>86.98</v>
      </c>
      <c r="H1183" t="inlineStr">
        <is>
          <t>NetBanking</t>
        </is>
      </c>
      <c r="I1183" t="inlineStr">
        <is>
          <t>Success</t>
        </is>
      </c>
      <c r="J1183" t="inlineStr">
        <is>
          <t>Returned</t>
        </is>
      </c>
      <c r="K1183" t="n">
        <v>4483.28</v>
      </c>
      <c r="L1183" t="n">
        <v>0</v>
      </c>
      <c r="M1183" t="inlineStr">
        <is>
          <t>INR</t>
        </is>
      </c>
      <c r="N1183" t="inlineStr">
        <is>
          <t>2025-10-05 11:27:40</t>
        </is>
      </c>
    </row>
    <row r="1184">
      <c r="A1184" t="inlineStr">
        <is>
          <t>TXN00147223</t>
        </is>
      </c>
      <c r="B1184" t="inlineStr">
        <is>
          <t>MER00549</t>
        </is>
      </c>
      <c r="C1184" s="8" t="n">
        <v>45938</v>
      </c>
      <c r="D1184" t="inlineStr">
        <is>
          <t>ORD00147223</t>
        </is>
      </c>
      <c r="E1184" t="n">
        <v>2152.81</v>
      </c>
      <c r="F1184" t="n">
        <v>1.94</v>
      </c>
      <c r="G1184" t="n">
        <v>41.76</v>
      </c>
      <c r="H1184" t="inlineStr">
        <is>
          <t>Card</t>
        </is>
      </c>
      <c r="I1184" t="inlineStr">
        <is>
          <t>Success</t>
        </is>
      </c>
      <c r="J1184" t="inlineStr">
        <is>
          <t>Returned</t>
        </is>
      </c>
      <c r="K1184" t="n">
        <v>1889.19</v>
      </c>
      <c r="L1184" t="n">
        <v>0</v>
      </c>
      <c r="M1184" t="inlineStr">
        <is>
          <t>INR</t>
        </is>
      </c>
      <c r="N1184" t="inlineStr">
        <is>
          <t>2025-10-08 01:59:24</t>
        </is>
      </c>
    </row>
    <row r="1185">
      <c r="A1185" t="inlineStr">
        <is>
          <t>TXN00152006</t>
        </is>
      </c>
      <c r="B1185" t="inlineStr">
        <is>
          <t>MER00549</t>
        </is>
      </c>
      <c r="C1185" s="8" t="n">
        <v>45949</v>
      </c>
      <c r="D1185" t="inlineStr">
        <is>
          <t>ORD00152006</t>
        </is>
      </c>
      <c r="E1185" t="n">
        <v>1641.02</v>
      </c>
      <c r="F1185" t="n">
        <v>1.94</v>
      </c>
      <c r="G1185" t="n">
        <v>31.84</v>
      </c>
      <c r="H1185" t="inlineStr">
        <is>
          <t>UPI</t>
        </is>
      </c>
      <c r="I1185" t="inlineStr">
        <is>
          <t>Success</t>
        </is>
      </c>
      <c r="J1185" t="inlineStr">
        <is>
          <t>Delivered</t>
        </is>
      </c>
      <c r="K1185" t="n">
        <v>0</v>
      </c>
      <c r="L1185" t="n">
        <v>0</v>
      </c>
      <c r="M1185" t="inlineStr">
        <is>
          <t>INR</t>
        </is>
      </c>
      <c r="N1185" t="inlineStr">
        <is>
          <t>2025-10-19 21:42:30</t>
        </is>
      </c>
    </row>
    <row r="1186">
      <c r="A1186" t="inlineStr">
        <is>
          <t>TXN00152899</t>
        </is>
      </c>
      <c r="B1186" t="inlineStr">
        <is>
          <t>MER00549</t>
        </is>
      </c>
      <c r="C1186" s="8" t="n">
        <v>45951</v>
      </c>
      <c r="D1186" t="inlineStr">
        <is>
          <t>ORD00152899</t>
        </is>
      </c>
      <c r="E1186" t="n">
        <v>4027.24</v>
      </c>
      <c r="F1186" t="n">
        <v>1.94</v>
      </c>
      <c r="G1186" t="n">
        <v>78.13</v>
      </c>
      <c r="H1186" t="inlineStr">
        <is>
          <t>UPI</t>
        </is>
      </c>
      <c r="I1186" t="inlineStr">
        <is>
          <t>Success</t>
        </is>
      </c>
      <c r="J1186" t="inlineStr">
        <is>
          <t>Delivered</t>
        </is>
      </c>
      <c r="K1186" t="n">
        <v>0</v>
      </c>
      <c r="L1186" t="n">
        <v>0</v>
      </c>
      <c r="M1186" t="inlineStr">
        <is>
          <t>INR</t>
        </is>
      </c>
      <c r="N1186" t="inlineStr">
        <is>
          <t>2025-10-21 02:54:05</t>
        </is>
      </c>
    </row>
    <row r="1187">
      <c r="A1187" t="inlineStr">
        <is>
          <t>TXN00153401</t>
        </is>
      </c>
      <c r="B1187" t="inlineStr">
        <is>
          <t>MER00549</t>
        </is>
      </c>
      <c r="C1187" s="8" t="n">
        <v>45952</v>
      </c>
      <c r="D1187" t="inlineStr">
        <is>
          <t>ORD00153401</t>
        </is>
      </c>
      <c r="E1187" t="n">
        <v>1994.04</v>
      </c>
      <c r="F1187" t="n">
        <v>1.94</v>
      </c>
      <c r="G1187" t="n">
        <v>38.68</v>
      </c>
      <c r="H1187" t="inlineStr">
        <is>
          <t>UPI</t>
        </is>
      </c>
      <c r="I1187" t="inlineStr">
        <is>
          <t>Success</t>
        </is>
      </c>
      <c r="J1187" t="inlineStr">
        <is>
          <t>Delivered</t>
        </is>
      </c>
      <c r="K1187" t="n">
        <v>0</v>
      </c>
      <c r="L1187" t="n">
        <v>0</v>
      </c>
      <c r="M1187" t="inlineStr">
        <is>
          <t>INR</t>
        </is>
      </c>
      <c r="N1187" t="inlineStr">
        <is>
          <t>2025-10-22 16:40:22</t>
        </is>
      </c>
    </row>
    <row r="1188">
      <c r="A1188" t="inlineStr">
        <is>
          <t>TXN00157243</t>
        </is>
      </c>
      <c r="B1188" t="inlineStr">
        <is>
          <t>MER00549</t>
        </is>
      </c>
      <c r="C1188" s="8" t="n">
        <v>45960</v>
      </c>
      <c r="D1188" t="inlineStr">
        <is>
          <t>ORD00157243</t>
        </is>
      </c>
      <c r="E1188" t="n">
        <v>4125.08</v>
      </c>
      <c r="F1188" t="n">
        <v>1.94</v>
      </c>
      <c r="G1188" t="n">
        <v>80.03</v>
      </c>
      <c r="H1188" t="inlineStr">
        <is>
          <t>UPI</t>
        </is>
      </c>
      <c r="I1188" t="inlineStr">
        <is>
          <t>Success</t>
        </is>
      </c>
      <c r="J1188" t="inlineStr">
        <is>
          <t>Delivered</t>
        </is>
      </c>
      <c r="K1188" t="n">
        <v>0</v>
      </c>
      <c r="L1188" t="n">
        <v>0</v>
      </c>
      <c r="M1188" t="inlineStr">
        <is>
          <t>INR</t>
        </is>
      </c>
      <c r="N1188" t="inlineStr">
        <is>
          <t>2025-10-30 16:57:47</t>
        </is>
      </c>
    </row>
    <row r="1189">
      <c r="A1189" t="inlineStr">
        <is>
          <t>TXN00159531</t>
        </is>
      </c>
      <c r="B1189" t="inlineStr">
        <is>
          <t>MER00549</t>
        </is>
      </c>
      <c r="C1189" s="8" t="n">
        <v>45964</v>
      </c>
      <c r="D1189" t="inlineStr">
        <is>
          <t>ORD00159531</t>
        </is>
      </c>
      <c r="E1189" t="n">
        <v>1392.56</v>
      </c>
      <c r="F1189" t="n">
        <v>1.94</v>
      </c>
      <c r="G1189" t="n">
        <v>27.02</v>
      </c>
      <c r="H1189" t="inlineStr">
        <is>
          <t>NetBanking</t>
        </is>
      </c>
      <c r="I1189" t="inlineStr">
        <is>
          <t>Success</t>
        </is>
      </c>
      <c r="J1189" t="inlineStr">
        <is>
          <t>Delivered</t>
        </is>
      </c>
      <c r="K1189" t="n">
        <v>0</v>
      </c>
      <c r="L1189" t="n">
        <v>0</v>
      </c>
      <c r="M1189" t="inlineStr">
        <is>
          <t>INR</t>
        </is>
      </c>
      <c r="N1189" t="inlineStr">
        <is>
          <t>2025-11-03 21:46:25</t>
        </is>
      </c>
    </row>
    <row r="1190">
      <c r="A1190" t="inlineStr">
        <is>
          <t>TXN00161096</t>
        </is>
      </c>
      <c r="B1190" t="inlineStr">
        <is>
          <t>MER00549</t>
        </is>
      </c>
      <c r="C1190" s="8" t="n">
        <v>45967</v>
      </c>
      <c r="D1190" t="inlineStr">
        <is>
          <t>ORD00161096</t>
        </is>
      </c>
      <c r="E1190" t="n">
        <v>6800.2</v>
      </c>
      <c r="F1190" t="n">
        <v>1.94</v>
      </c>
      <c r="G1190" t="n">
        <v>131.92</v>
      </c>
      <c r="H1190" t="inlineStr">
        <is>
          <t>UPI</t>
        </is>
      </c>
      <c r="I1190" t="inlineStr">
        <is>
          <t>Failed</t>
        </is>
      </c>
      <c r="J1190" t="inlineStr">
        <is>
          <t>Cancelled</t>
        </is>
      </c>
      <c r="K1190" t="n">
        <v>0</v>
      </c>
      <c r="L1190" t="n">
        <v>0</v>
      </c>
      <c r="M1190" t="inlineStr">
        <is>
          <t>INR</t>
        </is>
      </c>
      <c r="N1190" t="inlineStr">
        <is>
          <t>2025-11-06 03:30:02</t>
        </is>
      </c>
    </row>
    <row r="1191">
      <c r="A1191" t="inlineStr">
        <is>
          <t>TXN00162282</t>
        </is>
      </c>
      <c r="B1191" t="inlineStr">
        <is>
          <t>MER00549</t>
        </is>
      </c>
      <c r="C1191" s="8" t="n">
        <v>45969</v>
      </c>
      <c r="D1191" t="inlineStr">
        <is>
          <t>ORD00162282</t>
        </is>
      </c>
      <c r="E1191" t="n">
        <v>2818.86</v>
      </c>
      <c r="F1191" t="n">
        <v>1.94</v>
      </c>
      <c r="G1191" t="n">
        <v>54.69</v>
      </c>
      <c r="H1191" t="inlineStr">
        <is>
          <t>Wallet</t>
        </is>
      </c>
      <c r="I1191" t="inlineStr">
        <is>
          <t>Success</t>
        </is>
      </c>
      <c r="J1191" t="inlineStr">
        <is>
          <t>Delivered</t>
        </is>
      </c>
      <c r="K1191" t="n">
        <v>0</v>
      </c>
      <c r="L1191" t="n">
        <v>0</v>
      </c>
      <c r="M1191" t="inlineStr">
        <is>
          <t>INR</t>
        </is>
      </c>
      <c r="N1191" t="inlineStr">
        <is>
          <t>2025-11-08 02:18:55</t>
        </is>
      </c>
    </row>
    <row r="1192">
      <c r="A1192" t="inlineStr">
        <is>
          <t>TXN00162758</t>
        </is>
      </c>
      <c r="B1192" t="inlineStr">
        <is>
          <t>MER00549</t>
        </is>
      </c>
      <c r="C1192" s="8" t="n">
        <v>45970</v>
      </c>
      <c r="D1192" t="inlineStr">
        <is>
          <t>ORD00162758</t>
        </is>
      </c>
      <c r="E1192" t="n">
        <v>7124.54</v>
      </c>
      <c r="F1192" t="n">
        <v>1.94</v>
      </c>
      <c r="G1192" t="n">
        <v>138.22</v>
      </c>
      <c r="H1192" t="inlineStr">
        <is>
          <t>UPI</t>
        </is>
      </c>
      <c r="I1192" t="inlineStr">
        <is>
          <t>Success</t>
        </is>
      </c>
      <c r="J1192" t="inlineStr">
        <is>
          <t>Delivered</t>
        </is>
      </c>
      <c r="K1192" t="n">
        <v>0</v>
      </c>
      <c r="L1192" t="n">
        <v>0</v>
      </c>
      <c r="M1192" t="inlineStr">
        <is>
          <t>INR</t>
        </is>
      </c>
      <c r="N1192" t="inlineStr">
        <is>
          <t>2025-11-09 21:35:25</t>
        </is>
      </c>
    </row>
    <row r="1193">
      <c r="A1193" t="inlineStr">
        <is>
          <t>TXN00163396</t>
        </is>
      </c>
      <c r="B1193" t="inlineStr">
        <is>
          <t>MER00549</t>
        </is>
      </c>
      <c r="C1193" s="8" t="n">
        <v>45971</v>
      </c>
      <c r="D1193" t="inlineStr">
        <is>
          <t>ORD00163396</t>
        </is>
      </c>
      <c r="E1193" t="n">
        <v>3333.64</v>
      </c>
      <c r="F1193" t="n">
        <v>1.94</v>
      </c>
      <c r="G1193" t="n">
        <v>64.67</v>
      </c>
      <c r="H1193" t="inlineStr">
        <is>
          <t>Card</t>
        </is>
      </c>
      <c r="I1193" t="inlineStr">
        <is>
          <t>Success</t>
        </is>
      </c>
      <c r="J1193" t="inlineStr">
        <is>
          <t>Delivered</t>
        </is>
      </c>
      <c r="K1193" t="n">
        <v>0</v>
      </c>
      <c r="L1193" t="n">
        <v>0</v>
      </c>
      <c r="M1193" t="inlineStr">
        <is>
          <t>INR</t>
        </is>
      </c>
      <c r="N1193" t="inlineStr">
        <is>
          <t>2025-11-10 07:39:28</t>
        </is>
      </c>
    </row>
    <row r="1194">
      <c r="A1194" t="inlineStr">
        <is>
          <t>TXN00164507</t>
        </is>
      </c>
      <c r="B1194" t="inlineStr">
        <is>
          <t>MER00549</t>
        </is>
      </c>
      <c r="C1194" s="8" t="n">
        <v>45973</v>
      </c>
      <c r="D1194" t="inlineStr">
        <is>
          <t>ORD00164507</t>
        </is>
      </c>
      <c r="E1194" t="n">
        <v>1620.89</v>
      </c>
      <c r="F1194" t="n">
        <v>1.94</v>
      </c>
      <c r="G1194" t="n">
        <v>31.45</v>
      </c>
      <c r="H1194" t="inlineStr">
        <is>
          <t>Card</t>
        </is>
      </c>
      <c r="I1194" t="inlineStr">
        <is>
          <t>Success</t>
        </is>
      </c>
      <c r="J1194" t="inlineStr">
        <is>
          <t>Delivered</t>
        </is>
      </c>
      <c r="K1194" t="n">
        <v>0</v>
      </c>
      <c r="L1194" t="n">
        <v>0</v>
      </c>
      <c r="M1194" t="inlineStr">
        <is>
          <t>INR</t>
        </is>
      </c>
      <c r="N1194" t="inlineStr">
        <is>
          <t>2025-11-12 19:10:41</t>
        </is>
      </c>
    </row>
    <row r="1195">
      <c r="A1195" t="inlineStr">
        <is>
          <t>TXN00165387</t>
        </is>
      </c>
      <c r="B1195" t="inlineStr">
        <is>
          <t>MER00549</t>
        </is>
      </c>
      <c r="C1195" s="8" t="n">
        <v>45975</v>
      </c>
      <c r="D1195" t="inlineStr">
        <is>
          <t>ORD00165387</t>
        </is>
      </c>
      <c r="E1195" t="n">
        <v>12643.21</v>
      </c>
      <c r="F1195" t="n">
        <v>2.39</v>
      </c>
      <c r="G1195" t="n">
        <v>245.28</v>
      </c>
      <c r="H1195" t="inlineStr">
        <is>
          <t>Card</t>
        </is>
      </c>
      <c r="I1195" t="inlineStr">
        <is>
          <t>Success</t>
        </is>
      </c>
      <c r="J1195" t="inlineStr">
        <is>
          <t>Delivered</t>
        </is>
      </c>
      <c r="K1195" t="n">
        <v>0</v>
      </c>
      <c r="L1195" t="n">
        <v>0</v>
      </c>
      <c r="M1195" t="inlineStr">
        <is>
          <t>INR</t>
        </is>
      </c>
      <c r="N1195" t="inlineStr">
        <is>
          <t>2025-11-14 16:00:12</t>
        </is>
      </c>
    </row>
    <row r="1196">
      <c r="A1196" t="inlineStr">
        <is>
          <t>TXN00165473</t>
        </is>
      </c>
      <c r="B1196" t="inlineStr">
        <is>
          <t>MER00549</t>
        </is>
      </c>
      <c r="C1196" s="8" t="n">
        <v>45975</v>
      </c>
      <c r="D1196" t="inlineStr">
        <is>
          <t>ORD00165473</t>
        </is>
      </c>
      <c r="E1196" t="n">
        <v>3217.39</v>
      </c>
      <c r="F1196" t="n">
        <v>1.94</v>
      </c>
      <c r="G1196" t="n">
        <v>62.42</v>
      </c>
      <c r="H1196" t="inlineStr">
        <is>
          <t>UPI</t>
        </is>
      </c>
      <c r="I1196" t="inlineStr">
        <is>
          <t>Success</t>
        </is>
      </c>
      <c r="J1196" t="inlineStr">
        <is>
          <t>Delivered</t>
        </is>
      </c>
      <c r="K1196" t="n">
        <v>0</v>
      </c>
      <c r="L1196" t="n">
        <v>423.71</v>
      </c>
      <c r="M1196" t="inlineStr">
        <is>
          <t>INR</t>
        </is>
      </c>
      <c r="N1196" t="inlineStr">
        <is>
          <t>2025-11-14 04:39:51</t>
        </is>
      </c>
    </row>
    <row r="1197">
      <c r="A1197" t="inlineStr">
        <is>
          <t>TXN00165902</t>
        </is>
      </c>
      <c r="B1197" t="inlineStr">
        <is>
          <t>MER00549</t>
        </is>
      </c>
      <c r="C1197" s="8" t="n">
        <v>45976</v>
      </c>
      <c r="D1197" t="inlineStr">
        <is>
          <t>ORD00165902</t>
        </is>
      </c>
      <c r="E1197" t="n">
        <v>2065.25</v>
      </c>
      <c r="F1197" t="n">
        <v>1.94</v>
      </c>
      <c r="G1197" t="n">
        <v>40.07</v>
      </c>
      <c r="H1197" t="inlineStr">
        <is>
          <t>Card</t>
        </is>
      </c>
      <c r="I1197" t="inlineStr">
        <is>
          <t>Success</t>
        </is>
      </c>
      <c r="J1197" t="inlineStr">
        <is>
          <t>Delivered</t>
        </is>
      </c>
      <c r="K1197" t="n">
        <v>0</v>
      </c>
      <c r="L1197" t="n">
        <v>0</v>
      </c>
      <c r="M1197" t="inlineStr">
        <is>
          <t>INR</t>
        </is>
      </c>
      <c r="N1197" t="inlineStr">
        <is>
          <t>2025-11-15 21:16:28</t>
        </is>
      </c>
    </row>
    <row r="1198">
      <c r="A1198" t="inlineStr">
        <is>
          <t>TXN00166075</t>
        </is>
      </c>
      <c r="B1198" t="inlineStr">
        <is>
          <t>MER00549</t>
        </is>
      </c>
      <c r="C1198" s="8" t="n">
        <v>45976</v>
      </c>
      <c r="D1198" t="inlineStr">
        <is>
          <t>ORD00166075</t>
        </is>
      </c>
      <c r="E1198" t="n">
        <v>2455.88</v>
      </c>
      <c r="F1198" t="n">
        <v>1.94</v>
      </c>
      <c r="G1198" t="n">
        <v>47.64</v>
      </c>
      <c r="H1198" t="inlineStr">
        <is>
          <t>UPI</t>
        </is>
      </c>
      <c r="I1198" t="inlineStr">
        <is>
          <t>Success</t>
        </is>
      </c>
      <c r="J1198" t="inlineStr">
        <is>
          <t>Delivered</t>
        </is>
      </c>
      <c r="K1198" t="n">
        <v>0</v>
      </c>
      <c r="L1198" t="n">
        <v>0</v>
      </c>
      <c r="M1198" t="inlineStr">
        <is>
          <t>INR</t>
        </is>
      </c>
      <c r="N1198" t="inlineStr">
        <is>
          <t>2025-11-15 10:42:56</t>
        </is>
      </c>
    </row>
    <row r="1199">
      <c r="A1199" t="inlineStr">
        <is>
          <t>TXN00166823</t>
        </is>
      </c>
      <c r="B1199" t="inlineStr">
        <is>
          <t>MER00549</t>
        </is>
      </c>
      <c r="C1199" s="8" t="n">
        <v>45977</v>
      </c>
      <c r="D1199" t="inlineStr">
        <is>
          <t>ORD00166823</t>
        </is>
      </c>
      <c r="E1199" t="n">
        <v>4579.09</v>
      </c>
      <c r="F1199" t="n">
        <v>1.94</v>
      </c>
      <c r="G1199" t="n">
        <v>88.83</v>
      </c>
      <c r="H1199" t="inlineStr">
        <is>
          <t>Card</t>
        </is>
      </c>
      <c r="I1199" t="inlineStr">
        <is>
          <t>Success</t>
        </is>
      </c>
      <c r="J1199" t="inlineStr">
        <is>
          <t>Delivered</t>
        </is>
      </c>
      <c r="K1199" t="n">
        <v>0</v>
      </c>
      <c r="L1199" t="n">
        <v>0</v>
      </c>
      <c r="M1199" t="inlineStr">
        <is>
          <t>INR</t>
        </is>
      </c>
      <c r="N1199" t="inlineStr">
        <is>
          <t>2025-11-16 17:36:40</t>
        </is>
      </c>
    </row>
    <row r="1200">
      <c r="A1200" t="inlineStr">
        <is>
          <t>TXN00168693</t>
        </is>
      </c>
      <c r="B1200" t="inlineStr">
        <is>
          <t>MER00549</t>
        </is>
      </c>
      <c r="C1200" s="8" t="n">
        <v>45981</v>
      </c>
      <c r="D1200" t="inlineStr">
        <is>
          <t>ORD00168693</t>
        </is>
      </c>
      <c r="E1200" t="n">
        <v>11702.42</v>
      </c>
      <c r="F1200" t="n">
        <v>1.94</v>
      </c>
      <c r="G1200" t="n">
        <v>227.03</v>
      </c>
      <c r="H1200" t="inlineStr">
        <is>
          <t>NetBanking</t>
        </is>
      </c>
      <c r="I1200" t="inlineStr">
        <is>
          <t>Success</t>
        </is>
      </c>
      <c r="J1200" t="inlineStr">
        <is>
          <t>Cancelled</t>
        </is>
      </c>
      <c r="K1200" t="n">
        <v>11139.4</v>
      </c>
      <c r="L1200" t="n">
        <v>0</v>
      </c>
      <c r="M1200" t="inlineStr">
        <is>
          <t>INR</t>
        </is>
      </c>
      <c r="N1200" t="inlineStr">
        <is>
          <t>2025-11-20 02:48:31</t>
        </is>
      </c>
    </row>
    <row r="1201">
      <c r="A1201" t="inlineStr">
        <is>
          <t>TXN00168816</t>
        </is>
      </c>
      <c r="B1201" t="inlineStr">
        <is>
          <t>MER00549</t>
        </is>
      </c>
      <c r="C1201" s="8" t="n">
        <v>45981</v>
      </c>
      <c r="D1201" t="inlineStr">
        <is>
          <t>ORD00168816</t>
        </is>
      </c>
      <c r="E1201" t="n">
        <v>2070.1</v>
      </c>
      <c r="F1201" t="n">
        <v>1.94</v>
      </c>
      <c r="G1201" t="n">
        <v>40.16</v>
      </c>
      <c r="H1201" t="inlineStr">
        <is>
          <t>COD</t>
        </is>
      </c>
      <c r="I1201" t="inlineStr">
        <is>
          <t>Success</t>
        </is>
      </c>
      <c r="J1201" t="inlineStr">
        <is>
          <t>Delivered</t>
        </is>
      </c>
      <c r="K1201" t="n">
        <v>0</v>
      </c>
      <c r="L1201" t="n">
        <v>0</v>
      </c>
      <c r="M1201" t="inlineStr">
        <is>
          <t>INR</t>
        </is>
      </c>
      <c r="N1201" t="inlineStr">
        <is>
          <t>2025-11-20 19:40:56</t>
        </is>
      </c>
    </row>
    <row r="1202">
      <c r="A1202" t="inlineStr">
        <is>
          <t>TXN00171028</t>
        </is>
      </c>
      <c r="B1202" t="inlineStr">
        <is>
          <t>MER00549</t>
        </is>
      </c>
      <c r="C1202" s="8" t="n">
        <v>45985</v>
      </c>
      <c r="D1202" t="inlineStr">
        <is>
          <t>ORD00171028</t>
        </is>
      </c>
      <c r="E1202" t="n">
        <v>1877.64</v>
      </c>
      <c r="F1202" t="n">
        <v>1.94</v>
      </c>
      <c r="G1202" t="n">
        <v>36.43</v>
      </c>
      <c r="H1202" t="inlineStr">
        <is>
          <t>UPI</t>
        </is>
      </c>
      <c r="I1202" t="inlineStr">
        <is>
          <t>Success</t>
        </is>
      </c>
      <c r="J1202" t="inlineStr">
        <is>
          <t>Delivered</t>
        </is>
      </c>
      <c r="K1202" t="n">
        <v>0</v>
      </c>
      <c r="L1202" t="n">
        <v>0</v>
      </c>
      <c r="M1202" t="inlineStr">
        <is>
          <t>INR</t>
        </is>
      </c>
      <c r="N1202" t="inlineStr">
        <is>
          <t>2025-11-24 09:21:10</t>
        </is>
      </c>
    </row>
    <row r="1203">
      <c r="A1203" t="inlineStr">
        <is>
          <t>TXN00172172</t>
        </is>
      </c>
      <c r="B1203" t="inlineStr">
        <is>
          <t>MER00549</t>
        </is>
      </c>
      <c r="C1203" s="8" t="n">
        <v>45987</v>
      </c>
      <c r="D1203" t="inlineStr">
        <is>
          <t>ORD00172172</t>
        </is>
      </c>
      <c r="E1203" t="n">
        <v>2841.03</v>
      </c>
      <c r="F1203" t="n">
        <v>1.94</v>
      </c>
      <c r="G1203" t="n">
        <v>55.12</v>
      </c>
      <c r="H1203" t="inlineStr">
        <is>
          <t>UPI</t>
        </is>
      </c>
      <c r="I1203" t="inlineStr">
        <is>
          <t>Success</t>
        </is>
      </c>
      <c r="J1203" t="inlineStr">
        <is>
          <t>Delivered</t>
        </is>
      </c>
      <c r="K1203" t="n">
        <v>0</v>
      </c>
      <c r="L1203" t="n">
        <v>556.89</v>
      </c>
      <c r="M1203" t="inlineStr">
        <is>
          <t>INR</t>
        </is>
      </c>
      <c r="N1203" t="inlineStr">
        <is>
          <t>2025-11-26 20:07:36</t>
        </is>
      </c>
    </row>
    <row r="1204">
      <c r="A1204" t="inlineStr">
        <is>
          <t>TXN00172720</t>
        </is>
      </c>
      <c r="B1204" t="inlineStr">
        <is>
          <t>MER00549</t>
        </is>
      </c>
      <c r="C1204" s="8" t="n">
        <v>45988</v>
      </c>
      <c r="D1204" t="inlineStr">
        <is>
          <t>ORD00172720</t>
        </is>
      </c>
      <c r="E1204" t="n">
        <v>2468.59</v>
      </c>
      <c r="F1204" t="n">
        <v>1.94</v>
      </c>
      <c r="G1204" t="n">
        <v>47.89</v>
      </c>
      <c r="H1204" t="inlineStr">
        <is>
          <t>NetBanking</t>
        </is>
      </c>
      <c r="I1204" t="inlineStr">
        <is>
          <t>Success</t>
        </is>
      </c>
      <c r="J1204" t="inlineStr">
        <is>
          <t>Delivered</t>
        </is>
      </c>
      <c r="K1204" t="n">
        <v>0</v>
      </c>
      <c r="L1204" t="n">
        <v>0</v>
      </c>
      <c r="M1204" t="inlineStr">
        <is>
          <t>INR</t>
        </is>
      </c>
      <c r="N1204" t="inlineStr">
        <is>
          <t>2025-11-27 22:54:23</t>
        </is>
      </c>
    </row>
    <row r="1205">
      <c r="A1205" t="inlineStr">
        <is>
          <t>TXN00174480</t>
        </is>
      </c>
      <c r="B1205" t="inlineStr">
        <is>
          <t>MER00549</t>
        </is>
      </c>
      <c r="C1205" s="8" t="n">
        <v>45991</v>
      </c>
      <c r="D1205" t="inlineStr">
        <is>
          <t>ORD00174480</t>
        </is>
      </c>
      <c r="E1205" t="n">
        <v>1990.96</v>
      </c>
      <c r="F1205" t="n">
        <v>1.94</v>
      </c>
      <c r="G1205" t="n">
        <v>38.62</v>
      </c>
      <c r="H1205" t="inlineStr">
        <is>
          <t>Card</t>
        </is>
      </c>
      <c r="I1205" t="inlineStr">
        <is>
          <t>Success</t>
        </is>
      </c>
      <c r="J1205" t="inlineStr">
        <is>
          <t>Delivered</t>
        </is>
      </c>
      <c r="K1205" t="n">
        <v>0</v>
      </c>
      <c r="L1205" t="n">
        <v>0</v>
      </c>
      <c r="M1205" t="inlineStr">
        <is>
          <t>INR</t>
        </is>
      </c>
      <c r="N1205" t="inlineStr">
        <is>
          <t>2025-11-30 22:21:43</t>
        </is>
      </c>
    </row>
    <row r="1206">
      <c r="A1206" t="inlineStr">
        <is>
          <t>TXN00176437</t>
        </is>
      </c>
      <c r="B1206" t="inlineStr">
        <is>
          <t>MER00549</t>
        </is>
      </c>
      <c r="C1206" s="8" t="n">
        <v>45996</v>
      </c>
      <c r="D1206" t="inlineStr">
        <is>
          <t>ORD00176437</t>
        </is>
      </c>
      <c r="E1206" t="n">
        <v>3470.1</v>
      </c>
      <c r="F1206" t="n">
        <v>1.94</v>
      </c>
      <c r="G1206" t="n">
        <v>67.31999999999999</v>
      </c>
      <c r="H1206" t="inlineStr">
        <is>
          <t>UPI</t>
        </is>
      </c>
      <c r="I1206" t="inlineStr">
        <is>
          <t>Success</t>
        </is>
      </c>
      <c r="J1206" t="inlineStr">
        <is>
          <t>Delivered</t>
        </is>
      </c>
      <c r="K1206" t="n">
        <v>0</v>
      </c>
      <c r="L1206" t="n">
        <v>0</v>
      </c>
      <c r="M1206" t="inlineStr">
        <is>
          <t>INR</t>
        </is>
      </c>
      <c r="N1206" t="inlineStr">
        <is>
          <t>2025-12-05 01:55:00</t>
        </is>
      </c>
    </row>
    <row r="1207">
      <c r="A1207" t="inlineStr">
        <is>
          <t>TXN00176804</t>
        </is>
      </c>
      <c r="B1207" t="inlineStr">
        <is>
          <t>MER00549</t>
        </is>
      </c>
      <c r="C1207" s="8" t="n">
        <v>45997</v>
      </c>
      <c r="D1207" t="inlineStr">
        <is>
          <t>ORD00176804</t>
        </is>
      </c>
      <c r="E1207" t="n">
        <v>1260.05</v>
      </c>
      <c r="F1207" t="n">
        <v>1.94</v>
      </c>
      <c r="G1207" t="n">
        <v>24.44</v>
      </c>
      <c r="H1207" t="inlineStr">
        <is>
          <t>UPI</t>
        </is>
      </c>
      <c r="I1207" t="inlineStr">
        <is>
          <t>Success</t>
        </is>
      </c>
      <c r="J1207" t="inlineStr">
        <is>
          <t>Delivered</t>
        </is>
      </c>
      <c r="K1207" t="n">
        <v>0</v>
      </c>
      <c r="L1207" t="n">
        <v>0</v>
      </c>
      <c r="M1207" t="inlineStr">
        <is>
          <t>INR</t>
        </is>
      </c>
      <c r="N1207" t="inlineStr">
        <is>
          <t>2025-12-06 00:59:01</t>
        </is>
      </c>
    </row>
    <row r="1208">
      <c r="A1208" t="inlineStr">
        <is>
          <t>TXN00176813</t>
        </is>
      </c>
      <c r="B1208" t="inlineStr">
        <is>
          <t>MER00549</t>
        </is>
      </c>
      <c r="C1208" s="8" t="n">
        <v>45997</v>
      </c>
      <c r="D1208" t="inlineStr">
        <is>
          <t>ORD00176813</t>
        </is>
      </c>
      <c r="E1208" t="n">
        <v>3488.22</v>
      </c>
      <c r="F1208" t="n">
        <v>1.94</v>
      </c>
      <c r="G1208" t="n">
        <v>67.67</v>
      </c>
      <c r="H1208" t="inlineStr">
        <is>
          <t>UPI</t>
        </is>
      </c>
      <c r="I1208" t="inlineStr">
        <is>
          <t>Success</t>
        </is>
      </c>
      <c r="J1208" t="inlineStr">
        <is>
          <t>Delivered</t>
        </is>
      </c>
      <c r="K1208" t="n">
        <v>0</v>
      </c>
      <c r="L1208" t="n">
        <v>0</v>
      </c>
      <c r="M1208" t="inlineStr">
        <is>
          <t>INR</t>
        </is>
      </c>
      <c r="N1208" t="inlineStr">
        <is>
          <t>2025-12-06 05:41:11</t>
        </is>
      </c>
    </row>
    <row r="1209">
      <c r="A1209" t="inlineStr">
        <is>
          <t>TXN00176801</t>
        </is>
      </c>
      <c r="B1209" t="inlineStr">
        <is>
          <t>MER00549</t>
        </is>
      </c>
      <c r="C1209" s="8" t="n">
        <v>45997</v>
      </c>
      <c r="D1209" t="inlineStr">
        <is>
          <t>ORD00176801</t>
        </is>
      </c>
      <c r="E1209" t="n">
        <v>1737.73</v>
      </c>
      <c r="F1209" t="n">
        <v>1.94</v>
      </c>
      <c r="G1209" t="n">
        <v>33.71</v>
      </c>
      <c r="H1209" t="inlineStr">
        <is>
          <t>UPI</t>
        </is>
      </c>
      <c r="I1209" t="inlineStr">
        <is>
          <t>Success</t>
        </is>
      </c>
      <c r="J1209" t="inlineStr">
        <is>
          <t>Delivered</t>
        </is>
      </c>
      <c r="K1209" t="n">
        <v>0</v>
      </c>
      <c r="L1209" t="n">
        <v>0</v>
      </c>
      <c r="M1209" t="inlineStr">
        <is>
          <t>INR</t>
        </is>
      </c>
      <c r="N1209" t="inlineStr">
        <is>
          <t>2025-12-06 16:33:36</t>
        </is>
      </c>
    </row>
    <row r="1210">
      <c r="A1210" t="inlineStr">
        <is>
          <t>TXN00179864</t>
        </is>
      </c>
      <c r="B1210" t="inlineStr">
        <is>
          <t>MER00549</t>
        </is>
      </c>
      <c r="C1210" s="8" t="n">
        <v>46005</v>
      </c>
      <c r="D1210" t="inlineStr">
        <is>
          <t>ORD00179864</t>
        </is>
      </c>
      <c r="E1210" t="n">
        <v>2568.43</v>
      </c>
      <c r="F1210" t="n">
        <v>1.94</v>
      </c>
      <c r="G1210" t="n">
        <v>49.83</v>
      </c>
      <c r="H1210" t="inlineStr">
        <is>
          <t>UPI</t>
        </is>
      </c>
      <c r="I1210" t="inlineStr">
        <is>
          <t>Failed</t>
        </is>
      </c>
      <c r="J1210" t="inlineStr">
        <is>
          <t>Processing</t>
        </is>
      </c>
      <c r="K1210" t="n">
        <v>0</v>
      </c>
      <c r="L1210" t="n">
        <v>0</v>
      </c>
      <c r="M1210" t="inlineStr">
        <is>
          <t>INR</t>
        </is>
      </c>
      <c r="N1210" t="inlineStr">
        <is>
          <t>2025-12-14 20:29:05</t>
        </is>
      </c>
    </row>
    <row r="1211">
      <c r="A1211" t="inlineStr">
        <is>
          <t>TXN00179862</t>
        </is>
      </c>
      <c r="B1211" t="inlineStr">
        <is>
          <t>MER00549</t>
        </is>
      </c>
      <c r="C1211" s="8" t="n">
        <v>46005</v>
      </c>
      <c r="D1211" t="inlineStr">
        <is>
          <t>ORD00179862</t>
        </is>
      </c>
      <c r="E1211" t="n">
        <v>3344.28</v>
      </c>
      <c r="F1211" t="n">
        <v>1.94</v>
      </c>
      <c r="G1211" t="n">
        <v>64.88</v>
      </c>
      <c r="H1211" t="inlineStr">
        <is>
          <t>COD</t>
        </is>
      </c>
      <c r="I1211" t="inlineStr">
        <is>
          <t>Success</t>
        </is>
      </c>
      <c r="J1211" t="inlineStr">
        <is>
          <t>Returned</t>
        </is>
      </c>
      <c r="K1211" t="n">
        <v>3344.28</v>
      </c>
      <c r="L1211" t="n">
        <v>359.7</v>
      </c>
      <c r="M1211" t="inlineStr">
        <is>
          <t>INR</t>
        </is>
      </c>
      <c r="N1211" t="inlineStr">
        <is>
          <t>2025-12-14 18:22:19</t>
        </is>
      </c>
    </row>
    <row r="1212">
      <c r="A1212" t="inlineStr">
        <is>
          <t>TXN00180037</t>
        </is>
      </c>
      <c r="B1212" t="inlineStr">
        <is>
          <t>MER00549</t>
        </is>
      </c>
      <c r="C1212" s="8" t="n">
        <v>46006</v>
      </c>
      <c r="D1212" t="inlineStr">
        <is>
          <t>ORD00180037</t>
        </is>
      </c>
      <c r="E1212" t="n">
        <v>5381.15</v>
      </c>
      <c r="F1212" t="n">
        <v>1.94</v>
      </c>
      <c r="G1212" t="n">
        <v>104.39</v>
      </c>
      <c r="H1212" t="inlineStr">
        <is>
          <t>UPI</t>
        </is>
      </c>
      <c r="I1212" t="inlineStr">
        <is>
          <t>Failed</t>
        </is>
      </c>
      <c r="J1212" t="inlineStr">
        <is>
          <t>Processing</t>
        </is>
      </c>
      <c r="K1212" t="n">
        <v>0</v>
      </c>
      <c r="L1212" t="n">
        <v>0</v>
      </c>
      <c r="M1212" t="inlineStr">
        <is>
          <t>INR</t>
        </is>
      </c>
      <c r="N1212" t="inlineStr">
        <is>
          <t>2025-12-15 23:06:07</t>
        </is>
      </c>
    </row>
    <row r="1213">
      <c r="A1213" t="inlineStr">
        <is>
          <t>TXN00180612</t>
        </is>
      </c>
      <c r="B1213" t="inlineStr">
        <is>
          <t>MER00549</t>
        </is>
      </c>
      <c r="C1213" s="8" t="n">
        <v>46007</v>
      </c>
      <c r="D1213" t="inlineStr">
        <is>
          <t>ORD00180612</t>
        </is>
      </c>
      <c r="E1213" t="n">
        <v>7304.79</v>
      </c>
      <c r="F1213" t="n">
        <v>2.74</v>
      </c>
      <c r="G1213" t="n">
        <v>141.71</v>
      </c>
      <c r="H1213" t="inlineStr">
        <is>
          <t>UPI</t>
        </is>
      </c>
      <c r="I1213" t="inlineStr">
        <is>
          <t>Success</t>
        </is>
      </c>
      <c r="J1213" t="inlineStr">
        <is>
          <t>Delivered</t>
        </is>
      </c>
      <c r="K1213" t="n">
        <v>0</v>
      </c>
      <c r="L1213" t="n">
        <v>0</v>
      </c>
      <c r="M1213" t="inlineStr">
        <is>
          <t>INR</t>
        </is>
      </c>
      <c r="N1213" t="inlineStr">
        <is>
          <t>2025-12-16 23:09:58</t>
        </is>
      </c>
    </row>
    <row r="1214">
      <c r="A1214" t="inlineStr">
        <is>
          <t>TXN00180883</t>
        </is>
      </c>
      <c r="B1214" t="inlineStr">
        <is>
          <t>MER00549</t>
        </is>
      </c>
      <c r="C1214" s="8" t="n">
        <v>46008</v>
      </c>
      <c r="D1214" t="inlineStr">
        <is>
          <t>ORD00180883</t>
        </is>
      </c>
      <c r="E1214" t="n">
        <v>2466.56</v>
      </c>
      <c r="F1214" t="n">
        <v>1.94</v>
      </c>
      <c r="G1214" t="n">
        <v>47.85</v>
      </c>
      <c r="H1214" t="inlineStr">
        <is>
          <t>NetBanking</t>
        </is>
      </c>
      <c r="I1214" t="inlineStr">
        <is>
          <t>Success</t>
        </is>
      </c>
      <c r="J1214" t="inlineStr">
        <is>
          <t>Delivered</t>
        </is>
      </c>
      <c r="K1214" t="n">
        <v>0</v>
      </c>
      <c r="L1214" t="n">
        <v>433.58</v>
      </c>
      <c r="M1214" t="inlineStr">
        <is>
          <t>INR</t>
        </is>
      </c>
      <c r="N1214" t="inlineStr">
        <is>
          <t>2025-12-17 01:36:40</t>
        </is>
      </c>
    </row>
    <row r="1215">
      <c r="A1215" t="inlineStr">
        <is>
          <t>TXN00180889</t>
        </is>
      </c>
      <c r="B1215" t="inlineStr">
        <is>
          <t>MER00549</t>
        </is>
      </c>
      <c r="C1215" s="8" t="n">
        <v>46008</v>
      </c>
      <c r="D1215" t="inlineStr">
        <is>
          <t>ORD00180889</t>
        </is>
      </c>
      <c r="E1215" t="n">
        <v>4162.34</v>
      </c>
      <c r="F1215" t="n">
        <v>1.94</v>
      </c>
      <c r="G1215" t="n">
        <v>80.75</v>
      </c>
      <c r="H1215" t="inlineStr">
        <is>
          <t>NetBanking</t>
        </is>
      </c>
      <c r="I1215" t="inlineStr">
        <is>
          <t>Success</t>
        </is>
      </c>
      <c r="J1215" t="inlineStr">
        <is>
          <t>Delivered</t>
        </is>
      </c>
      <c r="K1215" t="n">
        <v>0</v>
      </c>
      <c r="L1215" t="n">
        <v>695.33</v>
      </c>
      <c r="M1215" t="inlineStr">
        <is>
          <t>INR</t>
        </is>
      </c>
      <c r="N1215" t="inlineStr">
        <is>
          <t>2025-12-17 09:49:37</t>
        </is>
      </c>
    </row>
    <row r="1216">
      <c r="A1216" t="inlineStr">
        <is>
          <t>TXN00184757</t>
        </is>
      </c>
      <c r="B1216" t="inlineStr">
        <is>
          <t>MER00549</t>
        </is>
      </c>
      <c r="C1216" s="8" t="n">
        <v>46018</v>
      </c>
      <c r="D1216" t="inlineStr">
        <is>
          <t>ORD00184757</t>
        </is>
      </c>
      <c r="E1216" t="n">
        <v>1730.28</v>
      </c>
      <c r="F1216" t="n">
        <v>1.94</v>
      </c>
      <c r="G1216" t="n">
        <v>33.57</v>
      </c>
      <c r="H1216" t="inlineStr">
        <is>
          <t>UPI</t>
        </is>
      </c>
      <c r="I1216" t="inlineStr">
        <is>
          <t>Success</t>
        </is>
      </c>
      <c r="J1216" t="inlineStr">
        <is>
          <t>Delivered</t>
        </is>
      </c>
      <c r="K1216" t="n">
        <v>0</v>
      </c>
      <c r="L1216" t="n">
        <v>0</v>
      </c>
      <c r="M1216" t="inlineStr">
        <is>
          <t>INR</t>
        </is>
      </c>
      <c r="N1216" t="inlineStr">
        <is>
          <t>2025-12-27 08:53:45</t>
        </is>
      </c>
    </row>
    <row r="1217">
      <c r="A1217" t="inlineStr">
        <is>
          <t>TXN00185666</t>
        </is>
      </c>
      <c r="B1217" t="inlineStr">
        <is>
          <t>MER00549</t>
        </is>
      </c>
      <c r="C1217" s="8" t="n">
        <v>46021</v>
      </c>
      <c r="D1217" t="inlineStr">
        <is>
          <t>ORD00185666</t>
        </is>
      </c>
      <c r="E1217" t="n">
        <v>3682.24</v>
      </c>
      <c r="F1217" t="n">
        <v>1.94</v>
      </c>
      <c r="G1217" t="n">
        <v>71.44</v>
      </c>
      <c r="H1217" t="inlineStr">
        <is>
          <t>Card</t>
        </is>
      </c>
      <c r="I1217" t="inlineStr">
        <is>
          <t>Success</t>
        </is>
      </c>
      <c r="J1217" t="inlineStr">
        <is>
          <t>Processing</t>
        </is>
      </c>
      <c r="K1217" t="n">
        <v>0</v>
      </c>
      <c r="L1217" t="n">
        <v>0</v>
      </c>
      <c r="M1217" t="inlineStr">
        <is>
          <t>INR</t>
        </is>
      </c>
      <c r="N1217" t="inlineStr">
        <is>
          <t>2025-12-30 23:22:32</t>
        </is>
      </c>
    </row>
    <row r="1218">
      <c r="A1218" t="inlineStr">
        <is>
          <t>TXN00185862</t>
        </is>
      </c>
      <c r="B1218" t="inlineStr">
        <is>
          <t>MER00549</t>
        </is>
      </c>
      <c r="C1218" s="8" t="n">
        <v>46021</v>
      </c>
      <c r="D1218" t="inlineStr">
        <is>
          <t>ORD00185862</t>
        </is>
      </c>
      <c r="E1218" t="n">
        <v>2048.1</v>
      </c>
      <c r="F1218" t="n">
        <v>1.94</v>
      </c>
      <c r="G1218" t="n">
        <v>39.73</v>
      </c>
      <c r="H1218" t="inlineStr">
        <is>
          <t>UPI</t>
        </is>
      </c>
      <c r="I1218" t="inlineStr">
        <is>
          <t>Success</t>
        </is>
      </c>
      <c r="J1218" t="inlineStr">
        <is>
          <t>Delivered</t>
        </is>
      </c>
      <c r="K1218" t="n">
        <v>0</v>
      </c>
      <c r="L1218" t="n">
        <v>0</v>
      </c>
      <c r="M1218" t="inlineStr">
        <is>
          <t>INR</t>
        </is>
      </c>
      <c r="N1218" t="inlineStr">
        <is>
          <t>2025-12-30 10:31:48</t>
        </is>
      </c>
    </row>
    <row r="1219">
      <c r="A1219" t="inlineStr">
        <is>
          <t>TXN00186236</t>
        </is>
      </c>
      <c r="B1219" t="inlineStr">
        <is>
          <t>MER00549</t>
        </is>
      </c>
      <c r="C1219" s="8" t="n">
        <v>46022</v>
      </c>
      <c r="D1219" t="inlineStr">
        <is>
          <t>ORD00186236</t>
        </is>
      </c>
      <c r="E1219" t="n">
        <v>8593.24</v>
      </c>
      <c r="F1219" t="n">
        <v>1.94</v>
      </c>
      <c r="G1219" t="n">
        <v>166.71</v>
      </c>
      <c r="H1219" t="inlineStr">
        <is>
          <t>UPI</t>
        </is>
      </c>
      <c r="I1219" t="inlineStr">
        <is>
          <t>Success</t>
        </is>
      </c>
      <c r="J1219" t="inlineStr">
        <is>
          <t>Delivered</t>
        </is>
      </c>
      <c r="K1219" t="n">
        <v>0</v>
      </c>
      <c r="L1219" t="n">
        <v>0</v>
      </c>
      <c r="M1219" t="inlineStr">
        <is>
          <t>INR</t>
        </is>
      </c>
      <c r="N1219" t="inlineStr">
        <is>
          <t>2025-12-31 08:42:52</t>
        </is>
      </c>
    </row>
    <row r="1220">
      <c r="A1220" t="inlineStr">
        <is>
          <t>TXN00188505</t>
        </is>
      </c>
      <c r="B1220" t="inlineStr">
        <is>
          <t>MER00549</t>
        </is>
      </c>
      <c r="C1220" s="8" t="n">
        <v>46027</v>
      </c>
      <c r="D1220" t="inlineStr">
        <is>
          <t>ORD00188505</t>
        </is>
      </c>
      <c r="E1220" t="n">
        <v>2920.55</v>
      </c>
      <c r="F1220" t="n">
        <v>1.94</v>
      </c>
      <c r="G1220" t="n">
        <v>56.66</v>
      </c>
      <c r="H1220" t="inlineStr">
        <is>
          <t>UPI</t>
        </is>
      </c>
      <c r="I1220" t="inlineStr">
        <is>
          <t>Success</t>
        </is>
      </c>
      <c r="J1220" t="inlineStr">
        <is>
          <t>Delivered</t>
        </is>
      </c>
      <c r="K1220" t="n">
        <v>0</v>
      </c>
      <c r="L1220" t="n">
        <v>0</v>
      </c>
      <c r="M1220" t="inlineStr">
        <is>
          <t>INR</t>
        </is>
      </c>
      <c r="N1220" t="inlineStr">
        <is>
          <t>2026-01-05 17:07:50</t>
        </is>
      </c>
    </row>
    <row r="1221">
      <c r="A1221" t="inlineStr">
        <is>
          <t>TXN00188569</t>
        </is>
      </c>
      <c r="B1221" t="inlineStr">
        <is>
          <t>MER00549</t>
        </is>
      </c>
      <c r="C1221" s="8" t="n">
        <v>46027</v>
      </c>
      <c r="D1221" t="inlineStr">
        <is>
          <t>ORD00188569</t>
        </is>
      </c>
      <c r="E1221" t="n">
        <v>3192.93</v>
      </c>
      <c r="F1221" t="n">
        <v>1.94</v>
      </c>
      <c r="G1221" t="n">
        <v>61.94</v>
      </c>
      <c r="H1221" t="inlineStr">
        <is>
          <t>Card</t>
        </is>
      </c>
      <c r="I1221" t="inlineStr">
        <is>
          <t>Success</t>
        </is>
      </c>
      <c r="J1221" t="inlineStr">
        <is>
          <t>Delivered</t>
        </is>
      </c>
      <c r="K1221" t="n">
        <v>0</v>
      </c>
      <c r="L1221" t="n">
        <v>0</v>
      </c>
      <c r="M1221" t="inlineStr">
        <is>
          <t>INR</t>
        </is>
      </c>
      <c r="N1221" t="inlineStr">
        <is>
          <t>2026-01-05 01:39:25</t>
        </is>
      </c>
    </row>
    <row r="1222">
      <c r="A1222" t="inlineStr">
        <is>
          <t>TXN00189395</t>
        </is>
      </c>
      <c r="B1222" t="inlineStr">
        <is>
          <t>MER00549</t>
        </is>
      </c>
      <c r="C1222" s="8" t="n">
        <v>46029</v>
      </c>
      <c r="D1222" t="inlineStr">
        <is>
          <t>ORD00189395</t>
        </is>
      </c>
      <c r="E1222" t="n">
        <v>1579.52</v>
      </c>
      <c r="F1222" t="n">
        <v>1.94</v>
      </c>
      <c r="G1222" t="n">
        <v>30.64</v>
      </c>
      <c r="H1222" t="inlineStr">
        <is>
          <t>UPI</t>
        </is>
      </c>
      <c r="I1222" t="inlineStr">
        <is>
          <t>Success</t>
        </is>
      </c>
      <c r="J1222" t="inlineStr">
        <is>
          <t>Delivered</t>
        </is>
      </c>
      <c r="K1222" t="n">
        <v>0</v>
      </c>
      <c r="L1222" t="n">
        <v>0</v>
      </c>
      <c r="M1222" t="inlineStr">
        <is>
          <t>INR</t>
        </is>
      </c>
      <c r="N1222" t="inlineStr">
        <is>
          <t>2026-01-07 05:37:58</t>
        </is>
      </c>
    </row>
    <row r="1223">
      <c r="A1223" t="inlineStr">
        <is>
          <t>TXN00189232</t>
        </is>
      </c>
      <c r="B1223" t="inlineStr">
        <is>
          <t>MER00549</t>
        </is>
      </c>
      <c r="C1223" s="8" t="n">
        <v>46029</v>
      </c>
      <c r="D1223" t="inlineStr">
        <is>
          <t>ORD00189232</t>
        </is>
      </c>
      <c r="E1223" t="n">
        <v>3580.16</v>
      </c>
      <c r="F1223" t="n">
        <v>1.94</v>
      </c>
      <c r="G1223" t="n">
        <v>69.45999999999999</v>
      </c>
      <c r="H1223" t="inlineStr">
        <is>
          <t>UPI</t>
        </is>
      </c>
      <c r="I1223" t="inlineStr">
        <is>
          <t>Success</t>
        </is>
      </c>
      <c r="J1223" t="inlineStr">
        <is>
          <t>Delivered</t>
        </is>
      </c>
      <c r="K1223" t="n">
        <v>0</v>
      </c>
      <c r="L1223" t="n">
        <v>0</v>
      </c>
      <c r="M1223" t="inlineStr">
        <is>
          <t>INR</t>
        </is>
      </c>
      <c r="N1223" t="inlineStr">
        <is>
          <t>2026-01-07 12:44:19</t>
        </is>
      </c>
    </row>
    <row r="1224">
      <c r="A1224" t="inlineStr">
        <is>
          <t>TXN00190249</t>
        </is>
      </c>
      <c r="B1224" t="inlineStr">
        <is>
          <t>MER00549</t>
        </is>
      </c>
      <c r="C1224" s="8" t="n">
        <v>46031</v>
      </c>
      <c r="D1224" t="inlineStr">
        <is>
          <t>ORD00190249</t>
        </is>
      </c>
      <c r="E1224" t="n">
        <v>1103.62</v>
      </c>
      <c r="F1224" t="n">
        <v>1.94</v>
      </c>
      <c r="G1224" t="n">
        <v>21.41</v>
      </c>
      <c r="H1224" t="inlineStr">
        <is>
          <t>UPI</t>
        </is>
      </c>
      <c r="I1224" t="inlineStr">
        <is>
          <t>Success</t>
        </is>
      </c>
      <c r="J1224" t="inlineStr">
        <is>
          <t>Delivered</t>
        </is>
      </c>
      <c r="K1224" t="n">
        <v>0</v>
      </c>
      <c r="L1224" t="n">
        <v>0</v>
      </c>
      <c r="M1224" t="inlineStr">
        <is>
          <t>INR</t>
        </is>
      </c>
      <c r="N1224" t="inlineStr">
        <is>
          <t>2026-01-09 15:54:58</t>
        </is>
      </c>
    </row>
    <row r="1225">
      <c r="A1225" t="inlineStr">
        <is>
          <t>TXN00191652</t>
        </is>
      </c>
      <c r="B1225" t="inlineStr">
        <is>
          <t>MER00549</t>
        </is>
      </c>
      <c r="C1225" s="8" t="n">
        <v>46034</v>
      </c>
      <c r="D1225" t="inlineStr">
        <is>
          <t>ORD00191652</t>
        </is>
      </c>
      <c r="E1225" t="n">
        <v>2175.51</v>
      </c>
      <c r="F1225" t="n">
        <v>1.94</v>
      </c>
      <c r="G1225" t="n">
        <v>42.2</v>
      </c>
      <c r="H1225" t="inlineStr">
        <is>
          <t>UPI</t>
        </is>
      </c>
      <c r="I1225" t="inlineStr">
        <is>
          <t>Failed</t>
        </is>
      </c>
      <c r="J1225" t="inlineStr">
        <is>
          <t>Cancelled</t>
        </is>
      </c>
      <c r="K1225" t="n">
        <v>0</v>
      </c>
      <c r="L1225" t="n">
        <v>0</v>
      </c>
      <c r="M1225" t="inlineStr">
        <is>
          <t>INR</t>
        </is>
      </c>
      <c r="N1225" t="inlineStr">
        <is>
          <t>2026-01-12 04:48:35</t>
        </is>
      </c>
    </row>
    <row r="1226">
      <c r="A1226" t="inlineStr">
        <is>
          <t>TXN00192212</t>
        </is>
      </c>
      <c r="B1226" t="inlineStr">
        <is>
          <t>MER00549</t>
        </is>
      </c>
      <c r="C1226" s="8" t="n">
        <v>46035</v>
      </c>
      <c r="D1226" t="inlineStr">
        <is>
          <t>ORD00192212</t>
        </is>
      </c>
      <c r="E1226" t="n">
        <v>5279.24</v>
      </c>
      <c r="F1226" t="n">
        <v>1.94</v>
      </c>
      <c r="G1226" t="n">
        <v>102.42</v>
      </c>
      <c r="H1226" t="inlineStr">
        <is>
          <t>UPI</t>
        </is>
      </c>
      <c r="I1226" t="inlineStr">
        <is>
          <t>Success</t>
        </is>
      </c>
      <c r="J1226" t="inlineStr">
        <is>
          <t>Returned</t>
        </is>
      </c>
      <c r="K1226" t="n">
        <v>5279.24</v>
      </c>
      <c r="L1226" t="n">
        <v>0</v>
      </c>
      <c r="M1226" t="inlineStr">
        <is>
          <t>INR</t>
        </is>
      </c>
      <c r="N1226" t="inlineStr">
        <is>
          <t>2026-01-13 20:52:21</t>
        </is>
      </c>
    </row>
    <row r="1227">
      <c r="A1227" t="inlineStr">
        <is>
          <t>TXN00193308</t>
        </is>
      </c>
      <c r="B1227" t="inlineStr">
        <is>
          <t>MER00549</t>
        </is>
      </c>
      <c r="C1227" s="8" t="n">
        <v>46038</v>
      </c>
      <c r="D1227" t="inlineStr">
        <is>
          <t>ORD00193308</t>
        </is>
      </c>
      <c r="E1227" t="n">
        <v>2961.95</v>
      </c>
      <c r="F1227" t="n">
        <v>1.94</v>
      </c>
      <c r="G1227" t="n">
        <v>57.46</v>
      </c>
      <c r="H1227" t="inlineStr">
        <is>
          <t>Card</t>
        </is>
      </c>
      <c r="I1227" t="inlineStr">
        <is>
          <t>Success</t>
        </is>
      </c>
      <c r="J1227" t="inlineStr">
        <is>
          <t>Delivered</t>
        </is>
      </c>
      <c r="K1227" t="n">
        <v>0</v>
      </c>
      <c r="L1227" t="n">
        <v>0</v>
      </c>
      <c r="M1227" t="inlineStr">
        <is>
          <t>INR</t>
        </is>
      </c>
      <c r="N1227" t="inlineStr">
        <is>
          <t>2026-01-16 18:24:19</t>
        </is>
      </c>
    </row>
    <row r="1228">
      <c r="A1228" t="inlineStr">
        <is>
          <t>TXN00194136</t>
        </is>
      </c>
      <c r="B1228" t="inlineStr">
        <is>
          <t>MER00549</t>
        </is>
      </c>
      <c r="C1228" s="8" t="n">
        <v>46040</v>
      </c>
      <c r="D1228" t="inlineStr">
        <is>
          <t>ORD00194136</t>
        </is>
      </c>
      <c r="E1228" t="n">
        <v>1555.45</v>
      </c>
      <c r="F1228" t="n">
        <v>1.94</v>
      </c>
      <c r="G1228" t="n">
        <v>30.18</v>
      </c>
      <c r="H1228" t="inlineStr">
        <is>
          <t>UPI</t>
        </is>
      </c>
      <c r="I1228" t="inlineStr">
        <is>
          <t>Success</t>
        </is>
      </c>
      <c r="J1228" t="inlineStr">
        <is>
          <t>Delivered</t>
        </is>
      </c>
      <c r="K1228" t="n">
        <v>0</v>
      </c>
      <c r="L1228" t="n">
        <v>182.26</v>
      </c>
      <c r="M1228" t="inlineStr">
        <is>
          <t>INR</t>
        </is>
      </c>
      <c r="N1228" t="inlineStr">
        <is>
          <t>2026-01-18 06:58:45</t>
        </is>
      </c>
    </row>
    <row r="1229">
      <c r="A1229" t="inlineStr">
        <is>
          <t>TXN00194799</t>
        </is>
      </c>
      <c r="B1229" t="inlineStr">
        <is>
          <t>MER00549</t>
        </is>
      </c>
      <c r="C1229" s="8" t="n">
        <v>46041</v>
      </c>
      <c r="D1229" t="inlineStr">
        <is>
          <t>ORD00194799</t>
        </is>
      </c>
      <c r="E1229" t="n">
        <v>7862.28</v>
      </c>
      <c r="F1229" t="n">
        <v>1.94</v>
      </c>
      <c r="G1229" t="n">
        <v>152.53</v>
      </c>
      <c r="H1229" t="inlineStr">
        <is>
          <t>Card</t>
        </is>
      </c>
      <c r="I1229" t="inlineStr">
        <is>
          <t>Success</t>
        </is>
      </c>
      <c r="J1229" t="inlineStr">
        <is>
          <t>Delivered</t>
        </is>
      </c>
      <c r="K1229" t="n">
        <v>0</v>
      </c>
      <c r="L1229" t="n">
        <v>888.23</v>
      </c>
      <c r="M1229" t="inlineStr">
        <is>
          <t>INR</t>
        </is>
      </c>
      <c r="N1229" t="inlineStr">
        <is>
          <t>2026-01-19 20:46:46</t>
        </is>
      </c>
    </row>
    <row r="1230">
      <c r="A1230" t="inlineStr">
        <is>
          <t>TXN00198018</t>
        </is>
      </c>
      <c r="B1230" t="inlineStr">
        <is>
          <t>MER00549</t>
        </is>
      </c>
      <c r="C1230" s="8" t="n">
        <v>46048</v>
      </c>
      <c r="D1230" t="inlineStr">
        <is>
          <t>ORD00198018</t>
        </is>
      </c>
      <c r="E1230" t="n">
        <v>2704.77</v>
      </c>
      <c r="F1230" t="n">
        <v>1.94</v>
      </c>
      <c r="G1230" t="n">
        <v>52.47</v>
      </c>
      <c r="H1230" t="inlineStr">
        <is>
          <t>UPI</t>
        </is>
      </c>
      <c r="I1230" t="inlineStr">
        <is>
          <t>Success</t>
        </is>
      </c>
      <c r="J1230" t="inlineStr">
        <is>
          <t>Delivered</t>
        </is>
      </c>
      <c r="K1230" t="n">
        <v>0</v>
      </c>
      <c r="L1230" t="n">
        <v>287.5</v>
      </c>
      <c r="M1230" t="inlineStr">
        <is>
          <t>INR</t>
        </is>
      </c>
      <c r="N1230" t="inlineStr">
        <is>
          <t>2026-01-26 00:14:14</t>
        </is>
      </c>
    </row>
    <row r="1231">
      <c r="A1231" t="inlineStr">
        <is>
          <t>TXN00198403</t>
        </is>
      </c>
      <c r="B1231" t="inlineStr">
        <is>
          <t>MER00549</t>
        </is>
      </c>
      <c r="C1231" s="8" t="n">
        <v>46049</v>
      </c>
      <c r="D1231" t="inlineStr">
        <is>
          <t>ORD00198403</t>
        </is>
      </c>
      <c r="E1231" t="n">
        <v>3443.35</v>
      </c>
      <c r="F1231" t="n">
        <v>1.94</v>
      </c>
      <c r="G1231" t="n">
        <v>66.8</v>
      </c>
      <c r="H1231" t="inlineStr">
        <is>
          <t>UPI</t>
        </is>
      </c>
      <c r="I1231" t="inlineStr">
        <is>
          <t>Success</t>
        </is>
      </c>
      <c r="J1231" t="inlineStr">
        <is>
          <t>Delivered</t>
        </is>
      </c>
      <c r="K1231" t="n">
        <v>0</v>
      </c>
      <c r="L1231" t="n">
        <v>0</v>
      </c>
      <c r="M1231" t="inlineStr">
        <is>
          <t>INR</t>
        </is>
      </c>
      <c r="N1231" t="inlineStr">
        <is>
          <t>2026-01-27 14:58:40</t>
        </is>
      </c>
    </row>
    <row r="1232">
      <c r="A1232" t="inlineStr">
        <is>
          <t>TXN00199943</t>
        </is>
      </c>
      <c r="B1232" t="inlineStr">
        <is>
          <t>MER00549</t>
        </is>
      </c>
      <c r="C1232" s="8" t="n">
        <v>46053</v>
      </c>
      <c r="D1232" t="inlineStr">
        <is>
          <t>ORD00199943</t>
        </is>
      </c>
      <c r="E1232" t="n">
        <v>2402.76</v>
      </c>
      <c r="F1232" t="n">
        <v>1.94</v>
      </c>
      <c r="G1232" t="n">
        <v>46.61</v>
      </c>
      <c r="H1232" t="inlineStr">
        <is>
          <t>COD</t>
        </is>
      </c>
      <c r="I1232" t="inlineStr">
        <is>
          <t>Success</t>
        </is>
      </c>
      <c r="J1232" t="inlineStr">
        <is>
          <t>Delivered</t>
        </is>
      </c>
      <c r="K1232" t="n">
        <v>0</v>
      </c>
      <c r="L1232" t="n">
        <v>0</v>
      </c>
      <c r="M1232" t="inlineStr">
        <is>
          <t>INR</t>
        </is>
      </c>
      <c r="N1232" t="inlineStr">
        <is>
          <t>2026-01-31 06:19:32</t>
        </is>
      </c>
    </row>
    <row r="1233">
      <c r="A1233" t="inlineStr">
        <is>
          <t>TXN00201171</t>
        </is>
      </c>
      <c r="B1233" t="inlineStr">
        <is>
          <t>MER00549</t>
        </is>
      </c>
      <c r="C1233" s="8" t="n">
        <v>46056</v>
      </c>
      <c r="D1233" t="inlineStr">
        <is>
          <t>ORD00201171</t>
        </is>
      </c>
      <c r="E1233" t="n">
        <v>1822.73</v>
      </c>
      <c r="F1233" t="n">
        <v>1.94</v>
      </c>
      <c r="G1233" t="n">
        <v>35.36</v>
      </c>
      <c r="H1233" t="inlineStr">
        <is>
          <t>Card</t>
        </is>
      </c>
      <c r="I1233" t="inlineStr">
        <is>
          <t>Success</t>
        </is>
      </c>
      <c r="J1233" t="inlineStr">
        <is>
          <t>Delivered</t>
        </is>
      </c>
      <c r="K1233" t="n">
        <v>0</v>
      </c>
      <c r="L1233" t="n">
        <v>0</v>
      </c>
      <c r="M1233" t="inlineStr">
        <is>
          <t>INR</t>
        </is>
      </c>
      <c r="N1233" t="inlineStr">
        <is>
          <t>2026-02-03 09:09:20</t>
        </is>
      </c>
    </row>
    <row r="1234">
      <c r="A1234" t="inlineStr">
        <is>
          <t>TXN00202743</t>
        </is>
      </c>
      <c r="B1234" t="inlineStr">
        <is>
          <t>MER00549</t>
        </is>
      </c>
      <c r="C1234" s="8" t="n">
        <v>46059</v>
      </c>
      <c r="D1234" t="inlineStr">
        <is>
          <t>ORD00202743</t>
        </is>
      </c>
      <c r="E1234" t="n">
        <v>2229.71</v>
      </c>
      <c r="F1234" t="n">
        <v>1.94</v>
      </c>
      <c r="G1234" t="n">
        <v>43.26</v>
      </c>
      <c r="H1234" t="inlineStr">
        <is>
          <t>UPI</t>
        </is>
      </c>
      <c r="I1234" t="inlineStr">
        <is>
          <t>Success</t>
        </is>
      </c>
      <c r="J1234" t="inlineStr">
        <is>
          <t>Returned</t>
        </is>
      </c>
      <c r="K1234" t="n">
        <v>2229.71</v>
      </c>
      <c r="L1234" t="n">
        <v>0</v>
      </c>
      <c r="M1234" t="inlineStr">
        <is>
          <t>INR</t>
        </is>
      </c>
      <c r="N1234" t="inlineStr">
        <is>
          <t>2026-02-06 08:09:28</t>
        </is>
      </c>
    </row>
    <row r="1235">
      <c r="A1235" t="inlineStr">
        <is>
          <t>TXN00202833</t>
        </is>
      </c>
      <c r="B1235" t="inlineStr">
        <is>
          <t>MER00549</t>
        </is>
      </c>
      <c r="C1235" s="8" t="n">
        <v>46060</v>
      </c>
      <c r="D1235" t="inlineStr">
        <is>
          <t>ORD00202833</t>
        </is>
      </c>
      <c r="E1235" t="n">
        <v>3233.32</v>
      </c>
      <c r="F1235" t="n">
        <v>1.94</v>
      </c>
      <c r="G1235" t="n">
        <v>62.73</v>
      </c>
      <c r="H1235" t="inlineStr">
        <is>
          <t>UPI</t>
        </is>
      </c>
      <c r="I1235" t="inlineStr">
        <is>
          <t>Success</t>
        </is>
      </c>
      <c r="J1235" t="inlineStr">
        <is>
          <t>Delivered</t>
        </is>
      </c>
      <c r="K1235" t="n">
        <v>0</v>
      </c>
      <c r="L1235" t="n">
        <v>0</v>
      </c>
      <c r="M1235" t="inlineStr">
        <is>
          <t>INR</t>
        </is>
      </c>
      <c r="N1235" t="inlineStr">
        <is>
          <t>2026-02-07 12:43:00</t>
        </is>
      </c>
    </row>
    <row r="1236">
      <c r="A1236" t="inlineStr">
        <is>
          <t>TXN00204918</t>
        </is>
      </c>
      <c r="B1236" t="inlineStr">
        <is>
          <t>MER00549</t>
        </is>
      </c>
      <c r="C1236" s="8" t="n">
        <v>46065</v>
      </c>
      <c r="D1236" t="inlineStr">
        <is>
          <t>ORD00204918</t>
        </is>
      </c>
      <c r="E1236" t="n">
        <v>3907.25</v>
      </c>
      <c r="F1236" t="n">
        <v>1.94</v>
      </c>
      <c r="G1236" t="n">
        <v>75.8</v>
      </c>
      <c r="H1236" t="inlineStr">
        <is>
          <t>UPI</t>
        </is>
      </c>
      <c r="I1236" t="inlineStr">
        <is>
          <t>Success</t>
        </is>
      </c>
      <c r="J1236" t="inlineStr">
        <is>
          <t>Delivered</t>
        </is>
      </c>
      <c r="K1236" t="n">
        <v>0</v>
      </c>
      <c r="L1236" t="n">
        <v>0</v>
      </c>
      <c r="M1236" t="inlineStr">
        <is>
          <t>INR</t>
        </is>
      </c>
      <c r="N1236" t="inlineStr">
        <is>
          <t>2026-02-12 08:18:25</t>
        </is>
      </c>
    </row>
    <row r="1237">
      <c r="A1237" t="inlineStr">
        <is>
          <t>TXN00204955</t>
        </is>
      </c>
      <c r="B1237" t="inlineStr">
        <is>
          <t>MER00549</t>
        </is>
      </c>
      <c r="C1237" s="8" t="n">
        <v>46065</v>
      </c>
      <c r="D1237" t="inlineStr">
        <is>
          <t>ORD00204955</t>
        </is>
      </c>
      <c r="E1237" t="n">
        <v>2778</v>
      </c>
      <c r="F1237" t="n">
        <v>1.94</v>
      </c>
      <c r="G1237" t="n">
        <v>53.89</v>
      </c>
      <c r="H1237" t="inlineStr">
        <is>
          <t>Card</t>
        </is>
      </c>
      <c r="I1237" t="inlineStr">
        <is>
          <t>Success</t>
        </is>
      </c>
      <c r="J1237" t="inlineStr">
        <is>
          <t>Delivered</t>
        </is>
      </c>
      <c r="K1237" t="n">
        <v>0</v>
      </c>
      <c r="L1237" t="n">
        <v>0</v>
      </c>
      <c r="M1237" t="inlineStr">
        <is>
          <t>INR</t>
        </is>
      </c>
      <c r="N1237" t="inlineStr">
        <is>
          <t>2026-02-12 06:27:33</t>
        </is>
      </c>
    </row>
    <row r="1238">
      <c r="A1238" t="inlineStr">
        <is>
          <t>TXN00206593</t>
        </is>
      </c>
      <c r="B1238" t="inlineStr">
        <is>
          <t>MER00549</t>
        </is>
      </c>
      <c r="C1238" s="8" t="n">
        <v>46069</v>
      </c>
      <c r="D1238" t="inlineStr">
        <is>
          <t>ORD00206593</t>
        </is>
      </c>
      <c r="E1238" t="n">
        <v>1966.88</v>
      </c>
      <c r="F1238" t="n">
        <v>1.94</v>
      </c>
      <c r="G1238" t="n">
        <v>38.16</v>
      </c>
      <c r="H1238" t="inlineStr">
        <is>
          <t>Card</t>
        </is>
      </c>
      <c r="I1238" t="inlineStr">
        <is>
          <t>Success</t>
        </is>
      </c>
      <c r="J1238" t="inlineStr">
        <is>
          <t>Delivered</t>
        </is>
      </c>
      <c r="K1238" t="n">
        <v>0</v>
      </c>
      <c r="L1238" t="n">
        <v>0</v>
      </c>
      <c r="M1238" t="inlineStr">
        <is>
          <t>INR</t>
        </is>
      </c>
      <c r="N1238" t="inlineStr">
        <is>
          <t>2026-02-16 17:42:30</t>
        </is>
      </c>
    </row>
    <row r="1239">
      <c r="A1239" t="inlineStr">
        <is>
          <t>TXN00208138</t>
        </is>
      </c>
      <c r="B1239" t="inlineStr">
        <is>
          <t>MER00549</t>
        </is>
      </c>
      <c r="C1239" s="8" t="n">
        <v>46073</v>
      </c>
      <c r="D1239" t="inlineStr">
        <is>
          <t>ORD00208138</t>
        </is>
      </c>
      <c r="E1239" t="n">
        <v>3389.88</v>
      </c>
      <c r="F1239" t="n">
        <v>1.94</v>
      </c>
      <c r="G1239" t="n">
        <v>65.76000000000001</v>
      </c>
      <c r="H1239" t="inlineStr">
        <is>
          <t>Wallet</t>
        </is>
      </c>
      <c r="I1239" t="inlineStr">
        <is>
          <t>Success</t>
        </is>
      </c>
      <c r="J1239" t="inlineStr">
        <is>
          <t>Delivered</t>
        </is>
      </c>
      <c r="K1239" t="n">
        <v>0</v>
      </c>
      <c r="L1239" t="n">
        <v>0</v>
      </c>
      <c r="M1239" t="inlineStr">
        <is>
          <t>INR</t>
        </is>
      </c>
      <c r="N1239" t="inlineStr">
        <is>
          <t>2026-02-20 17:18:53</t>
        </is>
      </c>
    </row>
    <row r="1240">
      <c r="A1240" t="inlineStr">
        <is>
          <t>TXN00208532</t>
        </is>
      </c>
      <c r="B1240" t="inlineStr">
        <is>
          <t>MER00549</t>
        </is>
      </c>
      <c r="C1240" s="8" t="n">
        <v>46074</v>
      </c>
      <c r="D1240" t="inlineStr">
        <is>
          <t>ORD00208532</t>
        </is>
      </c>
      <c r="E1240" t="n">
        <v>4499.12</v>
      </c>
      <c r="F1240" t="n">
        <v>1.94</v>
      </c>
      <c r="G1240" t="n">
        <v>87.28</v>
      </c>
      <c r="H1240" t="inlineStr">
        <is>
          <t>UPI</t>
        </is>
      </c>
      <c r="I1240" t="inlineStr">
        <is>
          <t>Success</t>
        </is>
      </c>
      <c r="J1240" t="inlineStr">
        <is>
          <t>Processing</t>
        </is>
      </c>
      <c r="K1240" t="n">
        <v>0</v>
      </c>
      <c r="L1240" t="n">
        <v>0</v>
      </c>
      <c r="M1240" t="inlineStr">
        <is>
          <t>INR</t>
        </is>
      </c>
      <c r="N1240" t="inlineStr">
        <is>
          <t>2026-02-21 11:35:47</t>
        </is>
      </c>
    </row>
    <row r="1241">
      <c r="A1241" t="inlineStr">
        <is>
          <t>TXN00209328</t>
        </is>
      </c>
      <c r="B1241" t="inlineStr">
        <is>
          <t>MER00549</t>
        </is>
      </c>
      <c r="C1241" s="8" t="n">
        <v>46076</v>
      </c>
      <c r="D1241" t="inlineStr">
        <is>
          <t>ORD00209328</t>
        </is>
      </c>
      <c r="E1241" t="n">
        <v>2018.23</v>
      </c>
      <c r="F1241" t="n">
        <v>1.94</v>
      </c>
      <c r="G1241" t="n">
        <v>39.15</v>
      </c>
      <c r="H1241" t="inlineStr">
        <is>
          <t>UPI</t>
        </is>
      </c>
      <c r="I1241" t="inlineStr">
        <is>
          <t>Success</t>
        </is>
      </c>
      <c r="J1241" t="inlineStr">
        <is>
          <t>Delivered</t>
        </is>
      </c>
      <c r="K1241" t="n">
        <v>0</v>
      </c>
      <c r="L1241" t="n">
        <v>0</v>
      </c>
      <c r="M1241" t="inlineStr">
        <is>
          <t>INR</t>
        </is>
      </c>
      <c r="N1241" t="inlineStr">
        <is>
          <t>2026-02-23 10:04:14</t>
        </is>
      </c>
    </row>
    <row r="1242">
      <c r="A1242" t="inlineStr">
        <is>
          <t>TXN00210814</t>
        </is>
      </c>
      <c r="B1242" t="inlineStr">
        <is>
          <t>MER00549</t>
        </is>
      </c>
      <c r="C1242" s="8" t="n">
        <v>46079</v>
      </c>
      <c r="D1242" t="inlineStr">
        <is>
          <t>ORD00210814</t>
        </is>
      </c>
      <c r="E1242" t="n">
        <v>6352.4</v>
      </c>
      <c r="F1242" t="n">
        <v>1.94</v>
      </c>
      <c r="G1242" t="n">
        <v>123.24</v>
      </c>
      <c r="H1242" t="inlineStr">
        <is>
          <t>COD</t>
        </is>
      </c>
      <c r="I1242" t="inlineStr">
        <is>
          <t>Success</t>
        </is>
      </c>
      <c r="J1242" t="inlineStr">
        <is>
          <t>Delivered</t>
        </is>
      </c>
      <c r="K1242" t="n">
        <v>0</v>
      </c>
      <c r="L1242" t="n">
        <v>0</v>
      </c>
      <c r="M1242" t="inlineStr">
        <is>
          <t>INR</t>
        </is>
      </c>
      <c r="N1242" t="inlineStr">
        <is>
          <t>2026-02-26 04:59:09</t>
        </is>
      </c>
    </row>
    <row r="1243">
      <c r="A1243" t="inlineStr">
        <is>
          <t>TXN00210931</t>
        </is>
      </c>
      <c r="B1243" t="inlineStr">
        <is>
          <t>MER00549</t>
        </is>
      </c>
      <c r="C1243" s="8" t="n">
        <v>46080</v>
      </c>
      <c r="D1243" t="inlineStr">
        <is>
          <t>ORD00210931</t>
        </is>
      </c>
      <c r="E1243" t="n">
        <v>6144.82</v>
      </c>
      <c r="F1243" t="n">
        <v>1.94</v>
      </c>
      <c r="G1243" t="n">
        <v>119.21</v>
      </c>
      <c r="H1243" t="inlineStr">
        <is>
          <t>UPI</t>
        </is>
      </c>
      <c r="I1243" t="inlineStr">
        <is>
          <t>Success</t>
        </is>
      </c>
      <c r="J1243" t="inlineStr">
        <is>
          <t>Returned</t>
        </is>
      </c>
      <c r="K1243" t="n">
        <v>6144.82</v>
      </c>
      <c r="L1243" t="n">
        <v>0</v>
      </c>
      <c r="M1243" t="inlineStr">
        <is>
          <t>INR</t>
        </is>
      </c>
      <c r="N1243" t="inlineStr">
        <is>
          <t>2026-02-27 11:13:24</t>
        </is>
      </c>
    </row>
    <row r="1244">
      <c r="A1244" t="inlineStr">
        <is>
          <t>TXN00212800</t>
        </is>
      </c>
      <c r="B1244" t="inlineStr">
        <is>
          <t>MER00549</t>
        </is>
      </c>
      <c r="C1244" s="8" t="n">
        <v>46084</v>
      </c>
      <c r="D1244" t="inlineStr">
        <is>
          <t>ORD00212800</t>
        </is>
      </c>
      <c r="E1244" t="n">
        <v>2171.23</v>
      </c>
      <c r="F1244" t="n">
        <v>1.94</v>
      </c>
      <c r="G1244" t="n">
        <v>42.12</v>
      </c>
      <c r="H1244" t="inlineStr">
        <is>
          <t>Card</t>
        </is>
      </c>
      <c r="I1244" t="inlineStr">
        <is>
          <t>Success</t>
        </is>
      </c>
      <c r="J1244" t="inlineStr">
        <is>
          <t>Delivered</t>
        </is>
      </c>
      <c r="K1244" t="n">
        <v>0</v>
      </c>
      <c r="L1244" t="n">
        <v>0</v>
      </c>
      <c r="M1244" t="inlineStr">
        <is>
          <t>INR</t>
        </is>
      </c>
      <c r="N1244" t="inlineStr">
        <is>
          <t>2026-03-03 11:20:33</t>
        </is>
      </c>
    </row>
    <row r="1245">
      <c r="A1245" t="inlineStr">
        <is>
          <t>TXN00213215</t>
        </is>
      </c>
      <c r="B1245" t="inlineStr">
        <is>
          <t>MER00549</t>
        </is>
      </c>
      <c r="C1245" s="8" t="n">
        <v>46086</v>
      </c>
      <c r="D1245" t="inlineStr">
        <is>
          <t>ORD00213215</t>
        </is>
      </c>
      <c r="E1245" t="n">
        <v>3386.24</v>
      </c>
      <c r="F1245" t="n">
        <v>1.94</v>
      </c>
      <c r="G1245" t="n">
        <v>65.69</v>
      </c>
      <c r="H1245" t="inlineStr">
        <is>
          <t>Wallet</t>
        </is>
      </c>
      <c r="I1245" t="inlineStr">
        <is>
          <t>Success</t>
        </is>
      </c>
      <c r="J1245" t="inlineStr">
        <is>
          <t>Delivered</t>
        </is>
      </c>
      <c r="K1245" t="n">
        <v>0</v>
      </c>
      <c r="L1245" t="n">
        <v>0</v>
      </c>
      <c r="M1245" t="inlineStr">
        <is>
          <t>INR</t>
        </is>
      </c>
      <c r="N1245" t="inlineStr">
        <is>
          <t>2026-03-05 02:01:46</t>
        </is>
      </c>
    </row>
    <row r="1246">
      <c r="A1246" t="inlineStr">
        <is>
          <t>TXN00213423</t>
        </is>
      </c>
      <c r="B1246" t="inlineStr">
        <is>
          <t>MER00549</t>
        </is>
      </c>
      <c r="C1246" s="8" t="n">
        <v>46086</v>
      </c>
      <c r="D1246" t="inlineStr">
        <is>
          <t>ORD00213423</t>
        </is>
      </c>
      <c r="E1246" t="n">
        <v>1238.96</v>
      </c>
      <c r="F1246" t="n">
        <v>1.94</v>
      </c>
      <c r="G1246" t="n">
        <v>24.04</v>
      </c>
      <c r="H1246" t="inlineStr">
        <is>
          <t>COD</t>
        </is>
      </c>
      <c r="I1246" t="inlineStr">
        <is>
          <t>Success</t>
        </is>
      </c>
      <c r="J1246" t="inlineStr">
        <is>
          <t>Returned</t>
        </is>
      </c>
      <c r="K1246" t="n">
        <v>1238.96</v>
      </c>
      <c r="L1246" t="n">
        <v>0</v>
      </c>
      <c r="M1246" t="inlineStr">
        <is>
          <t>INR</t>
        </is>
      </c>
      <c r="N1246" t="inlineStr">
        <is>
          <t>2026-03-05 07:44:08</t>
        </is>
      </c>
    </row>
    <row r="1247">
      <c r="A1247" t="inlineStr">
        <is>
          <t>TXN00213773</t>
        </is>
      </c>
      <c r="B1247" t="inlineStr">
        <is>
          <t>MER00549</t>
        </is>
      </c>
      <c r="C1247" s="8" t="n">
        <v>46087</v>
      </c>
      <c r="D1247" t="inlineStr">
        <is>
          <t>ORD00213773</t>
        </is>
      </c>
      <c r="E1247" t="n">
        <v>5218</v>
      </c>
      <c r="F1247" t="n">
        <v>1.94</v>
      </c>
      <c r="G1247" t="n">
        <v>101.23</v>
      </c>
      <c r="H1247" t="inlineStr">
        <is>
          <t>Card</t>
        </is>
      </c>
      <c r="I1247" t="inlineStr">
        <is>
          <t>Success</t>
        </is>
      </c>
      <c r="J1247" t="inlineStr">
        <is>
          <t>Delivered</t>
        </is>
      </c>
      <c r="K1247" t="n">
        <v>0</v>
      </c>
      <c r="L1247" t="n">
        <v>0</v>
      </c>
      <c r="M1247" t="inlineStr">
        <is>
          <t>INR</t>
        </is>
      </c>
      <c r="N1247" t="inlineStr">
        <is>
          <t>2026-03-06 13:14:48</t>
        </is>
      </c>
    </row>
    <row r="1248">
      <c r="A1248" t="inlineStr">
        <is>
          <t>TXN00215353</t>
        </is>
      </c>
      <c r="B1248" t="inlineStr">
        <is>
          <t>MER00549</t>
        </is>
      </c>
      <c r="C1248" s="8" t="n">
        <v>46091</v>
      </c>
      <c r="D1248" t="inlineStr">
        <is>
          <t>ORD00215353</t>
        </is>
      </c>
      <c r="E1248" t="n">
        <v>4112.34</v>
      </c>
      <c r="F1248" t="n">
        <v>1.94</v>
      </c>
      <c r="G1248" t="n">
        <v>79.78</v>
      </c>
      <c r="H1248" t="inlineStr">
        <is>
          <t>Wallet</t>
        </is>
      </c>
      <c r="I1248" t="inlineStr">
        <is>
          <t>Success</t>
        </is>
      </c>
      <c r="J1248" t="inlineStr">
        <is>
          <t>Delivered</t>
        </is>
      </c>
      <c r="K1248" t="n">
        <v>0</v>
      </c>
      <c r="L1248" t="n">
        <v>0</v>
      </c>
      <c r="M1248" t="inlineStr">
        <is>
          <t>INR</t>
        </is>
      </c>
      <c r="N1248" t="inlineStr">
        <is>
          <t>2026-03-10 21:22:42</t>
        </is>
      </c>
    </row>
    <row r="1249">
      <c r="A1249" t="inlineStr">
        <is>
          <t>TXN00215854</t>
        </is>
      </c>
      <c r="B1249" t="inlineStr">
        <is>
          <t>MER00549</t>
        </is>
      </c>
      <c r="C1249" s="8" t="n">
        <v>46093</v>
      </c>
      <c r="D1249" t="inlineStr">
        <is>
          <t>ORD00215854</t>
        </is>
      </c>
      <c r="E1249" t="n">
        <v>5624.84</v>
      </c>
      <c r="F1249" t="n">
        <v>1.94</v>
      </c>
      <c r="G1249" t="n">
        <v>109.12</v>
      </c>
      <c r="H1249" t="inlineStr">
        <is>
          <t>Card</t>
        </is>
      </c>
      <c r="I1249" t="inlineStr">
        <is>
          <t>Success</t>
        </is>
      </c>
      <c r="J1249" t="inlineStr">
        <is>
          <t>Delivered</t>
        </is>
      </c>
      <c r="K1249" t="n">
        <v>0</v>
      </c>
      <c r="L1249" t="n">
        <v>903.64</v>
      </c>
      <c r="M1249" t="inlineStr">
        <is>
          <t>INR</t>
        </is>
      </c>
      <c r="N1249" t="inlineStr">
        <is>
          <t>2026-03-12 07:14:22</t>
        </is>
      </c>
    </row>
    <row r="1250">
      <c r="A1250" t="inlineStr">
        <is>
          <t>TXN00216158</t>
        </is>
      </c>
      <c r="B1250" t="inlineStr">
        <is>
          <t>MER00549</t>
        </is>
      </c>
      <c r="C1250" s="8" t="n">
        <v>46094</v>
      </c>
      <c r="D1250" t="inlineStr">
        <is>
          <t>ORD00216158</t>
        </is>
      </c>
      <c r="E1250" t="n">
        <v>2041.78</v>
      </c>
      <c r="F1250" t="n">
        <v>1.94</v>
      </c>
      <c r="G1250" t="n">
        <v>39.61</v>
      </c>
      <c r="H1250" t="inlineStr">
        <is>
          <t>COD</t>
        </is>
      </c>
      <c r="I1250" t="inlineStr">
        <is>
          <t>Success</t>
        </is>
      </c>
      <c r="J1250" t="inlineStr">
        <is>
          <t>Delivered</t>
        </is>
      </c>
      <c r="K1250" t="n">
        <v>0</v>
      </c>
      <c r="L1250" t="n">
        <v>0</v>
      </c>
      <c r="M1250" t="inlineStr">
        <is>
          <t>INR</t>
        </is>
      </c>
      <c r="N1250" t="inlineStr">
        <is>
          <t>2026-03-13 18:03:12</t>
        </is>
      </c>
    </row>
    <row r="1251">
      <c r="A1251" t="inlineStr">
        <is>
          <t>TXN00217517</t>
        </is>
      </c>
      <c r="B1251" t="inlineStr">
        <is>
          <t>MER00549</t>
        </is>
      </c>
      <c r="C1251" s="8" t="n">
        <v>46097</v>
      </c>
      <c r="D1251" t="inlineStr">
        <is>
          <t>ORD00217517</t>
        </is>
      </c>
      <c r="E1251" t="n">
        <v>2093.61</v>
      </c>
      <c r="F1251" t="n">
        <v>1.94</v>
      </c>
      <c r="G1251" t="n">
        <v>40.62</v>
      </c>
      <c r="H1251" t="inlineStr">
        <is>
          <t>Wallet</t>
        </is>
      </c>
      <c r="I1251" t="inlineStr">
        <is>
          <t>Success</t>
        </is>
      </c>
      <c r="J1251" t="inlineStr">
        <is>
          <t>Delivered</t>
        </is>
      </c>
      <c r="K1251" t="n">
        <v>0</v>
      </c>
      <c r="L1251" t="n">
        <v>0</v>
      </c>
      <c r="M1251" t="inlineStr">
        <is>
          <t>INR</t>
        </is>
      </c>
      <c r="N1251" t="inlineStr">
        <is>
          <t>2026-03-16 18:10:04</t>
        </is>
      </c>
    </row>
    <row r="1252">
      <c r="A1252" t="inlineStr">
        <is>
          <t>TXN00220939</t>
        </is>
      </c>
      <c r="B1252" t="inlineStr">
        <is>
          <t>MER00549</t>
        </is>
      </c>
      <c r="C1252" s="8" t="n">
        <v>46107</v>
      </c>
      <c r="D1252" t="inlineStr">
        <is>
          <t>ORD00220939</t>
        </is>
      </c>
      <c r="E1252" t="n">
        <v>4652.34</v>
      </c>
      <c r="F1252" t="n">
        <v>1.94</v>
      </c>
      <c r="G1252" t="n">
        <v>90.26000000000001</v>
      </c>
      <c r="H1252" t="inlineStr">
        <is>
          <t>UPI</t>
        </is>
      </c>
      <c r="I1252" t="inlineStr">
        <is>
          <t>Success</t>
        </is>
      </c>
      <c r="J1252" t="inlineStr">
        <is>
          <t>Returned</t>
        </is>
      </c>
      <c r="K1252" t="n">
        <v>4652.34</v>
      </c>
      <c r="L1252" t="n">
        <v>0</v>
      </c>
      <c r="M1252" t="inlineStr">
        <is>
          <t>INR</t>
        </is>
      </c>
      <c r="N1252" t="inlineStr">
        <is>
          <t>2026-03-26 06:42:05</t>
        </is>
      </c>
    </row>
    <row r="1253">
      <c r="A1253" t="inlineStr">
        <is>
          <t>TXN00224468</t>
        </is>
      </c>
      <c r="B1253" t="inlineStr">
        <is>
          <t>MER00549</t>
        </is>
      </c>
      <c r="C1253" s="8" t="n">
        <v>46116</v>
      </c>
      <c r="D1253" t="inlineStr">
        <is>
          <t>ORD00224468</t>
        </is>
      </c>
      <c r="E1253" t="n">
        <v>4191.48</v>
      </c>
      <c r="F1253" t="n">
        <v>1.94</v>
      </c>
      <c r="G1253" t="n">
        <v>81.31</v>
      </c>
      <c r="H1253" t="inlineStr">
        <is>
          <t>UPI</t>
        </is>
      </c>
      <c r="I1253" t="inlineStr">
        <is>
          <t>Success</t>
        </is>
      </c>
      <c r="J1253" t="inlineStr">
        <is>
          <t>Delivered</t>
        </is>
      </c>
      <c r="K1253" t="n">
        <v>0</v>
      </c>
      <c r="L1253" t="n">
        <v>0</v>
      </c>
      <c r="M1253" t="inlineStr">
        <is>
          <t>INR</t>
        </is>
      </c>
      <c r="N1253" t="inlineStr">
        <is>
          <t>2026-04-04 11:54:44</t>
        </is>
      </c>
    </row>
    <row r="1254">
      <c r="A1254" t="inlineStr">
        <is>
          <t>TXN00226634</t>
        </is>
      </c>
      <c r="B1254" t="inlineStr">
        <is>
          <t>MER00549</t>
        </is>
      </c>
      <c r="C1254" s="8" t="n">
        <v>46122</v>
      </c>
      <c r="D1254" t="inlineStr">
        <is>
          <t>ORD00226634</t>
        </is>
      </c>
      <c r="E1254" t="n">
        <v>1401.51</v>
      </c>
      <c r="F1254" t="n">
        <v>1.94</v>
      </c>
      <c r="G1254" t="n">
        <v>27.19</v>
      </c>
      <c r="H1254" t="inlineStr">
        <is>
          <t>UPI</t>
        </is>
      </c>
      <c r="I1254" t="inlineStr">
        <is>
          <t>Success</t>
        </is>
      </c>
      <c r="J1254" t="inlineStr">
        <is>
          <t>Delivered</t>
        </is>
      </c>
      <c r="K1254" t="n">
        <v>0</v>
      </c>
      <c r="L1254" t="n">
        <v>0</v>
      </c>
      <c r="M1254" t="inlineStr">
        <is>
          <t>INR</t>
        </is>
      </c>
      <c r="N1254" t="inlineStr">
        <is>
          <t>2026-04-10 02:32:00</t>
        </is>
      </c>
    </row>
    <row r="1255">
      <c r="A1255" t="inlineStr">
        <is>
          <t>TXN00227131</t>
        </is>
      </c>
      <c r="B1255" t="inlineStr">
        <is>
          <t>MER00549</t>
        </is>
      </c>
      <c r="C1255" s="8" t="n">
        <v>46123</v>
      </c>
      <c r="D1255" t="inlineStr">
        <is>
          <t>ORD00227131</t>
        </is>
      </c>
      <c r="E1255" t="n">
        <v>4395.92</v>
      </c>
      <c r="F1255" t="n">
        <v>1.94</v>
      </c>
      <c r="G1255" t="n">
        <v>85.28</v>
      </c>
      <c r="H1255" t="inlineStr">
        <is>
          <t>Card</t>
        </is>
      </c>
      <c r="I1255" t="inlineStr">
        <is>
          <t>Success</t>
        </is>
      </c>
      <c r="J1255" t="inlineStr">
        <is>
          <t>Delivered</t>
        </is>
      </c>
      <c r="K1255" t="n">
        <v>0</v>
      </c>
      <c r="L1255" t="n">
        <v>0</v>
      </c>
      <c r="M1255" t="inlineStr">
        <is>
          <t>INR</t>
        </is>
      </c>
      <c r="N1255" t="inlineStr">
        <is>
          <t>2026-04-11 13:56:12</t>
        </is>
      </c>
    </row>
    <row r="1256">
      <c r="A1256" t="inlineStr">
        <is>
          <t>TXN00228327</t>
        </is>
      </c>
      <c r="B1256" t="inlineStr">
        <is>
          <t>MER00549</t>
        </is>
      </c>
      <c r="C1256" s="8" t="n">
        <v>46126</v>
      </c>
      <c r="D1256" t="inlineStr">
        <is>
          <t>ORD00228327</t>
        </is>
      </c>
      <c r="E1256" t="n">
        <v>2127.37</v>
      </c>
      <c r="F1256" t="n">
        <v>1.94</v>
      </c>
      <c r="G1256" t="n">
        <v>41.27</v>
      </c>
      <c r="H1256" t="inlineStr">
        <is>
          <t>NetBanking</t>
        </is>
      </c>
      <c r="I1256" t="inlineStr">
        <is>
          <t>Success</t>
        </is>
      </c>
      <c r="J1256" t="inlineStr">
        <is>
          <t>Delivered</t>
        </is>
      </c>
      <c r="K1256" t="n">
        <v>0</v>
      </c>
      <c r="L1256" t="n">
        <v>405.69</v>
      </c>
      <c r="M1256" t="inlineStr">
        <is>
          <t>INR</t>
        </is>
      </c>
      <c r="N1256" t="inlineStr">
        <is>
          <t>2026-04-14 18:27:49</t>
        </is>
      </c>
    </row>
    <row r="1257">
      <c r="A1257" t="inlineStr">
        <is>
          <t>TXN00228494</t>
        </is>
      </c>
      <c r="B1257" t="inlineStr">
        <is>
          <t>MER00549</t>
        </is>
      </c>
      <c r="C1257" s="8" t="n">
        <v>46127</v>
      </c>
      <c r="D1257" t="inlineStr">
        <is>
          <t>ORD00228494</t>
        </is>
      </c>
      <c r="E1257" t="n">
        <v>4834.92</v>
      </c>
      <c r="F1257" t="n">
        <v>1.94</v>
      </c>
      <c r="G1257" t="n">
        <v>93.8</v>
      </c>
      <c r="H1257" t="inlineStr">
        <is>
          <t>Card</t>
        </is>
      </c>
      <c r="I1257" t="inlineStr">
        <is>
          <t>Success</t>
        </is>
      </c>
      <c r="J1257" t="inlineStr">
        <is>
          <t>Delivered</t>
        </is>
      </c>
      <c r="K1257" t="n">
        <v>0</v>
      </c>
      <c r="L1257" t="n">
        <v>0</v>
      </c>
      <c r="M1257" t="inlineStr">
        <is>
          <t>INR</t>
        </is>
      </c>
      <c r="N1257" t="inlineStr">
        <is>
          <t>2026-04-15 19:29:22</t>
        </is>
      </c>
    </row>
    <row r="1258">
      <c r="A1258" t="inlineStr">
        <is>
          <t>TXN00230465</t>
        </is>
      </c>
      <c r="B1258" t="inlineStr">
        <is>
          <t>MER00549</t>
        </is>
      </c>
      <c r="C1258" s="8" t="n">
        <v>46132</v>
      </c>
      <c r="D1258" t="inlineStr">
        <is>
          <t>ORD00230465</t>
        </is>
      </c>
      <c r="E1258" t="n">
        <v>2795.04</v>
      </c>
      <c r="F1258" t="n">
        <v>1.94</v>
      </c>
      <c r="G1258" t="n">
        <v>54.22</v>
      </c>
      <c r="H1258" t="inlineStr">
        <is>
          <t>Card</t>
        </is>
      </c>
      <c r="I1258" t="inlineStr">
        <is>
          <t>Success</t>
        </is>
      </c>
      <c r="J1258" t="inlineStr">
        <is>
          <t>Delivered</t>
        </is>
      </c>
      <c r="K1258" t="n">
        <v>0</v>
      </c>
      <c r="L1258" t="n">
        <v>0</v>
      </c>
      <c r="M1258" t="inlineStr">
        <is>
          <t>INR</t>
        </is>
      </c>
      <c r="N1258" t="inlineStr">
        <is>
          <t>2026-04-20 06:05:33</t>
        </is>
      </c>
    </row>
    <row r="1259">
      <c r="A1259" t="inlineStr">
        <is>
          <t>TXN00231876</t>
        </is>
      </c>
      <c r="B1259" t="inlineStr">
        <is>
          <t>MER00549</t>
        </is>
      </c>
      <c r="C1259" s="8" t="n">
        <v>46135</v>
      </c>
      <c r="D1259" t="inlineStr">
        <is>
          <t>ORD00231876</t>
        </is>
      </c>
      <c r="E1259" t="n">
        <v>3714.11</v>
      </c>
      <c r="F1259" t="n">
        <v>1.94</v>
      </c>
      <c r="G1259" t="n">
        <v>72.05</v>
      </c>
      <c r="H1259" t="inlineStr">
        <is>
          <t>UPI</t>
        </is>
      </c>
      <c r="I1259" t="inlineStr">
        <is>
          <t>Success</t>
        </is>
      </c>
      <c r="J1259" t="inlineStr">
        <is>
          <t>Returned</t>
        </is>
      </c>
      <c r="K1259" t="n">
        <v>3020.45</v>
      </c>
      <c r="L1259" t="n">
        <v>0</v>
      </c>
      <c r="M1259" t="inlineStr">
        <is>
          <t>INR</t>
        </is>
      </c>
      <c r="N1259" t="inlineStr">
        <is>
          <t>2026-04-23 22:58:14</t>
        </is>
      </c>
    </row>
    <row r="1260">
      <c r="A1260" t="inlineStr">
        <is>
          <t>TXN00232507</t>
        </is>
      </c>
      <c r="B1260" t="inlineStr">
        <is>
          <t>MER00549</t>
        </is>
      </c>
      <c r="C1260" s="8" t="n">
        <v>46137</v>
      </c>
      <c r="D1260" t="inlineStr">
        <is>
          <t>ORD00232507</t>
        </is>
      </c>
      <c r="E1260" t="n">
        <v>2447.57</v>
      </c>
      <c r="F1260" t="n">
        <v>1.94</v>
      </c>
      <c r="G1260" t="n">
        <v>47.48</v>
      </c>
      <c r="H1260" t="inlineStr">
        <is>
          <t>UPI</t>
        </is>
      </c>
      <c r="I1260" t="inlineStr">
        <is>
          <t>Success</t>
        </is>
      </c>
      <c r="J1260" t="inlineStr">
        <is>
          <t>Delivered</t>
        </is>
      </c>
      <c r="K1260" t="n">
        <v>0</v>
      </c>
      <c r="L1260" t="n">
        <v>0</v>
      </c>
      <c r="M1260" t="inlineStr">
        <is>
          <t>INR</t>
        </is>
      </c>
      <c r="N1260" t="inlineStr">
        <is>
          <t>2026-04-25 03:40:15</t>
        </is>
      </c>
    </row>
    <row r="1261">
      <c r="A1261" t="inlineStr">
        <is>
          <t>TXN00234581</t>
        </is>
      </c>
      <c r="B1261" t="inlineStr">
        <is>
          <t>MER00549</t>
        </is>
      </c>
      <c r="C1261" s="8" t="n">
        <v>46142</v>
      </c>
      <c r="D1261" t="inlineStr">
        <is>
          <t>ORD00234581</t>
        </is>
      </c>
      <c r="E1261" t="n">
        <v>5189.87</v>
      </c>
      <c r="F1261" t="n">
        <v>1.94</v>
      </c>
      <c r="G1261" t="n">
        <v>100.68</v>
      </c>
      <c r="H1261" t="inlineStr">
        <is>
          <t>COD</t>
        </is>
      </c>
      <c r="I1261" t="inlineStr">
        <is>
          <t>Success</t>
        </is>
      </c>
      <c r="J1261" t="inlineStr">
        <is>
          <t>Delivered</t>
        </is>
      </c>
      <c r="K1261" t="n">
        <v>0</v>
      </c>
      <c r="L1261" t="n">
        <v>0</v>
      </c>
      <c r="M1261" t="inlineStr">
        <is>
          <t>INR</t>
        </is>
      </c>
      <c r="N1261" t="inlineStr">
        <is>
          <t>2026-04-30 09:50:54</t>
        </is>
      </c>
    </row>
    <row r="1262">
      <c r="A1262" t="inlineStr">
        <is>
          <t>TXN00236321</t>
        </is>
      </c>
      <c r="B1262" t="inlineStr">
        <is>
          <t>MER00549</t>
        </is>
      </c>
      <c r="C1262" s="8" t="n">
        <v>46147</v>
      </c>
      <c r="D1262" t="inlineStr">
        <is>
          <t>ORD00236321</t>
        </is>
      </c>
      <c r="E1262" t="n">
        <v>1254.13</v>
      </c>
      <c r="F1262" t="n">
        <v>2.85</v>
      </c>
      <c r="G1262" t="n">
        <v>24.33</v>
      </c>
      <c r="H1262" t="inlineStr">
        <is>
          <t>UPI</t>
        </is>
      </c>
      <c r="I1262" t="inlineStr">
        <is>
          <t>Success</t>
        </is>
      </c>
      <c r="J1262" t="inlineStr">
        <is>
          <t>Delivered</t>
        </is>
      </c>
      <c r="K1262" t="n">
        <v>0</v>
      </c>
      <c r="L1262" t="n">
        <v>97.56999999999999</v>
      </c>
      <c r="M1262" t="inlineStr">
        <is>
          <t>INR</t>
        </is>
      </c>
      <c r="N1262" t="inlineStr">
        <is>
          <t>2026-05-05 07:34:57</t>
        </is>
      </c>
    </row>
    <row r="1263">
      <c r="A1263" t="inlineStr">
        <is>
          <t>TXN00238159</t>
        </is>
      </c>
      <c r="B1263" t="inlineStr">
        <is>
          <t>MER00549</t>
        </is>
      </c>
      <c r="C1263" s="8" t="n">
        <v>46152</v>
      </c>
      <c r="D1263" t="inlineStr">
        <is>
          <t>ORD00238159</t>
        </is>
      </c>
      <c r="E1263" t="n">
        <v>3083.84</v>
      </c>
      <c r="F1263" t="n">
        <v>1.94</v>
      </c>
      <c r="G1263" t="n">
        <v>59.83</v>
      </c>
      <c r="H1263" t="inlineStr">
        <is>
          <t>UPI</t>
        </is>
      </c>
      <c r="I1263" t="inlineStr">
        <is>
          <t>Success</t>
        </is>
      </c>
      <c r="J1263" t="inlineStr">
        <is>
          <t>Delivered</t>
        </is>
      </c>
      <c r="K1263" t="n">
        <v>0</v>
      </c>
      <c r="L1263" t="n">
        <v>0</v>
      </c>
      <c r="M1263" t="inlineStr">
        <is>
          <t>INR</t>
        </is>
      </c>
      <c r="N1263" t="inlineStr">
        <is>
          <t>2026-05-10 15:21:00</t>
        </is>
      </c>
    </row>
    <row r="1264">
      <c r="A1264" t="inlineStr">
        <is>
          <t>TXN00239794</t>
        </is>
      </c>
      <c r="B1264" t="inlineStr">
        <is>
          <t>MER00549</t>
        </is>
      </c>
      <c r="C1264" s="8" t="n">
        <v>46156</v>
      </c>
      <c r="D1264" t="inlineStr">
        <is>
          <t>ORD00239794</t>
        </is>
      </c>
      <c r="E1264" t="n">
        <v>12087.71</v>
      </c>
      <c r="F1264" t="n">
        <v>1.63</v>
      </c>
      <c r="G1264" t="n">
        <v>234.5</v>
      </c>
      <c r="H1264" t="inlineStr">
        <is>
          <t>Wallet</t>
        </is>
      </c>
      <c r="I1264" t="inlineStr">
        <is>
          <t>Success</t>
        </is>
      </c>
      <c r="J1264" t="inlineStr">
        <is>
          <t>Returned</t>
        </is>
      </c>
      <c r="K1264" t="n">
        <v>9138.83</v>
      </c>
      <c r="L1264" t="n">
        <v>0</v>
      </c>
      <c r="M1264" t="inlineStr">
        <is>
          <t>INR</t>
        </is>
      </c>
      <c r="N1264" t="inlineStr">
        <is>
          <t>2026-05-14 21:34:09</t>
        </is>
      </c>
    </row>
    <row r="1265">
      <c r="A1265" t="inlineStr">
        <is>
          <t>TXN00240124</t>
        </is>
      </c>
      <c r="B1265" t="inlineStr">
        <is>
          <t>MER00549</t>
        </is>
      </c>
      <c r="C1265" s="8" t="n">
        <v>46157</v>
      </c>
      <c r="D1265" t="inlineStr">
        <is>
          <t>ORD00240124</t>
        </is>
      </c>
      <c r="E1265" t="n">
        <v>5327.05</v>
      </c>
      <c r="F1265" t="n">
        <v>1.86</v>
      </c>
      <c r="G1265" t="n">
        <v>99.08</v>
      </c>
      <c r="H1265" t="inlineStr">
        <is>
          <t>UPI</t>
        </is>
      </c>
      <c r="I1265" t="inlineStr">
        <is>
          <t>Pending</t>
        </is>
      </c>
      <c r="J1265" t="inlineStr">
        <is>
          <t>Processing</t>
        </is>
      </c>
      <c r="K1265" t="n">
        <v>0</v>
      </c>
      <c r="L1265" t="n">
        <v>0</v>
      </c>
      <c r="M1265" t="inlineStr">
        <is>
          <t>INR</t>
        </is>
      </c>
      <c r="N1265" t="inlineStr">
        <is>
          <t>2026-05-15 10:21:20</t>
        </is>
      </c>
    </row>
    <row r="1266">
      <c r="A1266" t="inlineStr">
        <is>
          <t>TXN00241086</t>
        </is>
      </c>
      <c r="B1266" t="inlineStr">
        <is>
          <t>MER00549</t>
        </is>
      </c>
      <c r="C1266" s="8" t="n">
        <v>46160</v>
      </c>
      <c r="D1266" t="inlineStr">
        <is>
          <t>ORD00241086</t>
        </is>
      </c>
      <c r="E1266" t="n">
        <v>3344.18</v>
      </c>
      <c r="F1266" t="n">
        <v>1.86</v>
      </c>
      <c r="G1266" t="n">
        <v>62.2</v>
      </c>
      <c r="H1266" t="inlineStr">
        <is>
          <t>UPI</t>
        </is>
      </c>
      <c r="I1266" t="inlineStr">
        <is>
          <t>Pending</t>
        </is>
      </c>
      <c r="J1266" t="inlineStr">
        <is>
          <t>Cancelled</t>
        </is>
      </c>
      <c r="K1266" t="n">
        <v>0</v>
      </c>
      <c r="L1266" t="n">
        <v>0</v>
      </c>
      <c r="M1266" t="inlineStr">
        <is>
          <t>INR</t>
        </is>
      </c>
      <c r="N1266" t="inlineStr">
        <is>
          <t>2026-05-18 08:01:30</t>
        </is>
      </c>
    </row>
    <row r="1267">
      <c r="A1267" t="inlineStr">
        <is>
          <t>TXN00241859</t>
        </is>
      </c>
      <c r="B1267" t="inlineStr">
        <is>
          <t>MER00549</t>
        </is>
      </c>
      <c r="C1267" s="8" t="n">
        <v>46162</v>
      </c>
      <c r="D1267" t="inlineStr">
        <is>
          <t>ORD00241859</t>
        </is>
      </c>
      <c r="E1267" t="n">
        <v>2067.92</v>
      </c>
      <c r="F1267" t="n">
        <v>1.86</v>
      </c>
      <c r="G1267" t="n">
        <v>38.46</v>
      </c>
      <c r="H1267" t="inlineStr">
        <is>
          <t>Card</t>
        </is>
      </c>
      <c r="I1267" t="inlineStr">
        <is>
          <t>Success</t>
        </is>
      </c>
      <c r="J1267" t="inlineStr">
        <is>
          <t>Delivered</t>
        </is>
      </c>
      <c r="K1267" t="n">
        <v>0</v>
      </c>
      <c r="L1267" t="n">
        <v>0</v>
      </c>
      <c r="M1267" t="inlineStr">
        <is>
          <t>INR</t>
        </is>
      </c>
      <c r="N1267" t="inlineStr">
        <is>
          <t>2026-05-20 23:30:40</t>
        </is>
      </c>
    </row>
    <row r="1268">
      <c r="A1268" t="inlineStr">
        <is>
          <t>TXN00241896</t>
        </is>
      </c>
      <c r="B1268" t="inlineStr">
        <is>
          <t>MER00549</t>
        </is>
      </c>
      <c r="C1268" s="8" t="n">
        <v>46162</v>
      </c>
      <c r="D1268" t="inlineStr">
        <is>
          <t>ORD00241896</t>
        </is>
      </c>
      <c r="E1268" t="n">
        <v>4795.14</v>
      </c>
      <c r="F1268" t="n">
        <v>1.86</v>
      </c>
      <c r="G1268" t="n">
        <v>89.19</v>
      </c>
      <c r="H1268" t="inlineStr">
        <is>
          <t>NetBanking</t>
        </is>
      </c>
      <c r="I1268" t="inlineStr">
        <is>
          <t>Success</t>
        </is>
      </c>
      <c r="J1268" t="inlineStr">
        <is>
          <t>Delivered</t>
        </is>
      </c>
      <c r="K1268" t="n">
        <v>0</v>
      </c>
      <c r="L1268" t="n">
        <v>0</v>
      </c>
      <c r="M1268" t="inlineStr">
        <is>
          <t>INR</t>
        </is>
      </c>
      <c r="N1268" t="inlineStr">
        <is>
          <t>2026-05-20 18:58:03</t>
        </is>
      </c>
    </row>
    <row r="1269">
      <c r="A1269" t="inlineStr">
        <is>
          <t>TXN00243277</t>
        </is>
      </c>
      <c r="B1269" t="inlineStr">
        <is>
          <t>MER00549</t>
        </is>
      </c>
      <c r="C1269" s="8" t="n">
        <v>46165</v>
      </c>
      <c r="D1269" t="inlineStr">
        <is>
          <t>ORD00243277</t>
        </is>
      </c>
      <c r="E1269" t="n">
        <v>1991.12</v>
      </c>
      <c r="F1269" t="n">
        <v>1.86</v>
      </c>
      <c r="G1269" t="n">
        <v>37.03</v>
      </c>
      <c r="H1269" t="inlineStr">
        <is>
          <t>UPI</t>
        </is>
      </c>
      <c r="I1269" t="inlineStr">
        <is>
          <t>Success</t>
        </is>
      </c>
      <c r="J1269" t="inlineStr">
        <is>
          <t>Delivered</t>
        </is>
      </c>
      <c r="K1269" t="n">
        <v>0</v>
      </c>
      <c r="L1269" t="n">
        <v>0</v>
      </c>
      <c r="M1269" t="inlineStr">
        <is>
          <t>INR</t>
        </is>
      </c>
      <c r="N1269" t="inlineStr">
        <is>
          <t>2026-05-23 03:36:45</t>
        </is>
      </c>
    </row>
    <row r="1270">
      <c r="A1270" t="inlineStr">
        <is>
          <t>TXN00244855</t>
        </is>
      </c>
      <c r="B1270" t="inlineStr">
        <is>
          <t>MER00549</t>
        </is>
      </c>
      <c r="C1270" s="8" t="n">
        <v>46170</v>
      </c>
      <c r="D1270" t="inlineStr">
        <is>
          <t>ORD00244855</t>
        </is>
      </c>
      <c r="E1270" t="n">
        <v>1954.2</v>
      </c>
      <c r="F1270" t="n">
        <v>1.86</v>
      </c>
      <c r="G1270" t="n">
        <v>36.35</v>
      </c>
      <c r="H1270" t="inlineStr">
        <is>
          <t>UPI</t>
        </is>
      </c>
      <c r="I1270" t="inlineStr">
        <is>
          <t>Success</t>
        </is>
      </c>
      <c r="J1270" t="inlineStr">
        <is>
          <t>Delivered</t>
        </is>
      </c>
      <c r="K1270" t="n">
        <v>0</v>
      </c>
      <c r="L1270" t="n">
        <v>0</v>
      </c>
      <c r="M1270" t="inlineStr">
        <is>
          <t>INR</t>
        </is>
      </c>
      <c r="N1270" t="inlineStr">
        <is>
          <t>2026-05-28 11:24:50</t>
        </is>
      </c>
    </row>
    <row r="1271">
      <c r="A1271" t="inlineStr">
        <is>
          <t>TXN00246419</t>
        </is>
      </c>
      <c r="B1271" t="inlineStr">
        <is>
          <t>MER00549</t>
        </is>
      </c>
      <c r="C1271" s="8" t="n">
        <v>46174</v>
      </c>
      <c r="D1271" t="inlineStr">
        <is>
          <t>ORD00246419</t>
        </is>
      </c>
      <c r="E1271" t="n">
        <v>1927.36</v>
      </c>
      <c r="F1271" t="n">
        <v>1.54</v>
      </c>
      <c r="G1271" t="n">
        <v>35.85</v>
      </c>
      <c r="H1271" t="inlineStr">
        <is>
          <t>UPI</t>
        </is>
      </c>
      <c r="I1271" t="inlineStr">
        <is>
          <t>Pending</t>
        </is>
      </c>
      <c r="J1271" t="inlineStr">
        <is>
          <t>Processing</t>
        </is>
      </c>
      <c r="K1271" t="n">
        <v>0</v>
      </c>
      <c r="L1271" t="n">
        <v>0</v>
      </c>
      <c r="M1271" t="inlineStr">
        <is>
          <t>INR</t>
        </is>
      </c>
      <c r="N1271" t="inlineStr">
        <is>
          <t>2026-06-01 23:30:43</t>
        </is>
      </c>
    </row>
    <row r="1272">
      <c r="A1272" t="inlineStr">
        <is>
          <t>TXN00247051</t>
        </is>
      </c>
      <c r="B1272" t="inlineStr">
        <is>
          <t>MER00549</t>
        </is>
      </c>
      <c r="C1272" s="8" t="n">
        <v>46175</v>
      </c>
      <c r="D1272" t="inlineStr">
        <is>
          <t>ORD00247051</t>
        </is>
      </c>
      <c r="E1272" t="n">
        <v>2564.04</v>
      </c>
      <c r="F1272" t="n">
        <v>1.86</v>
      </c>
      <c r="G1272" t="n">
        <v>47.69</v>
      </c>
      <c r="H1272" t="inlineStr">
        <is>
          <t>UPI</t>
        </is>
      </c>
      <c r="I1272" t="inlineStr">
        <is>
          <t>Success</t>
        </is>
      </c>
      <c r="J1272" t="inlineStr">
        <is>
          <t>Delivered</t>
        </is>
      </c>
      <c r="K1272" t="n">
        <v>0</v>
      </c>
      <c r="L1272" t="n">
        <v>0</v>
      </c>
      <c r="M1272" t="inlineStr">
        <is>
          <t>INR</t>
        </is>
      </c>
      <c r="N1272" t="inlineStr">
        <is>
          <t>2026-06-02 02:36:01</t>
        </is>
      </c>
    </row>
    <row r="1273">
      <c r="A1273" t="inlineStr">
        <is>
          <t>TXN00248151</t>
        </is>
      </c>
      <c r="B1273" t="inlineStr">
        <is>
          <t>MER00549</t>
        </is>
      </c>
      <c r="C1273" s="8" t="n">
        <v>46178</v>
      </c>
      <c r="D1273" t="inlineStr">
        <is>
          <t>ORD00248151</t>
        </is>
      </c>
      <c r="E1273" t="n">
        <v>5713.52</v>
      </c>
      <c r="F1273" t="n">
        <v>1.86</v>
      </c>
      <c r="G1273" t="n">
        <v>106.27</v>
      </c>
      <c r="H1273" t="inlineStr">
        <is>
          <t>Card</t>
        </is>
      </c>
      <c r="I1273" t="inlineStr">
        <is>
          <t>Success</t>
        </is>
      </c>
      <c r="J1273" t="inlineStr">
        <is>
          <t>Delivered</t>
        </is>
      </c>
      <c r="K1273" t="n">
        <v>0</v>
      </c>
      <c r="L1273" t="n">
        <v>0</v>
      </c>
      <c r="M1273" t="inlineStr">
        <is>
          <t>INR</t>
        </is>
      </c>
      <c r="N1273" t="inlineStr">
        <is>
          <t>2026-06-05 11:13:37</t>
        </is>
      </c>
    </row>
    <row r="1274">
      <c r="A1274" t="inlineStr">
        <is>
          <t>TXN00248610</t>
        </is>
      </c>
      <c r="B1274" t="inlineStr">
        <is>
          <t>MER00549</t>
        </is>
      </c>
      <c r="C1274" s="8" t="n">
        <v>46179</v>
      </c>
      <c r="D1274" t="inlineStr">
        <is>
          <t>ORD00248610</t>
        </is>
      </c>
      <c r="E1274" t="n">
        <v>6212.94</v>
      </c>
      <c r="F1274" t="n">
        <v>1.86</v>
      </c>
      <c r="G1274" t="n">
        <v>115.56</v>
      </c>
      <c r="H1274" t="inlineStr">
        <is>
          <t>Card</t>
        </is>
      </c>
      <c r="I1274" t="inlineStr">
        <is>
          <t>Success</t>
        </is>
      </c>
      <c r="J1274" t="inlineStr">
        <is>
          <t>Delivered</t>
        </is>
      </c>
      <c r="K1274" t="n">
        <v>0</v>
      </c>
      <c r="L1274" t="n">
        <v>0</v>
      </c>
      <c r="M1274" t="inlineStr">
        <is>
          <t>INR</t>
        </is>
      </c>
      <c r="N1274" t="inlineStr">
        <is>
          <t>2026-06-06 18:43:29</t>
        </is>
      </c>
    </row>
    <row r="1275">
      <c r="A1275" t="inlineStr">
        <is>
          <t>TXN00249467</t>
        </is>
      </c>
      <c r="B1275" t="inlineStr">
        <is>
          <t>MER00549</t>
        </is>
      </c>
      <c r="C1275" s="8" t="n">
        <v>46181</v>
      </c>
      <c r="D1275" t="inlineStr">
        <is>
          <t>ORD00249467</t>
        </is>
      </c>
      <c r="E1275" t="n">
        <v>1362.75</v>
      </c>
      <c r="F1275" t="n">
        <v>1.86</v>
      </c>
      <c r="G1275" t="n">
        <v>25.35</v>
      </c>
      <c r="H1275" t="inlineStr">
        <is>
          <t>UPI</t>
        </is>
      </c>
      <c r="I1275" t="inlineStr">
        <is>
          <t>Success</t>
        </is>
      </c>
      <c r="J1275" t="inlineStr">
        <is>
          <t>Delivered</t>
        </is>
      </c>
      <c r="K1275" t="n">
        <v>0</v>
      </c>
      <c r="L1275" t="n">
        <v>0</v>
      </c>
      <c r="M1275" t="inlineStr">
        <is>
          <t>INR</t>
        </is>
      </c>
      <c r="N1275" t="inlineStr">
        <is>
          <t>2026-06-08 01:19:56</t>
        </is>
      </c>
    </row>
    <row r="1276">
      <c r="A1276" t="inlineStr">
        <is>
          <t>TXN00251329</t>
        </is>
      </c>
      <c r="B1276" t="inlineStr">
        <is>
          <t>MER00549</t>
        </is>
      </c>
      <c r="C1276" s="8" t="n">
        <v>46186</v>
      </c>
      <c r="D1276" t="inlineStr">
        <is>
          <t>ORD00251329</t>
        </is>
      </c>
      <c r="E1276" t="n">
        <v>3551.54</v>
      </c>
      <c r="F1276" t="n">
        <v>1.86</v>
      </c>
      <c r="G1276" t="n">
        <v>66.06</v>
      </c>
      <c r="H1276" t="inlineStr">
        <is>
          <t>UPI</t>
        </is>
      </c>
      <c r="I1276" t="inlineStr">
        <is>
          <t>Success</t>
        </is>
      </c>
      <c r="J1276" t="inlineStr">
        <is>
          <t>Delivered</t>
        </is>
      </c>
      <c r="K1276" t="n">
        <v>0</v>
      </c>
      <c r="L1276" t="n">
        <v>0</v>
      </c>
      <c r="M1276" t="inlineStr">
        <is>
          <t>INR</t>
        </is>
      </c>
      <c r="N1276" t="inlineStr">
        <is>
          <t>2026-06-13 19:29:08</t>
        </is>
      </c>
    </row>
    <row r="1277">
      <c r="A1277" t="inlineStr">
        <is>
          <t>TXN00255188</t>
        </is>
      </c>
      <c r="B1277" t="inlineStr">
        <is>
          <t>MER00549</t>
        </is>
      </c>
      <c r="C1277" s="8" t="n">
        <v>46195</v>
      </c>
      <c r="D1277" t="inlineStr">
        <is>
          <t>ORD00255188</t>
        </is>
      </c>
      <c r="E1277" t="n">
        <v>1928.69</v>
      </c>
      <c r="F1277" t="n">
        <v>1.86</v>
      </c>
      <c r="G1277" t="n">
        <v>35.87</v>
      </c>
      <c r="H1277" t="inlineStr">
        <is>
          <t>UPI</t>
        </is>
      </c>
      <c r="I1277" t="inlineStr">
        <is>
          <t>Success</t>
        </is>
      </c>
      <c r="J1277" t="inlineStr">
        <is>
          <t>Delivered</t>
        </is>
      </c>
      <c r="K1277" t="n">
        <v>0</v>
      </c>
      <c r="L1277" t="n">
        <v>0</v>
      </c>
      <c r="M1277" t="inlineStr">
        <is>
          <t>INR</t>
        </is>
      </c>
      <c r="N1277" t="inlineStr">
        <is>
          <t>2026-06-22 00:13:46</t>
        </is>
      </c>
    </row>
    <row r="1278">
      <c r="A1278" t="inlineStr">
        <is>
          <t>TXN00255787</t>
        </is>
      </c>
      <c r="B1278" t="inlineStr">
        <is>
          <t>MER00549</t>
        </is>
      </c>
      <c r="C1278" s="8" t="n">
        <v>46197</v>
      </c>
      <c r="D1278" t="inlineStr">
        <is>
          <t>ORD00255787</t>
        </is>
      </c>
      <c r="E1278" t="n">
        <v>3564.28</v>
      </c>
      <c r="F1278" t="n">
        <v>1.86</v>
      </c>
      <c r="G1278" t="n">
        <v>66.3</v>
      </c>
      <c r="H1278" t="inlineStr">
        <is>
          <t>UPI</t>
        </is>
      </c>
      <c r="I1278" t="inlineStr">
        <is>
          <t>Success</t>
        </is>
      </c>
      <c r="J1278" t="inlineStr">
        <is>
          <t>Delivered</t>
        </is>
      </c>
      <c r="K1278" t="n">
        <v>0</v>
      </c>
      <c r="L1278" t="n">
        <v>391.68</v>
      </c>
      <c r="M1278" t="inlineStr">
        <is>
          <t>INR</t>
        </is>
      </c>
      <c r="N1278" t="inlineStr">
        <is>
          <t>2026-06-24 01:43:53</t>
        </is>
      </c>
    </row>
    <row r="1279">
      <c r="A1279" t="inlineStr">
        <is>
          <t>TXN00260214</t>
        </is>
      </c>
      <c r="B1279" t="inlineStr">
        <is>
          <t>MER00549</t>
        </is>
      </c>
      <c r="C1279" s="8" t="n">
        <v>46208</v>
      </c>
      <c r="D1279" t="inlineStr">
        <is>
          <t>ORD00260214</t>
        </is>
      </c>
      <c r="E1279" t="n">
        <v>4096.88</v>
      </c>
      <c r="F1279" t="n">
        <v>1.86</v>
      </c>
      <c r="G1279" t="n">
        <v>76.2</v>
      </c>
      <c r="H1279" t="inlineStr">
        <is>
          <t>COD</t>
        </is>
      </c>
      <c r="I1279" t="inlineStr">
        <is>
          <t>Success</t>
        </is>
      </c>
      <c r="J1279" t="inlineStr">
        <is>
          <t>Returned</t>
        </is>
      </c>
      <c r="K1279" t="n">
        <v>4096.88</v>
      </c>
      <c r="L1279" t="n">
        <v>0</v>
      </c>
      <c r="M1279" t="inlineStr">
        <is>
          <t>INR</t>
        </is>
      </c>
      <c r="N1279" t="inlineStr">
        <is>
          <t>2026-07-05 02:20:28</t>
        </is>
      </c>
    </row>
    <row r="1280">
      <c r="A1280" t="inlineStr">
        <is>
          <t>TXN00261137</t>
        </is>
      </c>
      <c r="B1280" t="inlineStr">
        <is>
          <t>MER00549</t>
        </is>
      </c>
      <c r="C1280" s="8" t="n">
        <v>46211</v>
      </c>
      <c r="D1280" t="inlineStr">
        <is>
          <t>ORD00261137</t>
        </is>
      </c>
      <c r="E1280" t="n">
        <v>4218.26</v>
      </c>
      <c r="F1280" t="n">
        <v>1.86</v>
      </c>
      <c r="G1280" t="n">
        <v>78.45999999999999</v>
      </c>
      <c r="H1280" t="inlineStr">
        <is>
          <t>UPI</t>
        </is>
      </c>
      <c r="I1280" t="inlineStr">
        <is>
          <t>Success</t>
        </is>
      </c>
      <c r="J1280" t="inlineStr">
        <is>
          <t>Delivered</t>
        </is>
      </c>
      <c r="K1280" t="n">
        <v>0</v>
      </c>
      <c r="L1280" t="n">
        <v>0</v>
      </c>
      <c r="M1280" t="inlineStr">
        <is>
          <t>INR</t>
        </is>
      </c>
      <c r="N1280" t="inlineStr">
        <is>
          <t>2026-07-08 12:40:02</t>
        </is>
      </c>
    </row>
    <row r="1281">
      <c r="A1281" t="inlineStr">
        <is>
          <t>TXN00262776</t>
        </is>
      </c>
      <c r="B1281" t="inlineStr">
        <is>
          <t>MER00549</t>
        </is>
      </c>
      <c r="C1281" s="8" t="n">
        <v>46215</v>
      </c>
      <c r="D1281" t="inlineStr">
        <is>
          <t>ORD00262776</t>
        </is>
      </c>
      <c r="E1281" t="n">
        <v>2320.68</v>
      </c>
      <c r="F1281" t="n">
        <v>1.86</v>
      </c>
      <c r="G1281" t="n">
        <v>43.16</v>
      </c>
      <c r="H1281" t="inlineStr">
        <is>
          <t>Card</t>
        </is>
      </c>
      <c r="I1281" t="inlineStr">
        <is>
          <t>Success</t>
        </is>
      </c>
      <c r="J1281" t="inlineStr">
        <is>
          <t>Processing</t>
        </is>
      </c>
      <c r="K1281" t="n">
        <v>0</v>
      </c>
      <c r="L1281" t="n">
        <v>0</v>
      </c>
      <c r="M1281" t="inlineStr">
        <is>
          <t>INR</t>
        </is>
      </c>
      <c r="N1281" t="inlineStr">
        <is>
          <t>2026-07-12 05:45:46</t>
        </is>
      </c>
    </row>
    <row r="1282">
      <c r="A1282" t="inlineStr">
        <is>
          <t>TXN00265211</t>
        </is>
      </c>
      <c r="B1282" t="inlineStr">
        <is>
          <t>MER00549</t>
        </is>
      </c>
      <c r="C1282" s="8" t="n">
        <v>46221</v>
      </c>
      <c r="D1282" t="inlineStr">
        <is>
          <t>ORD00265211</t>
        </is>
      </c>
      <c r="E1282" t="n">
        <v>5142.57</v>
      </c>
      <c r="F1282" t="n">
        <v>1.86</v>
      </c>
      <c r="G1282" t="n">
        <v>95.65000000000001</v>
      </c>
      <c r="H1282" t="inlineStr">
        <is>
          <t>Card</t>
        </is>
      </c>
      <c r="I1282" t="inlineStr">
        <is>
          <t>Success</t>
        </is>
      </c>
      <c r="J1282" t="inlineStr">
        <is>
          <t>Cancelled</t>
        </is>
      </c>
      <c r="K1282" t="n">
        <v>4694.77</v>
      </c>
      <c r="L1282" t="n">
        <v>0</v>
      </c>
      <c r="M1282" t="inlineStr">
        <is>
          <t>INR</t>
        </is>
      </c>
      <c r="N1282" t="inlineStr">
        <is>
          <t>2026-07-18 20:30:37</t>
        </is>
      </c>
    </row>
    <row r="1283">
      <c r="A1283" t="inlineStr">
        <is>
          <t>TXN00265631</t>
        </is>
      </c>
      <c r="B1283" t="inlineStr">
        <is>
          <t>MER00549</t>
        </is>
      </c>
      <c r="C1283" s="8" t="n">
        <v>46222</v>
      </c>
      <c r="D1283" t="inlineStr">
        <is>
          <t>ORD00265631</t>
        </is>
      </c>
      <c r="E1283" t="n">
        <v>2627.09</v>
      </c>
      <c r="F1283" t="n">
        <v>1.86</v>
      </c>
      <c r="G1283" t="n">
        <v>48.86</v>
      </c>
      <c r="H1283" t="inlineStr">
        <is>
          <t>Card</t>
        </is>
      </c>
      <c r="I1283" t="inlineStr">
        <is>
          <t>Failed</t>
        </is>
      </c>
      <c r="J1283" t="inlineStr">
        <is>
          <t>Cancelled</t>
        </is>
      </c>
      <c r="K1283" t="n">
        <v>0</v>
      </c>
      <c r="L1283" t="n">
        <v>0</v>
      </c>
      <c r="M1283" t="inlineStr">
        <is>
          <t>INR</t>
        </is>
      </c>
      <c r="N1283" t="inlineStr">
        <is>
          <t>2026-07-19 00:41:12</t>
        </is>
      </c>
    </row>
    <row r="1284">
      <c r="A1284" t="inlineStr">
        <is>
          <t>TXN00266826</t>
        </is>
      </c>
      <c r="B1284" t="inlineStr">
        <is>
          <t>MER00549</t>
        </is>
      </c>
      <c r="C1284" s="8" t="n">
        <v>46225</v>
      </c>
      <c r="D1284" t="inlineStr">
        <is>
          <t>ORD00266826</t>
        </is>
      </c>
      <c r="E1284" t="n">
        <v>1947.45</v>
      </c>
      <c r="F1284" t="n">
        <v>1.86</v>
      </c>
      <c r="G1284" t="n">
        <v>36.22</v>
      </c>
      <c r="H1284" t="inlineStr">
        <is>
          <t>UPI</t>
        </is>
      </c>
      <c r="I1284" t="inlineStr">
        <is>
          <t>Success</t>
        </is>
      </c>
      <c r="J1284" t="inlineStr">
        <is>
          <t>Delivered</t>
        </is>
      </c>
      <c r="K1284" t="n">
        <v>0</v>
      </c>
      <c r="L1284" t="n">
        <v>0</v>
      </c>
      <c r="M1284" t="inlineStr">
        <is>
          <t>INR</t>
        </is>
      </c>
      <c r="N1284" t="inlineStr">
        <is>
          <t>2026-07-22 07:12:49</t>
        </is>
      </c>
    </row>
    <row r="1285">
      <c r="A1285" t="inlineStr">
        <is>
          <t>TXN00266855</t>
        </is>
      </c>
      <c r="B1285" t="inlineStr">
        <is>
          <t>MER00549</t>
        </is>
      </c>
      <c r="C1285" s="8" t="n">
        <v>46225</v>
      </c>
      <c r="D1285" t="inlineStr">
        <is>
          <t>ORD00266855</t>
        </is>
      </c>
      <c r="E1285" t="n">
        <v>3531.23</v>
      </c>
      <c r="F1285" t="n">
        <v>1.86</v>
      </c>
      <c r="G1285" t="n">
        <v>65.68000000000001</v>
      </c>
      <c r="H1285" t="inlineStr">
        <is>
          <t>UPI</t>
        </is>
      </c>
      <c r="I1285" t="inlineStr">
        <is>
          <t>Success</t>
        </is>
      </c>
      <c r="J1285" t="inlineStr">
        <is>
          <t>Delivered</t>
        </is>
      </c>
      <c r="K1285" t="n">
        <v>0</v>
      </c>
      <c r="L1285" t="n">
        <v>502.46</v>
      </c>
      <c r="M1285" t="inlineStr">
        <is>
          <t>INR</t>
        </is>
      </c>
      <c r="N1285" t="inlineStr">
        <is>
          <t>2026-07-22 15:13:05</t>
        </is>
      </c>
    </row>
    <row r="1286">
      <c r="A1286" t="inlineStr">
        <is>
          <t>TXN00268371</t>
        </is>
      </c>
      <c r="B1286" t="inlineStr">
        <is>
          <t>MER00549</t>
        </is>
      </c>
      <c r="C1286" s="8" t="n">
        <v>46229</v>
      </c>
      <c r="D1286" t="inlineStr">
        <is>
          <t>ORD00268371</t>
        </is>
      </c>
      <c r="E1286" t="n">
        <v>1268.79</v>
      </c>
      <c r="F1286" t="n">
        <v>1.5</v>
      </c>
      <c r="G1286" t="n">
        <v>23.6</v>
      </c>
      <c r="H1286" t="inlineStr">
        <is>
          <t>UPI</t>
        </is>
      </c>
      <c r="I1286" t="inlineStr">
        <is>
          <t>Success</t>
        </is>
      </c>
      <c r="J1286" t="inlineStr">
        <is>
          <t>Delivered</t>
        </is>
      </c>
      <c r="K1286" t="n">
        <v>0</v>
      </c>
      <c r="L1286" t="n">
        <v>0</v>
      </c>
      <c r="M1286" t="inlineStr">
        <is>
          <t>INR</t>
        </is>
      </c>
      <c r="N1286" t="inlineStr">
        <is>
          <t>2026-07-26 22:56:56</t>
        </is>
      </c>
    </row>
    <row r="1287">
      <c r="A1287" t="inlineStr">
        <is>
          <t>TXN00269094</t>
        </is>
      </c>
      <c r="B1287" t="inlineStr">
        <is>
          <t>MER00549</t>
        </is>
      </c>
      <c r="C1287" s="8" t="n">
        <v>46231</v>
      </c>
      <c r="D1287" t="inlineStr">
        <is>
          <t>ORD00269094</t>
        </is>
      </c>
      <c r="E1287" t="n">
        <v>2063.31</v>
      </c>
      <c r="F1287" t="n">
        <v>1.86</v>
      </c>
      <c r="G1287" t="n">
        <v>38.38</v>
      </c>
      <c r="H1287" t="inlineStr">
        <is>
          <t>Card</t>
        </is>
      </c>
      <c r="I1287" t="inlineStr">
        <is>
          <t>Success</t>
        </is>
      </c>
      <c r="J1287" t="inlineStr">
        <is>
          <t>Delivered</t>
        </is>
      </c>
      <c r="K1287" t="n">
        <v>0</v>
      </c>
      <c r="L1287" t="n">
        <v>0</v>
      </c>
      <c r="M1287" t="inlineStr">
        <is>
          <t>INR</t>
        </is>
      </c>
      <c r="N1287" t="inlineStr">
        <is>
          <t>2026-07-28 01:32:27</t>
        </is>
      </c>
    </row>
    <row r="1288">
      <c r="A1288" t="inlineStr">
        <is>
          <t>TXN00269452</t>
        </is>
      </c>
      <c r="B1288" t="inlineStr">
        <is>
          <t>MER00549</t>
        </is>
      </c>
      <c r="C1288" s="8" t="n">
        <v>46232</v>
      </c>
      <c r="D1288" t="inlineStr">
        <is>
          <t>ORD00269452</t>
        </is>
      </c>
      <c r="E1288" t="n">
        <v>3578.36</v>
      </c>
      <c r="F1288" t="n">
        <v>1.86</v>
      </c>
      <c r="G1288" t="n">
        <v>66.56</v>
      </c>
      <c r="H1288" t="inlineStr">
        <is>
          <t>Wallet</t>
        </is>
      </c>
      <c r="I1288" t="inlineStr">
        <is>
          <t>Success</t>
        </is>
      </c>
      <c r="J1288" t="inlineStr">
        <is>
          <t>Delivered</t>
        </is>
      </c>
      <c r="K1288" t="n">
        <v>0</v>
      </c>
      <c r="L1288" t="n">
        <v>0</v>
      </c>
      <c r="M1288" t="inlineStr">
        <is>
          <t>INR</t>
        </is>
      </c>
      <c r="N1288" t="inlineStr">
        <is>
          <t>2026-07-29 21:24:58</t>
        </is>
      </c>
    </row>
    <row r="1289">
      <c r="A1289" t="inlineStr">
        <is>
          <t>TXN00269470</t>
        </is>
      </c>
      <c r="B1289" t="inlineStr">
        <is>
          <t>MER00549</t>
        </is>
      </c>
      <c r="C1289" s="8" t="n">
        <v>46232</v>
      </c>
      <c r="D1289" t="inlineStr">
        <is>
          <t>ORD00269470</t>
        </is>
      </c>
      <c r="E1289" t="n">
        <v>7727.29</v>
      </c>
      <c r="F1289" t="n">
        <v>1.86</v>
      </c>
      <c r="G1289" t="n">
        <v>143.73</v>
      </c>
      <c r="H1289" t="inlineStr">
        <is>
          <t>UPI</t>
        </is>
      </c>
      <c r="I1289" t="inlineStr">
        <is>
          <t>Success</t>
        </is>
      </c>
      <c r="J1289" t="inlineStr">
        <is>
          <t>Delivered</t>
        </is>
      </c>
      <c r="K1289" t="n">
        <v>0</v>
      </c>
      <c r="L1289" t="n">
        <v>0</v>
      </c>
      <c r="M1289" t="inlineStr">
        <is>
          <t>INR</t>
        </is>
      </c>
      <c r="N1289" t="inlineStr">
        <is>
          <t>2026-07-29 10:18:40</t>
        </is>
      </c>
    </row>
    <row r="1290">
      <c r="A1290" t="inlineStr">
        <is>
          <t>TXN00000574</t>
        </is>
      </c>
      <c r="B1290" t="inlineStr">
        <is>
          <t>MER00572</t>
        </is>
      </c>
      <c r="C1290" s="8" t="n">
        <v>45507</v>
      </c>
      <c r="D1290" t="inlineStr">
        <is>
          <t>ORD00000574</t>
        </is>
      </c>
      <c r="E1290" t="n">
        <v>4642.82</v>
      </c>
      <c r="F1290" t="n">
        <v>2.5</v>
      </c>
      <c r="G1290" t="n">
        <v>116.07</v>
      </c>
      <c r="H1290" t="inlineStr">
        <is>
          <t>Card</t>
        </is>
      </c>
      <c r="I1290" t="inlineStr">
        <is>
          <t>Success</t>
        </is>
      </c>
      <c r="J1290" t="inlineStr">
        <is>
          <t>Returned</t>
        </is>
      </c>
      <c r="K1290" t="n">
        <v>4642.82</v>
      </c>
      <c r="L1290" t="n">
        <v>0</v>
      </c>
      <c r="M1290" t="inlineStr">
        <is>
          <t>INR</t>
        </is>
      </c>
      <c r="N1290" t="inlineStr">
        <is>
          <t>2024-08-03 20:06:01</t>
        </is>
      </c>
    </row>
    <row r="1291">
      <c r="A1291" t="inlineStr">
        <is>
          <t>TXN00008180</t>
        </is>
      </c>
      <c r="B1291" t="inlineStr">
        <is>
          <t>MER00572</t>
        </is>
      </c>
      <c r="C1291" s="8" t="n">
        <v>45538</v>
      </c>
      <c r="D1291" t="inlineStr">
        <is>
          <t>ORD00008180</t>
        </is>
      </c>
      <c r="E1291" t="n">
        <v>4008.76</v>
      </c>
      <c r="F1291" t="n">
        <v>2.75</v>
      </c>
      <c r="G1291" t="n">
        <v>110.24</v>
      </c>
      <c r="H1291" t="inlineStr">
        <is>
          <t>Card</t>
        </is>
      </c>
      <c r="I1291" t="inlineStr">
        <is>
          <t>Success</t>
        </is>
      </c>
      <c r="J1291" t="inlineStr">
        <is>
          <t>Delivered</t>
        </is>
      </c>
      <c r="K1291" t="n">
        <v>0</v>
      </c>
      <c r="L1291" t="n">
        <v>0</v>
      </c>
      <c r="M1291" t="inlineStr">
        <is>
          <t>INR</t>
        </is>
      </c>
      <c r="N1291" t="inlineStr">
        <is>
          <t>2024-09-03 10:22:18</t>
        </is>
      </c>
    </row>
    <row r="1292">
      <c r="A1292" t="inlineStr">
        <is>
          <t>TXN00010522</t>
        </is>
      </c>
      <c r="B1292" t="inlineStr">
        <is>
          <t>MER00572</t>
        </is>
      </c>
      <c r="C1292" s="8" t="n">
        <v>45546</v>
      </c>
      <c r="D1292" t="inlineStr">
        <is>
          <t>ORD00010522</t>
        </is>
      </c>
      <c r="E1292" t="n">
        <v>5961.97</v>
      </c>
      <c r="F1292" t="n">
        <v>2.75</v>
      </c>
      <c r="G1292" t="n">
        <v>163.95</v>
      </c>
      <c r="H1292" t="inlineStr">
        <is>
          <t>NetBanking</t>
        </is>
      </c>
      <c r="I1292" t="inlineStr">
        <is>
          <t>Failed</t>
        </is>
      </c>
      <c r="J1292" t="inlineStr">
        <is>
          <t>Cancelled</t>
        </is>
      </c>
      <c r="K1292" t="n">
        <v>0</v>
      </c>
      <c r="L1292" t="n">
        <v>0</v>
      </c>
      <c r="M1292" t="inlineStr">
        <is>
          <t>INR</t>
        </is>
      </c>
      <c r="N1292" t="inlineStr">
        <is>
          <t>2024-09-11 02:13:41</t>
        </is>
      </c>
    </row>
    <row r="1293">
      <c r="A1293" t="inlineStr">
        <is>
          <t>TXN00015761</t>
        </is>
      </c>
      <c r="B1293" t="inlineStr">
        <is>
          <t>MER00572</t>
        </is>
      </c>
      <c r="C1293" s="8" t="n">
        <v>45564</v>
      </c>
      <c r="D1293" t="inlineStr">
        <is>
          <t>ORD00015761</t>
        </is>
      </c>
      <c r="E1293" t="n">
        <v>13024.53</v>
      </c>
      <c r="F1293" t="n">
        <v>2.75</v>
      </c>
      <c r="G1293" t="n">
        <v>358.17</v>
      </c>
      <c r="H1293" t="inlineStr">
        <is>
          <t>UPI</t>
        </is>
      </c>
      <c r="I1293" t="inlineStr">
        <is>
          <t>Success</t>
        </is>
      </c>
      <c r="J1293" t="inlineStr">
        <is>
          <t>Delivered</t>
        </is>
      </c>
      <c r="K1293" t="n">
        <v>0</v>
      </c>
      <c r="L1293" t="n">
        <v>0</v>
      </c>
      <c r="M1293" t="inlineStr">
        <is>
          <t>INR</t>
        </is>
      </c>
      <c r="N1293" t="inlineStr">
        <is>
          <t>2024-09-29 14:57:19</t>
        </is>
      </c>
    </row>
    <row r="1294">
      <c r="A1294" t="inlineStr">
        <is>
          <t>TXN00019075</t>
        </is>
      </c>
      <c r="B1294" t="inlineStr">
        <is>
          <t>MER00572</t>
        </is>
      </c>
      <c r="C1294" s="8" t="n">
        <v>45573</v>
      </c>
      <c r="D1294" t="inlineStr">
        <is>
          <t>ORD00019075</t>
        </is>
      </c>
      <c r="E1294" t="n">
        <v>1794.53</v>
      </c>
      <c r="F1294" t="n">
        <v>2.75</v>
      </c>
      <c r="G1294" t="n">
        <v>49.35</v>
      </c>
      <c r="H1294" t="inlineStr">
        <is>
          <t>UPI</t>
        </is>
      </c>
      <c r="I1294" t="inlineStr">
        <is>
          <t>Success</t>
        </is>
      </c>
      <c r="J1294" t="inlineStr">
        <is>
          <t>Delivered</t>
        </is>
      </c>
      <c r="K1294" t="n">
        <v>0</v>
      </c>
      <c r="L1294" t="n">
        <v>0</v>
      </c>
      <c r="M1294" t="inlineStr">
        <is>
          <t>INR</t>
        </is>
      </c>
      <c r="N1294" t="inlineStr">
        <is>
          <t>2024-10-08 21:02:09</t>
        </is>
      </c>
    </row>
    <row r="1295">
      <c r="A1295" t="inlineStr">
        <is>
          <t>TXN00023405</t>
        </is>
      </c>
      <c r="B1295" t="inlineStr">
        <is>
          <t>MER00572</t>
        </is>
      </c>
      <c r="C1295" s="8" t="n">
        <v>45584</v>
      </c>
      <c r="D1295" t="inlineStr">
        <is>
          <t>ORD00023405</t>
        </is>
      </c>
      <c r="E1295" t="n">
        <v>2416.65</v>
      </c>
      <c r="F1295" t="n">
        <v>2.75</v>
      </c>
      <c r="G1295" t="n">
        <v>66.45999999999999</v>
      </c>
      <c r="H1295" t="inlineStr">
        <is>
          <t>Card</t>
        </is>
      </c>
      <c r="I1295" t="inlineStr">
        <is>
          <t>Success</t>
        </is>
      </c>
      <c r="J1295" t="inlineStr">
        <is>
          <t>Delivered</t>
        </is>
      </c>
      <c r="K1295" t="n">
        <v>0</v>
      </c>
      <c r="L1295" t="n">
        <v>0</v>
      </c>
      <c r="M1295" t="inlineStr">
        <is>
          <t>INR</t>
        </is>
      </c>
      <c r="N1295" t="inlineStr">
        <is>
          <t>2024-10-19 02:34:09</t>
        </is>
      </c>
    </row>
    <row r="1296">
      <c r="A1296" t="inlineStr">
        <is>
          <t>TXN00024115</t>
        </is>
      </c>
      <c r="B1296" t="inlineStr">
        <is>
          <t>MER00572</t>
        </is>
      </c>
      <c r="C1296" s="8" t="n">
        <v>45586</v>
      </c>
      <c r="D1296" t="inlineStr">
        <is>
          <t>ORD00024115</t>
        </is>
      </c>
      <c r="E1296" t="n">
        <v>5422.27</v>
      </c>
      <c r="F1296" t="n">
        <v>2.75</v>
      </c>
      <c r="G1296" t="n">
        <v>149.11</v>
      </c>
      <c r="H1296" t="inlineStr">
        <is>
          <t>UPI</t>
        </is>
      </c>
      <c r="I1296" t="inlineStr">
        <is>
          <t>Success</t>
        </is>
      </c>
      <c r="J1296" t="inlineStr">
        <is>
          <t>Delivered</t>
        </is>
      </c>
      <c r="K1296" t="n">
        <v>0</v>
      </c>
      <c r="L1296" t="n">
        <v>0</v>
      </c>
      <c r="M1296" t="inlineStr">
        <is>
          <t>INR</t>
        </is>
      </c>
      <c r="N1296" t="inlineStr">
        <is>
          <t>2024-10-21 18:20:32</t>
        </is>
      </c>
    </row>
    <row r="1297">
      <c r="A1297" t="inlineStr">
        <is>
          <t>TXN00024880</t>
        </is>
      </c>
      <c r="B1297" t="inlineStr">
        <is>
          <t>MER00572</t>
        </is>
      </c>
      <c r="C1297" s="8" t="n">
        <v>45588</v>
      </c>
      <c r="D1297" t="inlineStr">
        <is>
          <t>ORD00024880</t>
        </is>
      </c>
      <c r="E1297" t="n">
        <v>8971.18</v>
      </c>
      <c r="F1297" t="n">
        <v>2.75</v>
      </c>
      <c r="G1297" t="n">
        <v>246.71</v>
      </c>
      <c r="H1297" t="inlineStr">
        <is>
          <t>Card</t>
        </is>
      </c>
      <c r="I1297" t="inlineStr">
        <is>
          <t>Success</t>
        </is>
      </c>
      <c r="J1297" t="inlineStr">
        <is>
          <t>Delivered</t>
        </is>
      </c>
      <c r="K1297" t="n">
        <v>0</v>
      </c>
      <c r="L1297" t="n">
        <v>0</v>
      </c>
      <c r="M1297" t="inlineStr">
        <is>
          <t>INR</t>
        </is>
      </c>
      <c r="N1297" t="inlineStr">
        <is>
          <t>2024-10-23 20:04:19</t>
        </is>
      </c>
    </row>
    <row r="1298">
      <c r="A1298" t="inlineStr">
        <is>
          <t>TXN00028486</t>
        </is>
      </c>
      <c r="B1298" t="inlineStr">
        <is>
          <t>MER00572</t>
        </is>
      </c>
      <c r="C1298" s="8" t="n">
        <v>45598</v>
      </c>
      <c r="D1298" t="inlineStr">
        <is>
          <t>ORD00028486</t>
        </is>
      </c>
      <c r="E1298" t="n">
        <v>3000.49</v>
      </c>
      <c r="F1298" t="n">
        <v>2.75</v>
      </c>
      <c r="G1298" t="n">
        <v>82.51000000000001</v>
      </c>
      <c r="H1298" t="inlineStr">
        <is>
          <t>Card</t>
        </is>
      </c>
      <c r="I1298" t="inlineStr">
        <is>
          <t>Success</t>
        </is>
      </c>
      <c r="J1298" t="inlineStr">
        <is>
          <t>Delivered</t>
        </is>
      </c>
      <c r="K1298" t="n">
        <v>0</v>
      </c>
      <c r="L1298" t="n">
        <v>0</v>
      </c>
      <c r="M1298" t="inlineStr">
        <is>
          <t>INR</t>
        </is>
      </c>
      <c r="N1298" t="inlineStr">
        <is>
          <t>2024-11-02 16:30:05</t>
        </is>
      </c>
    </row>
    <row r="1299">
      <c r="A1299" t="inlineStr">
        <is>
          <t>TXN00033390</t>
        </is>
      </c>
      <c r="B1299" t="inlineStr">
        <is>
          <t>MER00572</t>
        </is>
      </c>
      <c r="C1299" s="8" t="n">
        <v>45608</v>
      </c>
      <c r="D1299" t="inlineStr">
        <is>
          <t>ORD00033390</t>
        </is>
      </c>
      <c r="E1299" t="n">
        <v>3954.93</v>
      </c>
      <c r="F1299" t="n">
        <v>2.75</v>
      </c>
      <c r="G1299" t="n">
        <v>108.76</v>
      </c>
      <c r="H1299" t="inlineStr">
        <is>
          <t>Card</t>
        </is>
      </c>
      <c r="I1299" t="inlineStr">
        <is>
          <t>Unknown</t>
        </is>
      </c>
      <c r="J1299" t="inlineStr">
        <is>
          <t>Returned</t>
        </is>
      </c>
      <c r="K1299" t="n">
        <v>3344.8</v>
      </c>
      <c r="L1299" t="n">
        <v>0</v>
      </c>
      <c r="M1299" t="inlineStr">
        <is>
          <t>INR</t>
        </is>
      </c>
      <c r="N1299" t="inlineStr">
        <is>
          <t>2024-11-12 11:01:31</t>
        </is>
      </c>
    </row>
    <row r="1300">
      <c r="A1300" t="inlineStr">
        <is>
          <t>TXN00034368</t>
        </is>
      </c>
      <c r="B1300" t="inlineStr">
        <is>
          <t>MER00572</t>
        </is>
      </c>
      <c r="C1300" s="8" t="n">
        <v>45611</v>
      </c>
      <c r="D1300" t="inlineStr">
        <is>
          <t>ORD00034368</t>
        </is>
      </c>
      <c r="E1300" t="n">
        <v>4832.79</v>
      </c>
      <c r="F1300" t="n">
        <v>2.75</v>
      </c>
      <c r="G1300" t="n">
        <v>132.9</v>
      </c>
      <c r="H1300" t="inlineStr">
        <is>
          <t>UPI</t>
        </is>
      </c>
      <c r="I1300" t="inlineStr">
        <is>
          <t>Success</t>
        </is>
      </c>
      <c r="J1300" t="inlineStr">
        <is>
          <t>Returned</t>
        </is>
      </c>
      <c r="K1300" t="n">
        <v>2183.78</v>
      </c>
      <c r="L1300" t="n">
        <v>0</v>
      </c>
      <c r="M1300" t="inlineStr">
        <is>
          <t>INR</t>
        </is>
      </c>
      <c r="N1300" t="inlineStr">
        <is>
          <t>2024-11-15 12:48:46</t>
        </is>
      </c>
    </row>
    <row r="1301">
      <c r="A1301" t="inlineStr">
        <is>
          <t>TXN00037156</t>
        </is>
      </c>
      <c r="B1301" t="inlineStr">
        <is>
          <t>MER00572</t>
        </is>
      </c>
      <c r="C1301" s="8" t="n">
        <v>45617</v>
      </c>
      <c r="D1301" t="inlineStr">
        <is>
          <t>ORD00037156</t>
        </is>
      </c>
      <c r="E1301" t="n">
        <v>6674.37</v>
      </c>
      <c r="F1301" t="n">
        <v>2.75</v>
      </c>
      <c r="G1301" t="n">
        <v>183.55</v>
      </c>
      <c r="H1301" t="inlineStr">
        <is>
          <t>Card</t>
        </is>
      </c>
      <c r="I1301" t="inlineStr">
        <is>
          <t>Success</t>
        </is>
      </c>
      <c r="J1301" t="inlineStr">
        <is>
          <t>Delivered</t>
        </is>
      </c>
      <c r="K1301" t="n">
        <v>0</v>
      </c>
      <c r="L1301" t="n">
        <v>0</v>
      </c>
      <c r="M1301" t="inlineStr">
        <is>
          <t>INR</t>
        </is>
      </c>
      <c r="N1301" t="inlineStr">
        <is>
          <t>2024-11-21 18:48:06</t>
        </is>
      </c>
    </row>
    <row r="1302">
      <c r="A1302" t="inlineStr">
        <is>
          <t>TXN00038352</t>
        </is>
      </c>
      <c r="B1302" t="inlineStr">
        <is>
          <t>MER00572</t>
        </is>
      </c>
      <c r="C1302" s="8" t="n">
        <v>45619</v>
      </c>
      <c r="D1302" t="inlineStr">
        <is>
          <t>ORD00038352</t>
        </is>
      </c>
      <c r="E1302" t="n">
        <v>2354.4</v>
      </c>
      <c r="F1302" t="n">
        <v>2.75</v>
      </c>
      <c r="G1302" t="n">
        <v>64.75</v>
      </c>
      <c r="H1302" t="inlineStr">
        <is>
          <t>Card</t>
        </is>
      </c>
      <c r="I1302" t="inlineStr">
        <is>
          <t>Success</t>
        </is>
      </c>
      <c r="J1302" t="inlineStr">
        <is>
          <t>Delivered</t>
        </is>
      </c>
      <c r="K1302" t="n">
        <v>0</v>
      </c>
      <c r="L1302" t="n">
        <v>0</v>
      </c>
      <c r="M1302" t="inlineStr">
        <is>
          <t>INR</t>
        </is>
      </c>
      <c r="N1302" t="inlineStr">
        <is>
          <t>2024-11-23 00:20:15</t>
        </is>
      </c>
    </row>
    <row r="1303">
      <c r="A1303" t="inlineStr">
        <is>
          <t>TXN00042005</t>
        </is>
      </c>
      <c r="B1303" t="inlineStr">
        <is>
          <t>MER00572</t>
        </is>
      </c>
      <c r="C1303" s="8" t="n">
        <v>45628</v>
      </c>
      <c r="D1303" t="inlineStr">
        <is>
          <t>ORD00042005</t>
        </is>
      </c>
      <c r="E1303" t="n">
        <v>8348.84</v>
      </c>
      <c r="F1303" t="n">
        <v>2.75</v>
      </c>
      <c r="G1303" t="n">
        <v>229.59</v>
      </c>
      <c r="H1303" t="inlineStr">
        <is>
          <t>Card</t>
        </is>
      </c>
      <c r="I1303" t="inlineStr">
        <is>
          <t>Success</t>
        </is>
      </c>
      <c r="J1303" t="inlineStr">
        <is>
          <t>Delivered</t>
        </is>
      </c>
      <c r="K1303" t="n">
        <v>0</v>
      </c>
      <c r="L1303" t="n">
        <v>1440.96</v>
      </c>
      <c r="M1303" t="inlineStr">
        <is>
          <t>INR</t>
        </is>
      </c>
      <c r="N1303" t="inlineStr">
        <is>
          <t>2024-12-02 08:16:26</t>
        </is>
      </c>
    </row>
    <row r="1304">
      <c r="A1304" t="inlineStr">
        <is>
          <t>TXN00045490</t>
        </is>
      </c>
      <c r="B1304" t="inlineStr">
        <is>
          <t>MER00572</t>
        </is>
      </c>
      <c r="C1304" s="8" t="n">
        <v>45639</v>
      </c>
      <c r="D1304" t="inlineStr">
        <is>
          <t>ORD00045490</t>
        </is>
      </c>
      <c r="E1304" t="n">
        <v>7445.65</v>
      </c>
      <c r="F1304" t="n">
        <v>2.75</v>
      </c>
      <c r="G1304" t="n">
        <v>204.76</v>
      </c>
      <c r="H1304" t="inlineStr">
        <is>
          <t>COD</t>
        </is>
      </c>
      <c r="I1304" t="inlineStr">
        <is>
          <t>Success</t>
        </is>
      </c>
      <c r="J1304" t="inlineStr">
        <is>
          <t>Delivered</t>
        </is>
      </c>
      <c r="K1304" t="n">
        <v>0</v>
      </c>
      <c r="L1304" t="n">
        <v>0</v>
      </c>
      <c r="M1304" t="inlineStr">
        <is>
          <t>INR</t>
        </is>
      </c>
      <c r="N1304" t="inlineStr">
        <is>
          <t>2024-12-13 18:34:11</t>
        </is>
      </c>
    </row>
    <row r="1305">
      <c r="A1305" t="inlineStr">
        <is>
          <t>TXN00051378</t>
        </is>
      </c>
      <c r="B1305" t="inlineStr">
        <is>
          <t>MER00572</t>
        </is>
      </c>
      <c r="C1305" s="8" t="n">
        <v>45658</v>
      </c>
      <c r="D1305" t="inlineStr">
        <is>
          <t>ORD00051378</t>
        </is>
      </c>
      <c r="E1305" t="n">
        <v>2830.54</v>
      </c>
      <c r="F1305" t="n">
        <v>2.75</v>
      </c>
      <c r="G1305" t="n">
        <v>77.84</v>
      </c>
      <c r="H1305" t="inlineStr">
        <is>
          <t>UPI</t>
        </is>
      </c>
      <c r="I1305" t="inlineStr">
        <is>
          <t>Success</t>
        </is>
      </c>
      <c r="J1305" t="inlineStr">
        <is>
          <t>Delivered</t>
        </is>
      </c>
      <c r="K1305" t="n">
        <v>0</v>
      </c>
      <c r="L1305" t="n">
        <v>0</v>
      </c>
      <c r="M1305" t="inlineStr">
        <is>
          <t>INR</t>
        </is>
      </c>
      <c r="N1305" t="inlineStr">
        <is>
          <t>2025-01-01 07:46:27</t>
        </is>
      </c>
    </row>
    <row r="1306">
      <c r="A1306" t="inlineStr">
        <is>
          <t>TXN00052863</t>
        </is>
      </c>
      <c r="B1306" t="inlineStr">
        <is>
          <t>MER00572</t>
        </is>
      </c>
      <c r="C1306" s="8" t="n">
        <v>45662</v>
      </c>
      <c r="D1306" t="inlineStr">
        <is>
          <t>ORD00052863</t>
        </is>
      </c>
      <c r="E1306" t="n">
        <v>2472.23</v>
      </c>
      <c r="F1306" t="n">
        <v>2.75</v>
      </c>
      <c r="G1306" t="n">
        <v>67.98999999999999</v>
      </c>
      <c r="H1306" t="inlineStr">
        <is>
          <t>COD</t>
        </is>
      </c>
      <c r="I1306" t="inlineStr">
        <is>
          <t>Success</t>
        </is>
      </c>
      <c r="J1306" t="inlineStr">
        <is>
          <t>Delivered</t>
        </is>
      </c>
      <c r="K1306" t="n">
        <v>0</v>
      </c>
      <c r="L1306" t="n">
        <v>0</v>
      </c>
      <c r="M1306" t="inlineStr">
        <is>
          <t>INR</t>
        </is>
      </c>
      <c r="N1306" t="inlineStr">
        <is>
          <t>2025-01-05 12:29:25</t>
        </is>
      </c>
    </row>
    <row r="1307">
      <c r="A1307" t="inlineStr">
        <is>
          <t>TXN00054172</t>
        </is>
      </c>
      <c r="B1307" t="inlineStr">
        <is>
          <t>MER00572</t>
        </is>
      </c>
      <c r="C1307" s="8" t="n">
        <v>45665</v>
      </c>
      <c r="D1307" t="inlineStr">
        <is>
          <t>ORD00054172</t>
        </is>
      </c>
      <c r="E1307" t="n">
        <v>6453.7</v>
      </c>
      <c r="F1307" t="n">
        <v>2.75</v>
      </c>
      <c r="G1307" t="n">
        <v>177.48</v>
      </c>
      <c r="H1307" t="inlineStr">
        <is>
          <t>UPI</t>
        </is>
      </c>
      <c r="I1307" t="inlineStr">
        <is>
          <t>Success</t>
        </is>
      </c>
      <c r="J1307" t="inlineStr">
        <is>
          <t>Delivered</t>
        </is>
      </c>
      <c r="K1307" t="n">
        <v>0</v>
      </c>
      <c r="L1307" t="n">
        <v>0</v>
      </c>
      <c r="M1307" t="inlineStr">
        <is>
          <t>INR</t>
        </is>
      </c>
      <c r="N1307" t="inlineStr">
        <is>
          <t>2025-01-08 05:25:29</t>
        </is>
      </c>
    </row>
    <row r="1308">
      <c r="A1308" t="inlineStr">
        <is>
          <t>TXN00060946</t>
        </is>
      </c>
      <c r="B1308" t="inlineStr">
        <is>
          <t>MER00572</t>
        </is>
      </c>
      <c r="C1308" s="8" t="n">
        <v>45683</v>
      </c>
      <c r="D1308" t="inlineStr">
        <is>
          <t>ORD00060946</t>
        </is>
      </c>
      <c r="E1308" t="n">
        <v>9213.059999999999</v>
      </c>
      <c r="F1308" t="n">
        <v>2.75</v>
      </c>
      <c r="G1308" t="n">
        <v>253.36</v>
      </c>
      <c r="H1308" t="inlineStr">
        <is>
          <t>Card</t>
        </is>
      </c>
      <c r="I1308" t="inlineStr">
        <is>
          <t>Success</t>
        </is>
      </c>
      <c r="J1308" t="inlineStr">
        <is>
          <t>Delivered</t>
        </is>
      </c>
      <c r="K1308" t="n">
        <v>0</v>
      </c>
      <c r="L1308" t="n">
        <v>0</v>
      </c>
      <c r="M1308" t="inlineStr">
        <is>
          <t>INR</t>
        </is>
      </c>
      <c r="N1308" t="inlineStr">
        <is>
          <t>2025-01-26 01:32:49</t>
        </is>
      </c>
    </row>
    <row r="1309">
      <c r="A1309" t="inlineStr">
        <is>
          <t>TXN00064135</t>
        </is>
      </c>
      <c r="B1309" t="inlineStr">
        <is>
          <t>MER00572</t>
        </is>
      </c>
      <c r="C1309" s="8" t="n">
        <v>45692</v>
      </c>
      <c r="D1309" t="inlineStr">
        <is>
          <t>ORD00064135</t>
        </is>
      </c>
      <c r="E1309" t="n">
        <v>3249.21</v>
      </c>
      <c r="F1309" t="n">
        <v>3.3</v>
      </c>
      <c r="G1309" t="n">
        <v>89.34999999999999</v>
      </c>
      <c r="H1309" t="inlineStr">
        <is>
          <t>UPI</t>
        </is>
      </c>
      <c r="I1309" t="inlineStr">
        <is>
          <t>Success</t>
        </is>
      </c>
      <c r="J1309" t="inlineStr">
        <is>
          <t>Delivered</t>
        </is>
      </c>
      <c r="K1309" t="n">
        <v>0</v>
      </c>
      <c r="L1309" t="n">
        <v>0</v>
      </c>
      <c r="M1309" t="inlineStr">
        <is>
          <t>INR</t>
        </is>
      </c>
      <c r="N1309" t="inlineStr">
        <is>
          <t>2025-02-04 15:31:58</t>
        </is>
      </c>
    </row>
    <row r="1310">
      <c r="A1310" t="inlineStr">
        <is>
          <t>TXN00067665</t>
        </is>
      </c>
      <c r="B1310" t="inlineStr">
        <is>
          <t>MER00572</t>
        </is>
      </c>
      <c r="C1310" s="8" t="n">
        <v>45703</v>
      </c>
      <c r="D1310" t="inlineStr">
        <is>
          <t>ORD00067665</t>
        </is>
      </c>
      <c r="E1310" t="n">
        <v>3444.62</v>
      </c>
      <c r="F1310" t="n">
        <v>2.75</v>
      </c>
      <c r="G1310" t="n">
        <v>94.73</v>
      </c>
      <c r="H1310" t="inlineStr">
        <is>
          <t>Card</t>
        </is>
      </c>
      <c r="I1310" t="inlineStr">
        <is>
          <t>Success</t>
        </is>
      </c>
      <c r="J1310" t="inlineStr">
        <is>
          <t>Returned</t>
        </is>
      </c>
      <c r="K1310" t="n">
        <v>3444.62</v>
      </c>
      <c r="L1310" t="n">
        <v>668.4400000000001</v>
      </c>
      <c r="M1310" t="inlineStr">
        <is>
          <t>INR</t>
        </is>
      </c>
      <c r="N1310" t="inlineStr">
        <is>
          <t>2025-02-15 10:08:15</t>
        </is>
      </c>
    </row>
    <row r="1311">
      <c r="A1311" t="inlineStr">
        <is>
          <t>TXN00068984</t>
        </is>
      </c>
      <c r="B1311" t="inlineStr">
        <is>
          <t>MER00572</t>
        </is>
      </c>
      <c r="C1311" s="8" t="n">
        <v>45707</v>
      </c>
      <c r="D1311" t="inlineStr">
        <is>
          <t>ORD00068984</t>
        </is>
      </c>
      <c r="E1311" t="n">
        <v>2318.3</v>
      </c>
      <c r="F1311" t="n">
        <v>2.75</v>
      </c>
      <c r="G1311" t="n">
        <v>63.75</v>
      </c>
      <c r="H1311" t="inlineStr">
        <is>
          <t>Card</t>
        </is>
      </c>
      <c r="I1311" t="inlineStr">
        <is>
          <t>Success</t>
        </is>
      </c>
      <c r="J1311" t="inlineStr">
        <is>
          <t>Delivered</t>
        </is>
      </c>
      <c r="K1311" t="n">
        <v>0</v>
      </c>
      <c r="L1311" t="n">
        <v>190.16</v>
      </c>
      <c r="M1311" t="inlineStr">
        <is>
          <t>INR</t>
        </is>
      </c>
      <c r="N1311" t="inlineStr">
        <is>
          <t>2025-02-19 04:52:07</t>
        </is>
      </c>
    </row>
    <row r="1312">
      <c r="A1312" t="inlineStr">
        <is>
          <t>TXN00078346</t>
        </is>
      </c>
      <c r="B1312" t="inlineStr">
        <is>
          <t>MER00572</t>
        </is>
      </c>
      <c r="C1312" s="8" t="n">
        <v>45735</v>
      </c>
      <c r="D1312" t="inlineStr">
        <is>
          <t>ORD00078346</t>
        </is>
      </c>
      <c r="E1312" t="n">
        <v>2075.48</v>
      </c>
      <c r="F1312" t="n">
        <v>2.75</v>
      </c>
      <c r="G1312" t="n">
        <v>57.08</v>
      </c>
      <c r="H1312" t="inlineStr">
        <is>
          <t>Card</t>
        </is>
      </c>
      <c r="I1312" t="inlineStr">
        <is>
          <t>Success</t>
        </is>
      </c>
      <c r="J1312" t="inlineStr">
        <is>
          <t>Delivered</t>
        </is>
      </c>
      <c r="K1312" t="n">
        <v>0</v>
      </c>
      <c r="L1312" t="n">
        <v>0</v>
      </c>
      <c r="M1312" t="inlineStr">
        <is>
          <t>INR</t>
        </is>
      </c>
      <c r="N1312" t="inlineStr">
        <is>
          <t>2025-03-19 03:20:31</t>
        </is>
      </c>
    </row>
    <row r="1313">
      <c r="A1313" t="inlineStr">
        <is>
          <t>TXN00087022</t>
        </is>
      </c>
      <c r="B1313" t="inlineStr">
        <is>
          <t>MER00572</t>
        </is>
      </c>
      <c r="C1313" s="8" t="n">
        <v>45762</v>
      </c>
      <c r="D1313" t="inlineStr">
        <is>
          <t>ORD00087022</t>
        </is>
      </c>
      <c r="E1313" t="n">
        <v>7400.21</v>
      </c>
      <c r="F1313" t="n">
        <v>2.75</v>
      </c>
      <c r="G1313" t="n">
        <v>203.51</v>
      </c>
      <c r="H1313" t="inlineStr">
        <is>
          <t>UPI</t>
        </is>
      </c>
      <c r="I1313" t="inlineStr">
        <is>
          <t>Success</t>
        </is>
      </c>
      <c r="J1313" t="inlineStr">
        <is>
          <t>Delivered</t>
        </is>
      </c>
      <c r="K1313" t="n">
        <v>0</v>
      </c>
      <c r="L1313" t="n">
        <v>0</v>
      </c>
      <c r="M1313" t="inlineStr">
        <is>
          <t>INR</t>
        </is>
      </c>
      <c r="N1313" t="inlineStr">
        <is>
          <t>2025-04-15 02:56:26</t>
        </is>
      </c>
    </row>
    <row r="1314">
      <c r="A1314" t="inlineStr">
        <is>
          <t>TXN00088786</t>
        </is>
      </c>
      <c r="B1314" t="inlineStr">
        <is>
          <t>MER00572</t>
        </is>
      </c>
      <c r="C1314" s="8" t="n">
        <v>45768</v>
      </c>
      <c r="D1314" t="inlineStr">
        <is>
          <t>ORD00088786</t>
        </is>
      </c>
      <c r="E1314" t="n">
        <v>3147.17</v>
      </c>
      <c r="F1314" t="n">
        <v>2.75</v>
      </c>
      <c r="G1314" t="n">
        <v>86.55</v>
      </c>
      <c r="H1314" t="inlineStr">
        <is>
          <t>UPI</t>
        </is>
      </c>
      <c r="I1314" t="inlineStr">
        <is>
          <t>Failed</t>
        </is>
      </c>
      <c r="J1314" t="inlineStr">
        <is>
          <t>Cancelled</t>
        </is>
      </c>
      <c r="K1314" t="n">
        <v>0</v>
      </c>
      <c r="L1314" t="n">
        <v>0</v>
      </c>
      <c r="M1314" t="inlineStr">
        <is>
          <t>INR</t>
        </is>
      </c>
      <c r="N1314" t="inlineStr">
        <is>
          <t>2025-04-21 06:36:06</t>
        </is>
      </c>
    </row>
    <row r="1315">
      <c r="A1315" t="inlineStr">
        <is>
          <t>TXN00090804</t>
        </is>
      </c>
      <c r="B1315" t="inlineStr">
        <is>
          <t>MER00572</t>
        </is>
      </c>
      <c r="C1315" s="8" t="n">
        <v>45774</v>
      </c>
      <c r="D1315" t="inlineStr">
        <is>
          <t>ORD00090804</t>
        </is>
      </c>
      <c r="E1315" t="n">
        <v>3195.25</v>
      </c>
      <c r="F1315" t="n">
        <v>2.75</v>
      </c>
      <c r="G1315" t="n">
        <v>87.87</v>
      </c>
      <c r="H1315" t="inlineStr">
        <is>
          <t>UPI</t>
        </is>
      </c>
      <c r="I1315" t="inlineStr">
        <is>
          <t>Success</t>
        </is>
      </c>
      <c r="J1315" t="inlineStr">
        <is>
          <t>Processing</t>
        </is>
      </c>
      <c r="K1315" t="n">
        <v>0</v>
      </c>
      <c r="L1315" t="n">
        <v>0</v>
      </c>
      <c r="M1315" t="inlineStr">
        <is>
          <t>INR</t>
        </is>
      </c>
      <c r="N1315" t="inlineStr">
        <is>
          <t>2025-04-27 06:34:50</t>
        </is>
      </c>
    </row>
    <row r="1316">
      <c r="A1316" t="inlineStr">
        <is>
          <t>TXN00092033</t>
        </is>
      </c>
      <c r="B1316" t="inlineStr">
        <is>
          <t>MER00572</t>
        </is>
      </c>
      <c r="C1316" s="8" t="n">
        <v>45777</v>
      </c>
      <c r="D1316" t="inlineStr">
        <is>
          <t>ORD00092033</t>
        </is>
      </c>
      <c r="E1316" t="n">
        <v>5396.91</v>
      </c>
      <c r="F1316" t="n">
        <v>2.75</v>
      </c>
      <c r="G1316" t="n">
        <v>148.42</v>
      </c>
      <c r="H1316" t="inlineStr">
        <is>
          <t>NetBanking</t>
        </is>
      </c>
      <c r="I1316" t="inlineStr">
        <is>
          <t>Success</t>
        </is>
      </c>
      <c r="J1316" t="inlineStr">
        <is>
          <t>Delivered</t>
        </is>
      </c>
      <c r="K1316" t="n">
        <v>0</v>
      </c>
      <c r="L1316" t="n">
        <v>0</v>
      </c>
      <c r="M1316" t="inlineStr">
        <is>
          <t>INR</t>
        </is>
      </c>
      <c r="N1316" t="inlineStr">
        <is>
          <t>2025-04-30 01:13:27</t>
        </is>
      </c>
    </row>
    <row r="1317">
      <c r="A1317" t="inlineStr">
        <is>
          <t>TXN00092063</t>
        </is>
      </c>
      <c r="B1317" t="inlineStr">
        <is>
          <t>MER00572</t>
        </is>
      </c>
      <c r="C1317" s="8" t="n">
        <v>45777</v>
      </c>
      <c r="D1317" t="inlineStr">
        <is>
          <t>ORD00092063</t>
        </is>
      </c>
      <c r="E1317" t="n">
        <v>8031.54</v>
      </c>
      <c r="F1317" t="n">
        <v>2.75</v>
      </c>
      <c r="G1317" t="n">
        <v>220.87</v>
      </c>
      <c r="H1317" t="inlineStr">
        <is>
          <t>Card</t>
        </is>
      </c>
      <c r="I1317" t="inlineStr">
        <is>
          <t>Success</t>
        </is>
      </c>
      <c r="J1317" t="inlineStr">
        <is>
          <t>Delivered</t>
        </is>
      </c>
      <c r="K1317" t="n">
        <v>0</v>
      </c>
      <c r="L1317" t="n">
        <v>815.0599999999999</v>
      </c>
      <c r="M1317" t="inlineStr">
        <is>
          <t>INR</t>
        </is>
      </c>
      <c r="N1317" t="inlineStr">
        <is>
          <t>2025-04-30 12:15:16</t>
        </is>
      </c>
    </row>
    <row r="1318">
      <c r="A1318" t="inlineStr">
        <is>
          <t>TXN00100089</t>
        </is>
      </c>
      <c r="B1318" t="inlineStr">
        <is>
          <t>MER00572</t>
        </is>
      </c>
      <c r="C1318" s="8" t="n">
        <v>45802</v>
      </c>
      <c r="D1318" t="inlineStr">
        <is>
          <t>ORD00100089</t>
        </is>
      </c>
      <c r="E1318" t="n">
        <v>2197.16</v>
      </c>
      <c r="F1318" t="n">
        <v>2.75</v>
      </c>
      <c r="G1318" t="n">
        <v>60.42</v>
      </c>
      <c r="H1318" t="inlineStr">
        <is>
          <t>COD</t>
        </is>
      </c>
      <c r="I1318" t="inlineStr">
        <is>
          <t>Success</t>
        </is>
      </c>
      <c r="J1318" t="inlineStr">
        <is>
          <t>Delivered</t>
        </is>
      </c>
      <c r="K1318" t="n">
        <v>0</v>
      </c>
      <c r="L1318" t="n">
        <v>0</v>
      </c>
      <c r="M1318" t="inlineStr">
        <is>
          <t>INR</t>
        </is>
      </c>
      <c r="N1318" t="inlineStr">
        <is>
          <t>2025-05-25 19:29:40</t>
        </is>
      </c>
    </row>
    <row r="1319">
      <c r="A1319" t="inlineStr">
        <is>
          <t>TXN00100752</t>
        </is>
      </c>
      <c r="B1319" t="inlineStr">
        <is>
          <t>MER00572</t>
        </is>
      </c>
      <c r="C1319" s="8" t="n">
        <v>45804</v>
      </c>
      <c r="D1319" t="inlineStr">
        <is>
          <t>ORD00100752</t>
        </is>
      </c>
      <c r="E1319" t="n">
        <v>1875.52</v>
      </c>
      <c r="F1319" t="n">
        <v>2.75</v>
      </c>
      <c r="G1319" t="n">
        <v>51.58</v>
      </c>
      <c r="H1319" t="inlineStr">
        <is>
          <t>UPI</t>
        </is>
      </c>
      <c r="I1319" t="inlineStr">
        <is>
          <t>Success</t>
        </is>
      </c>
      <c r="J1319" t="inlineStr">
        <is>
          <t>Delivered</t>
        </is>
      </c>
      <c r="K1319" t="n">
        <v>0</v>
      </c>
      <c r="L1319" t="n">
        <v>0</v>
      </c>
      <c r="M1319" t="inlineStr">
        <is>
          <t>INR</t>
        </is>
      </c>
      <c r="N1319" t="inlineStr">
        <is>
          <t>2025-05-27 01:47:53</t>
        </is>
      </c>
    </row>
    <row r="1320">
      <c r="A1320" t="inlineStr">
        <is>
          <t>TXN00118172</t>
        </is>
      </c>
      <c r="B1320" t="inlineStr">
        <is>
          <t>MER00572</t>
        </is>
      </c>
      <c r="C1320" s="8" t="n">
        <v>45856</v>
      </c>
      <c r="D1320" t="inlineStr">
        <is>
          <t>ORD00118172</t>
        </is>
      </c>
      <c r="E1320" t="n">
        <v>11817.98</v>
      </c>
      <c r="F1320" t="n">
        <v>2.75</v>
      </c>
      <c r="G1320" t="n">
        <v>324.99</v>
      </c>
      <c r="H1320" t="inlineStr">
        <is>
          <t>UPI</t>
        </is>
      </c>
      <c r="I1320" t="inlineStr">
        <is>
          <t>Success</t>
        </is>
      </c>
      <c r="J1320" t="inlineStr">
        <is>
          <t>Delivered</t>
        </is>
      </c>
      <c r="K1320" t="n">
        <v>0</v>
      </c>
      <c r="L1320" t="n">
        <v>0</v>
      </c>
      <c r="M1320" t="inlineStr">
        <is>
          <t>INR</t>
        </is>
      </c>
      <c r="N1320" t="inlineStr">
        <is>
          <t>2025-07-18 15:09:27</t>
        </is>
      </c>
    </row>
    <row r="1321">
      <c r="A1321" t="inlineStr">
        <is>
          <t>TXN00119807</t>
        </is>
      </c>
      <c r="B1321" t="inlineStr">
        <is>
          <t>MER00572</t>
        </is>
      </c>
      <c r="C1321" s="8" t="n">
        <v>45861</v>
      </c>
      <c r="D1321" t="inlineStr">
        <is>
          <t>ORD00119807</t>
        </is>
      </c>
      <c r="E1321" t="n">
        <v>13046.91</v>
      </c>
      <c r="F1321" t="n">
        <v>2.75</v>
      </c>
      <c r="G1321" t="n">
        <v>358.79</v>
      </c>
      <c r="H1321" t="inlineStr">
        <is>
          <t>UPI</t>
        </is>
      </c>
      <c r="I1321" t="inlineStr">
        <is>
          <t>Success</t>
        </is>
      </c>
      <c r="J1321" t="inlineStr">
        <is>
          <t>Returned</t>
        </is>
      </c>
      <c r="K1321" t="n">
        <v>6867.16</v>
      </c>
      <c r="L1321" t="n">
        <v>0</v>
      </c>
      <c r="M1321" t="inlineStr">
        <is>
          <t>INR</t>
        </is>
      </c>
      <c r="N1321" t="inlineStr">
        <is>
          <t>2025-07-23 04:27:24</t>
        </is>
      </c>
    </row>
    <row r="1322">
      <c r="A1322" t="inlineStr">
        <is>
          <t>TXN00124771</t>
        </is>
      </c>
      <c r="B1322" t="inlineStr">
        <is>
          <t>MER00572</t>
        </is>
      </c>
      <c r="C1322" s="8" t="n">
        <v>45876</v>
      </c>
      <c r="D1322" t="inlineStr">
        <is>
          <t>ORD00124771</t>
        </is>
      </c>
      <c r="E1322" t="n">
        <v>3068.44</v>
      </c>
      <c r="F1322" t="n">
        <v>2.75</v>
      </c>
      <c r="G1322" t="n">
        <v>84.38</v>
      </c>
      <c r="H1322" t="inlineStr">
        <is>
          <t>UPI</t>
        </is>
      </c>
      <c r="I1322" t="inlineStr">
        <is>
          <t>Success</t>
        </is>
      </c>
      <c r="J1322" t="inlineStr">
        <is>
          <t>Cancelled</t>
        </is>
      </c>
      <c r="K1322" t="n">
        <v>3002.07</v>
      </c>
      <c r="L1322" t="n">
        <v>0</v>
      </c>
      <c r="M1322" t="inlineStr">
        <is>
          <t>INR</t>
        </is>
      </c>
      <c r="N1322" t="inlineStr">
        <is>
          <t>2025-08-07 09:04:09</t>
        </is>
      </c>
    </row>
    <row r="1323">
      <c r="A1323" t="inlineStr">
        <is>
          <t>TXN00125459</t>
        </is>
      </c>
      <c r="B1323" t="inlineStr">
        <is>
          <t>MER00572</t>
        </is>
      </c>
      <c r="C1323" s="8" t="n">
        <v>45878</v>
      </c>
      <c r="D1323" t="inlineStr">
        <is>
          <t>ORD00125459</t>
        </is>
      </c>
      <c r="E1323" t="n">
        <v>8241.6</v>
      </c>
      <c r="F1323" t="n">
        <v>2.75</v>
      </c>
      <c r="G1323" t="n">
        <v>226.64</v>
      </c>
      <c r="H1323" t="inlineStr">
        <is>
          <t>UPI</t>
        </is>
      </c>
      <c r="I1323" t="inlineStr">
        <is>
          <t>Success</t>
        </is>
      </c>
      <c r="J1323" t="inlineStr">
        <is>
          <t>Delivered</t>
        </is>
      </c>
      <c r="K1323" t="n">
        <v>0</v>
      </c>
      <c r="L1323" t="n">
        <v>0</v>
      </c>
      <c r="M1323" t="inlineStr">
        <is>
          <t>INR</t>
        </is>
      </c>
      <c r="N1323" t="inlineStr">
        <is>
          <t>2025-08-09 23:22:49</t>
        </is>
      </c>
    </row>
    <row r="1324">
      <c r="A1324" t="inlineStr">
        <is>
          <t>TXN00126981</t>
        </is>
      </c>
      <c r="B1324" t="inlineStr">
        <is>
          <t>MER00572</t>
        </is>
      </c>
      <c r="C1324" s="8" t="n">
        <v>45882</v>
      </c>
      <c r="D1324" t="inlineStr">
        <is>
          <t>ORD00126981</t>
        </is>
      </c>
      <c r="E1324" t="n">
        <v>3202.19</v>
      </c>
      <c r="F1324" t="n">
        <v>2.75</v>
      </c>
      <c r="G1324" t="n">
        <v>88.06</v>
      </c>
      <c r="H1324" t="inlineStr">
        <is>
          <t>COD</t>
        </is>
      </c>
      <c r="I1324" t="inlineStr">
        <is>
          <t>Success</t>
        </is>
      </c>
      <c r="J1324" t="inlineStr">
        <is>
          <t>Delivered</t>
        </is>
      </c>
      <c r="K1324" t="n">
        <v>0</v>
      </c>
      <c r="L1324" t="n">
        <v>0</v>
      </c>
      <c r="M1324" t="inlineStr">
        <is>
          <t>INR</t>
        </is>
      </c>
      <c r="N1324" t="inlineStr">
        <is>
          <t>2025-08-13 08:10:56</t>
        </is>
      </c>
    </row>
    <row r="1325">
      <c r="A1325" t="inlineStr">
        <is>
          <t>TXN00128509</t>
        </is>
      </c>
      <c r="B1325" t="inlineStr">
        <is>
          <t>MER00572</t>
        </is>
      </c>
      <c r="C1325" s="8" t="n">
        <v>45887</v>
      </c>
      <c r="D1325" t="inlineStr">
        <is>
          <t>ORD00128509</t>
        </is>
      </c>
      <c r="E1325" t="n">
        <v>3968.54</v>
      </c>
      <c r="F1325" t="n">
        <v>2.75</v>
      </c>
      <c r="G1325" t="n">
        <v>109.13</v>
      </c>
      <c r="H1325" t="inlineStr">
        <is>
          <t>UPI</t>
        </is>
      </c>
      <c r="I1325" t="inlineStr">
        <is>
          <t>Success</t>
        </is>
      </c>
      <c r="J1325" t="inlineStr">
        <is>
          <t>Delivered</t>
        </is>
      </c>
      <c r="K1325" t="n">
        <v>0</v>
      </c>
      <c r="L1325" t="n">
        <v>0</v>
      </c>
      <c r="M1325" t="inlineStr">
        <is>
          <t>INR</t>
        </is>
      </c>
      <c r="N1325" t="inlineStr">
        <is>
          <t>2025-08-18 08:44:48</t>
        </is>
      </c>
    </row>
    <row r="1326">
      <c r="A1326" t="inlineStr">
        <is>
          <t>TXN00139563</t>
        </is>
      </c>
      <c r="B1326" t="inlineStr">
        <is>
          <t>MER00572</t>
        </is>
      </c>
      <c r="C1326" s="8" t="n">
        <v>45919</v>
      </c>
      <c r="D1326" t="inlineStr">
        <is>
          <t>ORD00139563</t>
        </is>
      </c>
      <c r="E1326" t="n">
        <v>7561.28</v>
      </c>
      <c r="F1326" t="n">
        <v>2.75</v>
      </c>
      <c r="G1326" t="n">
        <v>207.94</v>
      </c>
      <c r="H1326" t="inlineStr">
        <is>
          <t>UPI</t>
        </is>
      </c>
      <c r="I1326" t="inlineStr">
        <is>
          <t>Success</t>
        </is>
      </c>
      <c r="J1326" t="inlineStr">
        <is>
          <t>Delivered</t>
        </is>
      </c>
      <c r="K1326" t="n">
        <v>0</v>
      </c>
      <c r="L1326" t="n">
        <v>0</v>
      </c>
      <c r="M1326" t="inlineStr">
        <is>
          <t>INR</t>
        </is>
      </c>
      <c r="N1326" t="inlineStr">
        <is>
          <t>2025-09-19 11:34:56</t>
        </is>
      </c>
    </row>
    <row r="1327">
      <c r="A1327" t="inlineStr">
        <is>
          <t>TXN00140192</t>
        </is>
      </c>
      <c r="B1327" t="inlineStr">
        <is>
          <t>MER00572</t>
        </is>
      </c>
      <c r="C1327" s="8" t="n">
        <v>45921</v>
      </c>
      <c r="D1327" t="inlineStr">
        <is>
          <t>ORD00140192</t>
        </is>
      </c>
      <c r="E1327" t="n">
        <v>1055.99</v>
      </c>
      <c r="F1327" t="n">
        <v>2.75</v>
      </c>
      <c r="G1327" t="n">
        <v>29.04</v>
      </c>
      <c r="H1327" t="inlineStr">
        <is>
          <t>Card</t>
        </is>
      </c>
      <c r="I1327" t="inlineStr">
        <is>
          <t>Success</t>
        </is>
      </c>
      <c r="J1327" t="inlineStr">
        <is>
          <t>Delivered</t>
        </is>
      </c>
      <c r="K1327" t="n">
        <v>0</v>
      </c>
      <c r="L1327" t="n">
        <v>0</v>
      </c>
      <c r="M1327" t="inlineStr">
        <is>
          <t>INR</t>
        </is>
      </c>
      <c r="N1327" t="inlineStr">
        <is>
          <t>2025-09-21 09:28:54</t>
        </is>
      </c>
    </row>
    <row r="1328">
      <c r="A1328" t="inlineStr">
        <is>
          <t>TXN00142498</t>
        </is>
      </c>
      <c r="B1328" t="inlineStr">
        <is>
          <t>MER00572</t>
        </is>
      </c>
      <c r="C1328" s="8" t="n">
        <v>45927</v>
      </c>
      <c r="D1328" t="inlineStr">
        <is>
          <t>ORD00142498</t>
        </is>
      </c>
      <c r="E1328" t="n">
        <v>1900.02</v>
      </c>
      <c r="F1328" t="n">
        <v>2.75</v>
      </c>
      <c r="G1328" t="n">
        <v>52.25</v>
      </c>
      <c r="H1328" t="inlineStr">
        <is>
          <t>UPI</t>
        </is>
      </c>
      <c r="I1328" t="inlineStr">
        <is>
          <t>Success</t>
        </is>
      </c>
      <c r="J1328" t="inlineStr">
        <is>
          <t>Returned</t>
        </is>
      </c>
      <c r="K1328" t="n">
        <v>1900.02</v>
      </c>
      <c r="L1328" t="n">
        <v>0</v>
      </c>
      <c r="M1328" t="inlineStr">
        <is>
          <t>INR</t>
        </is>
      </c>
      <c r="N1328" t="inlineStr">
        <is>
          <t>2025-09-27 07:41:24</t>
        </is>
      </c>
    </row>
    <row r="1329">
      <c r="A1329" t="inlineStr">
        <is>
          <t>TXN00143217</t>
        </is>
      </c>
      <c r="B1329" t="inlineStr">
        <is>
          <t>MER00572</t>
        </is>
      </c>
      <c r="C1329" s="8" t="n">
        <v>45929</v>
      </c>
      <c r="D1329" t="inlineStr">
        <is>
          <t>ORD00143217</t>
        </is>
      </c>
      <c r="E1329" t="n">
        <v>2778.95</v>
      </c>
      <c r="F1329" t="n">
        <v>2.75</v>
      </c>
      <c r="G1329" t="n">
        <v>76.42</v>
      </c>
      <c r="H1329" t="inlineStr">
        <is>
          <t>UPI</t>
        </is>
      </c>
      <c r="I1329" t="inlineStr">
        <is>
          <t>Success</t>
        </is>
      </c>
      <c r="J1329" t="inlineStr">
        <is>
          <t>Delivered</t>
        </is>
      </c>
      <c r="K1329" t="n">
        <v>0</v>
      </c>
      <c r="L1329" t="n">
        <v>273.28</v>
      </c>
      <c r="M1329" t="inlineStr">
        <is>
          <t>INR</t>
        </is>
      </c>
      <c r="N1329" t="inlineStr">
        <is>
          <t>2025-09-29 02:41:31</t>
        </is>
      </c>
    </row>
    <row r="1330">
      <c r="A1330" t="inlineStr">
        <is>
          <t>TXN00144287</t>
        </is>
      </c>
      <c r="B1330" t="inlineStr">
        <is>
          <t>MER00572</t>
        </is>
      </c>
      <c r="C1330" s="8" t="n">
        <v>45932</v>
      </c>
      <c r="D1330" t="inlineStr">
        <is>
          <t>ORD00144287</t>
        </is>
      </c>
      <c r="E1330" t="n">
        <v>10223.23</v>
      </c>
      <c r="F1330" t="n">
        <v>2.75</v>
      </c>
      <c r="G1330" t="n">
        <v>281.14</v>
      </c>
      <c r="H1330" t="inlineStr">
        <is>
          <t>UPI</t>
        </is>
      </c>
      <c r="I1330" t="inlineStr">
        <is>
          <t>Success</t>
        </is>
      </c>
      <c r="J1330" t="inlineStr">
        <is>
          <t>Delivered</t>
        </is>
      </c>
      <c r="K1330" t="n">
        <v>0</v>
      </c>
      <c r="L1330" t="n">
        <v>626.1</v>
      </c>
      <c r="M1330" t="inlineStr">
        <is>
          <t>INR</t>
        </is>
      </c>
      <c r="N1330" t="inlineStr">
        <is>
          <t>2025-10-02 08:17:26</t>
        </is>
      </c>
    </row>
    <row r="1331">
      <c r="A1331" t="inlineStr">
        <is>
          <t>TXN00147472</t>
        </is>
      </c>
      <c r="B1331" t="inlineStr">
        <is>
          <t>MER00572</t>
        </is>
      </c>
      <c r="C1331" s="8" t="n">
        <v>45939</v>
      </c>
      <c r="D1331" t="inlineStr">
        <is>
          <t>ORD00147472</t>
        </is>
      </c>
      <c r="E1331" t="n">
        <v>2038.43</v>
      </c>
      <c r="F1331" t="n">
        <v>2.75</v>
      </c>
      <c r="G1331" t="n">
        <v>56.06</v>
      </c>
      <c r="H1331" t="inlineStr">
        <is>
          <t>NetBanking</t>
        </is>
      </c>
      <c r="I1331" t="inlineStr">
        <is>
          <t>Success</t>
        </is>
      </c>
      <c r="J1331" t="inlineStr">
        <is>
          <t>Delivered</t>
        </is>
      </c>
      <c r="K1331" t="n">
        <v>0</v>
      </c>
      <c r="L1331" t="n">
        <v>0</v>
      </c>
      <c r="M1331" t="inlineStr">
        <is>
          <t>INR</t>
        </is>
      </c>
      <c r="N1331" t="inlineStr">
        <is>
          <t>2025-10-09 11:41:27</t>
        </is>
      </c>
    </row>
    <row r="1332">
      <c r="A1332" t="inlineStr">
        <is>
          <t>TXN00173816</t>
        </is>
      </c>
      <c r="B1332" t="inlineStr">
        <is>
          <t>MER00572</t>
        </is>
      </c>
      <c r="C1332" s="8" t="n">
        <v>45990</v>
      </c>
      <c r="D1332" t="inlineStr">
        <is>
          <t>ORD00173816</t>
        </is>
      </c>
      <c r="E1332" t="n">
        <v>2381.35</v>
      </c>
      <c r="F1332" t="n">
        <v>2.75</v>
      </c>
      <c r="G1332" t="n">
        <v>65.48999999999999</v>
      </c>
      <c r="H1332" t="inlineStr">
        <is>
          <t>Card</t>
        </is>
      </c>
      <c r="I1332" t="inlineStr">
        <is>
          <t>Success</t>
        </is>
      </c>
      <c r="J1332" t="inlineStr">
        <is>
          <t>Processing</t>
        </is>
      </c>
      <c r="K1332" t="n">
        <v>0</v>
      </c>
      <c r="L1332" t="n">
        <v>0</v>
      </c>
      <c r="M1332" t="inlineStr">
        <is>
          <t>INR</t>
        </is>
      </c>
      <c r="N1332" t="inlineStr">
        <is>
          <t>2025-11-29 20:15:44</t>
        </is>
      </c>
    </row>
    <row r="1333">
      <c r="A1333" t="inlineStr">
        <is>
          <t>TXN00177998</t>
        </is>
      </c>
      <c r="B1333" t="inlineStr">
        <is>
          <t>MER00572</t>
        </is>
      </c>
      <c r="C1333" s="8" t="n">
        <v>46000</v>
      </c>
      <c r="D1333" t="inlineStr">
        <is>
          <t>ORD00177998</t>
        </is>
      </c>
      <c r="E1333" t="n">
        <v>3901.85</v>
      </c>
      <c r="F1333" t="n">
        <v>2.75</v>
      </c>
      <c r="G1333" t="n">
        <v>107.3</v>
      </c>
      <c r="H1333" t="inlineStr">
        <is>
          <t>UPI</t>
        </is>
      </c>
      <c r="I1333" t="inlineStr">
        <is>
          <t>Unknown</t>
        </is>
      </c>
      <c r="J1333" t="inlineStr">
        <is>
          <t>Returned</t>
        </is>
      </c>
      <c r="K1333" t="n">
        <v>3901.85</v>
      </c>
      <c r="L1333" t="n">
        <v>0</v>
      </c>
      <c r="M1333" t="inlineStr">
        <is>
          <t>INR</t>
        </is>
      </c>
      <c r="N1333" t="inlineStr">
        <is>
          <t>2025-12-09 07:30:04</t>
        </is>
      </c>
    </row>
    <row r="1334">
      <c r="A1334" t="inlineStr">
        <is>
          <t>TXN00179399</t>
        </is>
      </c>
      <c r="B1334" t="inlineStr">
        <is>
          <t>MER00572</t>
        </is>
      </c>
      <c r="C1334" s="8" t="n">
        <v>46004</v>
      </c>
      <c r="D1334" t="inlineStr">
        <is>
          <t>ORD00179399</t>
        </is>
      </c>
      <c r="E1334" t="n">
        <v>2957.14</v>
      </c>
      <c r="F1334" t="n">
        <v>2.75</v>
      </c>
      <c r="G1334" t="n">
        <v>81.31999999999999</v>
      </c>
      <c r="H1334" t="inlineStr">
        <is>
          <t>UPI</t>
        </is>
      </c>
      <c r="I1334" t="inlineStr">
        <is>
          <t>Success</t>
        </is>
      </c>
      <c r="J1334" t="inlineStr">
        <is>
          <t>Delivered</t>
        </is>
      </c>
      <c r="K1334" t="n">
        <v>0</v>
      </c>
      <c r="L1334" t="n">
        <v>0</v>
      </c>
      <c r="M1334" t="inlineStr">
        <is>
          <t>INR</t>
        </is>
      </c>
      <c r="N1334" t="inlineStr">
        <is>
          <t>2025-12-13 15:03:28</t>
        </is>
      </c>
    </row>
    <row r="1335">
      <c r="A1335" t="inlineStr">
        <is>
          <t>TXN00184232</t>
        </is>
      </c>
      <c r="B1335" t="inlineStr">
        <is>
          <t>MER00572</t>
        </is>
      </c>
      <c r="C1335" s="8" t="n">
        <v>46017</v>
      </c>
      <c r="D1335" t="inlineStr">
        <is>
          <t>ORD00184232</t>
        </is>
      </c>
      <c r="E1335" t="n">
        <v>1710.38</v>
      </c>
      <c r="F1335" t="n">
        <v>2.75</v>
      </c>
      <c r="G1335" t="n">
        <v>47.04</v>
      </c>
      <c r="H1335" t="inlineStr">
        <is>
          <t>UPI</t>
        </is>
      </c>
      <c r="I1335" t="inlineStr">
        <is>
          <t>Success</t>
        </is>
      </c>
      <c r="J1335" t="inlineStr">
        <is>
          <t>Delivered</t>
        </is>
      </c>
      <c r="K1335" t="n">
        <v>0</v>
      </c>
      <c r="L1335" t="n">
        <v>0</v>
      </c>
      <c r="M1335" t="inlineStr">
        <is>
          <t>INR</t>
        </is>
      </c>
      <c r="N1335" t="inlineStr">
        <is>
          <t>2025-12-26 18:23:11</t>
        </is>
      </c>
    </row>
    <row r="1336">
      <c r="A1336" t="inlineStr">
        <is>
          <t>TXN00188816</t>
        </is>
      </c>
      <c r="B1336" t="inlineStr">
        <is>
          <t>MER00572</t>
        </is>
      </c>
      <c r="C1336" s="8" t="n">
        <v>46028</v>
      </c>
      <c r="D1336" t="inlineStr">
        <is>
          <t>ORD00188816</t>
        </is>
      </c>
      <c r="E1336" t="n">
        <v>5356.44</v>
      </c>
      <c r="F1336" t="n">
        <v>2.75</v>
      </c>
      <c r="G1336" t="n">
        <v>147.3</v>
      </c>
      <c r="H1336" t="inlineStr">
        <is>
          <t>UPI</t>
        </is>
      </c>
      <c r="I1336" t="inlineStr">
        <is>
          <t>Success</t>
        </is>
      </c>
      <c r="J1336" t="inlineStr">
        <is>
          <t>Delivered</t>
        </is>
      </c>
      <c r="K1336" t="n">
        <v>0</v>
      </c>
      <c r="L1336" t="n">
        <v>0</v>
      </c>
      <c r="M1336" t="inlineStr">
        <is>
          <t>INR</t>
        </is>
      </c>
      <c r="N1336" t="inlineStr">
        <is>
          <t>2026-01-06 18:17:35</t>
        </is>
      </c>
    </row>
    <row r="1337">
      <c r="A1337" t="inlineStr">
        <is>
          <t>TXN00190184</t>
        </is>
      </c>
      <c r="B1337" t="inlineStr">
        <is>
          <t>MER00572</t>
        </is>
      </c>
      <c r="C1337" s="8" t="n">
        <v>46031</v>
      </c>
      <c r="D1337" t="inlineStr">
        <is>
          <t>ORD00190184</t>
        </is>
      </c>
      <c r="E1337" t="n">
        <v>7315.05</v>
      </c>
      <c r="F1337" t="n">
        <v>2.75</v>
      </c>
      <c r="G1337" t="n">
        <v>201.16</v>
      </c>
      <c r="H1337" t="inlineStr">
        <is>
          <t>UPI</t>
        </is>
      </c>
      <c r="I1337" t="inlineStr">
        <is>
          <t>Success</t>
        </is>
      </c>
      <c r="J1337" t="inlineStr">
        <is>
          <t>Delivered</t>
        </is>
      </c>
      <c r="K1337" t="n">
        <v>0</v>
      </c>
      <c r="L1337" t="n">
        <v>0</v>
      </c>
      <c r="M1337" t="inlineStr">
        <is>
          <t>INR</t>
        </is>
      </c>
      <c r="N1337" t="inlineStr">
        <is>
          <t>2026-01-09 11:21:16</t>
        </is>
      </c>
    </row>
    <row r="1338">
      <c r="A1338" t="inlineStr">
        <is>
          <t>TXN00195317</t>
        </is>
      </c>
      <c r="B1338" t="inlineStr">
        <is>
          <t>MER00572</t>
        </is>
      </c>
      <c r="C1338" s="8" t="n">
        <v>46042</v>
      </c>
      <c r="D1338" t="inlineStr">
        <is>
          <t>ORD00195317</t>
        </is>
      </c>
      <c r="E1338" t="n">
        <v>3862.53</v>
      </c>
      <c r="F1338" t="n">
        <v>2.75</v>
      </c>
      <c r="G1338" t="n">
        <v>106.22</v>
      </c>
      <c r="H1338" t="inlineStr">
        <is>
          <t>UPI</t>
        </is>
      </c>
      <c r="I1338" t="inlineStr">
        <is>
          <t>Failed</t>
        </is>
      </c>
      <c r="J1338" t="inlineStr">
        <is>
          <t>Cancelled</t>
        </is>
      </c>
      <c r="K1338" t="n">
        <v>0</v>
      </c>
      <c r="L1338" t="n">
        <v>0</v>
      </c>
      <c r="M1338" t="inlineStr">
        <is>
          <t>INR</t>
        </is>
      </c>
      <c r="N1338" t="inlineStr">
        <is>
          <t>2026-01-20 04:58:41</t>
        </is>
      </c>
    </row>
    <row r="1339">
      <c r="A1339" t="inlineStr">
        <is>
          <t>TXN00200561</t>
        </is>
      </c>
      <c r="B1339" t="inlineStr">
        <is>
          <t>MER00572</t>
        </is>
      </c>
      <c r="C1339" s="8" t="n">
        <v>46054</v>
      </c>
      <c r="D1339" t="inlineStr">
        <is>
          <t>ORD00200561</t>
        </is>
      </c>
      <c r="E1339" t="n">
        <v>5789.62</v>
      </c>
      <c r="F1339" t="n">
        <v>2.75</v>
      </c>
      <c r="G1339" t="n">
        <v>159.21</v>
      </c>
      <c r="H1339" t="inlineStr">
        <is>
          <t>NetBanking</t>
        </is>
      </c>
      <c r="I1339" t="inlineStr">
        <is>
          <t>Success</t>
        </is>
      </c>
      <c r="J1339" t="inlineStr">
        <is>
          <t>Delivered</t>
        </is>
      </c>
      <c r="K1339" t="n">
        <v>0</v>
      </c>
      <c r="L1339" t="n">
        <v>1015.22</v>
      </c>
      <c r="M1339" t="inlineStr">
        <is>
          <t>INR</t>
        </is>
      </c>
      <c r="N1339" t="inlineStr">
        <is>
          <t>2026-02-01 17:54:27</t>
        </is>
      </c>
    </row>
    <row r="1340">
      <c r="A1340" t="inlineStr">
        <is>
          <t>TXN00201745</t>
        </is>
      </c>
      <c r="B1340" t="inlineStr">
        <is>
          <t>MER00572</t>
        </is>
      </c>
      <c r="C1340" s="8" t="n">
        <v>46057</v>
      </c>
      <c r="D1340" t="inlineStr">
        <is>
          <t>ORD00201745</t>
        </is>
      </c>
      <c r="E1340" t="n">
        <v>3378.23</v>
      </c>
      <c r="F1340" t="n">
        <v>2.75</v>
      </c>
      <c r="G1340" t="n">
        <v>92.90000000000001</v>
      </c>
      <c r="H1340" t="inlineStr">
        <is>
          <t>UPI</t>
        </is>
      </c>
      <c r="I1340" t="inlineStr">
        <is>
          <t>Success</t>
        </is>
      </c>
      <c r="J1340" t="inlineStr">
        <is>
          <t>Delivered</t>
        </is>
      </c>
      <c r="K1340" t="n">
        <v>0</v>
      </c>
      <c r="L1340" t="n">
        <v>0</v>
      </c>
      <c r="M1340" t="inlineStr">
        <is>
          <t>INR</t>
        </is>
      </c>
      <c r="N1340" t="inlineStr">
        <is>
          <t>2026-02-04 08:14:13</t>
        </is>
      </c>
    </row>
    <row r="1341">
      <c r="A1341" t="inlineStr">
        <is>
          <t>TXN00211301</t>
        </is>
      </c>
      <c r="B1341" t="inlineStr">
        <is>
          <t>MER00572</t>
        </is>
      </c>
      <c r="C1341" s="8" t="n">
        <v>46080</v>
      </c>
      <c r="D1341" t="inlineStr">
        <is>
          <t>ORD00211301</t>
        </is>
      </c>
      <c r="E1341" t="n">
        <v>942.55</v>
      </c>
      <c r="F1341" t="n">
        <v>2.75</v>
      </c>
      <c r="G1341" t="n">
        <v>25.92</v>
      </c>
      <c r="H1341" t="inlineStr">
        <is>
          <t>COD</t>
        </is>
      </c>
      <c r="I1341" t="inlineStr">
        <is>
          <t>Failed</t>
        </is>
      </c>
      <c r="J1341" t="inlineStr">
        <is>
          <t>Cancelled</t>
        </is>
      </c>
      <c r="K1341" t="n">
        <v>0</v>
      </c>
      <c r="L1341" t="n">
        <v>0</v>
      </c>
      <c r="M1341" t="inlineStr">
        <is>
          <t>INR</t>
        </is>
      </c>
      <c r="N1341" t="inlineStr">
        <is>
          <t>2026-02-27 01:20:54</t>
        </is>
      </c>
    </row>
    <row r="1342">
      <c r="A1342" t="inlineStr">
        <is>
          <t>TXN00214280</t>
        </is>
      </c>
      <c r="B1342" t="inlineStr">
        <is>
          <t>MER00572</t>
        </is>
      </c>
      <c r="C1342" s="8" t="n">
        <v>46089</v>
      </c>
      <c r="D1342" t="inlineStr">
        <is>
          <t>ORD00214280</t>
        </is>
      </c>
      <c r="E1342" t="n">
        <v>3533.48</v>
      </c>
      <c r="F1342" t="n">
        <v>2.75</v>
      </c>
      <c r="G1342" t="n">
        <v>97.17</v>
      </c>
      <c r="H1342" t="inlineStr">
        <is>
          <t>Card</t>
        </is>
      </c>
      <c r="I1342" t="inlineStr">
        <is>
          <t>Success</t>
        </is>
      </c>
      <c r="J1342" t="inlineStr">
        <is>
          <t>Processing</t>
        </is>
      </c>
      <c r="K1342" t="n">
        <v>0</v>
      </c>
      <c r="L1342" t="n">
        <v>0</v>
      </c>
      <c r="M1342" t="inlineStr">
        <is>
          <t>INR</t>
        </is>
      </c>
      <c r="N1342" t="inlineStr">
        <is>
          <t>2026-03-08 21:09:19</t>
        </is>
      </c>
    </row>
    <row r="1343">
      <c r="A1343" t="inlineStr">
        <is>
          <t>TXN00217997</t>
        </is>
      </c>
      <c r="B1343" t="inlineStr">
        <is>
          <t>MER00572</t>
        </is>
      </c>
      <c r="C1343" s="8" t="n">
        <v>46099</v>
      </c>
      <c r="D1343" t="inlineStr">
        <is>
          <t>ORD00217997</t>
        </is>
      </c>
      <c r="E1343" t="n">
        <v>3792.32</v>
      </c>
      <c r="F1343" t="n">
        <v>2.75</v>
      </c>
      <c r="G1343" t="n">
        <v>104.29</v>
      </c>
      <c r="H1343" t="inlineStr">
        <is>
          <t>NetBanking</t>
        </is>
      </c>
      <c r="I1343" t="inlineStr">
        <is>
          <t>Success</t>
        </is>
      </c>
      <c r="J1343" t="inlineStr">
        <is>
          <t>Delivered</t>
        </is>
      </c>
      <c r="K1343" t="n">
        <v>0</v>
      </c>
      <c r="L1343" t="n">
        <v>0</v>
      </c>
      <c r="M1343" t="inlineStr">
        <is>
          <t>INR</t>
        </is>
      </c>
      <c r="N1343" t="inlineStr">
        <is>
          <t>2026-03-18 17:16:11</t>
        </is>
      </c>
    </row>
    <row r="1344">
      <c r="A1344" t="inlineStr">
        <is>
          <t>TXN00218925</t>
        </is>
      </c>
      <c r="B1344" t="inlineStr">
        <is>
          <t>MER00572</t>
        </is>
      </c>
      <c r="C1344" s="8" t="n">
        <v>46101</v>
      </c>
      <c r="D1344" t="inlineStr">
        <is>
          <t>ORD00218925</t>
        </is>
      </c>
      <c r="E1344" t="n">
        <v>16689.33</v>
      </c>
      <c r="F1344" t="n">
        <v>2.75</v>
      </c>
      <c r="G1344" t="n">
        <v>458.96</v>
      </c>
      <c r="H1344" t="inlineStr">
        <is>
          <t>UPI</t>
        </is>
      </c>
      <c r="I1344" t="inlineStr">
        <is>
          <t>Success</t>
        </is>
      </c>
      <c r="J1344" t="inlineStr">
        <is>
          <t>Delivered</t>
        </is>
      </c>
      <c r="K1344" t="n">
        <v>0</v>
      </c>
      <c r="L1344" t="n">
        <v>0</v>
      </c>
      <c r="M1344" t="inlineStr">
        <is>
          <t>INR</t>
        </is>
      </c>
      <c r="N1344" t="inlineStr">
        <is>
          <t>2026-03-20 01:00:05</t>
        </is>
      </c>
    </row>
    <row r="1345">
      <c r="A1345" t="inlineStr">
        <is>
          <t>TXN00219472</t>
        </is>
      </c>
      <c r="B1345" t="inlineStr">
        <is>
          <t>MER00572</t>
        </is>
      </c>
      <c r="C1345" s="8" t="n">
        <v>46103</v>
      </c>
      <c r="D1345" t="inlineStr">
        <is>
          <t>ORD00219472</t>
        </is>
      </c>
      <c r="E1345" t="n">
        <v>8279.23</v>
      </c>
      <c r="F1345" t="n">
        <v>2.75</v>
      </c>
      <c r="G1345" t="n">
        <v>227.68</v>
      </c>
      <c r="H1345" t="inlineStr">
        <is>
          <t>UPI</t>
        </is>
      </c>
      <c r="I1345" t="inlineStr">
        <is>
          <t>Success</t>
        </is>
      </c>
      <c r="J1345" t="inlineStr">
        <is>
          <t>Delivered</t>
        </is>
      </c>
      <c r="K1345" t="n">
        <v>0</v>
      </c>
      <c r="L1345" t="n">
        <v>0</v>
      </c>
      <c r="M1345" t="inlineStr">
        <is>
          <t>INR</t>
        </is>
      </c>
      <c r="N1345" t="inlineStr">
        <is>
          <t>2026-03-22 02:09:45</t>
        </is>
      </c>
    </row>
    <row r="1346">
      <c r="A1346" t="inlineStr">
        <is>
          <t>TXN00220658</t>
        </is>
      </c>
      <c r="B1346" t="inlineStr">
        <is>
          <t>MER00572</t>
        </is>
      </c>
      <c r="C1346" s="8" t="n">
        <v>46106</v>
      </c>
      <c r="D1346" t="inlineStr">
        <is>
          <t>ORD00220658</t>
        </is>
      </c>
      <c r="E1346" t="n">
        <v>7479.28</v>
      </c>
      <c r="F1346" t="n">
        <v>2.75</v>
      </c>
      <c r="G1346" t="n">
        <v>205.68</v>
      </c>
      <c r="H1346" t="inlineStr">
        <is>
          <t>UPI</t>
        </is>
      </c>
      <c r="I1346" t="inlineStr">
        <is>
          <t>Success</t>
        </is>
      </c>
      <c r="J1346" t="inlineStr">
        <is>
          <t>Delivered</t>
        </is>
      </c>
      <c r="K1346" t="n">
        <v>0</v>
      </c>
      <c r="L1346" t="n">
        <v>0</v>
      </c>
      <c r="M1346" t="inlineStr">
        <is>
          <t>INR</t>
        </is>
      </c>
      <c r="N1346" t="inlineStr">
        <is>
          <t>2026-03-25 07:55:32</t>
        </is>
      </c>
    </row>
    <row r="1347">
      <c r="A1347" t="inlineStr">
        <is>
          <t>TXN00223512</t>
        </is>
      </c>
      <c r="B1347" t="inlineStr">
        <is>
          <t>MER00572</t>
        </is>
      </c>
      <c r="C1347" s="8" t="n">
        <v>46114</v>
      </c>
      <c r="D1347" t="inlineStr">
        <is>
          <t>ORD00223512</t>
        </is>
      </c>
      <c r="E1347" t="n">
        <v>7066.91</v>
      </c>
      <c r="F1347" t="n">
        <v>2.75</v>
      </c>
      <c r="G1347" t="n">
        <v>194.34</v>
      </c>
      <c r="H1347" t="inlineStr">
        <is>
          <t>COD</t>
        </is>
      </c>
      <c r="I1347" t="inlineStr">
        <is>
          <t>Success</t>
        </is>
      </c>
      <c r="J1347" t="inlineStr">
        <is>
          <t>Delivered</t>
        </is>
      </c>
      <c r="K1347" t="n">
        <v>0</v>
      </c>
      <c r="L1347" t="n">
        <v>0</v>
      </c>
      <c r="M1347" t="inlineStr">
        <is>
          <t>INR</t>
        </is>
      </c>
      <c r="N1347" t="inlineStr">
        <is>
          <t>2026-04-02 01:58:04</t>
        </is>
      </c>
    </row>
    <row r="1348">
      <c r="A1348" t="inlineStr">
        <is>
          <t>TXN00224786</t>
        </is>
      </c>
      <c r="B1348" t="inlineStr">
        <is>
          <t>MER00572</t>
        </is>
      </c>
      <c r="C1348" s="8" t="n">
        <v>46117</v>
      </c>
      <c r="D1348" t="inlineStr">
        <is>
          <t>ORD00224786</t>
        </is>
      </c>
      <c r="E1348" t="n">
        <v>45029.38</v>
      </c>
      <c r="F1348" t="n">
        <v>2.75</v>
      </c>
      <c r="G1348" t="n">
        <v>1238.31</v>
      </c>
      <c r="H1348" t="inlineStr">
        <is>
          <t>UPI</t>
        </is>
      </c>
      <c r="I1348" t="inlineStr">
        <is>
          <t>Success</t>
        </is>
      </c>
      <c r="J1348" t="inlineStr">
        <is>
          <t>Delivered</t>
        </is>
      </c>
      <c r="K1348" t="n">
        <v>0</v>
      </c>
      <c r="L1348" t="n">
        <v>0</v>
      </c>
      <c r="M1348" t="inlineStr">
        <is>
          <t>INR</t>
        </is>
      </c>
      <c r="N1348" t="inlineStr">
        <is>
          <t>2026-04-05 21:30:17</t>
        </is>
      </c>
    </row>
    <row r="1349">
      <c r="A1349" t="inlineStr">
        <is>
          <t>TXN00225414</t>
        </is>
      </c>
      <c r="B1349" t="inlineStr">
        <is>
          <t>MER00572</t>
        </is>
      </c>
      <c r="C1349" s="8" t="n">
        <v>46119</v>
      </c>
      <c r="D1349" t="inlineStr">
        <is>
          <t>ORD00225414</t>
        </is>
      </c>
      <c r="E1349" t="n">
        <v>5744.36</v>
      </c>
      <c r="F1349" t="n">
        <v>2.75</v>
      </c>
      <c r="G1349" t="n">
        <v>157.97</v>
      </c>
      <c r="H1349" t="inlineStr">
        <is>
          <t>UPI</t>
        </is>
      </c>
      <c r="I1349" t="inlineStr">
        <is>
          <t>Success</t>
        </is>
      </c>
      <c r="J1349" t="inlineStr">
        <is>
          <t>Delivered</t>
        </is>
      </c>
      <c r="K1349" t="n">
        <v>0</v>
      </c>
      <c r="L1349" t="n">
        <v>0</v>
      </c>
      <c r="M1349" t="inlineStr">
        <is>
          <t>INR</t>
        </is>
      </c>
      <c r="N1349" t="inlineStr">
        <is>
          <t>2026-04-07 19:38:52</t>
        </is>
      </c>
    </row>
    <row r="1350">
      <c r="A1350" t="inlineStr">
        <is>
          <t>TXN00232201</t>
        </is>
      </c>
      <c r="B1350" t="inlineStr">
        <is>
          <t>MER00572</t>
        </is>
      </c>
      <c r="C1350" s="8" t="n">
        <v>46136</v>
      </c>
      <c r="D1350" t="inlineStr">
        <is>
          <t>ORD00232201</t>
        </is>
      </c>
      <c r="E1350" t="n">
        <v>11959.12</v>
      </c>
      <c r="F1350" t="n">
        <v>2.75</v>
      </c>
      <c r="G1350" t="n">
        <v>328.88</v>
      </c>
      <c r="H1350" t="inlineStr">
        <is>
          <t>UPI</t>
        </is>
      </c>
      <c r="I1350" t="inlineStr">
        <is>
          <t>Success</t>
        </is>
      </c>
      <c r="J1350" t="inlineStr">
        <is>
          <t>Delivered</t>
        </is>
      </c>
      <c r="K1350" t="n">
        <v>0</v>
      </c>
      <c r="L1350" t="n">
        <v>0</v>
      </c>
      <c r="M1350" t="inlineStr">
        <is>
          <t>INR</t>
        </is>
      </c>
      <c r="N1350" t="inlineStr">
        <is>
          <t>2026-04-24 09:18:50</t>
        </is>
      </c>
    </row>
    <row r="1351">
      <c r="A1351" t="inlineStr">
        <is>
          <t>TXN00232915</t>
        </is>
      </c>
      <c r="B1351" t="inlineStr">
        <is>
          <t>MER00572</t>
        </is>
      </c>
      <c r="C1351" s="8" t="n">
        <v>46138</v>
      </c>
      <c r="D1351" t="inlineStr">
        <is>
          <t>ORD00232915</t>
        </is>
      </c>
      <c r="E1351" t="n">
        <v>17082.97</v>
      </c>
      <c r="F1351" t="n">
        <v>2.75</v>
      </c>
      <c r="G1351" t="n">
        <v>469.78</v>
      </c>
      <c r="H1351" t="inlineStr">
        <is>
          <t>UPI</t>
        </is>
      </c>
      <c r="I1351" t="inlineStr">
        <is>
          <t>Pending</t>
        </is>
      </c>
      <c r="J1351" t="inlineStr">
        <is>
          <t>Processing</t>
        </is>
      </c>
      <c r="K1351" t="n">
        <v>0</v>
      </c>
      <c r="L1351" t="n">
        <v>2837.46</v>
      </c>
      <c r="M1351" t="inlineStr">
        <is>
          <t>INR</t>
        </is>
      </c>
      <c r="N1351" t="inlineStr">
        <is>
          <t>2026-04-26 12:14:15</t>
        </is>
      </c>
    </row>
    <row r="1352">
      <c r="A1352" t="inlineStr">
        <is>
          <t>TXN00234679</t>
        </is>
      </c>
      <c r="B1352" t="inlineStr">
        <is>
          <t>MER00572</t>
        </is>
      </c>
      <c r="C1352" s="8" t="n">
        <v>46143</v>
      </c>
      <c r="D1352" t="inlineStr">
        <is>
          <t>ORD00234679</t>
        </is>
      </c>
      <c r="E1352" t="n">
        <v>5017.65</v>
      </c>
      <c r="F1352" t="n">
        <v>2.75</v>
      </c>
      <c r="G1352" t="n">
        <v>137.99</v>
      </c>
      <c r="H1352" t="inlineStr">
        <is>
          <t>Wallet</t>
        </is>
      </c>
      <c r="I1352" t="inlineStr">
        <is>
          <t>Success</t>
        </is>
      </c>
      <c r="J1352" t="inlineStr">
        <is>
          <t>Delivered</t>
        </is>
      </c>
      <c r="K1352" t="n">
        <v>0</v>
      </c>
      <c r="L1352" t="n">
        <v>0</v>
      </c>
      <c r="M1352" t="inlineStr">
        <is>
          <t>INR</t>
        </is>
      </c>
      <c r="N1352" t="inlineStr">
        <is>
          <t>2026-05-01 00:40:57</t>
        </is>
      </c>
    </row>
    <row r="1353">
      <c r="A1353" t="inlineStr">
        <is>
          <t>TXN00238956</t>
        </is>
      </c>
      <c r="B1353" t="inlineStr">
        <is>
          <t>MER00572</t>
        </is>
      </c>
      <c r="C1353" s="8" t="n">
        <v>46154</v>
      </c>
      <c r="D1353" t="inlineStr">
        <is>
          <t>ORD00238956</t>
        </is>
      </c>
      <c r="E1353" t="n">
        <v>1850.49</v>
      </c>
      <c r="F1353" t="n">
        <v>2.75</v>
      </c>
      <c r="G1353" t="n">
        <v>50.89</v>
      </c>
      <c r="H1353" t="inlineStr">
        <is>
          <t>Card</t>
        </is>
      </c>
      <c r="I1353" t="inlineStr">
        <is>
          <t>Success</t>
        </is>
      </c>
      <c r="J1353" t="inlineStr">
        <is>
          <t>Returned</t>
        </is>
      </c>
      <c r="K1353" t="n">
        <v>1850.49</v>
      </c>
      <c r="L1353" t="n">
        <v>0</v>
      </c>
      <c r="M1353" t="inlineStr">
        <is>
          <t>INR</t>
        </is>
      </c>
      <c r="N1353" t="inlineStr">
        <is>
          <t>2026-05-12 09:56:02</t>
        </is>
      </c>
    </row>
    <row r="1354">
      <c r="A1354" t="inlineStr">
        <is>
          <t>TXN00246146</t>
        </is>
      </c>
      <c r="B1354" t="inlineStr">
        <is>
          <t>MER00572</t>
        </is>
      </c>
      <c r="C1354" s="8" t="n">
        <v>46173</v>
      </c>
      <c r="D1354" t="inlineStr">
        <is>
          <t>ORD00246146</t>
        </is>
      </c>
      <c r="E1354" t="n">
        <v>6915.06</v>
      </c>
      <c r="F1354" t="n">
        <v>2.75</v>
      </c>
      <c r="G1354" t="n">
        <v>190.16</v>
      </c>
      <c r="H1354" t="inlineStr">
        <is>
          <t>NetBanking</t>
        </is>
      </c>
      <c r="I1354" t="inlineStr">
        <is>
          <t>Success</t>
        </is>
      </c>
      <c r="J1354" t="inlineStr">
        <is>
          <t>Delivered</t>
        </is>
      </c>
      <c r="K1354" t="n">
        <v>0</v>
      </c>
      <c r="L1354" t="n">
        <v>1297.47</v>
      </c>
      <c r="M1354" t="inlineStr">
        <is>
          <t>INR</t>
        </is>
      </c>
      <c r="N1354" t="inlineStr">
        <is>
          <t>2026-05-31 17:46:40</t>
        </is>
      </c>
    </row>
    <row r="1355">
      <c r="A1355" t="inlineStr">
        <is>
          <t>TXN00246924</t>
        </is>
      </c>
      <c r="B1355" t="inlineStr">
        <is>
          <t>MER00572</t>
        </is>
      </c>
      <c r="C1355" s="8" t="n">
        <v>46175</v>
      </c>
      <c r="D1355" t="inlineStr">
        <is>
          <t>ORD00246924</t>
        </is>
      </c>
      <c r="E1355" t="n">
        <v>4869.54</v>
      </c>
      <c r="F1355" t="n">
        <v>2.75</v>
      </c>
      <c r="G1355" t="n">
        <v>133.91</v>
      </c>
      <c r="H1355" t="inlineStr">
        <is>
          <t>Card</t>
        </is>
      </c>
      <c r="I1355" t="inlineStr">
        <is>
          <t>Success</t>
        </is>
      </c>
      <c r="J1355" t="inlineStr">
        <is>
          <t>Delivered</t>
        </is>
      </c>
      <c r="K1355" t="n">
        <v>0</v>
      </c>
      <c r="L1355" t="n">
        <v>0</v>
      </c>
      <c r="M1355" t="inlineStr">
        <is>
          <t>INR</t>
        </is>
      </c>
      <c r="N1355" t="inlineStr">
        <is>
          <t>2026-06-02 21:24:33</t>
        </is>
      </c>
    </row>
    <row r="1356">
      <c r="A1356" t="inlineStr">
        <is>
          <t>TXN00248074</t>
        </is>
      </c>
      <c r="B1356" t="inlineStr">
        <is>
          <t>MER00572</t>
        </is>
      </c>
      <c r="C1356" s="8" t="n">
        <v>46178</v>
      </c>
      <c r="D1356" t="inlineStr">
        <is>
          <t>ORD00248074</t>
        </is>
      </c>
      <c r="E1356" t="n">
        <v>2506.67</v>
      </c>
      <c r="F1356" t="n">
        <v>2.75</v>
      </c>
      <c r="G1356" t="n">
        <v>68.93000000000001</v>
      </c>
      <c r="H1356" t="inlineStr">
        <is>
          <t>UPI</t>
        </is>
      </c>
      <c r="I1356" t="inlineStr">
        <is>
          <t>Success</t>
        </is>
      </c>
      <c r="J1356" t="inlineStr">
        <is>
          <t>Delivered</t>
        </is>
      </c>
      <c r="K1356" t="n">
        <v>0</v>
      </c>
      <c r="L1356" t="n">
        <v>0</v>
      </c>
      <c r="M1356" t="inlineStr">
        <is>
          <t>INR</t>
        </is>
      </c>
      <c r="N1356" t="inlineStr">
        <is>
          <t>2026-06-05 01:00:51</t>
        </is>
      </c>
    </row>
    <row r="1357">
      <c r="A1357" t="inlineStr">
        <is>
          <t>TXN00248663</t>
        </is>
      </c>
      <c r="B1357" t="inlineStr">
        <is>
          <t>MER00572</t>
        </is>
      </c>
      <c r="C1357" s="8" t="n">
        <v>46179</v>
      </c>
      <c r="D1357" t="inlineStr">
        <is>
          <t>ORD00248663</t>
        </is>
      </c>
      <c r="E1357" t="n">
        <v>6895.69</v>
      </c>
      <c r="F1357" t="n">
        <v>2.75</v>
      </c>
      <c r="G1357" t="n">
        <v>189.63</v>
      </c>
      <c r="H1357" t="inlineStr">
        <is>
          <t>Card</t>
        </is>
      </c>
      <c r="I1357" t="inlineStr">
        <is>
          <t>Success</t>
        </is>
      </c>
      <c r="J1357" t="inlineStr">
        <is>
          <t>Delivered</t>
        </is>
      </c>
      <c r="K1357" t="n">
        <v>0</v>
      </c>
      <c r="L1357" t="n">
        <v>0</v>
      </c>
      <c r="M1357" t="inlineStr">
        <is>
          <t>INR</t>
        </is>
      </c>
      <c r="N1357" t="inlineStr">
        <is>
          <t>2026-06-06 00:54:33</t>
        </is>
      </c>
    </row>
    <row r="1358">
      <c r="A1358" t="inlineStr">
        <is>
          <t>TXN00255357</t>
        </is>
      </c>
      <c r="B1358" t="inlineStr">
        <is>
          <t>MER00572</t>
        </is>
      </c>
      <c r="C1358" s="8" t="n">
        <v>46196</v>
      </c>
      <c r="D1358" t="inlineStr">
        <is>
          <t>ORD00255357</t>
        </is>
      </c>
      <c r="E1358" t="n">
        <v>5715.44</v>
      </c>
      <c r="F1358" t="n">
        <v>2.75</v>
      </c>
      <c r="G1358" t="n">
        <v>157.17</v>
      </c>
      <c r="H1358" t="inlineStr">
        <is>
          <t>UPI</t>
        </is>
      </c>
      <c r="I1358" t="inlineStr">
        <is>
          <t>Success</t>
        </is>
      </c>
      <c r="J1358" t="inlineStr">
        <is>
          <t>Delivered</t>
        </is>
      </c>
      <c r="K1358" t="n">
        <v>0</v>
      </c>
      <c r="L1358" t="n">
        <v>0</v>
      </c>
      <c r="M1358" t="inlineStr">
        <is>
          <t>INR</t>
        </is>
      </c>
      <c r="N1358" t="inlineStr">
        <is>
          <t>2026-06-23 23:07:45</t>
        </is>
      </c>
    </row>
    <row r="1359">
      <c r="A1359" t="inlineStr">
        <is>
          <t>TXN00259489</t>
        </is>
      </c>
      <c r="B1359" t="inlineStr">
        <is>
          <t>MER00572</t>
        </is>
      </c>
      <c r="C1359" s="8" t="n">
        <v>46206</v>
      </c>
      <c r="D1359" t="inlineStr">
        <is>
          <t>ORD00259489</t>
        </is>
      </c>
      <c r="E1359" t="n">
        <v>8015.63</v>
      </c>
      <c r="F1359" t="n">
        <v>2.75</v>
      </c>
      <c r="G1359" t="n">
        <v>220.43</v>
      </c>
      <c r="H1359" t="inlineStr">
        <is>
          <t>Card</t>
        </is>
      </c>
      <c r="I1359" t="inlineStr">
        <is>
          <t>Failed</t>
        </is>
      </c>
      <c r="J1359" t="inlineStr">
        <is>
          <t>Cancelled</t>
        </is>
      </c>
      <c r="K1359" t="n">
        <v>0</v>
      </c>
      <c r="L1359" t="n">
        <v>0</v>
      </c>
      <c r="M1359" t="inlineStr">
        <is>
          <t>INR</t>
        </is>
      </c>
      <c r="N1359" t="inlineStr">
        <is>
          <t>2026-07-03 16:11:05</t>
        </is>
      </c>
    </row>
    <row r="1360">
      <c r="A1360" t="inlineStr">
        <is>
          <t>TXN00264848</t>
        </is>
      </c>
      <c r="B1360" t="inlineStr">
        <is>
          <t>MER00572</t>
        </is>
      </c>
      <c r="C1360" s="8" t="n">
        <v>46220</v>
      </c>
      <c r="D1360" t="inlineStr">
        <is>
          <t>ORD00264848</t>
        </is>
      </c>
      <c r="E1360" t="n">
        <v>3014.7</v>
      </c>
      <c r="F1360" t="n">
        <v>2.75</v>
      </c>
      <c r="G1360" t="n">
        <v>82.90000000000001</v>
      </c>
      <c r="H1360" t="inlineStr">
        <is>
          <t>UPI</t>
        </is>
      </c>
      <c r="I1360" t="inlineStr">
        <is>
          <t>Success</t>
        </is>
      </c>
      <c r="J1360" t="inlineStr">
        <is>
          <t>Delivered</t>
        </is>
      </c>
      <c r="K1360" t="n">
        <v>0</v>
      </c>
      <c r="L1360" t="n">
        <v>0</v>
      </c>
      <c r="M1360" t="inlineStr">
        <is>
          <t>INR</t>
        </is>
      </c>
      <c r="N1360" t="inlineStr">
        <is>
          <t>2026-07-17 08:43:21</t>
        </is>
      </c>
    </row>
    <row r="1361">
      <c r="A1361" t="inlineStr">
        <is>
          <t>TXN00266002</t>
        </is>
      </c>
      <c r="B1361" t="inlineStr">
        <is>
          <t>MER00572</t>
        </is>
      </c>
      <c r="C1361" s="8" t="n">
        <v>46223</v>
      </c>
      <c r="D1361" t="inlineStr">
        <is>
          <t>ORD00266002</t>
        </is>
      </c>
      <c r="E1361" t="n">
        <v>2982.26</v>
      </c>
      <c r="F1361" t="n">
        <v>2.75</v>
      </c>
      <c r="G1361" t="n">
        <v>82.01000000000001</v>
      </c>
      <c r="H1361" t="inlineStr">
        <is>
          <t>UPI</t>
        </is>
      </c>
      <c r="I1361" t="inlineStr">
        <is>
          <t>Success</t>
        </is>
      </c>
      <c r="J1361" t="inlineStr">
        <is>
          <t>Cancelled</t>
        </is>
      </c>
      <c r="K1361" t="n">
        <v>2907.65</v>
      </c>
      <c r="L1361" t="n">
        <v>0</v>
      </c>
      <c r="M1361" t="inlineStr">
        <is>
          <t>INR</t>
        </is>
      </c>
      <c r="N1361" t="inlineStr">
        <is>
          <t>2026-07-20 08:23:24</t>
        </is>
      </c>
    </row>
    <row r="1362">
      <c r="A1362" t="inlineStr">
        <is>
          <t>TXN00000468</t>
        </is>
      </c>
      <c r="B1362" t="inlineStr">
        <is>
          <t>MER00649</t>
        </is>
      </c>
      <c r="C1362" s="8" t="n">
        <v>45506</v>
      </c>
      <c r="D1362" t="inlineStr">
        <is>
          <t>ORD00000468</t>
        </is>
      </c>
      <c r="E1362" t="n">
        <v>1596.6</v>
      </c>
      <c r="F1362" t="n">
        <v>2.5</v>
      </c>
      <c r="G1362" t="n">
        <v>39.92</v>
      </c>
      <c r="H1362" t="inlineStr">
        <is>
          <t>UPI</t>
        </is>
      </c>
      <c r="I1362" t="inlineStr">
        <is>
          <t>Success</t>
        </is>
      </c>
      <c r="J1362" t="inlineStr">
        <is>
          <t>Delivered</t>
        </is>
      </c>
      <c r="K1362" t="n">
        <v>0</v>
      </c>
      <c r="L1362" t="n">
        <v>105.88</v>
      </c>
      <c r="M1362" t="inlineStr">
        <is>
          <t>INR</t>
        </is>
      </c>
      <c r="N1362" t="inlineStr">
        <is>
          <t>2024-08-02 07:26:11</t>
        </is>
      </c>
    </row>
    <row r="1363">
      <c r="A1363" t="inlineStr">
        <is>
          <t>TXN00000245</t>
        </is>
      </c>
      <c r="B1363" t="inlineStr">
        <is>
          <t>MER00649</t>
        </is>
      </c>
      <c r="C1363" s="8" t="n">
        <v>45506</v>
      </c>
      <c r="D1363" t="inlineStr">
        <is>
          <t>ORD00000245</t>
        </is>
      </c>
      <c r="E1363" t="n">
        <v>3483.84</v>
      </c>
      <c r="F1363" t="n">
        <v>2.5</v>
      </c>
      <c r="G1363" t="n">
        <v>87.09999999999999</v>
      </c>
      <c r="H1363" t="inlineStr">
        <is>
          <t>Card</t>
        </is>
      </c>
      <c r="I1363" t="inlineStr">
        <is>
          <t>Success</t>
        </is>
      </c>
      <c r="J1363" t="inlineStr">
        <is>
          <t>Returned</t>
        </is>
      </c>
      <c r="K1363" t="n">
        <v>3483.84</v>
      </c>
      <c r="L1363" t="n">
        <v>481.19</v>
      </c>
      <c r="M1363" t="inlineStr">
        <is>
          <t>INR</t>
        </is>
      </c>
      <c r="N1363" t="inlineStr">
        <is>
          <t>2024-08-02 20:23:15</t>
        </is>
      </c>
    </row>
    <row r="1364">
      <c r="A1364" t="inlineStr">
        <is>
          <t>TXN00000904</t>
        </is>
      </c>
      <c r="B1364" t="inlineStr">
        <is>
          <t>MER00649</t>
        </is>
      </c>
      <c r="C1364" s="8" t="n">
        <v>45508</v>
      </c>
      <c r="D1364" t="inlineStr">
        <is>
          <t>ORD00000904</t>
        </is>
      </c>
      <c r="E1364" t="n">
        <v>327.7</v>
      </c>
      <c r="F1364" t="n">
        <v>2.5</v>
      </c>
      <c r="G1364" t="n">
        <v>8.19</v>
      </c>
      <c r="H1364" t="inlineStr">
        <is>
          <t>UPI</t>
        </is>
      </c>
      <c r="I1364" t="inlineStr">
        <is>
          <t>Success</t>
        </is>
      </c>
      <c r="J1364" t="inlineStr">
        <is>
          <t>Delivered</t>
        </is>
      </c>
      <c r="K1364" t="n">
        <v>0</v>
      </c>
      <c r="L1364" t="n">
        <v>0</v>
      </c>
      <c r="M1364" t="inlineStr">
        <is>
          <t>INR</t>
        </is>
      </c>
      <c r="N1364" t="inlineStr">
        <is>
          <t>2024-08-04 11:29:39</t>
        </is>
      </c>
    </row>
    <row r="1365">
      <c r="A1365" t="inlineStr">
        <is>
          <t>TXN00002230</t>
        </is>
      </c>
      <c r="B1365" t="inlineStr">
        <is>
          <t>MER00649</t>
        </is>
      </c>
      <c r="C1365" s="8" t="n">
        <v>45514</v>
      </c>
      <c r="D1365" t="inlineStr">
        <is>
          <t>ORD00002230</t>
        </is>
      </c>
      <c r="E1365" t="n">
        <v>1407.61</v>
      </c>
      <c r="F1365" t="n">
        <v>2.5</v>
      </c>
      <c r="G1365" t="n">
        <v>35.19</v>
      </c>
      <c r="H1365" t="inlineStr">
        <is>
          <t>UPI</t>
        </is>
      </c>
      <c r="I1365" t="inlineStr">
        <is>
          <t>Success</t>
        </is>
      </c>
      <c r="J1365" t="inlineStr">
        <is>
          <t>Delivered</t>
        </is>
      </c>
      <c r="K1365" t="n">
        <v>0</v>
      </c>
      <c r="L1365" t="n">
        <v>0</v>
      </c>
      <c r="M1365" t="inlineStr">
        <is>
          <t>INR</t>
        </is>
      </c>
      <c r="N1365" t="inlineStr">
        <is>
          <t>2024-08-10 19:06:28</t>
        </is>
      </c>
    </row>
    <row r="1366">
      <c r="A1366" t="inlineStr">
        <is>
          <t>TXN00005044</t>
        </is>
      </c>
      <c r="B1366" t="inlineStr">
        <is>
          <t>MER00649</t>
        </is>
      </c>
      <c r="C1366" s="8" t="n">
        <v>45525</v>
      </c>
      <c r="D1366" t="inlineStr">
        <is>
          <t>ORD00005044</t>
        </is>
      </c>
      <c r="E1366" t="n">
        <v>3710</v>
      </c>
      <c r="F1366" t="n">
        <v>2.5</v>
      </c>
      <c r="G1366" t="n">
        <v>92.75</v>
      </c>
      <c r="H1366" t="inlineStr">
        <is>
          <t>UPI</t>
        </is>
      </c>
      <c r="I1366" t="inlineStr">
        <is>
          <t>Unknown</t>
        </is>
      </c>
      <c r="J1366" t="inlineStr">
        <is>
          <t>Delivered</t>
        </is>
      </c>
      <c r="K1366" t="n">
        <v>0</v>
      </c>
      <c r="L1366" t="n">
        <v>0</v>
      </c>
      <c r="M1366" t="inlineStr">
        <is>
          <t>INR</t>
        </is>
      </c>
      <c r="N1366" t="inlineStr">
        <is>
          <t>2024-08-21 16:52:59</t>
        </is>
      </c>
    </row>
    <row r="1367">
      <c r="A1367" t="inlineStr">
        <is>
          <t>TXN00005758</t>
        </is>
      </c>
      <c r="B1367" t="inlineStr">
        <is>
          <t>MER00649</t>
        </is>
      </c>
      <c r="C1367" s="8" t="n">
        <v>45528</v>
      </c>
      <c r="D1367" t="inlineStr">
        <is>
          <t>ORD00005758</t>
        </is>
      </c>
      <c r="E1367" t="n">
        <v>1439.06</v>
      </c>
      <c r="F1367" t="n">
        <v>2.5</v>
      </c>
      <c r="G1367" t="n">
        <v>35.98</v>
      </c>
      <c r="H1367" t="inlineStr">
        <is>
          <t>UPI</t>
        </is>
      </c>
      <c r="I1367" t="inlineStr">
        <is>
          <t>Success</t>
        </is>
      </c>
      <c r="J1367" t="inlineStr">
        <is>
          <t>Delivered</t>
        </is>
      </c>
      <c r="K1367" t="n">
        <v>0</v>
      </c>
      <c r="L1367" t="n">
        <v>0</v>
      </c>
      <c r="M1367" t="inlineStr">
        <is>
          <t>INR</t>
        </is>
      </c>
      <c r="N1367" t="inlineStr">
        <is>
          <t>2024-08-24 18:31:58</t>
        </is>
      </c>
    </row>
    <row r="1368">
      <c r="A1368" t="inlineStr">
        <is>
          <t>TXN00006427</t>
        </is>
      </c>
      <c r="B1368" t="inlineStr">
        <is>
          <t>MER00649</t>
        </is>
      </c>
      <c r="C1368" s="8" t="n">
        <v>45531</v>
      </c>
      <c r="D1368" t="inlineStr">
        <is>
          <t>ORD00006427</t>
        </is>
      </c>
      <c r="E1368" t="n">
        <v>781.3200000000001</v>
      </c>
      <c r="F1368" t="n">
        <v>2.5</v>
      </c>
      <c r="G1368" t="n">
        <v>19.53</v>
      </c>
      <c r="H1368" t="inlineStr">
        <is>
          <t>Card</t>
        </is>
      </c>
      <c r="I1368" t="inlineStr">
        <is>
          <t>Success</t>
        </is>
      </c>
      <c r="J1368" t="inlineStr">
        <is>
          <t>Delivered</t>
        </is>
      </c>
      <c r="K1368" t="n">
        <v>0</v>
      </c>
      <c r="L1368" t="n">
        <v>0</v>
      </c>
      <c r="M1368" t="inlineStr">
        <is>
          <t>INR</t>
        </is>
      </c>
      <c r="N1368" t="inlineStr">
        <is>
          <t>2024-08-27 06:51:47</t>
        </is>
      </c>
    </row>
    <row r="1369">
      <c r="A1369" t="inlineStr">
        <is>
          <t>TXN00007555</t>
        </is>
      </c>
      <c r="B1369" t="inlineStr">
        <is>
          <t>MER00649</t>
        </is>
      </c>
      <c r="C1369" s="8" t="n">
        <v>45536</v>
      </c>
      <c r="D1369" t="inlineStr">
        <is>
          <t>ORD00007555</t>
        </is>
      </c>
      <c r="E1369" t="n">
        <v>433.85</v>
      </c>
      <c r="F1369" t="n">
        <v>1.53</v>
      </c>
      <c r="G1369" t="n">
        <v>6.64</v>
      </c>
      <c r="H1369" t="inlineStr">
        <is>
          <t>NetBanking</t>
        </is>
      </c>
      <c r="I1369" t="inlineStr">
        <is>
          <t>Failed</t>
        </is>
      </c>
      <c r="J1369" t="inlineStr">
        <is>
          <t>Cancelled</t>
        </is>
      </c>
      <c r="K1369" t="n">
        <v>0</v>
      </c>
      <c r="L1369" t="n">
        <v>0</v>
      </c>
      <c r="M1369" t="inlineStr">
        <is>
          <t>INR</t>
        </is>
      </c>
      <c r="N1369" t="inlineStr">
        <is>
          <t>2024-09-01 00:53:01</t>
        </is>
      </c>
    </row>
    <row r="1370">
      <c r="A1370" t="inlineStr">
        <is>
          <t>TXN00007878</t>
        </is>
      </c>
      <c r="B1370" t="inlineStr">
        <is>
          <t>MER00649</t>
        </is>
      </c>
      <c r="C1370" s="8" t="n">
        <v>45537</v>
      </c>
      <c r="D1370" t="inlineStr">
        <is>
          <t>ORD00007878</t>
        </is>
      </c>
      <c r="E1370" t="n">
        <v>1501.61</v>
      </c>
      <c r="F1370" t="n">
        <v>1.53</v>
      </c>
      <c r="G1370" t="n">
        <v>22.97</v>
      </c>
      <c r="H1370" t="inlineStr">
        <is>
          <t>UPI</t>
        </is>
      </c>
      <c r="I1370" t="inlineStr">
        <is>
          <t>Success</t>
        </is>
      </c>
      <c r="J1370" t="inlineStr">
        <is>
          <t>Delivered</t>
        </is>
      </c>
      <c r="K1370" t="n">
        <v>0</v>
      </c>
      <c r="L1370" t="n">
        <v>238.64</v>
      </c>
      <c r="M1370" t="inlineStr">
        <is>
          <t>INR</t>
        </is>
      </c>
      <c r="N1370" t="inlineStr">
        <is>
          <t>2024-09-02 04:52:08</t>
        </is>
      </c>
    </row>
    <row r="1371">
      <c r="A1371" t="inlineStr">
        <is>
          <t>TXN00009097</t>
        </is>
      </c>
      <c r="B1371" t="inlineStr">
        <is>
          <t>MER00649</t>
        </is>
      </c>
      <c r="C1371" s="8" t="n">
        <v>45541</v>
      </c>
      <c r="D1371" t="inlineStr">
        <is>
          <t>ORD00009097</t>
        </is>
      </c>
      <c r="E1371" t="n">
        <v>1109.5</v>
      </c>
      <c r="F1371" t="n">
        <v>1.53</v>
      </c>
      <c r="G1371" t="n">
        <v>16.98</v>
      </c>
      <c r="H1371" t="inlineStr">
        <is>
          <t>COD</t>
        </is>
      </c>
      <c r="I1371" t="inlineStr">
        <is>
          <t>Success</t>
        </is>
      </c>
      <c r="J1371" t="inlineStr">
        <is>
          <t>Delivered</t>
        </is>
      </c>
      <c r="K1371" t="n">
        <v>0</v>
      </c>
      <c r="L1371" t="n">
        <v>0</v>
      </c>
      <c r="M1371" t="inlineStr">
        <is>
          <t>INR</t>
        </is>
      </c>
      <c r="N1371" t="inlineStr">
        <is>
          <t>2024-09-06 05:12:01</t>
        </is>
      </c>
    </row>
    <row r="1372">
      <c r="A1372" t="inlineStr">
        <is>
          <t>TXN00010609</t>
        </is>
      </c>
      <c r="B1372" t="inlineStr">
        <is>
          <t>MER00649</t>
        </is>
      </c>
      <c r="C1372" s="8" t="n">
        <v>45546</v>
      </c>
      <c r="D1372" t="inlineStr">
        <is>
          <t>ORD00010609</t>
        </is>
      </c>
      <c r="E1372" t="n">
        <v>1309.98</v>
      </c>
      <c r="F1372" t="n">
        <v>1.53</v>
      </c>
      <c r="G1372" t="n">
        <v>20.04</v>
      </c>
      <c r="H1372" t="inlineStr">
        <is>
          <t>UPI</t>
        </is>
      </c>
      <c r="I1372" t="inlineStr">
        <is>
          <t>Success</t>
        </is>
      </c>
      <c r="J1372" t="inlineStr">
        <is>
          <t>Returned</t>
        </is>
      </c>
      <c r="K1372" t="n">
        <v>1309.98</v>
      </c>
      <c r="L1372" t="n">
        <v>0</v>
      </c>
      <c r="M1372" t="inlineStr">
        <is>
          <t>INR</t>
        </is>
      </c>
      <c r="N1372" t="inlineStr">
        <is>
          <t>2024-09-11 00:18:23</t>
        </is>
      </c>
    </row>
    <row r="1373">
      <c r="A1373" t="inlineStr">
        <is>
          <t>TXN00012840</t>
        </is>
      </c>
      <c r="B1373" t="inlineStr">
        <is>
          <t>MER00649</t>
        </is>
      </c>
      <c r="C1373" s="8" t="n">
        <v>45554</v>
      </c>
      <c r="D1373" t="inlineStr">
        <is>
          <t>ORD00012840</t>
        </is>
      </c>
      <c r="E1373" t="n">
        <v>2431.51</v>
      </c>
      <c r="F1373" t="n">
        <v>1.53</v>
      </c>
      <c r="G1373" t="n">
        <v>37.2</v>
      </c>
      <c r="H1373" t="inlineStr">
        <is>
          <t>Card</t>
        </is>
      </c>
      <c r="I1373" t="inlineStr">
        <is>
          <t>Success</t>
        </is>
      </c>
      <c r="J1373" t="inlineStr">
        <is>
          <t>Delivered</t>
        </is>
      </c>
      <c r="K1373" t="n">
        <v>0</v>
      </c>
      <c r="L1373" t="n">
        <v>0</v>
      </c>
      <c r="M1373" t="inlineStr">
        <is>
          <t>INR</t>
        </is>
      </c>
      <c r="N1373" t="inlineStr">
        <is>
          <t>2024-09-19 09:46:08</t>
        </is>
      </c>
    </row>
    <row r="1374">
      <c r="A1374" t="inlineStr">
        <is>
          <t>TXN00015179</t>
        </is>
      </c>
      <c r="B1374" t="inlineStr">
        <is>
          <t>MER00649</t>
        </is>
      </c>
      <c r="C1374" s="8" t="n">
        <v>45562</v>
      </c>
      <c r="D1374" t="inlineStr">
        <is>
          <t>ORD00015179</t>
        </is>
      </c>
      <c r="E1374" t="n">
        <v>539.4400000000001</v>
      </c>
      <c r="F1374" t="n">
        <v>1.53</v>
      </c>
      <c r="G1374" t="n">
        <v>8.25</v>
      </c>
      <c r="H1374" t="inlineStr">
        <is>
          <t>UPI</t>
        </is>
      </c>
      <c r="I1374" t="inlineStr">
        <is>
          <t>Success</t>
        </is>
      </c>
      <c r="J1374" t="inlineStr">
        <is>
          <t>Delivered</t>
        </is>
      </c>
      <c r="K1374" t="n">
        <v>0</v>
      </c>
      <c r="L1374" t="n">
        <v>0</v>
      </c>
      <c r="M1374" t="inlineStr">
        <is>
          <t>INR</t>
        </is>
      </c>
      <c r="N1374" t="inlineStr">
        <is>
          <t>2024-09-27 10:50:18</t>
        </is>
      </c>
    </row>
    <row r="1375">
      <c r="A1375" t="inlineStr">
        <is>
          <t>TXN00015895</t>
        </is>
      </c>
      <c r="B1375" t="inlineStr">
        <is>
          <t>MER00649</t>
        </is>
      </c>
      <c r="C1375" s="8" t="n">
        <v>45564</v>
      </c>
      <c r="D1375" t="inlineStr">
        <is>
          <t>ORD00015895</t>
        </is>
      </c>
      <c r="E1375" t="n">
        <v>2514.89</v>
      </c>
      <c r="F1375" t="n">
        <v>1.53</v>
      </c>
      <c r="G1375" t="n">
        <v>38.48</v>
      </c>
      <c r="H1375" t="inlineStr">
        <is>
          <t>Card</t>
        </is>
      </c>
      <c r="I1375" t="inlineStr">
        <is>
          <t>Success</t>
        </is>
      </c>
      <c r="J1375" t="inlineStr">
        <is>
          <t>Delivered</t>
        </is>
      </c>
      <c r="K1375" t="n">
        <v>0</v>
      </c>
      <c r="L1375" t="n">
        <v>347.05</v>
      </c>
      <c r="M1375" t="inlineStr">
        <is>
          <t>INR</t>
        </is>
      </c>
      <c r="N1375" t="inlineStr">
        <is>
          <t>2024-09-29 12:08:00</t>
        </is>
      </c>
    </row>
    <row r="1376">
      <c r="A1376" t="inlineStr">
        <is>
          <t>TXN00017248</t>
        </is>
      </c>
      <c r="B1376" t="inlineStr">
        <is>
          <t>MER00649</t>
        </is>
      </c>
      <c r="C1376" s="8" t="n">
        <v>45568</v>
      </c>
      <c r="D1376" t="inlineStr">
        <is>
          <t>ORD00017248</t>
        </is>
      </c>
      <c r="E1376" t="n">
        <v>3869.8</v>
      </c>
      <c r="F1376" t="n">
        <v>1.53</v>
      </c>
      <c r="G1376" t="n">
        <v>59.21</v>
      </c>
      <c r="H1376" t="inlineStr">
        <is>
          <t>Wallet</t>
        </is>
      </c>
      <c r="I1376" t="inlineStr">
        <is>
          <t>Pending</t>
        </is>
      </c>
      <c r="J1376" t="inlineStr">
        <is>
          <t>Processing</t>
        </is>
      </c>
      <c r="K1376" t="n">
        <v>0</v>
      </c>
      <c r="L1376" t="n">
        <v>0</v>
      </c>
      <c r="M1376" t="inlineStr">
        <is>
          <t>INR</t>
        </is>
      </c>
      <c r="N1376" t="inlineStr">
        <is>
          <t>2024-10-03 21:23:57</t>
        </is>
      </c>
    </row>
    <row r="1377">
      <c r="A1377" t="inlineStr">
        <is>
          <t>TXN00018549</t>
        </is>
      </c>
      <c r="B1377" t="inlineStr">
        <is>
          <t>MER00649</t>
        </is>
      </c>
      <c r="C1377" s="8" t="n">
        <v>45572</v>
      </c>
      <c r="D1377" t="inlineStr">
        <is>
          <t>ORD00018549</t>
        </is>
      </c>
      <c r="E1377" t="n">
        <v>1479.92</v>
      </c>
      <c r="F1377" t="n">
        <v>1.53</v>
      </c>
      <c r="G1377" t="n">
        <v>22.64</v>
      </c>
      <c r="H1377" t="inlineStr">
        <is>
          <t>Card</t>
        </is>
      </c>
      <c r="I1377" t="inlineStr">
        <is>
          <t>Success</t>
        </is>
      </c>
      <c r="J1377" t="inlineStr">
        <is>
          <t>Returned</t>
        </is>
      </c>
      <c r="K1377" t="n">
        <v>1479.92</v>
      </c>
      <c r="L1377" t="n">
        <v>154.03</v>
      </c>
      <c r="M1377" t="inlineStr">
        <is>
          <t>INR</t>
        </is>
      </c>
      <c r="N1377" t="inlineStr">
        <is>
          <t>2024-10-07 12:17:39</t>
        </is>
      </c>
    </row>
    <row r="1378">
      <c r="A1378" t="inlineStr">
        <is>
          <t>TXN00023373</t>
        </is>
      </c>
      <c r="B1378" t="inlineStr">
        <is>
          <t>MER00649</t>
        </is>
      </c>
      <c r="C1378" s="8" t="n">
        <v>45584</v>
      </c>
      <c r="D1378" t="inlineStr">
        <is>
          <t>ORD00023373</t>
        </is>
      </c>
      <c r="E1378" t="n">
        <v>3492.22</v>
      </c>
      <c r="F1378" t="n">
        <v>1.53</v>
      </c>
      <c r="G1378" t="n">
        <v>53.43</v>
      </c>
      <c r="H1378" t="inlineStr">
        <is>
          <t>UPI</t>
        </is>
      </c>
      <c r="I1378" t="inlineStr">
        <is>
          <t>Success</t>
        </is>
      </c>
      <c r="J1378" t="inlineStr">
        <is>
          <t>Returned</t>
        </is>
      </c>
      <c r="K1378" t="n">
        <v>1860.17</v>
      </c>
      <c r="L1378" t="n">
        <v>0</v>
      </c>
      <c r="M1378" t="inlineStr">
        <is>
          <t>INR</t>
        </is>
      </c>
      <c r="N1378" t="inlineStr">
        <is>
          <t>2024-10-19 14:49:39</t>
        </is>
      </c>
    </row>
    <row r="1379">
      <c r="A1379" t="inlineStr">
        <is>
          <t>TXN00023411</t>
        </is>
      </c>
      <c r="B1379" t="inlineStr">
        <is>
          <t>MER00649</t>
        </is>
      </c>
      <c r="C1379" s="8" t="n">
        <v>45584</v>
      </c>
      <c r="D1379" t="inlineStr">
        <is>
          <t>ORD00023411</t>
        </is>
      </c>
      <c r="E1379" t="n">
        <v>1778.28</v>
      </c>
      <c r="F1379" t="n">
        <v>1.53</v>
      </c>
      <c r="G1379" t="n">
        <v>27.21</v>
      </c>
      <c r="H1379" t="inlineStr">
        <is>
          <t>COD</t>
        </is>
      </c>
      <c r="I1379" t="inlineStr">
        <is>
          <t>Pending</t>
        </is>
      </c>
      <c r="J1379" t="inlineStr">
        <is>
          <t>Processing</t>
        </is>
      </c>
      <c r="K1379" t="n">
        <v>0</v>
      </c>
      <c r="L1379" t="n">
        <v>163.98</v>
      </c>
      <c r="M1379" t="inlineStr">
        <is>
          <t>INR</t>
        </is>
      </c>
      <c r="N1379" t="inlineStr">
        <is>
          <t>2024-10-19 02:57:03</t>
        </is>
      </c>
    </row>
    <row r="1380">
      <c r="A1380" t="inlineStr">
        <is>
          <t>TXN00023617</t>
        </is>
      </c>
      <c r="B1380" t="inlineStr">
        <is>
          <t>MER00649</t>
        </is>
      </c>
      <c r="C1380" s="8" t="n">
        <v>45585</v>
      </c>
      <c r="D1380" t="inlineStr">
        <is>
          <t>ORD00023617</t>
        </is>
      </c>
      <c r="E1380" t="n">
        <v>613.96</v>
      </c>
      <c r="F1380" t="n">
        <v>1.53</v>
      </c>
      <c r="G1380" t="n">
        <v>9.390000000000001</v>
      </c>
      <c r="H1380" t="inlineStr">
        <is>
          <t>UPI</t>
        </is>
      </c>
      <c r="I1380" t="inlineStr">
        <is>
          <t>Success</t>
        </is>
      </c>
      <c r="J1380" t="inlineStr">
        <is>
          <t>Delivered</t>
        </is>
      </c>
      <c r="K1380" t="n">
        <v>0</v>
      </c>
      <c r="L1380" t="n">
        <v>0</v>
      </c>
      <c r="M1380" t="inlineStr">
        <is>
          <t>INR</t>
        </is>
      </c>
      <c r="N1380" t="inlineStr">
        <is>
          <t>2024-10-20 10:36:56</t>
        </is>
      </c>
    </row>
    <row r="1381">
      <c r="A1381" t="inlineStr">
        <is>
          <t>TXN00024302</t>
        </is>
      </c>
      <c r="B1381" t="inlineStr">
        <is>
          <t>MER00649</t>
        </is>
      </c>
      <c r="C1381" s="8" t="n">
        <v>45587</v>
      </c>
      <c r="D1381" t="inlineStr">
        <is>
          <t>ORD00024302</t>
        </is>
      </c>
      <c r="E1381" t="n">
        <v>1096.34</v>
      </c>
      <c r="F1381" t="n">
        <v>1.53</v>
      </c>
      <c r="G1381" t="n">
        <v>16.77</v>
      </c>
      <c r="H1381" t="inlineStr">
        <is>
          <t>UPI</t>
        </is>
      </c>
      <c r="I1381" t="inlineStr">
        <is>
          <t>Success</t>
        </is>
      </c>
      <c r="J1381" t="inlineStr">
        <is>
          <t>Delivered</t>
        </is>
      </c>
      <c r="K1381" t="n">
        <v>0</v>
      </c>
      <c r="L1381" t="n">
        <v>0</v>
      </c>
      <c r="M1381" t="inlineStr">
        <is>
          <t>INR</t>
        </is>
      </c>
      <c r="N1381" t="inlineStr">
        <is>
          <t>2024-10-22 20:44:03</t>
        </is>
      </c>
    </row>
    <row r="1382">
      <c r="A1382" t="inlineStr">
        <is>
          <t>TXN00024264</t>
        </is>
      </c>
      <c r="B1382" t="inlineStr">
        <is>
          <t>MER00649</t>
        </is>
      </c>
      <c r="C1382" s="8" t="n">
        <v>45587</v>
      </c>
      <c r="D1382" t="inlineStr">
        <is>
          <t>ORD00024264</t>
        </is>
      </c>
      <c r="E1382" t="n">
        <v>1187.24</v>
      </c>
      <c r="F1382" t="n">
        <v>1.53</v>
      </c>
      <c r="G1382" t="n">
        <v>18.16</v>
      </c>
      <c r="H1382" t="inlineStr">
        <is>
          <t>UPI</t>
        </is>
      </c>
      <c r="I1382" t="inlineStr">
        <is>
          <t>Success</t>
        </is>
      </c>
      <c r="J1382" t="inlineStr">
        <is>
          <t>Delivered</t>
        </is>
      </c>
      <c r="K1382" t="n">
        <v>0</v>
      </c>
      <c r="L1382" t="n">
        <v>208.6</v>
      </c>
      <c r="M1382" t="inlineStr">
        <is>
          <t>INR</t>
        </is>
      </c>
      <c r="N1382" t="inlineStr">
        <is>
          <t>2024-10-22 18:19:04</t>
        </is>
      </c>
    </row>
    <row r="1383">
      <c r="A1383" t="inlineStr">
        <is>
          <t>TXN00024646</t>
        </is>
      </c>
      <c r="B1383" t="inlineStr">
        <is>
          <t>MER00649</t>
        </is>
      </c>
      <c r="C1383" s="8" t="n">
        <v>45588</v>
      </c>
      <c r="D1383" t="inlineStr">
        <is>
          <t>ORD00024646</t>
        </is>
      </c>
      <c r="E1383" t="n">
        <v>1223.98</v>
      </c>
      <c r="F1383" t="n">
        <v>1.53</v>
      </c>
      <c r="G1383" t="n">
        <v>18.73</v>
      </c>
      <c r="H1383" t="inlineStr">
        <is>
          <t>Wallet</t>
        </is>
      </c>
      <c r="I1383" t="inlineStr">
        <is>
          <t>Success</t>
        </is>
      </c>
      <c r="J1383" t="inlineStr">
        <is>
          <t>Delivered</t>
        </is>
      </c>
      <c r="K1383" t="n">
        <v>0</v>
      </c>
      <c r="L1383" t="n">
        <v>0</v>
      </c>
      <c r="M1383" t="inlineStr">
        <is>
          <t>INR</t>
        </is>
      </c>
      <c r="N1383" t="inlineStr">
        <is>
          <t>2024-10-23 09:30:05</t>
        </is>
      </c>
    </row>
    <row r="1384">
      <c r="A1384" t="inlineStr">
        <is>
          <t>TXN00025894</t>
        </is>
      </c>
      <c r="B1384" t="inlineStr">
        <is>
          <t>MER00649</t>
        </is>
      </c>
      <c r="C1384" s="8" t="n">
        <v>45591</v>
      </c>
      <c r="D1384" t="inlineStr">
        <is>
          <t>ORD00025894</t>
        </is>
      </c>
      <c r="E1384" t="n">
        <v>548.86</v>
      </c>
      <c r="F1384" t="n">
        <v>1.53</v>
      </c>
      <c r="G1384" t="n">
        <v>8.4</v>
      </c>
      <c r="H1384" t="inlineStr">
        <is>
          <t>UPI</t>
        </is>
      </c>
      <c r="I1384" t="inlineStr">
        <is>
          <t>Pending</t>
        </is>
      </c>
      <c r="J1384" t="inlineStr">
        <is>
          <t>Cancelled</t>
        </is>
      </c>
      <c r="K1384" t="n">
        <v>0</v>
      </c>
      <c r="L1384" t="n">
        <v>0</v>
      </c>
      <c r="M1384" t="inlineStr">
        <is>
          <t>INR</t>
        </is>
      </c>
      <c r="N1384" t="inlineStr">
        <is>
          <t>2024-10-26 01:28:27</t>
        </is>
      </c>
    </row>
    <row r="1385">
      <c r="A1385" t="inlineStr">
        <is>
          <t>TXN00027364</t>
        </is>
      </c>
      <c r="B1385" t="inlineStr">
        <is>
          <t>MER00649</t>
        </is>
      </c>
      <c r="C1385" s="8" t="n">
        <v>45595</v>
      </c>
      <c r="D1385" t="inlineStr">
        <is>
          <t>ORD00027364</t>
        </is>
      </c>
      <c r="E1385" t="n">
        <v>801.1</v>
      </c>
      <c r="F1385" t="n">
        <v>1.53</v>
      </c>
      <c r="G1385" t="n">
        <v>12.26</v>
      </c>
      <c r="H1385" t="inlineStr">
        <is>
          <t>UPI</t>
        </is>
      </c>
      <c r="I1385" t="inlineStr">
        <is>
          <t>Success</t>
        </is>
      </c>
      <c r="J1385" t="inlineStr">
        <is>
          <t>Delivered</t>
        </is>
      </c>
      <c r="K1385" t="n">
        <v>0</v>
      </c>
      <c r="L1385" t="n">
        <v>69.45999999999999</v>
      </c>
      <c r="M1385" t="inlineStr">
        <is>
          <t>INR</t>
        </is>
      </c>
      <c r="N1385" t="inlineStr">
        <is>
          <t>2024-10-30 19:09:31</t>
        </is>
      </c>
    </row>
    <row r="1386">
      <c r="A1386" t="inlineStr">
        <is>
          <t>TXN00027323</t>
        </is>
      </c>
      <c r="B1386" t="inlineStr">
        <is>
          <t>MER00649</t>
        </is>
      </c>
      <c r="C1386" s="8" t="n">
        <v>45595</v>
      </c>
      <c r="D1386" t="inlineStr">
        <is>
          <t>ORD00027323</t>
        </is>
      </c>
      <c r="E1386" t="n">
        <v>624.53</v>
      </c>
      <c r="F1386" t="n">
        <v>1.53</v>
      </c>
      <c r="G1386" t="n">
        <v>9.56</v>
      </c>
      <c r="H1386" t="inlineStr">
        <is>
          <t>NetBanking</t>
        </is>
      </c>
      <c r="I1386" t="inlineStr">
        <is>
          <t>Success</t>
        </is>
      </c>
      <c r="J1386" t="inlineStr">
        <is>
          <t>Returned</t>
        </is>
      </c>
      <c r="K1386" t="n">
        <v>624.53</v>
      </c>
      <c r="L1386" t="n">
        <v>0</v>
      </c>
      <c r="M1386" t="inlineStr">
        <is>
          <t>INR</t>
        </is>
      </c>
      <c r="N1386" t="inlineStr">
        <is>
          <t>2024-10-30 23:48:28</t>
        </is>
      </c>
    </row>
    <row r="1387">
      <c r="A1387" t="inlineStr">
        <is>
          <t>TXN00029033</t>
        </is>
      </c>
      <c r="B1387" t="inlineStr">
        <is>
          <t>MER00649</t>
        </is>
      </c>
      <c r="C1387" s="8" t="n">
        <v>45599</v>
      </c>
      <c r="D1387" t="inlineStr">
        <is>
          <t>ORD00029033</t>
        </is>
      </c>
      <c r="E1387" t="n">
        <v>545.02</v>
      </c>
      <c r="F1387" t="n">
        <v>1.53</v>
      </c>
      <c r="G1387" t="n">
        <v>8.34</v>
      </c>
      <c r="H1387" t="inlineStr">
        <is>
          <t>Card</t>
        </is>
      </c>
      <c r="I1387" t="inlineStr">
        <is>
          <t>Success</t>
        </is>
      </c>
      <c r="J1387" t="inlineStr">
        <is>
          <t>Delivered</t>
        </is>
      </c>
      <c r="K1387" t="n">
        <v>0</v>
      </c>
      <c r="L1387" t="n">
        <v>0</v>
      </c>
      <c r="M1387" t="inlineStr">
        <is>
          <t>INR</t>
        </is>
      </c>
      <c r="N1387" t="inlineStr">
        <is>
          <t>2024-11-03 08:56:20</t>
        </is>
      </c>
    </row>
    <row r="1388">
      <c r="A1388" t="inlineStr">
        <is>
          <t>TXN00029545</t>
        </is>
      </c>
      <c r="B1388" t="inlineStr">
        <is>
          <t>MER00649</t>
        </is>
      </c>
      <c r="C1388" s="8" t="n">
        <v>45600</v>
      </c>
      <c r="D1388" t="inlineStr">
        <is>
          <t>ORD00029545</t>
        </is>
      </c>
      <c r="E1388" t="n">
        <v>592.5</v>
      </c>
      <c r="F1388" t="n">
        <v>1.53</v>
      </c>
      <c r="G1388" t="n">
        <v>9.07</v>
      </c>
      <c r="H1388" t="inlineStr">
        <is>
          <t>COD</t>
        </is>
      </c>
      <c r="I1388" t="inlineStr">
        <is>
          <t>Success</t>
        </is>
      </c>
      <c r="J1388" t="inlineStr">
        <is>
          <t>Delivered</t>
        </is>
      </c>
      <c r="K1388" t="n">
        <v>0</v>
      </c>
      <c r="L1388" t="n">
        <v>0</v>
      </c>
      <c r="M1388" t="inlineStr">
        <is>
          <t>INR</t>
        </is>
      </c>
      <c r="N1388" t="inlineStr">
        <is>
          <t>2024-11-04 20:02:01</t>
        </is>
      </c>
    </row>
    <row r="1389">
      <c r="A1389" t="inlineStr">
        <is>
          <t>TXN00030475</t>
        </is>
      </c>
      <c r="B1389" t="inlineStr">
        <is>
          <t>MER00649</t>
        </is>
      </c>
      <c r="C1389" s="8" t="n">
        <v>45602</v>
      </c>
      <c r="D1389" t="inlineStr">
        <is>
          <t>ORD00030475</t>
        </is>
      </c>
      <c r="E1389" t="n">
        <v>1643</v>
      </c>
      <c r="F1389" t="n">
        <v>1.53</v>
      </c>
      <c r="G1389" t="n">
        <v>25.14</v>
      </c>
      <c r="H1389" t="inlineStr">
        <is>
          <t>Card</t>
        </is>
      </c>
      <c r="I1389" t="inlineStr">
        <is>
          <t>Success</t>
        </is>
      </c>
      <c r="J1389" t="inlineStr">
        <is>
          <t>Delivered</t>
        </is>
      </c>
      <c r="K1389" t="n">
        <v>0</v>
      </c>
      <c r="L1389" t="n">
        <v>280.81</v>
      </c>
      <c r="M1389" t="inlineStr">
        <is>
          <t>INR</t>
        </is>
      </c>
      <c r="N1389" t="inlineStr">
        <is>
          <t>2024-11-06 04:47:14</t>
        </is>
      </c>
    </row>
    <row r="1390">
      <c r="A1390" t="inlineStr">
        <is>
          <t>TXN00030807</t>
        </is>
      </c>
      <c r="B1390" t="inlineStr">
        <is>
          <t>MER00649</t>
        </is>
      </c>
      <c r="C1390" s="8" t="n">
        <v>45603</v>
      </c>
      <c r="D1390" t="inlineStr">
        <is>
          <t>ORD00030807</t>
        </is>
      </c>
      <c r="E1390" t="n">
        <v>923.71</v>
      </c>
      <c r="F1390" t="n">
        <v>1.53</v>
      </c>
      <c r="G1390" t="n">
        <v>14.13</v>
      </c>
      <c r="H1390" t="inlineStr">
        <is>
          <t>UPI</t>
        </is>
      </c>
      <c r="I1390" t="inlineStr">
        <is>
          <t>Success</t>
        </is>
      </c>
      <c r="J1390" t="inlineStr">
        <is>
          <t>Delivered</t>
        </is>
      </c>
      <c r="K1390" t="n">
        <v>0</v>
      </c>
      <c r="L1390" t="n">
        <v>0</v>
      </c>
      <c r="M1390" t="inlineStr">
        <is>
          <t>INR</t>
        </is>
      </c>
      <c r="N1390" t="inlineStr">
        <is>
          <t>2024-11-07 09:01:35</t>
        </is>
      </c>
    </row>
    <row r="1391">
      <c r="A1391" t="inlineStr">
        <is>
          <t>TXN00030762</t>
        </is>
      </c>
      <c r="B1391" t="inlineStr">
        <is>
          <t>MER00649</t>
        </is>
      </c>
      <c r="C1391" s="8" t="n">
        <v>45603</v>
      </c>
      <c r="D1391" t="inlineStr">
        <is>
          <t>ORD00030762</t>
        </is>
      </c>
      <c r="E1391" t="n">
        <v>1175.69</v>
      </c>
      <c r="F1391" t="n">
        <v>1.53</v>
      </c>
      <c r="G1391" t="n">
        <v>17.99</v>
      </c>
      <c r="H1391" t="inlineStr">
        <is>
          <t>UPI</t>
        </is>
      </c>
      <c r="I1391" t="inlineStr">
        <is>
          <t>Pending</t>
        </is>
      </c>
      <c r="J1391" t="inlineStr">
        <is>
          <t>Processing</t>
        </is>
      </c>
      <c r="K1391" t="n">
        <v>0</v>
      </c>
      <c r="L1391" t="n">
        <v>0</v>
      </c>
      <c r="M1391" t="inlineStr">
        <is>
          <t>INR</t>
        </is>
      </c>
      <c r="N1391" t="inlineStr">
        <is>
          <t>2024-11-07 22:51:05</t>
        </is>
      </c>
    </row>
    <row r="1392">
      <c r="A1392" t="inlineStr">
        <is>
          <t>TXN00033394</t>
        </is>
      </c>
      <c r="B1392" t="inlineStr">
        <is>
          <t>MER00649</t>
        </is>
      </c>
      <c r="C1392" s="8" t="n">
        <v>45608</v>
      </c>
      <c r="D1392" t="inlineStr">
        <is>
          <t>ORD00033394</t>
        </is>
      </c>
      <c r="E1392" t="n">
        <v>778.0599999999999</v>
      </c>
      <c r="F1392" t="n">
        <v>1.53</v>
      </c>
      <c r="G1392" t="n">
        <v>11.9</v>
      </c>
      <c r="H1392" t="inlineStr">
        <is>
          <t>UPI</t>
        </is>
      </c>
      <c r="I1392" t="inlineStr">
        <is>
          <t>Success</t>
        </is>
      </c>
      <c r="J1392" t="inlineStr">
        <is>
          <t>Delivered</t>
        </is>
      </c>
      <c r="K1392" t="n">
        <v>0</v>
      </c>
      <c r="L1392" t="n">
        <v>0</v>
      </c>
      <c r="M1392" t="inlineStr">
        <is>
          <t>INR</t>
        </is>
      </c>
      <c r="N1392" t="inlineStr">
        <is>
          <t>2024-11-12 02:00:38</t>
        </is>
      </c>
    </row>
    <row r="1393">
      <c r="A1393" t="inlineStr">
        <is>
          <t>TXN00033270</t>
        </is>
      </c>
      <c r="B1393" t="inlineStr">
        <is>
          <t>MER00649</t>
        </is>
      </c>
      <c r="C1393" s="8" t="n">
        <v>45608</v>
      </c>
      <c r="D1393" t="inlineStr">
        <is>
          <t>ORD00033270</t>
        </is>
      </c>
      <c r="E1393" t="n">
        <v>2066.99</v>
      </c>
      <c r="F1393" t="n">
        <v>1.53</v>
      </c>
      <c r="G1393" t="n">
        <v>31.62</v>
      </c>
      <c r="H1393" t="inlineStr">
        <is>
          <t>NetBanking</t>
        </is>
      </c>
      <c r="I1393" t="inlineStr">
        <is>
          <t>Success</t>
        </is>
      </c>
      <c r="J1393" t="inlineStr">
        <is>
          <t>Returned</t>
        </is>
      </c>
      <c r="K1393" t="n">
        <v>2066.99</v>
      </c>
      <c r="L1393" t="n">
        <v>313.32</v>
      </c>
      <c r="M1393" t="inlineStr">
        <is>
          <t>INR</t>
        </is>
      </c>
      <c r="N1393" t="inlineStr">
        <is>
          <t>2024-11-12 02:45:13</t>
        </is>
      </c>
    </row>
    <row r="1394">
      <c r="A1394" t="inlineStr">
        <is>
          <t>TXN00035310</t>
        </is>
      </c>
      <c r="B1394" t="inlineStr">
        <is>
          <t>MER00649</t>
        </is>
      </c>
      <c r="C1394" s="8" t="n">
        <v>45612</v>
      </c>
      <c r="D1394" t="inlineStr">
        <is>
          <t>ORD00035310</t>
        </is>
      </c>
      <c r="E1394" t="n">
        <v>951.23</v>
      </c>
      <c r="F1394" t="n">
        <v>1.53</v>
      </c>
      <c r="G1394" t="n">
        <v>14.55</v>
      </c>
      <c r="H1394" t="inlineStr">
        <is>
          <t>UPI</t>
        </is>
      </c>
      <c r="I1394" t="inlineStr">
        <is>
          <t>Unknown</t>
        </is>
      </c>
      <c r="J1394" t="inlineStr">
        <is>
          <t>Delivered</t>
        </is>
      </c>
      <c r="K1394" t="n">
        <v>0</v>
      </c>
      <c r="L1394" t="n">
        <v>0</v>
      </c>
      <c r="M1394" t="inlineStr">
        <is>
          <t>INR</t>
        </is>
      </c>
      <c r="N1394" t="inlineStr">
        <is>
          <t>2024-11-16 01:25:48</t>
        </is>
      </c>
    </row>
    <row r="1395">
      <c r="A1395" t="inlineStr">
        <is>
          <t>TXN00035233</t>
        </is>
      </c>
      <c r="B1395" t="inlineStr">
        <is>
          <t>MER00649</t>
        </is>
      </c>
      <c r="C1395" s="8" t="n">
        <v>45612</v>
      </c>
      <c r="D1395" t="inlineStr">
        <is>
          <t>ORD00035233</t>
        </is>
      </c>
      <c r="E1395" t="n">
        <v>1235.54</v>
      </c>
      <c r="F1395" t="n">
        <v>1.53</v>
      </c>
      <c r="G1395" t="n">
        <v>18.9</v>
      </c>
      <c r="H1395" t="inlineStr">
        <is>
          <t>UPI</t>
        </is>
      </c>
      <c r="I1395" t="inlineStr">
        <is>
          <t>Success</t>
        </is>
      </c>
      <c r="J1395" t="inlineStr">
        <is>
          <t>Delivered</t>
        </is>
      </c>
      <c r="K1395" t="n">
        <v>0</v>
      </c>
      <c r="L1395" t="n">
        <v>0</v>
      </c>
      <c r="M1395" t="inlineStr">
        <is>
          <t>INR</t>
        </is>
      </c>
      <c r="N1395" t="inlineStr">
        <is>
          <t>2024-11-16 19:34:54</t>
        </is>
      </c>
    </row>
    <row r="1396">
      <c r="A1396" t="inlineStr">
        <is>
          <t>TXN00036734</t>
        </is>
      </c>
      <c r="B1396" t="inlineStr">
        <is>
          <t>MER00649</t>
        </is>
      </c>
      <c r="C1396" s="8" t="n">
        <v>45616</v>
      </c>
      <c r="D1396" t="inlineStr">
        <is>
          <t>ORD00036734</t>
        </is>
      </c>
      <c r="E1396" t="n">
        <v>1696.43</v>
      </c>
      <c r="F1396" t="n">
        <v>1.53</v>
      </c>
      <c r="G1396" t="n">
        <v>25.96</v>
      </c>
      <c r="H1396" t="inlineStr">
        <is>
          <t>UPI</t>
        </is>
      </c>
      <c r="I1396" t="inlineStr">
        <is>
          <t>Success</t>
        </is>
      </c>
      <c r="J1396" t="inlineStr">
        <is>
          <t>Delivered</t>
        </is>
      </c>
      <c r="K1396" t="n">
        <v>0</v>
      </c>
      <c r="L1396" t="n">
        <v>0</v>
      </c>
      <c r="M1396" t="inlineStr">
        <is>
          <t>INR</t>
        </is>
      </c>
      <c r="N1396" t="inlineStr">
        <is>
          <t>2024-11-20 11:14:44</t>
        </is>
      </c>
    </row>
    <row r="1397">
      <c r="A1397" t="inlineStr">
        <is>
          <t>TXN00037749</t>
        </is>
      </c>
      <c r="B1397" t="inlineStr">
        <is>
          <t>MER00649</t>
        </is>
      </c>
      <c r="C1397" s="8" t="n">
        <v>45618</v>
      </c>
      <c r="D1397" t="inlineStr">
        <is>
          <t>ORD00037749</t>
        </is>
      </c>
      <c r="E1397" t="n">
        <v>434.56</v>
      </c>
      <c r="F1397" t="n">
        <v>1.53</v>
      </c>
      <c r="G1397" t="n">
        <v>6.65</v>
      </c>
      <c r="H1397" t="inlineStr">
        <is>
          <t>UPI</t>
        </is>
      </c>
      <c r="I1397" t="inlineStr">
        <is>
          <t>Success</t>
        </is>
      </c>
      <c r="J1397" t="inlineStr">
        <is>
          <t>Returned</t>
        </is>
      </c>
      <c r="K1397" t="n">
        <v>305.52</v>
      </c>
      <c r="L1397" t="n">
        <v>0</v>
      </c>
      <c r="M1397" t="inlineStr">
        <is>
          <t>INR</t>
        </is>
      </c>
      <c r="N1397" t="inlineStr">
        <is>
          <t>2024-11-22 03:47:00</t>
        </is>
      </c>
    </row>
    <row r="1398">
      <c r="A1398" t="inlineStr">
        <is>
          <t>TXN00037584</t>
        </is>
      </c>
      <c r="B1398" t="inlineStr">
        <is>
          <t>MER00649</t>
        </is>
      </c>
      <c r="C1398" s="8" t="n">
        <v>45618</v>
      </c>
      <c r="D1398" t="inlineStr">
        <is>
          <t>ORD00037584</t>
        </is>
      </c>
      <c r="E1398" t="n">
        <v>1118.97</v>
      </c>
      <c r="F1398" t="n">
        <v>1.53</v>
      </c>
      <c r="G1398" t="n">
        <v>17.12</v>
      </c>
      <c r="H1398" t="inlineStr">
        <is>
          <t>UPI</t>
        </is>
      </c>
      <c r="I1398" t="inlineStr">
        <is>
          <t>Success</t>
        </is>
      </c>
      <c r="J1398" t="inlineStr">
        <is>
          <t>Delivered</t>
        </is>
      </c>
      <c r="K1398" t="n">
        <v>0</v>
      </c>
      <c r="L1398" t="n">
        <v>0</v>
      </c>
      <c r="M1398" t="inlineStr">
        <is>
          <t>INR</t>
        </is>
      </c>
      <c r="N1398" t="inlineStr">
        <is>
          <t>2024-11-22 06:08:08</t>
        </is>
      </c>
    </row>
    <row r="1399">
      <c r="A1399" t="inlineStr">
        <is>
          <t>TXN00039177</t>
        </is>
      </c>
      <c r="B1399" t="inlineStr">
        <is>
          <t>MER00649</t>
        </is>
      </c>
      <c r="C1399" s="8" t="n">
        <v>45621</v>
      </c>
      <c r="D1399" t="inlineStr">
        <is>
          <t>ORD00039177</t>
        </is>
      </c>
      <c r="E1399" t="n">
        <v>1888.08</v>
      </c>
      <c r="F1399" t="n">
        <v>1.53</v>
      </c>
      <c r="G1399" t="n">
        <v>28.89</v>
      </c>
      <c r="H1399" t="inlineStr">
        <is>
          <t>UPI</t>
        </is>
      </c>
      <c r="I1399" t="inlineStr">
        <is>
          <t>Success</t>
        </is>
      </c>
      <c r="J1399" t="inlineStr">
        <is>
          <t>Delivered</t>
        </is>
      </c>
      <c r="K1399" t="n">
        <v>0</v>
      </c>
      <c r="L1399" t="n">
        <v>0</v>
      </c>
      <c r="M1399" t="inlineStr">
        <is>
          <t>INR</t>
        </is>
      </c>
      <c r="N1399" t="inlineStr">
        <is>
          <t>2024-11-25 09:29:19</t>
        </is>
      </c>
    </row>
    <row r="1400">
      <c r="A1400" t="inlineStr">
        <is>
          <t>TXN00039252</t>
        </is>
      </c>
      <c r="B1400" t="inlineStr">
        <is>
          <t>MER00649</t>
        </is>
      </c>
      <c r="C1400" s="8" t="n">
        <v>45621</v>
      </c>
      <c r="D1400" t="inlineStr">
        <is>
          <t>ORD00039252</t>
        </is>
      </c>
      <c r="E1400" t="n">
        <v>926.51</v>
      </c>
      <c r="F1400" t="n">
        <v>1.53</v>
      </c>
      <c r="G1400" t="n">
        <v>14.18</v>
      </c>
      <c r="H1400" t="inlineStr">
        <is>
          <t>COD</t>
        </is>
      </c>
      <c r="I1400" t="inlineStr">
        <is>
          <t>Success</t>
        </is>
      </c>
      <c r="J1400" t="inlineStr">
        <is>
          <t>Delivered</t>
        </is>
      </c>
      <c r="K1400" t="n">
        <v>0</v>
      </c>
      <c r="L1400" t="n">
        <v>0</v>
      </c>
      <c r="M1400" t="inlineStr">
        <is>
          <t>INR</t>
        </is>
      </c>
      <c r="N1400" t="inlineStr">
        <is>
          <t>2024-11-25 15:01:35</t>
        </is>
      </c>
    </row>
    <row r="1401">
      <c r="A1401" t="inlineStr">
        <is>
          <t>TXN00039798</t>
        </is>
      </c>
      <c r="B1401" t="inlineStr">
        <is>
          <t>MER00649</t>
        </is>
      </c>
      <c r="C1401" s="8" t="n">
        <v>45622</v>
      </c>
      <c r="D1401" t="inlineStr">
        <is>
          <t>ORD00039798</t>
        </is>
      </c>
      <c r="E1401" t="n">
        <v>1751.98</v>
      </c>
      <c r="F1401" t="n">
        <v>1.53</v>
      </c>
      <c r="G1401" t="n">
        <v>26.81</v>
      </c>
      <c r="H1401" t="inlineStr">
        <is>
          <t>UPI</t>
        </is>
      </c>
      <c r="I1401" t="inlineStr">
        <is>
          <t>Success</t>
        </is>
      </c>
      <c r="J1401" t="inlineStr">
        <is>
          <t>Delivered</t>
        </is>
      </c>
      <c r="K1401" t="n">
        <v>0</v>
      </c>
      <c r="L1401" t="n">
        <v>0</v>
      </c>
      <c r="M1401" t="inlineStr">
        <is>
          <t>INR</t>
        </is>
      </c>
      <c r="N1401" t="inlineStr">
        <is>
          <t>2024-11-26 23:34:53</t>
        </is>
      </c>
    </row>
    <row r="1402">
      <c r="A1402" t="inlineStr">
        <is>
          <t>TXN00040460</t>
        </is>
      </c>
      <c r="B1402" t="inlineStr">
        <is>
          <t>MER00649</t>
        </is>
      </c>
      <c r="C1402" s="8" t="n">
        <v>45624</v>
      </c>
      <c r="D1402" t="inlineStr">
        <is>
          <t>ORD00040460</t>
        </is>
      </c>
      <c r="E1402" t="n">
        <v>2517.75</v>
      </c>
      <c r="F1402" t="n">
        <v>1.53</v>
      </c>
      <c r="G1402" t="n">
        <v>38.52</v>
      </c>
      <c r="H1402" t="inlineStr">
        <is>
          <t>UPI</t>
        </is>
      </c>
      <c r="I1402" t="inlineStr">
        <is>
          <t>Success</t>
        </is>
      </c>
      <c r="J1402" t="inlineStr">
        <is>
          <t>Delivered</t>
        </is>
      </c>
      <c r="K1402" t="n">
        <v>0</v>
      </c>
      <c r="L1402" t="n">
        <v>0</v>
      </c>
      <c r="M1402" t="inlineStr">
        <is>
          <t>INR</t>
        </is>
      </c>
      <c r="N1402" t="inlineStr">
        <is>
          <t>2024-11-28 12:30:04</t>
        </is>
      </c>
    </row>
    <row r="1403">
      <c r="A1403" t="inlineStr">
        <is>
          <t>TXN00040390</t>
        </is>
      </c>
      <c r="B1403" t="inlineStr">
        <is>
          <t>MER00649</t>
        </is>
      </c>
      <c r="C1403" s="8" t="n">
        <v>45624</v>
      </c>
      <c r="D1403" t="inlineStr">
        <is>
          <t>ORD00040390</t>
        </is>
      </c>
      <c r="E1403" t="n">
        <v>1647.09</v>
      </c>
      <c r="F1403" t="n">
        <v>1.53</v>
      </c>
      <c r="G1403" t="n">
        <v>25.2</v>
      </c>
      <c r="H1403" t="inlineStr">
        <is>
          <t>UPI</t>
        </is>
      </c>
      <c r="I1403" t="inlineStr">
        <is>
          <t>Failed</t>
        </is>
      </c>
      <c r="J1403" t="inlineStr">
        <is>
          <t>Cancelled</t>
        </is>
      </c>
      <c r="K1403" t="n">
        <v>0</v>
      </c>
      <c r="L1403" t="n">
        <v>0</v>
      </c>
      <c r="M1403" t="inlineStr">
        <is>
          <t>INR</t>
        </is>
      </c>
      <c r="N1403" t="inlineStr">
        <is>
          <t>2024-11-28 01:13:10</t>
        </is>
      </c>
    </row>
    <row r="1404">
      <c r="A1404" t="inlineStr">
        <is>
          <t>TXN00041150</t>
        </is>
      </c>
      <c r="B1404" t="inlineStr">
        <is>
          <t>MER00649</t>
        </is>
      </c>
      <c r="C1404" s="8" t="n">
        <v>45625</v>
      </c>
      <c r="D1404" t="inlineStr">
        <is>
          <t>ORD00041150</t>
        </is>
      </c>
      <c r="E1404" t="n">
        <v>1524.99</v>
      </c>
      <c r="F1404" t="n">
        <v>1.53</v>
      </c>
      <c r="G1404" t="n">
        <v>23.33</v>
      </c>
      <c r="H1404" t="inlineStr">
        <is>
          <t>UPI</t>
        </is>
      </c>
      <c r="I1404" t="inlineStr">
        <is>
          <t>Success</t>
        </is>
      </c>
      <c r="J1404" t="inlineStr">
        <is>
          <t>Delivered</t>
        </is>
      </c>
      <c r="K1404" t="n">
        <v>0</v>
      </c>
      <c r="L1404" t="n">
        <v>0</v>
      </c>
      <c r="M1404" t="inlineStr">
        <is>
          <t>INR</t>
        </is>
      </c>
      <c r="N1404" t="inlineStr">
        <is>
          <t>2024-11-29 04:26:45</t>
        </is>
      </c>
    </row>
    <row r="1405">
      <c r="A1405" t="inlineStr">
        <is>
          <t>TXN00041128</t>
        </is>
      </c>
      <c r="B1405" t="inlineStr">
        <is>
          <t>MER00649</t>
        </is>
      </c>
      <c r="C1405" s="8" t="n">
        <v>45625</v>
      </c>
      <c r="D1405" t="inlineStr">
        <is>
          <t>ORD00041128</t>
        </is>
      </c>
      <c r="E1405" t="n">
        <v>1440.64</v>
      </c>
      <c r="F1405" t="n">
        <v>1.53</v>
      </c>
      <c r="G1405" t="n">
        <v>22.04</v>
      </c>
      <c r="H1405" t="inlineStr">
        <is>
          <t>NetBanking</t>
        </is>
      </c>
      <c r="I1405" t="inlineStr">
        <is>
          <t>Success</t>
        </is>
      </c>
      <c r="J1405" t="inlineStr">
        <is>
          <t>Delivered</t>
        </is>
      </c>
      <c r="K1405" t="n">
        <v>0</v>
      </c>
      <c r="L1405" t="n">
        <v>0</v>
      </c>
      <c r="M1405" t="inlineStr">
        <is>
          <t>INR</t>
        </is>
      </c>
      <c r="N1405" t="inlineStr">
        <is>
          <t>2024-11-29 20:37:27</t>
        </is>
      </c>
    </row>
    <row r="1406">
      <c r="A1406" t="inlineStr">
        <is>
          <t>TXN00042766</t>
        </is>
      </c>
      <c r="B1406" t="inlineStr">
        <is>
          <t>MER00649</t>
        </is>
      </c>
      <c r="C1406" s="8" t="n">
        <v>45630</v>
      </c>
      <c r="D1406" t="inlineStr">
        <is>
          <t>ORD00042766</t>
        </is>
      </c>
      <c r="E1406" t="n">
        <v>1361.13</v>
      </c>
      <c r="F1406" t="n">
        <v>1.53</v>
      </c>
      <c r="G1406" t="n">
        <v>20.83</v>
      </c>
      <c r="H1406" t="inlineStr">
        <is>
          <t>UPI</t>
        </is>
      </c>
      <c r="I1406" t="inlineStr">
        <is>
          <t>Success</t>
        </is>
      </c>
      <c r="J1406" t="inlineStr">
        <is>
          <t>Returned</t>
        </is>
      </c>
      <c r="K1406" t="n">
        <v>736.35</v>
      </c>
      <c r="L1406" t="n">
        <v>126.93</v>
      </c>
      <c r="M1406" t="inlineStr">
        <is>
          <t>INR</t>
        </is>
      </c>
      <c r="N1406" t="inlineStr">
        <is>
          <t>2024-12-04 12:44:21</t>
        </is>
      </c>
    </row>
    <row r="1407">
      <c r="A1407" t="inlineStr">
        <is>
          <t>TXN00043908</t>
        </is>
      </c>
      <c r="B1407" t="inlineStr">
        <is>
          <t>MER00649</t>
        </is>
      </c>
      <c r="C1407" s="8" t="n">
        <v>45634</v>
      </c>
      <c r="D1407" t="inlineStr">
        <is>
          <t>ORD00043908</t>
        </is>
      </c>
      <c r="E1407" t="n">
        <v>1078.43</v>
      </c>
      <c r="F1407" t="n">
        <v>1.53</v>
      </c>
      <c r="G1407" t="n">
        <v>16.5</v>
      </c>
      <c r="H1407" t="inlineStr">
        <is>
          <t>Card</t>
        </is>
      </c>
      <c r="I1407" t="inlineStr">
        <is>
          <t>Success</t>
        </is>
      </c>
      <c r="J1407" t="inlineStr">
        <is>
          <t>Delivered</t>
        </is>
      </c>
      <c r="K1407" t="n">
        <v>0</v>
      </c>
      <c r="L1407" t="n">
        <v>0</v>
      </c>
      <c r="M1407" t="inlineStr">
        <is>
          <t>INR</t>
        </is>
      </c>
      <c r="N1407" t="inlineStr">
        <is>
          <t>2024-12-08 07:56:54</t>
        </is>
      </c>
    </row>
    <row r="1408">
      <c r="A1408" t="inlineStr">
        <is>
          <t>TXN00044558</t>
        </is>
      </c>
      <c r="B1408" t="inlineStr">
        <is>
          <t>MER00649</t>
        </is>
      </c>
      <c r="C1408" s="8" t="n">
        <v>45636</v>
      </c>
      <c r="D1408" t="inlineStr">
        <is>
          <t>ORD00044558</t>
        </is>
      </c>
      <c r="E1408" t="n">
        <v>656.14</v>
      </c>
      <c r="F1408" t="n">
        <v>1.53</v>
      </c>
      <c r="G1408" t="n">
        <v>10.04</v>
      </c>
      <c r="H1408" t="inlineStr">
        <is>
          <t>UPI</t>
        </is>
      </c>
      <c r="I1408" t="inlineStr">
        <is>
          <t>Failed</t>
        </is>
      </c>
      <c r="J1408" t="inlineStr">
        <is>
          <t>Cancelled</t>
        </is>
      </c>
      <c r="K1408" t="n">
        <v>0</v>
      </c>
      <c r="L1408" t="n">
        <v>0</v>
      </c>
      <c r="M1408" t="inlineStr">
        <is>
          <t>INR</t>
        </is>
      </c>
      <c r="N1408" t="inlineStr">
        <is>
          <t>2024-12-10 19:00:11</t>
        </is>
      </c>
    </row>
    <row r="1409">
      <c r="A1409" t="inlineStr">
        <is>
          <t>TXN00047231</t>
        </is>
      </c>
      <c r="B1409" t="inlineStr">
        <is>
          <t>MER00649</t>
        </is>
      </c>
      <c r="C1409" s="8" t="n">
        <v>45645</v>
      </c>
      <c r="D1409" t="inlineStr">
        <is>
          <t>ORD00047231</t>
        </is>
      </c>
      <c r="E1409" t="n">
        <v>1013.39</v>
      </c>
      <c r="F1409" t="n">
        <v>1.53</v>
      </c>
      <c r="G1409" t="n">
        <v>15.5</v>
      </c>
      <c r="H1409" t="inlineStr">
        <is>
          <t>UPI</t>
        </is>
      </c>
      <c r="I1409" t="inlineStr">
        <is>
          <t>Success</t>
        </is>
      </c>
      <c r="J1409" t="inlineStr">
        <is>
          <t>Returned</t>
        </is>
      </c>
      <c r="K1409" t="n">
        <v>1013.39</v>
      </c>
      <c r="L1409" t="n">
        <v>0</v>
      </c>
      <c r="M1409" t="inlineStr">
        <is>
          <t>INR</t>
        </is>
      </c>
      <c r="N1409" t="inlineStr">
        <is>
          <t>2024-12-19 20:27:49</t>
        </is>
      </c>
    </row>
    <row r="1410">
      <c r="A1410" t="inlineStr">
        <is>
          <t>TXN00047687</t>
        </is>
      </c>
      <c r="B1410" t="inlineStr">
        <is>
          <t>MER00649</t>
        </is>
      </c>
      <c r="C1410" s="8" t="n">
        <v>45646</v>
      </c>
      <c r="D1410" t="inlineStr">
        <is>
          <t>ORD00047687</t>
        </is>
      </c>
      <c r="E1410" t="n">
        <v>965.03</v>
      </c>
      <c r="F1410" t="n">
        <v>1.53</v>
      </c>
      <c r="G1410" t="n">
        <v>14.76</v>
      </c>
      <c r="H1410" t="inlineStr">
        <is>
          <t>UPI</t>
        </is>
      </c>
      <c r="I1410" t="inlineStr">
        <is>
          <t>Success</t>
        </is>
      </c>
      <c r="J1410" t="inlineStr">
        <is>
          <t>Delivered</t>
        </is>
      </c>
      <c r="K1410" t="n">
        <v>0</v>
      </c>
      <c r="L1410" t="n">
        <v>0</v>
      </c>
      <c r="M1410" t="inlineStr">
        <is>
          <t>INR</t>
        </is>
      </c>
      <c r="N1410" t="inlineStr">
        <is>
          <t>2024-12-20 06:52:29</t>
        </is>
      </c>
    </row>
    <row r="1411">
      <c r="A1411" t="inlineStr">
        <is>
          <t>TXN00048037</t>
        </is>
      </c>
      <c r="B1411" t="inlineStr">
        <is>
          <t>MER00649</t>
        </is>
      </c>
      <c r="C1411" s="8" t="n">
        <v>45647</v>
      </c>
      <c r="D1411" t="inlineStr">
        <is>
          <t>ORD00048037</t>
        </is>
      </c>
      <c r="E1411" t="n">
        <v>1647.68</v>
      </c>
      <c r="F1411" t="n">
        <v>1.53</v>
      </c>
      <c r="G1411" t="n">
        <v>25.21</v>
      </c>
      <c r="H1411" t="inlineStr">
        <is>
          <t>NetBanking</t>
        </is>
      </c>
      <c r="I1411" t="inlineStr">
        <is>
          <t>Success</t>
        </is>
      </c>
      <c r="J1411" t="inlineStr">
        <is>
          <t>Returned</t>
        </is>
      </c>
      <c r="K1411" t="n">
        <v>1237.99</v>
      </c>
      <c r="L1411" t="n">
        <v>0</v>
      </c>
      <c r="M1411" t="inlineStr">
        <is>
          <t>INR</t>
        </is>
      </c>
      <c r="N1411" t="inlineStr">
        <is>
          <t>2024-12-21 03:50:18</t>
        </is>
      </c>
    </row>
    <row r="1412">
      <c r="A1412" t="inlineStr">
        <is>
          <t>TXN00048360</t>
        </is>
      </c>
      <c r="B1412" t="inlineStr">
        <is>
          <t>MER00649</t>
        </is>
      </c>
      <c r="C1412" s="8" t="n">
        <v>45648</v>
      </c>
      <c r="D1412" t="inlineStr">
        <is>
          <t>ORD00048360</t>
        </is>
      </c>
      <c r="E1412" t="n">
        <v>1383.48</v>
      </c>
      <c r="F1412" t="n">
        <v>1.53</v>
      </c>
      <c r="G1412" t="n">
        <v>21.17</v>
      </c>
      <c r="H1412" t="inlineStr">
        <is>
          <t>Wallet</t>
        </is>
      </c>
      <c r="I1412" t="inlineStr">
        <is>
          <t>Success</t>
        </is>
      </c>
      <c r="J1412" t="inlineStr">
        <is>
          <t>Returned</t>
        </is>
      </c>
      <c r="K1412" t="n">
        <v>1383.48</v>
      </c>
      <c r="L1412" t="n">
        <v>0</v>
      </c>
      <c r="M1412" t="inlineStr">
        <is>
          <t>INR</t>
        </is>
      </c>
      <c r="N1412" t="inlineStr">
        <is>
          <t>2024-12-22 06:40:06</t>
        </is>
      </c>
    </row>
    <row r="1413">
      <c r="A1413" t="inlineStr">
        <is>
          <t>TXN00048691</t>
        </is>
      </c>
      <c r="B1413" t="inlineStr">
        <is>
          <t>MER00649</t>
        </is>
      </c>
      <c r="C1413" s="8" t="n">
        <v>45649</v>
      </c>
      <c r="D1413" t="inlineStr">
        <is>
          <t>ORD00048691</t>
        </is>
      </c>
      <c r="E1413" t="n">
        <v>2380.72</v>
      </c>
      <c r="F1413" t="n">
        <v>1.53</v>
      </c>
      <c r="G1413" t="n">
        <v>36.43</v>
      </c>
      <c r="H1413" t="inlineStr">
        <is>
          <t>UPI</t>
        </is>
      </c>
      <c r="I1413" t="inlineStr">
        <is>
          <t>Pending</t>
        </is>
      </c>
      <c r="J1413" t="inlineStr">
        <is>
          <t>Processing</t>
        </is>
      </c>
      <c r="K1413" t="n">
        <v>0</v>
      </c>
      <c r="L1413" t="n">
        <v>0</v>
      </c>
      <c r="M1413" t="inlineStr">
        <is>
          <t>INR</t>
        </is>
      </c>
      <c r="N1413" t="inlineStr">
        <is>
          <t>2024-12-23 19:14:33</t>
        </is>
      </c>
    </row>
    <row r="1414">
      <c r="A1414" t="inlineStr">
        <is>
          <t>TXN00051171</t>
        </is>
      </c>
      <c r="B1414" t="inlineStr">
        <is>
          <t>MER00649</t>
        </is>
      </c>
      <c r="C1414" s="8" t="n">
        <v>45657</v>
      </c>
      <c r="D1414" t="inlineStr">
        <is>
          <t>ORD00051171</t>
        </is>
      </c>
      <c r="E1414" t="n">
        <v>1273.91</v>
      </c>
      <c r="F1414" t="n">
        <v>1.53</v>
      </c>
      <c r="G1414" t="n">
        <v>19.49</v>
      </c>
      <c r="H1414" t="inlineStr">
        <is>
          <t>Card</t>
        </is>
      </c>
      <c r="I1414" t="inlineStr">
        <is>
          <t>Success</t>
        </is>
      </c>
      <c r="J1414" t="inlineStr">
        <is>
          <t>Delivered</t>
        </is>
      </c>
      <c r="K1414" t="n">
        <v>0</v>
      </c>
      <c r="L1414" t="n">
        <v>0</v>
      </c>
      <c r="M1414" t="inlineStr">
        <is>
          <t>INR</t>
        </is>
      </c>
      <c r="N1414" t="inlineStr">
        <is>
          <t>2024-12-31 20:54:21</t>
        </is>
      </c>
    </row>
    <row r="1415">
      <c r="A1415" t="inlineStr">
        <is>
          <t>TXN00051348</t>
        </is>
      </c>
      <c r="B1415" t="inlineStr">
        <is>
          <t>MER00649</t>
        </is>
      </c>
      <c r="C1415" s="8" t="n">
        <v>45658</v>
      </c>
      <c r="D1415" t="inlineStr">
        <is>
          <t>ORD00051348</t>
        </is>
      </c>
      <c r="E1415" t="n">
        <v>1140.22</v>
      </c>
      <c r="F1415" t="n">
        <v>1.53</v>
      </c>
      <c r="G1415" t="n">
        <v>17.45</v>
      </c>
      <c r="H1415" t="inlineStr">
        <is>
          <t>UPI</t>
        </is>
      </c>
      <c r="I1415" t="inlineStr">
        <is>
          <t>Success</t>
        </is>
      </c>
      <c r="J1415" t="inlineStr">
        <is>
          <t>Delivered</t>
        </is>
      </c>
      <c r="K1415" t="n">
        <v>0</v>
      </c>
      <c r="L1415" t="n">
        <v>0</v>
      </c>
      <c r="M1415" t="inlineStr">
        <is>
          <t>INR</t>
        </is>
      </c>
      <c r="N1415" t="inlineStr">
        <is>
          <t>2025-01-01 10:12:48</t>
        </is>
      </c>
    </row>
    <row r="1416">
      <c r="A1416" t="inlineStr">
        <is>
          <t>TXN00051244</t>
        </is>
      </c>
      <c r="B1416" t="inlineStr">
        <is>
          <t>MER00649</t>
        </is>
      </c>
      <c r="C1416" s="8" t="n">
        <v>45658</v>
      </c>
      <c r="D1416" t="inlineStr">
        <is>
          <t>ORD00051244</t>
        </is>
      </c>
      <c r="E1416" t="n">
        <v>1636.48</v>
      </c>
      <c r="F1416" t="n">
        <v>1.53</v>
      </c>
      <c r="G1416" t="n">
        <v>25.04</v>
      </c>
      <c r="H1416" t="inlineStr">
        <is>
          <t>NetBanking</t>
        </is>
      </c>
      <c r="I1416" t="inlineStr">
        <is>
          <t>Success</t>
        </is>
      </c>
      <c r="J1416" t="inlineStr">
        <is>
          <t>Delivered</t>
        </is>
      </c>
      <c r="K1416" t="n">
        <v>0</v>
      </c>
      <c r="L1416" t="n">
        <v>0</v>
      </c>
      <c r="M1416" t="inlineStr">
        <is>
          <t>INR</t>
        </is>
      </c>
      <c r="N1416" t="inlineStr">
        <is>
          <t>2025-01-01 18:06:05</t>
        </is>
      </c>
    </row>
    <row r="1417">
      <c r="A1417" t="inlineStr">
        <is>
          <t>TXN00052338</t>
        </is>
      </c>
      <c r="B1417" t="inlineStr">
        <is>
          <t>MER00649</t>
        </is>
      </c>
      <c r="C1417" s="8" t="n">
        <v>45660</v>
      </c>
      <c r="D1417" t="inlineStr">
        <is>
          <t>ORD00052338</t>
        </is>
      </c>
      <c r="E1417" t="n">
        <v>543.61</v>
      </c>
      <c r="F1417" t="n">
        <v>1.53</v>
      </c>
      <c r="G1417" t="n">
        <v>8.32</v>
      </c>
      <c r="H1417" t="inlineStr">
        <is>
          <t>UPI</t>
        </is>
      </c>
      <c r="I1417" t="inlineStr">
        <is>
          <t>Success</t>
        </is>
      </c>
      <c r="J1417" t="inlineStr">
        <is>
          <t>Delivered</t>
        </is>
      </c>
      <c r="K1417" t="n">
        <v>0</v>
      </c>
      <c r="L1417" t="n">
        <v>0</v>
      </c>
      <c r="M1417" t="inlineStr">
        <is>
          <t>INR</t>
        </is>
      </c>
      <c r="N1417" t="inlineStr">
        <is>
          <t>2025-01-03 03:57:24</t>
        </is>
      </c>
    </row>
    <row r="1418">
      <c r="A1418" t="inlineStr">
        <is>
          <t>TXN00053807</t>
        </is>
      </c>
      <c r="B1418" t="inlineStr">
        <is>
          <t>MER00649</t>
        </is>
      </c>
      <c r="C1418" s="8" t="n">
        <v>45664</v>
      </c>
      <c r="D1418" t="inlineStr">
        <is>
          <t>ORD00053807</t>
        </is>
      </c>
      <c r="E1418" t="n">
        <v>1881.23</v>
      </c>
      <c r="F1418" t="n">
        <v>1.53</v>
      </c>
      <c r="G1418" t="n">
        <v>28.78</v>
      </c>
      <c r="H1418" t="inlineStr">
        <is>
          <t>UPI</t>
        </is>
      </c>
      <c r="I1418" t="inlineStr">
        <is>
          <t>Success</t>
        </is>
      </c>
      <c r="J1418" t="inlineStr">
        <is>
          <t>Delivered</t>
        </is>
      </c>
      <c r="K1418" t="n">
        <v>0</v>
      </c>
      <c r="L1418" t="n">
        <v>0</v>
      </c>
      <c r="M1418" t="inlineStr">
        <is>
          <t>INR</t>
        </is>
      </c>
      <c r="N1418" t="inlineStr">
        <is>
          <t>2025-01-07 11:09:59</t>
        </is>
      </c>
    </row>
    <row r="1419">
      <c r="A1419" t="inlineStr">
        <is>
          <t>TXN00054653</t>
        </is>
      </c>
      <c r="B1419" t="inlineStr">
        <is>
          <t>MER00649</t>
        </is>
      </c>
      <c r="C1419" s="8" t="n">
        <v>45667</v>
      </c>
      <c r="D1419" t="inlineStr">
        <is>
          <t>ORD00054653</t>
        </is>
      </c>
      <c r="E1419" t="n">
        <v>846.99</v>
      </c>
      <c r="F1419" t="n">
        <v>1.53</v>
      </c>
      <c r="G1419" t="n">
        <v>12.96</v>
      </c>
      <c r="H1419" t="inlineStr">
        <is>
          <t>UPI</t>
        </is>
      </c>
      <c r="I1419" t="inlineStr">
        <is>
          <t>Failed</t>
        </is>
      </c>
      <c r="J1419" t="inlineStr">
        <is>
          <t>Cancelled</t>
        </is>
      </c>
      <c r="K1419" t="n">
        <v>0</v>
      </c>
      <c r="L1419" t="n">
        <v>0</v>
      </c>
      <c r="M1419" t="inlineStr">
        <is>
          <t>INR</t>
        </is>
      </c>
      <c r="N1419" t="inlineStr">
        <is>
          <t>2025-01-10 03:24:30</t>
        </is>
      </c>
    </row>
    <row r="1420">
      <c r="A1420" t="inlineStr">
        <is>
          <t>TXN00056802</t>
        </is>
      </c>
      <c r="B1420" t="inlineStr">
        <is>
          <t>MER00649</t>
        </is>
      </c>
      <c r="C1420" s="8" t="n">
        <v>45672</v>
      </c>
      <c r="D1420" t="inlineStr">
        <is>
          <t>ORD00056802</t>
        </is>
      </c>
      <c r="E1420" t="n">
        <v>1247.75</v>
      </c>
      <c r="F1420" t="n">
        <v>1.53</v>
      </c>
      <c r="G1420" t="n">
        <v>19.09</v>
      </c>
      <c r="H1420" t="inlineStr">
        <is>
          <t>UPI</t>
        </is>
      </c>
      <c r="I1420" t="inlineStr">
        <is>
          <t>Failed</t>
        </is>
      </c>
      <c r="J1420" t="inlineStr">
        <is>
          <t>Cancelled</t>
        </is>
      </c>
      <c r="K1420" t="n">
        <v>0</v>
      </c>
      <c r="L1420" t="n">
        <v>0</v>
      </c>
      <c r="M1420" t="inlineStr">
        <is>
          <t>INR</t>
        </is>
      </c>
      <c r="N1420" t="inlineStr">
        <is>
          <t>2025-01-15 07:51:09</t>
        </is>
      </c>
    </row>
    <row r="1421">
      <c r="A1421" t="inlineStr">
        <is>
          <t>TXN00057376</t>
        </is>
      </c>
      <c r="B1421" t="inlineStr">
        <is>
          <t>MER00649</t>
        </is>
      </c>
      <c r="C1421" s="8" t="n">
        <v>45674</v>
      </c>
      <c r="D1421" t="inlineStr">
        <is>
          <t>ORD00057376</t>
        </is>
      </c>
      <c r="E1421" t="n">
        <v>2482.65</v>
      </c>
      <c r="F1421" t="n">
        <v>1.53</v>
      </c>
      <c r="G1421" t="n">
        <v>37.98</v>
      </c>
      <c r="H1421" t="inlineStr">
        <is>
          <t>NetBanking</t>
        </is>
      </c>
      <c r="I1421" t="inlineStr">
        <is>
          <t>Success</t>
        </is>
      </c>
      <c r="J1421" t="inlineStr">
        <is>
          <t>Delivered</t>
        </is>
      </c>
      <c r="K1421" t="n">
        <v>0</v>
      </c>
      <c r="L1421" t="n">
        <v>0</v>
      </c>
      <c r="M1421" t="inlineStr">
        <is>
          <t>INR</t>
        </is>
      </c>
      <c r="N1421" t="inlineStr">
        <is>
          <t>2025-01-17 12:57:37</t>
        </is>
      </c>
    </row>
    <row r="1422">
      <c r="A1422" t="inlineStr">
        <is>
          <t>TXN00057333</t>
        </is>
      </c>
      <c r="B1422" t="inlineStr">
        <is>
          <t>MER00649</t>
        </is>
      </c>
      <c r="C1422" s="8" t="n">
        <v>45674</v>
      </c>
      <c r="D1422" t="inlineStr">
        <is>
          <t>ORD00057333</t>
        </is>
      </c>
      <c r="E1422" t="n">
        <v>382.71</v>
      </c>
      <c r="F1422" t="n">
        <v>1.53</v>
      </c>
      <c r="G1422" t="n">
        <v>5.86</v>
      </c>
      <c r="H1422" t="inlineStr">
        <is>
          <t>UPI</t>
        </is>
      </c>
      <c r="I1422" t="inlineStr">
        <is>
          <t>Success</t>
        </is>
      </c>
      <c r="J1422" t="inlineStr">
        <is>
          <t>Returned</t>
        </is>
      </c>
      <c r="K1422" t="n">
        <v>382.71</v>
      </c>
      <c r="L1422" t="n">
        <v>0</v>
      </c>
      <c r="M1422" t="inlineStr">
        <is>
          <t>INR</t>
        </is>
      </c>
      <c r="N1422" t="inlineStr">
        <is>
          <t>2025-01-17 07:51:36</t>
        </is>
      </c>
    </row>
    <row r="1423">
      <c r="A1423" t="inlineStr">
        <is>
          <t>TXN00057854</t>
        </is>
      </c>
      <c r="B1423" t="inlineStr">
        <is>
          <t>MER00649</t>
        </is>
      </c>
      <c r="C1423" s="8" t="n">
        <v>45675</v>
      </c>
      <c r="D1423" t="inlineStr">
        <is>
          <t>ORD00057854</t>
        </is>
      </c>
      <c r="E1423" t="n">
        <v>734.67</v>
      </c>
      <c r="F1423" t="n">
        <v>1.53</v>
      </c>
      <c r="G1423" t="n">
        <v>11.24</v>
      </c>
      <c r="H1423" t="inlineStr">
        <is>
          <t>NetBanking</t>
        </is>
      </c>
      <c r="I1423" t="inlineStr">
        <is>
          <t>Success</t>
        </is>
      </c>
      <c r="J1423" t="inlineStr">
        <is>
          <t>Delivered</t>
        </is>
      </c>
      <c r="K1423" t="n">
        <v>0</v>
      </c>
      <c r="L1423" t="n">
        <v>0</v>
      </c>
      <c r="M1423" t="inlineStr">
        <is>
          <t>INR</t>
        </is>
      </c>
      <c r="N1423" t="inlineStr">
        <is>
          <t>2025-01-18 07:55:24</t>
        </is>
      </c>
    </row>
    <row r="1424">
      <c r="A1424" t="inlineStr">
        <is>
          <t>TXN00060228</t>
        </is>
      </c>
      <c r="B1424" t="inlineStr">
        <is>
          <t>MER00649</t>
        </is>
      </c>
      <c r="C1424" s="8" t="n">
        <v>45681</v>
      </c>
      <c r="D1424" t="inlineStr">
        <is>
          <t>ORD00060228</t>
        </is>
      </c>
      <c r="E1424" t="n">
        <v>1495.16</v>
      </c>
      <c r="F1424" t="n">
        <v>1.53</v>
      </c>
      <c r="G1424" t="n">
        <v>22.88</v>
      </c>
      <c r="H1424" t="inlineStr">
        <is>
          <t>UPI</t>
        </is>
      </c>
      <c r="I1424" t="inlineStr">
        <is>
          <t>Success</t>
        </is>
      </c>
      <c r="J1424" t="inlineStr">
        <is>
          <t>Delivered</t>
        </is>
      </c>
      <c r="K1424" t="n">
        <v>0</v>
      </c>
      <c r="L1424" t="n">
        <v>0</v>
      </c>
      <c r="M1424" t="inlineStr">
        <is>
          <t>INR</t>
        </is>
      </c>
      <c r="N1424" t="inlineStr">
        <is>
          <t>2025-01-24 01:54:16</t>
        </is>
      </c>
    </row>
    <row r="1425">
      <c r="A1425" t="inlineStr">
        <is>
          <t>TXN00061247</t>
        </is>
      </c>
      <c r="B1425" t="inlineStr">
        <is>
          <t>MER00649</t>
        </is>
      </c>
      <c r="C1425" s="8" t="n">
        <v>45684</v>
      </c>
      <c r="D1425" t="inlineStr">
        <is>
          <t>ORD00061247</t>
        </is>
      </c>
      <c r="E1425" t="n">
        <v>2558.01</v>
      </c>
      <c r="F1425" t="n">
        <v>1.53</v>
      </c>
      <c r="G1425" t="n">
        <v>39.14</v>
      </c>
      <c r="H1425" t="inlineStr">
        <is>
          <t>Card</t>
        </is>
      </c>
      <c r="I1425" t="inlineStr">
        <is>
          <t>Pending</t>
        </is>
      </c>
      <c r="J1425" t="inlineStr">
        <is>
          <t>Processing</t>
        </is>
      </c>
      <c r="K1425" t="n">
        <v>0</v>
      </c>
      <c r="L1425" t="n">
        <v>0</v>
      </c>
      <c r="M1425" t="inlineStr">
        <is>
          <t>INR</t>
        </is>
      </c>
      <c r="N1425" t="inlineStr">
        <is>
          <t>2025-01-27 15:29:10</t>
        </is>
      </c>
    </row>
    <row r="1426">
      <c r="A1426" t="inlineStr">
        <is>
          <t>TXN00061189</t>
        </is>
      </c>
      <c r="B1426" t="inlineStr">
        <is>
          <t>MER00649</t>
        </is>
      </c>
      <c r="C1426" s="8" t="n">
        <v>45684</v>
      </c>
      <c r="D1426" t="inlineStr">
        <is>
          <t>ORD00061189</t>
        </is>
      </c>
      <c r="E1426" t="n">
        <v>1417.24</v>
      </c>
      <c r="F1426" t="n">
        <v>1.53</v>
      </c>
      <c r="G1426" t="n">
        <v>21.68</v>
      </c>
      <c r="H1426" t="inlineStr">
        <is>
          <t>UPI</t>
        </is>
      </c>
      <c r="I1426" t="inlineStr">
        <is>
          <t>Success</t>
        </is>
      </c>
      <c r="J1426" t="inlineStr">
        <is>
          <t>Cancelled</t>
        </is>
      </c>
      <c r="K1426" t="n">
        <v>1248.58</v>
      </c>
      <c r="L1426" t="n">
        <v>0</v>
      </c>
      <c r="M1426" t="inlineStr">
        <is>
          <t>INR</t>
        </is>
      </c>
      <c r="N1426" t="inlineStr">
        <is>
          <t>2025-01-27 02:52:03</t>
        </is>
      </c>
    </row>
    <row r="1427">
      <c r="A1427" t="inlineStr">
        <is>
          <t>TXN00061292</t>
        </is>
      </c>
      <c r="B1427" t="inlineStr">
        <is>
          <t>MER00649</t>
        </is>
      </c>
      <c r="C1427" s="8" t="n">
        <v>45684</v>
      </c>
      <c r="D1427" t="inlineStr">
        <is>
          <t>ORD00061292</t>
        </is>
      </c>
      <c r="E1427" t="n">
        <v>1877.86</v>
      </c>
      <c r="F1427" t="n">
        <v>1.53</v>
      </c>
      <c r="G1427" t="n">
        <v>28.73</v>
      </c>
      <c r="H1427" t="inlineStr">
        <is>
          <t>UPI</t>
        </is>
      </c>
      <c r="I1427" t="inlineStr">
        <is>
          <t>Success</t>
        </is>
      </c>
      <c r="J1427" t="inlineStr">
        <is>
          <t>Delivered</t>
        </is>
      </c>
      <c r="K1427" t="n">
        <v>0</v>
      </c>
      <c r="L1427" t="n">
        <v>0</v>
      </c>
      <c r="M1427" t="inlineStr">
        <is>
          <t>INR</t>
        </is>
      </c>
      <c r="N1427" t="inlineStr">
        <is>
          <t>2025-01-27 19:19:00</t>
        </is>
      </c>
    </row>
    <row r="1428">
      <c r="A1428" t="inlineStr">
        <is>
          <t>TXN00062893</t>
        </is>
      </c>
      <c r="B1428" t="inlineStr">
        <is>
          <t>MER00649</t>
        </is>
      </c>
      <c r="C1428" s="8" t="n">
        <v>45688</v>
      </c>
      <c r="D1428" t="inlineStr">
        <is>
          <t>ORD00062893</t>
        </is>
      </c>
      <c r="E1428" t="n">
        <v>1690.09</v>
      </c>
      <c r="F1428" t="n">
        <v>1.53</v>
      </c>
      <c r="G1428" t="n">
        <v>25.86</v>
      </c>
      <c r="H1428" t="inlineStr">
        <is>
          <t>Card</t>
        </is>
      </c>
      <c r="I1428" t="inlineStr">
        <is>
          <t>Success</t>
        </is>
      </c>
      <c r="J1428" t="inlineStr">
        <is>
          <t>Delivered</t>
        </is>
      </c>
      <c r="K1428" t="n">
        <v>0</v>
      </c>
      <c r="L1428" t="n">
        <v>0</v>
      </c>
      <c r="M1428" t="inlineStr">
        <is>
          <t>INR</t>
        </is>
      </c>
      <c r="N1428" t="inlineStr">
        <is>
          <t>2025-01-31 02:13:54</t>
        </is>
      </c>
    </row>
    <row r="1429">
      <c r="A1429" t="inlineStr">
        <is>
          <t>TXN00063424</t>
        </is>
      </c>
      <c r="B1429" t="inlineStr">
        <is>
          <t>MER00649</t>
        </is>
      </c>
      <c r="C1429" s="8" t="n">
        <v>45690</v>
      </c>
      <c r="D1429" t="inlineStr">
        <is>
          <t>ORD00063424</t>
        </is>
      </c>
      <c r="E1429" t="n">
        <v>3283.12</v>
      </c>
      <c r="F1429" t="n">
        <v>1.53</v>
      </c>
      <c r="G1429" t="n">
        <v>50.23</v>
      </c>
      <c r="H1429" t="inlineStr">
        <is>
          <t>UPI</t>
        </is>
      </c>
      <c r="I1429" t="inlineStr">
        <is>
          <t>Success</t>
        </is>
      </c>
      <c r="J1429" t="inlineStr">
        <is>
          <t>Delivered</t>
        </is>
      </c>
      <c r="K1429" t="n">
        <v>0</v>
      </c>
      <c r="L1429" t="n">
        <v>0</v>
      </c>
      <c r="M1429" t="inlineStr">
        <is>
          <t>INR</t>
        </is>
      </c>
      <c r="N1429" t="inlineStr">
        <is>
          <t>2025-02-02 16:34:56</t>
        </is>
      </c>
    </row>
    <row r="1430">
      <c r="A1430" t="inlineStr">
        <is>
          <t>TXN00065352</t>
        </is>
      </c>
      <c r="B1430" t="inlineStr">
        <is>
          <t>MER00649</t>
        </is>
      </c>
      <c r="C1430" s="8" t="n">
        <v>45696</v>
      </c>
      <c r="D1430" t="inlineStr">
        <is>
          <t>ORD00065352</t>
        </is>
      </c>
      <c r="E1430" t="n">
        <v>2391.76</v>
      </c>
      <c r="F1430" t="n">
        <v>1.53</v>
      </c>
      <c r="G1430" t="n">
        <v>36.59</v>
      </c>
      <c r="H1430" t="inlineStr">
        <is>
          <t>UPI</t>
        </is>
      </c>
      <c r="I1430" t="inlineStr">
        <is>
          <t>Success</t>
        </is>
      </c>
      <c r="J1430" t="inlineStr">
        <is>
          <t>Delivered</t>
        </is>
      </c>
      <c r="K1430" t="n">
        <v>0</v>
      </c>
      <c r="L1430" t="n">
        <v>0</v>
      </c>
      <c r="M1430" t="inlineStr">
        <is>
          <t>INR</t>
        </is>
      </c>
      <c r="N1430" t="inlineStr">
        <is>
          <t>2025-02-08 17:08:18</t>
        </is>
      </c>
    </row>
    <row r="1431">
      <c r="A1431" t="inlineStr">
        <is>
          <t>TXN00065744</t>
        </is>
      </c>
      <c r="B1431" t="inlineStr">
        <is>
          <t>MER00649</t>
        </is>
      </c>
      <c r="C1431" s="8" t="n">
        <v>45697</v>
      </c>
      <c r="D1431" t="inlineStr">
        <is>
          <t>ORD00065744</t>
        </is>
      </c>
      <c r="E1431" t="n">
        <v>807.1900000000001</v>
      </c>
      <c r="F1431" t="n">
        <v>1.53</v>
      </c>
      <c r="G1431" t="n">
        <v>12.35</v>
      </c>
      <c r="H1431" t="inlineStr">
        <is>
          <t>Card</t>
        </is>
      </c>
      <c r="I1431" t="inlineStr">
        <is>
          <t>Pending</t>
        </is>
      </c>
      <c r="J1431" t="inlineStr">
        <is>
          <t>Processing</t>
        </is>
      </c>
      <c r="K1431" t="n">
        <v>0</v>
      </c>
      <c r="L1431" t="n">
        <v>0</v>
      </c>
      <c r="M1431" t="inlineStr">
        <is>
          <t>INR</t>
        </is>
      </c>
      <c r="N1431" t="inlineStr">
        <is>
          <t>2025-02-09 12:41:52</t>
        </is>
      </c>
    </row>
    <row r="1432">
      <c r="A1432" t="inlineStr">
        <is>
          <t>TXN00065855</t>
        </is>
      </c>
      <c r="B1432" t="inlineStr">
        <is>
          <t>MER00649</t>
        </is>
      </c>
      <c r="C1432" s="8" t="n">
        <v>45697</v>
      </c>
      <c r="D1432" t="inlineStr">
        <is>
          <t>ORD00065855</t>
        </is>
      </c>
      <c r="E1432" t="n">
        <v>897.41</v>
      </c>
      <c r="F1432" t="n">
        <v>1.53</v>
      </c>
      <c r="G1432" t="n">
        <v>13.73</v>
      </c>
      <c r="H1432" t="inlineStr">
        <is>
          <t>UPI</t>
        </is>
      </c>
      <c r="I1432" t="inlineStr">
        <is>
          <t>Success</t>
        </is>
      </c>
      <c r="J1432" t="inlineStr">
        <is>
          <t>Delivered</t>
        </is>
      </c>
      <c r="K1432" t="n">
        <v>0</v>
      </c>
      <c r="L1432" t="n">
        <v>0</v>
      </c>
      <c r="M1432" t="inlineStr">
        <is>
          <t>INR</t>
        </is>
      </c>
      <c r="N1432" t="inlineStr">
        <is>
          <t>2025-02-09 04:30:00</t>
        </is>
      </c>
    </row>
    <row r="1433">
      <c r="A1433" t="inlineStr">
        <is>
          <t>TXN00066062</t>
        </is>
      </c>
      <c r="B1433" t="inlineStr">
        <is>
          <t>MER00649</t>
        </is>
      </c>
      <c r="C1433" s="8" t="n">
        <v>45698</v>
      </c>
      <c r="D1433" t="inlineStr">
        <is>
          <t>ORD00066062</t>
        </is>
      </c>
      <c r="E1433" t="n">
        <v>696.85</v>
      </c>
      <c r="F1433" t="n">
        <v>1.53</v>
      </c>
      <c r="G1433" t="n">
        <v>10.66</v>
      </c>
      <c r="H1433" t="inlineStr">
        <is>
          <t>UPI</t>
        </is>
      </c>
      <c r="I1433" t="inlineStr">
        <is>
          <t>Success</t>
        </is>
      </c>
      <c r="J1433" t="inlineStr">
        <is>
          <t>Delivered</t>
        </is>
      </c>
      <c r="K1433" t="n">
        <v>0</v>
      </c>
      <c r="L1433" t="n">
        <v>0</v>
      </c>
      <c r="M1433" t="inlineStr">
        <is>
          <t>INR</t>
        </is>
      </c>
      <c r="N1433" t="inlineStr">
        <is>
          <t>2025-02-10 22:35:01</t>
        </is>
      </c>
    </row>
    <row r="1434">
      <c r="A1434" t="inlineStr">
        <is>
          <t>TXN00066058</t>
        </is>
      </c>
      <c r="B1434" t="inlineStr">
        <is>
          <t>MER00649</t>
        </is>
      </c>
      <c r="C1434" s="8" t="n">
        <v>45698</v>
      </c>
      <c r="D1434" t="inlineStr">
        <is>
          <t>ORD00066058</t>
        </is>
      </c>
      <c r="E1434" t="n">
        <v>1463.25</v>
      </c>
      <c r="F1434" t="n">
        <v>1.53</v>
      </c>
      <c r="G1434" t="n">
        <v>22.39</v>
      </c>
      <c r="H1434" t="inlineStr">
        <is>
          <t>UPI</t>
        </is>
      </c>
      <c r="I1434" t="inlineStr">
        <is>
          <t>Success</t>
        </is>
      </c>
      <c r="J1434" t="inlineStr">
        <is>
          <t>Delivered</t>
        </is>
      </c>
      <c r="K1434" t="n">
        <v>0</v>
      </c>
      <c r="L1434" t="n">
        <v>84.52</v>
      </c>
      <c r="M1434" t="inlineStr">
        <is>
          <t>INR</t>
        </is>
      </c>
      <c r="N1434" t="inlineStr">
        <is>
          <t>2025-02-10 02:20:06</t>
        </is>
      </c>
    </row>
    <row r="1435">
      <c r="A1435" t="inlineStr">
        <is>
          <t>TXN00066609</t>
        </is>
      </c>
      <c r="B1435" t="inlineStr">
        <is>
          <t>MER00649</t>
        </is>
      </c>
      <c r="C1435" s="8" t="n">
        <v>45699</v>
      </c>
      <c r="D1435" t="inlineStr">
        <is>
          <t>ORD00066609</t>
        </is>
      </c>
      <c r="E1435" t="n">
        <v>2619.71</v>
      </c>
      <c r="F1435" t="n">
        <v>1.53</v>
      </c>
      <c r="G1435" t="n">
        <v>40.08</v>
      </c>
      <c r="H1435" t="inlineStr">
        <is>
          <t>UPI</t>
        </is>
      </c>
      <c r="I1435" t="inlineStr">
        <is>
          <t>Success</t>
        </is>
      </c>
      <c r="J1435" t="inlineStr">
        <is>
          <t>Delivered</t>
        </is>
      </c>
      <c r="K1435" t="n">
        <v>0</v>
      </c>
      <c r="L1435" t="n">
        <v>0</v>
      </c>
      <c r="M1435" t="inlineStr">
        <is>
          <t>INR</t>
        </is>
      </c>
      <c r="N1435" t="inlineStr">
        <is>
          <t>2025-02-11 20:36:01</t>
        </is>
      </c>
    </row>
    <row r="1436">
      <c r="A1436" t="inlineStr">
        <is>
          <t>TXN00067141</t>
        </is>
      </c>
      <c r="B1436" t="inlineStr">
        <is>
          <t>MER00649</t>
        </is>
      </c>
      <c r="C1436" s="8" t="n">
        <v>45701</v>
      </c>
      <c r="D1436" t="inlineStr">
        <is>
          <t>ORD00067141</t>
        </is>
      </c>
      <c r="E1436" t="n">
        <v>1267.07</v>
      </c>
      <c r="F1436" t="n">
        <v>1.53</v>
      </c>
      <c r="G1436" t="n">
        <v>19.39</v>
      </c>
      <c r="H1436" t="inlineStr">
        <is>
          <t>Card</t>
        </is>
      </c>
      <c r="I1436" t="inlineStr">
        <is>
          <t>Success</t>
        </is>
      </c>
      <c r="J1436" t="inlineStr">
        <is>
          <t>Delivered</t>
        </is>
      </c>
      <c r="K1436" t="n">
        <v>0</v>
      </c>
      <c r="L1436" t="n">
        <v>71.45999999999999</v>
      </c>
      <c r="M1436" t="inlineStr">
        <is>
          <t>INR</t>
        </is>
      </c>
      <c r="N1436" t="inlineStr">
        <is>
          <t>2025-02-13 08:32:14</t>
        </is>
      </c>
    </row>
    <row r="1437">
      <c r="A1437" t="inlineStr">
        <is>
          <t>TXN00067385</t>
        </is>
      </c>
      <c r="B1437" t="inlineStr">
        <is>
          <t>MER00649</t>
        </is>
      </c>
      <c r="C1437" s="8" t="n">
        <v>45702</v>
      </c>
      <c r="D1437" t="inlineStr">
        <is>
          <t>ORD00067385</t>
        </is>
      </c>
      <c r="E1437" t="n">
        <v>1957.54</v>
      </c>
      <c r="F1437" t="n">
        <v>1.53</v>
      </c>
      <c r="G1437" t="n">
        <v>29.95</v>
      </c>
      <c r="H1437" t="inlineStr">
        <is>
          <t>UPI</t>
        </is>
      </c>
      <c r="I1437" t="inlineStr">
        <is>
          <t>Success</t>
        </is>
      </c>
      <c r="J1437" t="inlineStr">
        <is>
          <t>Delivered</t>
        </is>
      </c>
      <c r="K1437" t="n">
        <v>0</v>
      </c>
      <c r="L1437" t="n">
        <v>0</v>
      </c>
      <c r="M1437" t="inlineStr">
        <is>
          <t>INR</t>
        </is>
      </c>
      <c r="N1437" t="inlineStr">
        <is>
          <t>2025-02-14 04:25:47</t>
        </is>
      </c>
    </row>
    <row r="1438">
      <c r="A1438" t="inlineStr">
        <is>
          <t>TXN00069879</t>
        </is>
      </c>
      <c r="B1438" t="inlineStr">
        <is>
          <t>MER00649</t>
        </is>
      </c>
      <c r="C1438" s="8" t="n">
        <v>45709</v>
      </c>
      <c r="D1438" t="inlineStr">
        <is>
          <t>ORD00069879</t>
        </is>
      </c>
      <c r="E1438" t="n">
        <v>1486.65</v>
      </c>
      <c r="F1438" t="n">
        <v>1.53</v>
      </c>
      <c r="G1438" t="n">
        <v>22.75</v>
      </c>
      <c r="H1438" t="inlineStr">
        <is>
          <t>Card</t>
        </is>
      </c>
      <c r="I1438" t="inlineStr">
        <is>
          <t>Success</t>
        </is>
      </c>
      <c r="J1438" t="inlineStr">
        <is>
          <t>Delivered</t>
        </is>
      </c>
      <c r="K1438" t="n">
        <v>0</v>
      </c>
      <c r="L1438" t="n">
        <v>0</v>
      </c>
      <c r="M1438" t="inlineStr">
        <is>
          <t>INR</t>
        </is>
      </c>
      <c r="N1438" t="inlineStr">
        <is>
          <t>2025-02-21 14:16:40</t>
        </is>
      </c>
    </row>
    <row r="1439">
      <c r="A1439" t="inlineStr">
        <is>
          <t>TXN00070529</t>
        </is>
      </c>
      <c r="B1439" t="inlineStr">
        <is>
          <t>MER00649</t>
        </is>
      </c>
      <c r="C1439" s="8" t="n">
        <v>45711</v>
      </c>
      <c r="D1439" t="inlineStr">
        <is>
          <t>ORD00070529</t>
        </is>
      </c>
      <c r="E1439" t="n">
        <v>431.78</v>
      </c>
      <c r="F1439" t="n">
        <v>1.53</v>
      </c>
      <c r="G1439" t="n">
        <v>6.61</v>
      </c>
      <c r="H1439" t="inlineStr">
        <is>
          <t>UPI</t>
        </is>
      </c>
      <c r="I1439" t="inlineStr">
        <is>
          <t>Success</t>
        </is>
      </c>
      <c r="J1439" t="inlineStr">
        <is>
          <t>Delivered</t>
        </is>
      </c>
      <c r="K1439" t="n">
        <v>0</v>
      </c>
      <c r="L1439" t="n">
        <v>0</v>
      </c>
      <c r="M1439" t="inlineStr">
        <is>
          <t>INR</t>
        </is>
      </c>
      <c r="N1439" t="inlineStr">
        <is>
          <t>2025-02-23 03:17:36</t>
        </is>
      </c>
    </row>
    <row r="1440">
      <c r="A1440" t="inlineStr">
        <is>
          <t>TXN00071912</t>
        </is>
      </c>
      <c r="B1440" t="inlineStr">
        <is>
          <t>MER00649</t>
        </is>
      </c>
      <c r="C1440" s="8" t="n">
        <v>45715</v>
      </c>
      <c r="D1440" t="inlineStr">
        <is>
          <t>ORD00071912</t>
        </is>
      </c>
      <c r="E1440" t="n">
        <v>2522.61</v>
      </c>
      <c r="F1440" t="n">
        <v>1.53</v>
      </c>
      <c r="G1440" t="n">
        <v>38.6</v>
      </c>
      <c r="H1440" t="inlineStr">
        <is>
          <t>Card</t>
        </is>
      </c>
      <c r="I1440" t="inlineStr">
        <is>
          <t>Pending</t>
        </is>
      </c>
      <c r="J1440" t="inlineStr">
        <is>
          <t>Processing</t>
        </is>
      </c>
      <c r="K1440" t="n">
        <v>0</v>
      </c>
      <c r="L1440" t="n">
        <v>0</v>
      </c>
      <c r="M1440" t="inlineStr">
        <is>
          <t>INR</t>
        </is>
      </c>
      <c r="N1440" t="inlineStr">
        <is>
          <t>2025-02-27 19:46:02</t>
        </is>
      </c>
    </row>
    <row r="1441">
      <c r="A1441" t="inlineStr">
        <is>
          <t>TXN00072325</t>
        </is>
      </c>
      <c r="B1441" t="inlineStr">
        <is>
          <t>MER00649</t>
        </is>
      </c>
      <c r="C1441" s="8" t="n">
        <v>45716</v>
      </c>
      <c r="D1441" t="inlineStr">
        <is>
          <t>ORD00072325</t>
        </is>
      </c>
      <c r="E1441" t="n">
        <v>2484.56</v>
      </c>
      <c r="F1441" t="n">
        <v>1.53</v>
      </c>
      <c r="G1441" t="n">
        <v>38.01</v>
      </c>
      <c r="H1441" t="inlineStr">
        <is>
          <t>COD</t>
        </is>
      </c>
      <c r="I1441" t="inlineStr">
        <is>
          <t>Success</t>
        </is>
      </c>
      <c r="J1441" t="inlineStr">
        <is>
          <t>Delivered</t>
        </is>
      </c>
      <c r="K1441" t="n">
        <v>0</v>
      </c>
      <c r="L1441" t="n">
        <v>0</v>
      </c>
      <c r="M1441" t="inlineStr">
        <is>
          <t>INR</t>
        </is>
      </c>
      <c r="N1441" t="inlineStr">
        <is>
          <t>2025-02-28 02:47:43</t>
        </is>
      </c>
    </row>
    <row r="1442">
      <c r="A1442" t="inlineStr">
        <is>
          <t>TXN00072213</t>
        </is>
      </c>
      <c r="B1442" t="inlineStr">
        <is>
          <t>MER00649</t>
        </is>
      </c>
      <c r="C1442" s="8" t="n">
        <v>45716</v>
      </c>
      <c r="D1442" t="inlineStr">
        <is>
          <t>ORD00072213</t>
        </is>
      </c>
      <c r="E1442" t="n">
        <v>1057.15</v>
      </c>
      <c r="F1442" t="n">
        <v>1.53</v>
      </c>
      <c r="G1442" t="n">
        <v>16.17</v>
      </c>
      <c r="H1442" t="inlineStr">
        <is>
          <t>UPI</t>
        </is>
      </c>
      <c r="I1442" t="inlineStr">
        <is>
          <t>Success</t>
        </is>
      </c>
      <c r="J1442" t="inlineStr">
        <is>
          <t>Delivered</t>
        </is>
      </c>
      <c r="K1442" t="n">
        <v>0</v>
      </c>
      <c r="L1442" t="n">
        <v>188.02</v>
      </c>
      <c r="M1442" t="inlineStr">
        <is>
          <t>INR</t>
        </is>
      </c>
      <c r="N1442" t="inlineStr">
        <is>
          <t>2025-02-28 16:28:40</t>
        </is>
      </c>
    </row>
    <row r="1443">
      <c r="A1443" t="inlineStr">
        <is>
          <t>TXN00074646</t>
        </is>
      </c>
      <c r="B1443" t="inlineStr">
        <is>
          <t>MER00649</t>
        </is>
      </c>
      <c r="C1443" s="8" t="n">
        <v>45724</v>
      </c>
      <c r="D1443" t="inlineStr">
        <is>
          <t>ORD00074646</t>
        </is>
      </c>
      <c r="E1443" t="n">
        <v>2684.11</v>
      </c>
      <c r="F1443" t="n">
        <v>1.53</v>
      </c>
      <c r="G1443" t="n">
        <v>41.07</v>
      </c>
      <c r="H1443" t="inlineStr">
        <is>
          <t>UPI</t>
        </is>
      </c>
      <c r="I1443" t="inlineStr">
        <is>
          <t>Success</t>
        </is>
      </c>
      <c r="J1443" t="inlineStr">
        <is>
          <t>Delivered</t>
        </is>
      </c>
      <c r="K1443" t="n">
        <v>0</v>
      </c>
      <c r="L1443" t="n">
        <v>0</v>
      </c>
      <c r="M1443" t="inlineStr">
        <is>
          <t>INR</t>
        </is>
      </c>
      <c r="N1443" t="inlineStr">
        <is>
          <t>2025-03-08 18:25:45</t>
        </is>
      </c>
    </row>
    <row r="1444">
      <c r="A1444" t="inlineStr">
        <is>
          <t>TXN00076004</t>
        </is>
      </c>
      <c r="B1444" t="inlineStr">
        <is>
          <t>MER00649</t>
        </is>
      </c>
      <c r="C1444" s="8" t="n">
        <v>45728</v>
      </c>
      <c r="D1444" t="inlineStr">
        <is>
          <t>ORD00076004</t>
        </is>
      </c>
      <c r="E1444" t="n">
        <v>2074.45</v>
      </c>
      <c r="F1444" t="n">
        <v>1.53</v>
      </c>
      <c r="G1444" t="n">
        <v>31.74</v>
      </c>
      <c r="H1444" t="inlineStr">
        <is>
          <t>Wallet</t>
        </is>
      </c>
      <c r="I1444" t="inlineStr">
        <is>
          <t>Pending</t>
        </is>
      </c>
      <c r="J1444" t="inlineStr">
        <is>
          <t>Processing</t>
        </is>
      </c>
      <c r="K1444" t="n">
        <v>0</v>
      </c>
      <c r="L1444" t="n">
        <v>0</v>
      </c>
      <c r="M1444" t="inlineStr">
        <is>
          <t>INR</t>
        </is>
      </c>
      <c r="N1444" t="inlineStr">
        <is>
          <t>2025-03-12 00:47:26</t>
        </is>
      </c>
    </row>
    <row r="1445">
      <c r="A1445" t="inlineStr">
        <is>
          <t>TXN00077024</t>
        </is>
      </c>
      <c r="B1445" t="inlineStr">
        <is>
          <t>MER00649</t>
        </is>
      </c>
      <c r="C1445" s="8" t="n">
        <v>45731</v>
      </c>
      <c r="D1445" t="inlineStr">
        <is>
          <t>ORD00077024</t>
        </is>
      </c>
      <c r="E1445" t="n">
        <v>2169.78</v>
      </c>
      <c r="F1445" t="n">
        <v>1.53</v>
      </c>
      <c r="G1445" t="n">
        <v>33.2</v>
      </c>
      <c r="H1445" t="inlineStr">
        <is>
          <t>UPI</t>
        </is>
      </c>
      <c r="I1445" t="inlineStr">
        <is>
          <t>Success</t>
        </is>
      </c>
      <c r="J1445" t="inlineStr">
        <is>
          <t>Delivered</t>
        </is>
      </c>
      <c r="K1445" t="n">
        <v>0</v>
      </c>
      <c r="L1445" t="n">
        <v>0</v>
      </c>
      <c r="M1445" t="inlineStr">
        <is>
          <t>INR</t>
        </is>
      </c>
      <c r="N1445" t="inlineStr">
        <is>
          <t>2025-03-15 03:37:16</t>
        </is>
      </c>
    </row>
    <row r="1446">
      <c r="A1446" t="inlineStr">
        <is>
          <t>TXN00077045</t>
        </is>
      </c>
      <c r="B1446" t="inlineStr">
        <is>
          <t>MER00649</t>
        </is>
      </c>
      <c r="C1446" s="8" t="n">
        <v>45731</v>
      </c>
      <c r="D1446" t="inlineStr">
        <is>
          <t>ORD00077045</t>
        </is>
      </c>
      <c r="E1446" t="n">
        <v>1300.45</v>
      </c>
      <c r="F1446" t="n">
        <v>1.53</v>
      </c>
      <c r="G1446" t="n">
        <v>19.9</v>
      </c>
      <c r="H1446" t="inlineStr">
        <is>
          <t>Card</t>
        </is>
      </c>
      <c r="I1446" t="inlineStr">
        <is>
          <t>Success</t>
        </is>
      </c>
      <c r="J1446" t="inlineStr">
        <is>
          <t>Delivered</t>
        </is>
      </c>
      <c r="K1446" t="n">
        <v>0</v>
      </c>
      <c r="L1446" t="n">
        <v>0</v>
      </c>
      <c r="M1446" t="inlineStr">
        <is>
          <t>INR</t>
        </is>
      </c>
      <c r="N1446" t="inlineStr">
        <is>
          <t>2025-03-15 09:45:53</t>
        </is>
      </c>
    </row>
    <row r="1447">
      <c r="A1447" t="inlineStr">
        <is>
          <t>TXN00077631</t>
        </is>
      </c>
      <c r="B1447" t="inlineStr">
        <is>
          <t>MER00649</t>
        </is>
      </c>
      <c r="C1447" s="8" t="n">
        <v>45733</v>
      </c>
      <c r="D1447" t="inlineStr">
        <is>
          <t>ORD00077631</t>
        </is>
      </c>
      <c r="E1447" t="n">
        <v>1904.25</v>
      </c>
      <c r="F1447" t="n">
        <v>1.53</v>
      </c>
      <c r="G1447" t="n">
        <v>29.14</v>
      </c>
      <c r="H1447" t="inlineStr">
        <is>
          <t>Card</t>
        </is>
      </c>
      <c r="I1447" t="inlineStr">
        <is>
          <t>Success</t>
        </is>
      </c>
      <c r="J1447" t="inlineStr">
        <is>
          <t>Delivered</t>
        </is>
      </c>
      <c r="K1447" t="n">
        <v>0</v>
      </c>
      <c r="L1447" t="n">
        <v>0</v>
      </c>
      <c r="M1447" t="inlineStr">
        <is>
          <t>INR</t>
        </is>
      </c>
      <c r="N1447" t="inlineStr">
        <is>
          <t>2025-03-17 20:00:55</t>
        </is>
      </c>
    </row>
    <row r="1448">
      <c r="A1448" t="inlineStr">
        <is>
          <t>TXN00078981</t>
        </is>
      </c>
      <c r="B1448" t="inlineStr">
        <is>
          <t>MER00649</t>
        </is>
      </c>
      <c r="C1448" s="8" t="n">
        <v>45738</v>
      </c>
      <c r="D1448" t="inlineStr">
        <is>
          <t>ORD00078981</t>
        </is>
      </c>
      <c r="E1448" t="n">
        <v>2165.8</v>
      </c>
      <c r="F1448" t="n">
        <v>1.53</v>
      </c>
      <c r="G1448" t="n">
        <v>33.14</v>
      </c>
      <c r="H1448" t="inlineStr">
        <is>
          <t>Card</t>
        </is>
      </c>
      <c r="I1448" t="inlineStr">
        <is>
          <t>Unknown</t>
        </is>
      </c>
      <c r="J1448" t="inlineStr">
        <is>
          <t>Processing</t>
        </is>
      </c>
      <c r="K1448" t="n">
        <v>0</v>
      </c>
      <c r="L1448" t="n">
        <v>0</v>
      </c>
      <c r="M1448" t="inlineStr">
        <is>
          <t>INR</t>
        </is>
      </c>
      <c r="N1448" t="inlineStr">
        <is>
          <t>2025-03-22 07:13:28</t>
        </is>
      </c>
    </row>
    <row r="1449">
      <c r="A1449" t="inlineStr">
        <is>
          <t>TXN00079883</t>
        </is>
      </c>
      <c r="B1449" t="inlineStr">
        <is>
          <t>MER00649</t>
        </is>
      </c>
      <c r="C1449" s="8" t="n">
        <v>45740</v>
      </c>
      <c r="D1449" t="inlineStr">
        <is>
          <t>ORD00079883</t>
        </is>
      </c>
      <c r="E1449" t="n">
        <v>1592.99</v>
      </c>
      <c r="F1449" t="n">
        <v>1.53</v>
      </c>
      <c r="G1449" t="n">
        <v>24.37</v>
      </c>
      <c r="H1449" t="inlineStr">
        <is>
          <t>UPI</t>
        </is>
      </c>
      <c r="I1449" t="inlineStr">
        <is>
          <t>Success</t>
        </is>
      </c>
      <c r="J1449" t="inlineStr">
        <is>
          <t>Delivered</t>
        </is>
      </c>
      <c r="K1449" t="n">
        <v>0</v>
      </c>
      <c r="L1449" t="n">
        <v>0</v>
      </c>
      <c r="M1449" t="inlineStr">
        <is>
          <t>INR</t>
        </is>
      </c>
      <c r="N1449" t="inlineStr">
        <is>
          <t>2025-03-24 19:47:18</t>
        </is>
      </c>
    </row>
    <row r="1450">
      <c r="A1450" t="inlineStr">
        <is>
          <t>TXN00080046</t>
        </is>
      </c>
      <c r="B1450" t="inlineStr">
        <is>
          <t>MER00649</t>
        </is>
      </c>
      <c r="C1450" s="8" t="n">
        <v>45741</v>
      </c>
      <c r="D1450" t="inlineStr">
        <is>
          <t>ORD00080046</t>
        </is>
      </c>
      <c r="E1450" t="n">
        <v>743.21</v>
      </c>
      <c r="F1450" t="n">
        <v>1.53</v>
      </c>
      <c r="G1450" t="n">
        <v>11.37</v>
      </c>
      <c r="H1450" t="inlineStr">
        <is>
          <t>UPI</t>
        </is>
      </c>
      <c r="I1450" t="inlineStr">
        <is>
          <t>Success</t>
        </is>
      </c>
      <c r="J1450" t="inlineStr">
        <is>
          <t>Delivered</t>
        </is>
      </c>
      <c r="K1450" t="n">
        <v>0</v>
      </c>
      <c r="L1450" t="n">
        <v>0</v>
      </c>
      <c r="M1450" t="inlineStr">
        <is>
          <t>INR</t>
        </is>
      </c>
      <c r="N1450" t="inlineStr">
        <is>
          <t>2025-03-25 17:46:21</t>
        </is>
      </c>
    </row>
    <row r="1451">
      <c r="A1451" t="inlineStr">
        <is>
          <t>TXN00080316</t>
        </is>
      </c>
      <c r="B1451" t="inlineStr">
        <is>
          <t>MER00649</t>
        </is>
      </c>
      <c r="C1451" s="8" t="n">
        <v>45742</v>
      </c>
      <c r="D1451" t="inlineStr">
        <is>
          <t>ORD00080316</t>
        </is>
      </c>
      <c r="E1451" t="n">
        <v>690.15</v>
      </c>
      <c r="F1451" t="n">
        <v>1.53</v>
      </c>
      <c r="G1451" t="n">
        <v>10.56</v>
      </c>
      <c r="H1451" t="inlineStr">
        <is>
          <t>UPI</t>
        </is>
      </c>
      <c r="I1451" t="inlineStr">
        <is>
          <t>Success</t>
        </is>
      </c>
      <c r="J1451" t="inlineStr">
        <is>
          <t>Delivered</t>
        </is>
      </c>
      <c r="K1451" t="n">
        <v>0</v>
      </c>
      <c r="L1451" t="n">
        <v>105.2</v>
      </c>
      <c r="M1451" t="inlineStr">
        <is>
          <t>INR</t>
        </is>
      </c>
      <c r="N1451" t="inlineStr">
        <is>
          <t>2025-03-26 03:52:40</t>
        </is>
      </c>
    </row>
    <row r="1452">
      <c r="A1452" t="inlineStr">
        <is>
          <t>TXN00082335</t>
        </is>
      </c>
      <c r="B1452" t="inlineStr">
        <is>
          <t>MER00649</t>
        </is>
      </c>
      <c r="C1452" s="8" t="n">
        <v>45748</v>
      </c>
      <c r="D1452" t="inlineStr">
        <is>
          <t>ORD00082335</t>
        </is>
      </c>
      <c r="E1452" t="n">
        <v>527.29</v>
      </c>
      <c r="F1452" t="n">
        <v>1.53</v>
      </c>
      <c r="G1452" t="n">
        <v>8.07</v>
      </c>
      <c r="H1452" t="inlineStr">
        <is>
          <t>UPI</t>
        </is>
      </c>
      <c r="I1452" t="inlineStr">
        <is>
          <t>Success</t>
        </is>
      </c>
      <c r="J1452" t="inlineStr">
        <is>
          <t>Delivered</t>
        </is>
      </c>
      <c r="K1452" t="n">
        <v>0</v>
      </c>
      <c r="L1452" t="n">
        <v>96.65000000000001</v>
      </c>
      <c r="M1452" t="inlineStr">
        <is>
          <t>INR</t>
        </is>
      </c>
      <c r="N1452" t="inlineStr">
        <is>
          <t>2025-04-01 12:43:42</t>
        </is>
      </c>
    </row>
    <row r="1453">
      <c r="A1453" t="inlineStr">
        <is>
          <t>TXN00084594</t>
        </is>
      </c>
      <c r="B1453" t="inlineStr">
        <is>
          <t>MER00649</t>
        </is>
      </c>
      <c r="C1453" s="8" t="n">
        <v>45755</v>
      </c>
      <c r="D1453" t="inlineStr">
        <is>
          <t>ORD00084594</t>
        </is>
      </c>
      <c r="E1453" t="n">
        <v>777.3</v>
      </c>
      <c r="F1453" t="n">
        <v>1.53</v>
      </c>
      <c r="G1453" t="n">
        <v>11.89</v>
      </c>
      <c r="H1453" t="inlineStr">
        <is>
          <t>UPI</t>
        </is>
      </c>
      <c r="I1453" t="inlineStr">
        <is>
          <t>Success</t>
        </is>
      </c>
      <c r="J1453" t="inlineStr">
        <is>
          <t>Delivered</t>
        </is>
      </c>
      <c r="K1453" t="n">
        <v>0</v>
      </c>
      <c r="L1453" t="n">
        <v>0</v>
      </c>
      <c r="M1453" t="inlineStr">
        <is>
          <t>INR</t>
        </is>
      </c>
      <c r="N1453" t="inlineStr">
        <is>
          <t>2025-04-08 16:08:32</t>
        </is>
      </c>
    </row>
    <row r="1454">
      <c r="A1454" t="inlineStr">
        <is>
          <t>TXN00085238</t>
        </is>
      </c>
      <c r="B1454" t="inlineStr">
        <is>
          <t>MER00649</t>
        </is>
      </c>
      <c r="C1454" s="8" t="n">
        <v>45757</v>
      </c>
      <c r="D1454" t="inlineStr">
        <is>
          <t>ORD00085238</t>
        </is>
      </c>
      <c r="E1454" t="n">
        <v>6561.71</v>
      </c>
      <c r="F1454" t="n">
        <v>1.53</v>
      </c>
      <c r="G1454" t="n">
        <v>100.39</v>
      </c>
      <c r="H1454" t="inlineStr">
        <is>
          <t>UPI</t>
        </is>
      </c>
      <c r="I1454" t="inlineStr">
        <is>
          <t>Success</t>
        </is>
      </c>
      <c r="J1454" t="inlineStr">
        <is>
          <t>Delivered</t>
        </is>
      </c>
      <c r="K1454" t="n">
        <v>0</v>
      </c>
      <c r="L1454" t="n">
        <v>0</v>
      </c>
      <c r="M1454" t="inlineStr">
        <is>
          <t>INR</t>
        </is>
      </c>
      <c r="N1454" t="inlineStr">
        <is>
          <t>2025-04-10 17:04:26</t>
        </is>
      </c>
    </row>
    <row r="1455">
      <c r="A1455" t="inlineStr">
        <is>
          <t>TXN00086488</t>
        </is>
      </c>
      <c r="B1455" t="inlineStr">
        <is>
          <t>MER00649</t>
        </is>
      </c>
      <c r="C1455" s="8" t="n">
        <v>45761</v>
      </c>
      <c r="D1455" t="inlineStr">
        <is>
          <t>ORD00086488</t>
        </is>
      </c>
      <c r="E1455" t="n">
        <v>941.05</v>
      </c>
      <c r="F1455" t="n">
        <v>1.53</v>
      </c>
      <c r="G1455" t="n">
        <v>14.4</v>
      </c>
      <c r="H1455" t="inlineStr">
        <is>
          <t>UPI</t>
        </is>
      </c>
      <c r="I1455" t="inlineStr">
        <is>
          <t>Success</t>
        </is>
      </c>
      <c r="J1455" t="inlineStr">
        <is>
          <t>Delivered</t>
        </is>
      </c>
      <c r="K1455" t="n">
        <v>0</v>
      </c>
      <c r="L1455" t="n">
        <v>0</v>
      </c>
      <c r="M1455" t="inlineStr">
        <is>
          <t>INR</t>
        </is>
      </c>
      <c r="N1455" t="inlineStr">
        <is>
          <t>2025-04-14 21:55:12</t>
        </is>
      </c>
    </row>
    <row r="1456">
      <c r="A1456" t="inlineStr">
        <is>
          <t>TXN00087923</t>
        </is>
      </c>
      <c r="B1456" t="inlineStr">
        <is>
          <t>MER00649</t>
        </is>
      </c>
      <c r="C1456" s="8" t="n">
        <v>45765</v>
      </c>
      <c r="D1456" t="inlineStr">
        <is>
          <t>ORD00087923</t>
        </is>
      </c>
      <c r="E1456" t="n">
        <v>1563.94</v>
      </c>
      <c r="F1456" t="n">
        <v>1.53</v>
      </c>
      <c r="G1456" t="n">
        <v>23.93</v>
      </c>
      <c r="H1456" t="inlineStr">
        <is>
          <t>UPI</t>
        </is>
      </c>
      <c r="I1456" t="inlineStr">
        <is>
          <t>Success</t>
        </is>
      </c>
      <c r="J1456" t="inlineStr">
        <is>
          <t>Delivered</t>
        </is>
      </c>
      <c r="K1456" t="n">
        <v>0</v>
      </c>
      <c r="L1456" t="n">
        <v>0</v>
      </c>
      <c r="M1456" t="inlineStr">
        <is>
          <t>INR</t>
        </is>
      </c>
      <c r="N1456" t="inlineStr">
        <is>
          <t>2025-04-18 04:01:41</t>
        </is>
      </c>
    </row>
    <row r="1457">
      <c r="A1457" t="inlineStr">
        <is>
          <t>TXN00087829</t>
        </is>
      </c>
      <c r="B1457" t="inlineStr">
        <is>
          <t>MER00649</t>
        </is>
      </c>
      <c r="C1457" s="8" t="n">
        <v>45765</v>
      </c>
      <c r="D1457" t="inlineStr">
        <is>
          <t>ORD00087829</t>
        </is>
      </c>
      <c r="E1457" t="n">
        <v>1194.08</v>
      </c>
      <c r="F1457" t="n">
        <v>1.53</v>
      </c>
      <c r="G1457" t="n">
        <v>18.27</v>
      </c>
      <c r="H1457" t="inlineStr">
        <is>
          <t>UPI</t>
        </is>
      </c>
      <c r="I1457" t="inlineStr">
        <is>
          <t>Success</t>
        </is>
      </c>
      <c r="J1457" t="inlineStr">
        <is>
          <t>Delivered</t>
        </is>
      </c>
      <c r="K1457" t="n">
        <v>0</v>
      </c>
      <c r="L1457" t="n">
        <v>0</v>
      </c>
      <c r="M1457" t="inlineStr">
        <is>
          <t>INR</t>
        </is>
      </c>
      <c r="N1457" t="inlineStr">
        <is>
          <t>2025-04-18 06:38:17</t>
        </is>
      </c>
    </row>
    <row r="1458">
      <c r="A1458" t="inlineStr">
        <is>
          <t>TXN00090650</t>
        </is>
      </c>
      <c r="B1458" t="inlineStr">
        <is>
          <t>MER00649</t>
        </is>
      </c>
      <c r="C1458" s="8" t="n">
        <v>45773</v>
      </c>
      <c r="D1458" t="inlineStr">
        <is>
          <t>ORD00090650</t>
        </is>
      </c>
      <c r="E1458" t="n">
        <v>1090.18</v>
      </c>
      <c r="F1458" t="n">
        <v>1.53</v>
      </c>
      <c r="G1458" t="n">
        <v>16.68</v>
      </c>
      <c r="H1458" t="inlineStr">
        <is>
          <t>UPI</t>
        </is>
      </c>
      <c r="I1458" t="inlineStr">
        <is>
          <t>Success</t>
        </is>
      </c>
      <c r="J1458" t="inlineStr">
        <is>
          <t>Delivered</t>
        </is>
      </c>
      <c r="K1458" t="n">
        <v>0</v>
      </c>
      <c r="L1458" t="n">
        <v>0</v>
      </c>
      <c r="M1458" t="inlineStr">
        <is>
          <t>INR</t>
        </is>
      </c>
      <c r="N1458" t="inlineStr">
        <is>
          <t>2025-04-26 19:20:04</t>
        </is>
      </c>
    </row>
    <row r="1459">
      <c r="A1459" t="inlineStr">
        <is>
          <t>TXN00090761</t>
        </is>
      </c>
      <c r="B1459" t="inlineStr">
        <is>
          <t>MER00649</t>
        </is>
      </c>
      <c r="C1459" s="8" t="n">
        <v>45774</v>
      </c>
      <c r="D1459" t="inlineStr">
        <is>
          <t>ORD00090761</t>
        </is>
      </c>
      <c r="E1459" t="n">
        <v>504.63</v>
      </c>
      <c r="F1459" t="n">
        <v>1.53</v>
      </c>
      <c r="G1459" t="n">
        <v>7.72</v>
      </c>
      <c r="H1459" t="inlineStr">
        <is>
          <t>UPI</t>
        </is>
      </c>
      <c r="I1459" t="inlineStr">
        <is>
          <t>Success</t>
        </is>
      </c>
      <c r="J1459" t="inlineStr">
        <is>
          <t>Delivered</t>
        </is>
      </c>
      <c r="K1459" t="n">
        <v>0</v>
      </c>
      <c r="L1459" t="n">
        <v>0</v>
      </c>
      <c r="M1459" t="inlineStr">
        <is>
          <t>INR</t>
        </is>
      </c>
      <c r="N1459" t="inlineStr">
        <is>
          <t>2025-04-27 18:54:59</t>
        </is>
      </c>
    </row>
    <row r="1460">
      <c r="A1460" t="inlineStr">
        <is>
          <t>TXN00092871</t>
        </is>
      </c>
      <c r="B1460" t="inlineStr">
        <is>
          <t>MER00649</t>
        </is>
      </c>
      <c r="C1460" s="8" t="n">
        <v>45780</v>
      </c>
      <c r="D1460" t="inlineStr">
        <is>
          <t>ORD00092871</t>
        </is>
      </c>
      <c r="E1460" t="n">
        <v>1617.12</v>
      </c>
      <c r="F1460" t="n">
        <v>1.53</v>
      </c>
      <c r="G1460" t="n">
        <v>24.74</v>
      </c>
      <c r="H1460" t="inlineStr">
        <is>
          <t>NetBanking</t>
        </is>
      </c>
      <c r="I1460" t="inlineStr">
        <is>
          <t>Success</t>
        </is>
      </c>
      <c r="J1460" t="inlineStr">
        <is>
          <t>Delivered</t>
        </is>
      </c>
      <c r="K1460" t="n">
        <v>0</v>
      </c>
      <c r="L1460" t="n">
        <v>0</v>
      </c>
      <c r="M1460" t="inlineStr">
        <is>
          <t>INR</t>
        </is>
      </c>
      <c r="N1460" t="inlineStr">
        <is>
          <t>2025-05-03 00:11:45</t>
        </is>
      </c>
    </row>
    <row r="1461">
      <c r="A1461" t="inlineStr">
        <is>
          <t>TXN00093404</t>
        </is>
      </c>
      <c r="B1461" t="inlineStr">
        <is>
          <t>MER00649</t>
        </is>
      </c>
      <c r="C1461" s="8" t="n">
        <v>45781</v>
      </c>
      <c r="D1461" t="inlineStr">
        <is>
          <t>ORD00093404</t>
        </is>
      </c>
      <c r="E1461" t="n">
        <v>706.63</v>
      </c>
      <c r="F1461" t="n">
        <v>0.55</v>
      </c>
      <c r="G1461" t="n">
        <v>10.81</v>
      </c>
      <c r="H1461" t="inlineStr">
        <is>
          <t>UPI</t>
        </is>
      </c>
      <c r="I1461" t="inlineStr">
        <is>
          <t>Success</t>
        </is>
      </c>
      <c r="J1461" t="inlineStr">
        <is>
          <t>Delivered</t>
        </is>
      </c>
      <c r="K1461" t="n">
        <v>0</v>
      </c>
      <c r="L1461" t="n">
        <v>0</v>
      </c>
      <c r="M1461" t="inlineStr">
        <is>
          <t>INR</t>
        </is>
      </c>
      <c r="N1461" t="inlineStr">
        <is>
          <t>2025-05-04 00:24:39</t>
        </is>
      </c>
    </row>
    <row r="1462">
      <c r="A1462" t="inlineStr">
        <is>
          <t>TXN00093520</t>
        </is>
      </c>
      <c r="B1462" t="inlineStr">
        <is>
          <t>MER00649</t>
        </is>
      </c>
      <c r="C1462" s="8" t="n">
        <v>45782</v>
      </c>
      <c r="D1462" t="inlineStr">
        <is>
          <t>ORD00093520</t>
        </is>
      </c>
      <c r="E1462" t="n">
        <v>1297.81</v>
      </c>
      <c r="F1462" t="n">
        <v>1.53</v>
      </c>
      <c r="G1462" t="n">
        <v>19.86</v>
      </c>
      <c r="H1462" t="inlineStr">
        <is>
          <t>Card</t>
        </is>
      </c>
      <c r="I1462" t="inlineStr">
        <is>
          <t>Success</t>
        </is>
      </c>
      <c r="J1462" t="inlineStr">
        <is>
          <t>Delivered</t>
        </is>
      </c>
      <c r="K1462" t="n">
        <v>0</v>
      </c>
      <c r="L1462" t="n">
        <v>0</v>
      </c>
      <c r="M1462" t="inlineStr">
        <is>
          <t>INR</t>
        </is>
      </c>
      <c r="N1462" t="inlineStr">
        <is>
          <t>2025-05-05 03:30:17</t>
        </is>
      </c>
    </row>
    <row r="1463">
      <c r="A1463" t="inlineStr">
        <is>
          <t>TXN00095065</t>
        </is>
      </c>
      <c r="B1463" t="inlineStr">
        <is>
          <t>MER00649</t>
        </is>
      </c>
      <c r="C1463" s="8" t="n">
        <v>45787</v>
      </c>
      <c r="D1463" t="inlineStr">
        <is>
          <t>ORD00095065</t>
        </is>
      </c>
      <c r="E1463" t="n">
        <v>474.08</v>
      </c>
      <c r="F1463" t="n">
        <v>1.53</v>
      </c>
      <c r="G1463" t="n">
        <v>7.25</v>
      </c>
      <c r="H1463" t="inlineStr">
        <is>
          <t>UPI</t>
        </is>
      </c>
      <c r="I1463" t="inlineStr">
        <is>
          <t>Success</t>
        </is>
      </c>
      <c r="J1463" t="inlineStr">
        <is>
          <t>Returned</t>
        </is>
      </c>
      <c r="K1463" t="n">
        <v>474.08</v>
      </c>
      <c r="L1463" t="n">
        <v>0</v>
      </c>
      <c r="M1463" t="inlineStr">
        <is>
          <t>INR</t>
        </is>
      </c>
      <c r="N1463" t="inlineStr">
        <is>
          <t>2025-05-10 00:15:43</t>
        </is>
      </c>
    </row>
    <row r="1464">
      <c r="A1464" t="inlineStr">
        <is>
          <t>TXN00095428</t>
        </is>
      </c>
      <c r="B1464" t="inlineStr">
        <is>
          <t>MER00649</t>
        </is>
      </c>
      <c r="C1464" s="8" t="n">
        <v>45788</v>
      </c>
      <c r="D1464" t="inlineStr">
        <is>
          <t>ORD00095428</t>
        </is>
      </c>
      <c r="E1464" t="n">
        <v>528.88</v>
      </c>
      <c r="F1464" t="n">
        <v>1.53</v>
      </c>
      <c r="G1464" t="n">
        <v>8.09</v>
      </c>
      <c r="H1464" t="inlineStr">
        <is>
          <t>UPI</t>
        </is>
      </c>
      <c r="I1464" t="inlineStr">
        <is>
          <t>Success</t>
        </is>
      </c>
      <c r="J1464" t="inlineStr">
        <is>
          <t>Delivered</t>
        </is>
      </c>
      <c r="K1464" t="n">
        <v>0</v>
      </c>
      <c r="L1464" t="n">
        <v>29.51</v>
      </c>
      <c r="M1464" t="inlineStr">
        <is>
          <t>INR</t>
        </is>
      </c>
      <c r="N1464" t="inlineStr">
        <is>
          <t>2025-05-11 06:46:52</t>
        </is>
      </c>
    </row>
    <row r="1465">
      <c r="A1465" t="inlineStr">
        <is>
          <t>TXN00096472</t>
        </is>
      </c>
      <c r="B1465" t="inlineStr">
        <is>
          <t>MER00649</t>
        </is>
      </c>
      <c r="C1465" s="8" t="n">
        <v>45791</v>
      </c>
      <c r="D1465" t="inlineStr">
        <is>
          <t>ORD00096472</t>
        </is>
      </c>
      <c r="E1465" t="n">
        <v>1250.48</v>
      </c>
      <c r="F1465" t="n">
        <v>1.53</v>
      </c>
      <c r="G1465" t="n">
        <v>19.13</v>
      </c>
      <c r="H1465" t="inlineStr">
        <is>
          <t>Card</t>
        </is>
      </c>
      <c r="I1465" t="inlineStr">
        <is>
          <t>Success</t>
        </is>
      </c>
      <c r="J1465" t="inlineStr">
        <is>
          <t>Delivered</t>
        </is>
      </c>
      <c r="K1465" t="n">
        <v>0</v>
      </c>
      <c r="L1465" t="n">
        <v>0</v>
      </c>
      <c r="M1465" t="inlineStr">
        <is>
          <t>INR</t>
        </is>
      </c>
      <c r="N1465" t="inlineStr">
        <is>
          <t>2025-05-14 09:14:45</t>
        </is>
      </c>
    </row>
    <row r="1466">
      <c r="A1466" t="inlineStr">
        <is>
          <t>TXN00097221</t>
        </is>
      </c>
      <c r="B1466" t="inlineStr">
        <is>
          <t>MER00649</t>
        </is>
      </c>
      <c r="C1466" s="8" t="n">
        <v>45793</v>
      </c>
      <c r="D1466" t="inlineStr">
        <is>
          <t>ORD00097221</t>
        </is>
      </c>
      <c r="E1466" t="n">
        <v>952.39</v>
      </c>
      <c r="F1466" t="n">
        <v>1.53</v>
      </c>
      <c r="G1466" t="n">
        <v>14.57</v>
      </c>
      <c r="H1466" t="inlineStr">
        <is>
          <t>Card</t>
        </is>
      </c>
      <c r="I1466" t="inlineStr">
        <is>
          <t>Success</t>
        </is>
      </c>
      <c r="J1466" t="inlineStr">
        <is>
          <t>Returned</t>
        </is>
      </c>
      <c r="K1466" t="n">
        <v>697.4</v>
      </c>
      <c r="L1466" t="n">
        <v>0</v>
      </c>
      <c r="M1466" t="inlineStr">
        <is>
          <t>INR</t>
        </is>
      </c>
      <c r="N1466" t="inlineStr">
        <is>
          <t>2025-05-16 13:30:16</t>
        </is>
      </c>
    </row>
    <row r="1467">
      <c r="A1467" t="inlineStr">
        <is>
          <t>TXN00097224</t>
        </is>
      </c>
      <c r="B1467" t="inlineStr">
        <is>
          <t>MER00649</t>
        </is>
      </c>
      <c r="C1467" s="8" t="n">
        <v>45793</v>
      </c>
      <c r="D1467" t="inlineStr">
        <is>
          <t>ORD00097224</t>
        </is>
      </c>
      <c r="E1467" t="n">
        <v>1825.15</v>
      </c>
      <c r="F1467" t="n">
        <v>1.53</v>
      </c>
      <c r="G1467" t="n">
        <v>27.92</v>
      </c>
      <c r="H1467" t="inlineStr">
        <is>
          <t>UPI</t>
        </is>
      </c>
      <c r="I1467" t="inlineStr">
        <is>
          <t>Success</t>
        </is>
      </c>
      <c r="J1467" t="inlineStr">
        <is>
          <t>Delivered</t>
        </is>
      </c>
      <c r="K1467" t="n">
        <v>0</v>
      </c>
      <c r="L1467" t="n">
        <v>0</v>
      </c>
      <c r="M1467" t="inlineStr">
        <is>
          <t>INR</t>
        </is>
      </c>
      <c r="N1467" t="inlineStr">
        <is>
          <t>2025-05-16 12:29:00</t>
        </is>
      </c>
    </row>
    <row r="1468">
      <c r="A1468" t="inlineStr">
        <is>
          <t>TXN00097537</t>
        </is>
      </c>
      <c r="B1468" t="inlineStr">
        <is>
          <t>MER00649</t>
        </is>
      </c>
      <c r="C1468" s="8" t="n">
        <v>45794</v>
      </c>
      <c r="D1468" t="inlineStr">
        <is>
          <t>ORD00097537</t>
        </is>
      </c>
      <c r="E1468" t="n">
        <v>2594.45</v>
      </c>
      <c r="F1468" t="n">
        <v>1.53</v>
      </c>
      <c r="G1468" t="n">
        <v>39.7</v>
      </c>
      <c r="H1468" t="inlineStr">
        <is>
          <t>UPI</t>
        </is>
      </c>
      <c r="I1468" t="inlineStr">
        <is>
          <t>Success</t>
        </is>
      </c>
      <c r="J1468" t="inlineStr">
        <is>
          <t>Delivered</t>
        </is>
      </c>
      <c r="K1468" t="n">
        <v>0</v>
      </c>
      <c r="L1468" t="n">
        <v>0</v>
      </c>
      <c r="M1468" t="inlineStr">
        <is>
          <t>INR</t>
        </is>
      </c>
      <c r="N1468" t="inlineStr">
        <is>
          <t>2025-05-17 14:23:47</t>
        </is>
      </c>
    </row>
    <row r="1469">
      <c r="A1469" t="inlineStr">
        <is>
          <t>TXN00097853</t>
        </is>
      </c>
      <c r="B1469" t="inlineStr">
        <is>
          <t>MER00649</t>
        </is>
      </c>
      <c r="C1469" s="8" t="n">
        <v>45795</v>
      </c>
      <c r="D1469" t="inlineStr">
        <is>
          <t>ORD00097853</t>
        </is>
      </c>
      <c r="E1469" t="n">
        <v>2402.5</v>
      </c>
      <c r="F1469" t="n">
        <v>1.53</v>
      </c>
      <c r="G1469" t="n">
        <v>36.76</v>
      </c>
      <c r="H1469" t="inlineStr">
        <is>
          <t>Wallet</t>
        </is>
      </c>
      <c r="I1469" t="inlineStr">
        <is>
          <t>Success</t>
        </is>
      </c>
      <c r="J1469" t="inlineStr">
        <is>
          <t>Delivered</t>
        </is>
      </c>
      <c r="K1469" t="n">
        <v>0</v>
      </c>
      <c r="L1469" t="n">
        <v>0</v>
      </c>
      <c r="M1469" t="inlineStr">
        <is>
          <t>INR</t>
        </is>
      </c>
      <c r="N1469" t="inlineStr">
        <is>
          <t>2025-05-18 15:22:58</t>
        </is>
      </c>
    </row>
    <row r="1470">
      <c r="A1470" t="inlineStr">
        <is>
          <t>TXN00099251</t>
        </is>
      </c>
      <c r="B1470" t="inlineStr">
        <is>
          <t>MER00649</t>
        </is>
      </c>
      <c r="C1470" s="8" t="n">
        <v>45800</v>
      </c>
      <c r="D1470" t="inlineStr">
        <is>
          <t>ORD00099251</t>
        </is>
      </c>
      <c r="E1470" t="n">
        <v>802.27</v>
      </c>
      <c r="F1470" t="n">
        <v>1.53</v>
      </c>
      <c r="G1470" t="n">
        <v>12.27</v>
      </c>
      <c r="H1470" t="inlineStr">
        <is>
          <t>Wallet</t>
        </is>
      </c>
      <c r="I1470" t="inlineStr">
        <is>
          <t>Success</t>
        </is>
      </c>
      <c r="J1470" t="inlineStr">
        <is>
          <t>Processing</t>
        </is>
      </c>
      <c r="K1470" t="n">
        <v>0</v>
      </c>
      <c r="L1470" t="n">
        <v>0</v>
      </c>
      <c r="M1470" t="inlineStr">
        <is>
          <t>INR</t>
        </is>
      </c>
      <c r="N1470" t="inlineStr">
        <is>
          <t>2025-05-23 07:46:56</t>
        </is>
      </c>
    </row>
    <row r="1471">
      <c r="A1471" t="inlineStr">
        <is>
          <t>TXN00100154</t>
        </is>
      </c>
      <c r="B1471" t="inlineStr">
        <is>
          <t>MER00649</t>
        </is>
      </c>
      <c r="C1471" s="8" t="n">
        <v>45802</v>
      </c>
      <c r="D1471" t="inlineStr">
        <is>
          <t>ORD00100154</t>
        </is>
      </c>
      <c r="E1471" t="n">
        <v>404.15</v>
      </c>
      <c r="F1471" t="n">
        <v>1.53</v>
      </c>
      <c r="G1471" t="n">
        <v>6.18</v>
      </c>
      <c r="H1471" t="inlineStr">
        <is>
          <t>NetBanking</t>
        </is>
      </c>
      <c r="I1471" t="inlineStr">
        <is>
          <t>Success</t>
        </is>
      </c>
      <c r="J1471" t="inlineStr">
        <is>
          <t>Delivered</t>
        </is>
      </c>
      <c r="K1471" t="n">
        <v>0</v>
      </c>
      <c r="L1471" t="n">
        <v>0</v>
      </c>
      <c r="M1471" t="inlineStr">
        <is>
          <t>INR</t>
        </is>
      </c>
      <c r="N1471" t="inlineStr">
        <is>
          <t>2025-05-25 13:08:02</t>
        </is>
      </c>
    </row>
    <row r="1472">
      <c r="A1472" t="inlineStr">
        <is>
          <t>TXN00100049</t>
        </is>
      </c>
      <c r="B1472" t="inlineStr">
        <is>
          <t>MER00649</t>
        </is>
      </c>
      <c r="C1472" s="8" t="n">
        <v>45802</v>
      </c>
      <c r="D1472" t="inlineStr">
        <is>
          <t>ORD00100049</t>
        </is>
      </c>
      <c r="E1472" t="n">
        <v>426.15</v>
      </c>
      <c r="F1472" t="n">
        <v>1.53</v>
      </c>
      <c r="G1472" t="n">
        <v>6.52</v>
      </c>
      <c r="H1472" t="inlineStr">
        <is>
          <t>NetBanking</t>
        </is>
      </c>
      <c r="I1472" t="inlineStr">
        <is>
          <t>Success</t>
        </is>
      </c>
      <c r="J1472" t="inlineStr">
        <is>
          <t>Delivered</t>
        </is>
      </c>
      <c r="K1472" t="n">
        <v>0</v>
      </c>
      <c r="L1472" t="n">
        <v>0</v>
      </c>
      <c r="M1472" t="inlineStr">
        <is>
          <t>INR</t>
        </is>
      </c>
      <c r="N1472" t="inlineStr">
        <is>
          <t>2025-05-25 03:53:06</t>
        </is>
      </c>
    </row>
    <row r="1473">
      <c r="A1473" t="inlineStr">
        <is>
          <t>TXN00100603</t>
        </is>
      </c>
      <c r="B1473" t="inlineStr">
        <is>
          <t>MER00649</t>
        </is>
      </c>
      <c r="C1473" s="8" t="n">
        <v>45804</v>
      </c>
      <c r="D1473" t="inlineStr">
        <is>
          <t>ORD00100603</t>
        </is>
      </c>
      <c r="E1473" t="n">
        <v>1782.39</v>
      </c>
      <c r="F1473" t="n">
        <v>1.53</v>
      </c>
      <c r="G1473" t="n">
        <v>27.27</v>
      </c>
      <c r="H1473" t="inlineStr">
        <is>
          <t>UPI</t>
        </is>
      </c>
      <c r="I1473" t="inlineStr">
        <is>
          <t>Success</t>
        </is>
      </c>
      <c r="J1473" t="inlineStr">
        <is>
          <t>Returned</t>
        </is>
      </c>
      <c r="K1473" t="n">
        <v>1782.39</v>
      </c>
      <c r="L1473" t="n">
        <v>0</v>
      </c>
      <c r="M1473" t="inlineStr">
        <is>
          <t>INR</t>
        </is>
      </c>
      <c r="N1473" t="inlineStr">
        <is>
          <t>2025-05-27 14:41:28</t>
        </is>
      </c>
    </row>
    <row r="1474">
      <c r="A1474" t="inlineStr">
        <is>
          <t>TXN00101567</t>
        </is>
      </c>
      <c r="B1474" t="inlineStr">
        <is>
          <t>MER00649</t>
        </is>
      </c>
      <c r="C1474" s="8" t="n">
        <v>45807</v>
      </c>
      <c r="D1474" t="inlineStr">
        <is>
          <t>ORD00101567</t>
        </is>
      </c>
      <c r="E1474" t="n">
        <v>819.54</v>
      </c>
      <c r="F1474" t="n">
        <v>1.53</v>
      </c>
      <c r="G1474" t="n">
        <v>12.54</v>
      </c>
      <c r="H1474" t="inlineStr">
        <is>
          <t>UPI</t>
        </is>
      </c>
      <c r="I1474" t="inlineStr">
        <is>
          <t>Success</t>
        </is>
      </c>
      <c r="J1474" t="inlineStr">
        <is>
          <t>Returned</t>
        </is>
      </c>
      <c r="K1474" t="n">
        <v>643.28</v>
      </c>
      <c r="L1474" t="n">
        <v>0</v>
      </c>
      <c r="M1474" t="inlineStr">
        <is>
          <t>INR</t>
        </is>
      </c>
      <c r="N1474" t="inlineStr">
        <is>
          <t>2025-05-30 09:52:05</t>
        </is>
      </c>
    </row>
    <row r="1475">
      <c r="A1475" t="inlineStr">
        <is>
          <t>TXN00102607</t>
        </is>
      </c>
      <c r="B1475" t="inlineStr">
        <is>
          <t>MER00649</t>
        </is>
      </c>
      <c r="C1475" s="8" t="n">
        <v>45810</v>
      </c>
      <c r="D1475" t="inlineStr">
        <is>
          <t>ORD00102607</t>
        </is>
      </c>
      <c r="E1475" t="n">
        <v>1033.72</v>
      </c>
      <c r="F1475" t="n">
        <v>1.53</v>
      </c>
      <c r="G1475" t="n">
        <v>15.82</v>
      </c>
      <c r="H1475" t="inlineStr">
        <is>
          <t>UPI</t>
        </is>
      </c>
      <c r="I1475" t="inlineStr">
        <is>
          <t>Success</t>
        </is>
      </c>
      <c r="J1475" t="inlineStr">
        <is>
          <t>Delivered</t>
        </is>
      </c>
      <c r="K1475" t="n">
        <v>0</v>
      </c>
      <c r="L1475" t="n">
        <v>0</v>
      </c>
      <c r="M1475" t="inlineStr">
        <is>
          <t>INR</t>
        </is>
      </c>
      <c r="N1475" t="inlineStr">
        <is>
          <t>2025-06-02 13:43:59</t>
        </is>
      </c>
    </row>
    <row r="1476">
      <c r="A1476" t="inlineStr">
        <is>
          <t>TXN00103708</t>
        </is>
      </c>
      <c r="B1476" t="inlineStr">
        <is>
          <t>MER00649</t>
        </is>
      </c>
      <c r="C1476" s="8" t="n">
        <v>45813</v>
      </c>
      <c r="D1476" t="inlineStr">
        <is>
          <t>ORD00103708</t>
        </is>
      </c>
      <c r="E1476" t="n">
        <v>1437.23</v>
      </c>
      <c r="F1476" t="n">
        <v>1.18</v>
      </c>
      <c r="G1476" t="n">
        <v>21.99</v>
      </c>
      <c r="H1476" t="inlineStr">
        <is>
          <t>UPI</t>
        </is>
      </c>
      <c r="I1476" t="inlineStr">
        <is>
          <t>Success</t>
        </is>
      </c>
      <c r="J1476" t="inlineStr">
        <is>
          <t>Delivered</t>
        </is>
      </c>
      <c r="K1476" t="n">
        <v>0</v>
      </c>
      <c r="L1476" t="n">
        <v>0</v>
      </c>
      <c r="M1476" t="inlineStr">
        <is>
          <t>INR</t>
        </is>
      </c>
      <c r="N1476" t="inlineStr">
        <is>
          <t>2025-06-05 06:13:21</t>
        </is>
      </c>
    </row>
    <row r="1477">
      <c r="A1477" t="inlineStr">
        <is>
          <t>TXN00104286</t>
        </is>
      </c>
      <c r="B1477" t="inlineStr">
        <is>
          <t>MER00649</t>
        </is>
      </c>
      <c r="C1477" s="8" t="n">
        <v>45815</v>
      </c>
      <c r="D1477" t="inlineStr">
        <is>
          <t>ORD00104286</t>
        </is>
      </c>
      <c r="E1477" t="n">
        <v>764.46</v>
      </c>
      <c r="F1477" t="n">
        <v>1.53</v>
      </c>
      <c r="G1477" t="n">
        <v>11.7</v>
      </c>
      <c r="H1477" t="inlineStr">
        <is>
          <t>Card</t>
        </is>
      </c>
      <c r="I1477" t="inlineStr">
        <is>
          <t>Success</t>
        </is>
      </c>
      <c r="J1477" t="inlineStr">
        <is>
          <t>Delivered</t>
        </is>
      </c>
      <c r="K1477" t="n">
        <v>0</v>
      </c>
      <c r="L1477" t="n">
        <v>0</v>
      </c>
      <c r="M1477" t="inlineStr">
        <is>
          <t>INR</t>
        </is>
      </c>
      <c r="N1477" t="inlineStr">
        <is>
          <t>2025-06-07 04:24:32</t>
        </is>
      </c>
    </row>
    <row r="1478">
      <c r="A1478" t="inlineStr">
        <is>
          <t>TXN00105060</t>
        </is>
      </c>
      <c r="B1478" t="inlineStr">
        <is>
          <t>MER00649</t>
        </is>
      </c>
      <c r="C1478" s="8" t="n">
        <v>45817</v>
      </c>
      <c r="D1478" t="inlineStr">
        <is>
          <t>ORD00105060</t>
        </is>
      </c>
      <c r="E1478" t="n">
        <v>946.45</v>
      </c>
      <c r="F1478" t="n">
        <v>1.53</v>
      </c>
      <c r="G1478" t="n">
        <v>14.48</v>
      </c>
      <c r="H1478" t="inlineStr">
        <is>
          <t>UPI</t>
        </is>
      </c>
      <c r="I1478" t="inlineStr">
        <is>
          <t>Success</t>
        </is>
      </c>
      <c r="J1478" t="inlineStr">
        <is>
          <t>Delivered</t>
        </is>
      </c>
      <c r="K1478" t="n">
        <v>0</v>
      </c>
      <c r="L1478" t="n">
        <v>0</v>
      </c>
      <c r="M1478" t="inlineStr">
        <is>
          <t>INR</t>
        </is>
      </c>
      <c r="N1478" t="inlineStr">
        <is>
          <t>2025-06-09 01:30:17</t>
        </is>
      </c>
    </row>
    <row r="1479">
      <c r="A1479" t="inlineStr">
        <is>
          <t>TXN00106116</t>
        </is>
      </c>
      <c r="B1479" t="inlineStr">
        <is>
          <t>MER00649</t>
        </is>
      </c>
      <c r="C1479" s="8" t="n">
        <v>45820</v>
      </c>
      <c r="D1479" t="inlineStr">
        <is>
          <t>ORD00106116</t>
        </is>
      </c>
      <c r="E1479" t="n">
        <v>589.98</v>
      </c>
      <c r="F1479" t="n">
        <v>1.53</v>
      </c>
      <c r="G1479" t="n">
        <v>9.029999999999999</v>
      </c>
      <c r="H1479" t="inlineStr">
        <is>
          <t>UPI</t>
        </is>
      </c>
      <c r="I1479" t="inlineStr">
        <is>
          <t>Success</t>
        </is>
      </c>
      <c r="J1479" t="inlineStr">
        <is>
          <t>Delivered</t>
        </is>
      </c>
      <c r="K1479" t="n">
        <v>0</v>
      </c>
      <c r="L1479" t="n">
        <v>0</v>
      </c>
      <c r="M1479" t="inlineStr">
        <is>
          <t>INR</t>
        </is>
      </c>
      <c r="N1479" t="inlineStr">
        <is>
          <t>2025-06-12 22:44:26</t>
        </is>
      </c>
    </row>
    <row r="1480">
      <c r="A1480" t="inlineStr">
        <is>
          <t>TXN00106061</t>
        </is>
      </c>
      <c r="B1480" t="inlineStr">
        <is>
          <t>MER00649</t>
        </is>
      </c>
      <c r="C1480" s="8" t="n">
        <v>45820</v>
      </c>
      <c r="D1480" t="inlineStr">
        <is>
          <t>ORD00106061</t>
        </is>
      </c>
      <c r="E1480" t="n">
        <v>1412.63</v>
      </c>
      <c r="F1480" t="n">
        <v>1.53</v>
      </c>
      <c r="G1480" t="n">
        <v>21.61</v>
      </c>
      <c r="H1480" t="inlineStr">
        <is>
          <t>Card</t>
        </is>
      </c>
      <c r="I1480" t="inlineStr">
        <is>
          <t>Success</t>
        </is>
      </c>
      <c r="J1480" t="inlineStr">
        <is>
          <t>Delivered</t>
        </is>
      </c>
      <c r="K1480" t="n">
        <v>0</v>
      </c>
      <c r="L1480" t="n">
        <v>0</v>
      </c>
      <c r="M1480" t="inlineStr">
        <is>
          <t>INR</t>
        </is>
      </c>
      <c r="N1480" t="inlineStr">
        <is>
          <t>2025-06-12 01:05:56</t>
        </is>
      </c>
    </row>
    <row r="1481">
      <c r="A1481" t="inlineStr">
        <is>
          <t>TXN00109532</t>
        </is>
      </c>
      <c r="B1481" t="inlineStr">
        <is>
          <t>MER00649</t>
        </is>
      </c>
      <c r="C1481" s="8" t="n">
        <v>45830</v>
      </c>
      <c r="D1481" t="inlineStr">
        <is>
          <t>ORD00109532</t>
        </is>
      </c>
      <c r="E1481" t="n">
        <v>2793.96</v>
      </c>
      <c r="F1481" t="n">
        <v>1.53</v>
      </c>
      <c r="G1481" t="n">
        <v>42.75</v>
      </c>
      <c r="H1481" t="inlineStr">
        <is>
          <t>UPI</t>
        </is>
      </c>
      <c r="I1481" t="inlineStr">
        <is>
          <t>Success</t>
        </is>
      </c>
      <c r="J1481" t="inlineStr">
        <is>
          <t>Returned</t>
        </is>
      </c>
      <c r="K1481" t="n">
        <v>871.4299999999999</v>
      </c>
      <c r="L1481" t="n">
        <v>0</v>
      </c>
      <c r="M1481" t="inlineStr">
        <is>
          <t>INR</t>
        </is>
      </c>
      <c r="N1481" t="inlineStr">
        <is>
          <t>2025-06-22 19:32:10</t>
        </is>
      </c>
    </row>
    <row r="1482">
      <c r="A1482" t="inlineStr">
        <is>
          <t>TXN00110325</t>
        </is>
      </c>
      <c r="B1482" t="inlineStr">
        <is>
          <t>MER00649</t>
        </is>
      </c>
      <c r="C1482" s="8" t="n">
        <v>45832</v>
      </c>
      <c r="D1482" t="inlineStr">
        <is>
          <t>ORD00110325</t>
        </is>
      </c>
      <c r="E1482" t="n">
        <v>1415.74</v>
      </c>
      <c r="F1482" t="n">
        <v>1.53</v>
      </c>
      <c r="G1482" t="n">
        <v>21.66</v>
      </c>
      <c r="H1482" t="inlineStr">
        <is>
          <t>UPI</t>
        </is>
      </c>
      <c r="I1482" t="inlineStr">
        <is>
          <t>Success</t>
        </is>
      </c>
      <c r="J1482" t="inlineStr">
        <is>
          <t>Delivered</t>
        </is>
      </c>
      <c r="K1482" t="n">
        <v>0</v>
      </c>
      <c r="L1482" t="n">
        <v>0</v>
      </c>
      <c r="M1482" t="inlineStr">
        <is>
          <t>INR</t>
        </is>
      </c>
      <c r="N1482" t="inlineStr">
        <is>
          <t>2025-06-24 21:07:10</t>
        </is>
      </c>
    </row>
    <row r="1483">
      <c r="A1483" t="inlineStr">
        <is>
          <t>TXN00111827</t>
        </is>
      </c>
      <c r="B1483" t="inlineStr">
        <is>
          <t>MER00649</t>
        </is>
      </c>
      <c r="C1483" s="8" t="n">
        <v>45837</v>
      </c>
      <c r="D1483" t="inlineStr">
        <is>
          <t>ORD00111827</t>
        </is>
      </c>
      <c r="E1483" t="n">
        <v>1411.57</v>
      </c>
      <c r="F1483" t="n">
        <v>1.53</v>
      </c>
      <c r="G1483" t="n">
        <v>21.6</v>
      </c>
      <c r="H1483" t="inlineStr">
        <is>
          <t>Card</t>
        </is>
      </c>
      <c r="I1483" t="inlineStr">
        <is>
          <t>Success</t>
        </is>
      </c>
      <c r="J1483" t="inlineStr">
        <is>
          <t>Delivered</t>
        </is>
      </c>
      <c r="K1483" t="n">
        <v>0</v>
      </c>
      <c r="L1483" t="n">
        <v>0</v>
      </c>
      <c r="M1483" t="inlineStr">
        <is>
          <t>INR</t>
        </is>
      </c>
      <c r="N1483" t="inlineStr">
        <is>
          <t>2025-06-29 19:53:32</t>
        </is>
      </c>
    </row>
    <row r="1484">
      <c r="A1484" t="inlineStr">
        <is>
          <t>TXN00113031</t>
        </is>
      </c>
      <c r="B1484" t="inlineStr">
        <is>
          <t>MER00649</t>
        </is>
      </c>
      <c r="C1484" s="8" t="n">
        <v>45841</v>
      </c>
      <c r="D1484" t="inlineStr">
        <is>
          <t>ORD00113031</t>
        </is>
      </c>
      <c r="E1484" t="n">
        <v>2346.11</v>
      </c>
      <c r="F1484" t="n">
        <v>1.53</v>
      </c>
      <c r="G1484" t="n">
        <v>35.9</v>
      </c>
      <c r="H1484" t="inlineStr">
        <is>
          <t>NetBanking</t>
        </is>
      </c>
      <c r="I1484" t="inlineStr">
        <is>
          <t>Success</t>
        </is>
      </c>
      <c r="J1484" t="inlineStr">
        <is>
          <t>Delivered</t>
        </is>
      </c>
      <c r="K1484" t="n">
        <v>0</v>
      </c>
      <c r="L1484" t="n">
        <v>284.66</v>
      </c>
      <c r="M1484" t="inlineStr">
        <is>
          <t>INR</t>
        </is>
      </c>
      <c r="N1484" t="inlineStr">
        <is>
          <t>2025-07-03 11:34:56</t>
        </is>
      </c>
    </row>
    <row r="1485">
      <c r="A1485" t="inlineStr">
        <is>
          <t>TXN00115082</t>
        </is>
      </c>
      <c r="B1485" t="inlineStr">
        <is>
          <t>MER00649</t>
        </is>
      </c>
      <c r="C1485" s="8" t="n">
        <v>45847</v>
      </c>
      <c r="D1485" t="inlineStr">
        <is>
          <t>ORD00115082</t>
        </is>
      </c>
      <c r="E1485" t="n">
        <v>213.86</v>
      </c>
      <c r="F1485" t="n">
        <v>1.53</v>
      </c>
      <c r="G1485" t="n">
        <v>3.27</v>
      </c>
      <c r="H1485" t="inlineStr">
        <is>
          <t>UPI</t>
        </is>
      </c>
      <c r="I1485" t="inlineStr">
        <is>
          <t>Success</t>
        </is>
      </c>
      <c r="J1485" t="inlineStr">
        <is>
          <t>Delivered</t>
        </is>
      </c>
      <c r="K1485" t="n">
        <v>0</v>
      </c>
      <c r="L1485" t="n">
        <v>0</v>
      </c>
      <c r="M1485" t="inlineStr">
        <is>
          <t>INR</t>
        </is>
      </c>
      <c r="N1485" t="inlineStr">
        <is>
          <t>2025-07-09 06:20:29</t>
        </is>
      </c>
    </row>
    <row r="1486">
      <c r="A1486" t="inlineStr">
        <is>
          <t>TXN00115976</t>
        </is>
      </c>
      <c r="B1486" t="inlineStr">
        <is>
          <t>MER00649</t>
        </is>
      </c>
      <c r="C1486" s="8" t="n">
        <v>45849</v>
      </c>
      <c r="D1486" t="inlineStr">
        <is>
          <t>ORD00115976</t>
        </is>
      </c>
      <c r="E1486" t="n">
        <v>450.14</v>
      </c>
      <c r="F1486" t="n">
        <v>1.53</v>
      </c>
      <c r="G1486" t="n">
        <v>6.89</v>
      </c>
      <c r="H1486" t="inlineStr">
        <is>
          <t>Wallet</t>
        </is>
      </c>
      <c r="I1486" t="inlineStr">
        <is>
          <t>Success</t>
        </is>
      </c>
      <c r="J1486" t="inlineStr">
        <is>
          <t>Delivered</t>
        </is>
      </c>
      <c r="K1486" t="n">
        <v>0</v>
      </c>
      <c r="L1486" t="n">
        <v>0</v>
      </c>
      <c r="M1486" t="inlineStr">
        <is>
          <t>INR</t>
        </is>
      </c>
      <c r="N1486" t="inlineStr">
        <is>
          <t>2025-07-11 06:49:46</t>
        </is>
      </c>
    </row>
    <row r="1487">
      <c r="A1487" t="inlineStr">
        <is>
          <t>TXN00117109</t>
        </is>
      </c>
      <c r="B1487" t="inlineStr">
        <is>
          <t>MER00649</t>
        </is>
      </c>
      <c r="C1487" s="8" t="n">
        <v>45853</v>
      </c>
      <c r="D1487" t="inlineStr">
        <is>
          <t>ORD00117109</t>
        </is>
      </c>
      <c r="E1487" t="n">
        <v>1013.23</v>
      </c>
      <c r="F1487" t="n">
        <v>1.53</v>
      </c>
      <c r="G1487" t="n">
        <v>15.5</v>
      </c>
      <c r="H1487" t="inlineStr">
        <is>
          <t>COD</t>
        </is>
      </c>
      <c r="I1487" t="inlineStr">
        <is>
          <t>Success</t>
        </is>
      </c>
      <c r="J1487" t="inlineStr">
        <is>
          <t>Delivered</t>
        </is>
      </c>
      <c r="K1487" t="n">
        <v>0</v>
      </c>
      <c r="L1487" t="n">
        <v>0</v>
      </c>
      <c r="M1487" t="inlineStr">
        <is>
          <t>INR</t>
        </is>
      </c>
      <c r="N1487" t="inlineStr">
        <is>
          <t>2025-07-15 11:54:22</t>
        </is>
      </c>
    </row>
    <row r="1488">
      <c r="A1488" t="inlineStr">
        <is>
          <t>TXN00118276</t>
        </is>
      </c>
      <c r="B1488" t="inlineStr">
        <is>
          <t>MER00649</t>
        </is>
      </c>
      <c r="C1488" s="8" t="n">
        <v>45856</v>
      </c>
      <c r="D1488" t="inlineStr">
        <is>
          <t>ORD00118276</t>
        </is>
      </c>
      <c r="E1488" t="n">
        <v>3119.38</v>
      </c>
      <c r="F1488" t="n">
        <v>1.53</v>
      </c>
      <c r="G1488" t="n">
        <v>47.73</v>
      </c>
      <c r="H1488" t="inlineStr">
        <is>
          <t>UPI</t>
        </is>
      </c>
      <c r="I1488" t="inlineStr">
        <is>
          <t>Success</t>
        </is>
      </c>
      <c r="J1488" t="inlineStr">
        <is>
          <t>Delivered</t>
        </is>
      </c>
      <c r="K1488" t="n">
        <v>0</v>
      </c>
      <c r="L1488" t="n">
        <v>0</v>
      </c>
      <c r="M1488" t="inlineStr">
        <is>
          <t>INR</t>
        </is>
      </c>
      <c r="N1488" t="inlineStr">
        <is>
          <t>2025-07-18 20:30:26</t>
        </is>
      </c>
    </row>
    <row r="1489">
      <c r="A1489" t="inlineStr">
        <is>
          <t>TXN00118493</t>
        </is>
      </c>
      <c r="B1489" t="inlineStr">
        <is>
          <t>MER00649</t>
        </is>
      </c>
      <c r="C1489" s="8" t="n">
        <v>45857</v>
      </c>
      <c r="D1489" t="inlineStr">
        <is>
          <t>ORD00118493</t>
        </is>
      </c>
      <c r="E1489" t="n">
        <v>674.63</v>
      </c>
      <c r="F1489" t="n">
        <v>1.53</v>
      </c>
      <c r="G1489" t="n">
        <v>10.32</v>
      </c>
      <c r="H1489" t="inlineStr">
        <is>
          <t>UPI</t>
        </is>
      </c>
      <c r="I1489" t="inlineStr">
        <is>
          <t>Pending</t>
        </is>
      </c>
      <c r="J1489" t="inlineStr">
        <is>
          <t>Processing</t>
        </is>
      </c>
      <c r="K1489" t="n">
        <v>0</v>
      </c>
      <c r="L1489" t="n">
        <v>0</v>
      </c>
      <c r="M1489" t="inlineStr">
        <is>
          <t>INR</t>
        </is>
      </c>
      <c r="N1489" t="inlineStr">
        <is>
          <t>2025-07-19 12:23:00</t>
        </is>
      </c>
    </row>
    <row r="1490">
      <c r="A1490" t="inlineStr">
        <is>
          <t>TXN00119642</t>
        </is>
      </c>
      <c r="B1490" t="inlineStr">
        <is>
          <t>MER00649</t>
        </is>
      </c>
      <c r="C1490" s="8" t="n">
        <v>45861</v>
      </c>
      <c r="D1490" t="inlineStr">
        <is>
          <t>ORD00119642</t>
        </is>
      </c>
      <c r="E1490" t="n">
        <v>409.85</v>
      </c>
      <c r="F1490" t="n">
        <v>1.53</v>
      </c>
      <c r="G1490" t="n">
        <v>6.27</v>
      </c>
      <c r="H1490" t="inlineStr">
        <is>
          <t>UPI</t>
        </is>
      </c>
      <c r="I1490" t="inlineStr">
        <is>
          <t>Success</t>
        </is>
      </c>
      <c r="J1490" t="inlineStr">
        <is>
          <t>Delivered</t>
        </is>
      </c>
      <c r="K1490" t="n">
        <v>0</v>
      </c>
      <c r="L1490" t="n">
        <v>0</v>
      </c>
      <c r="M1490" t="inlineStr">
        <is>
          <t>INR</t>
        </is>
      </c>
      <c r="N1490" t="inlineStr">
        <is>
          <t>2025-07-23 18:03:26</t>
        </is>
      </c>
    </row>
    <row r="1491">
      <c r="A1491" t="inlineStr">
        <is>
          <t>TXN00120168</t>
        </is>
      </c>
      <c r="B1491" t="inlineStr">
        <is>
          <t>MER00649</t>
        </is>
      </c>
      <c r="C1491" s="8" t="n">
        <v>45862</v>
      </c>
      <c r="D1491" t="inlineStr">
        <is>
          <t>ORD00120168</t>
        </is>
      </c>
      <c r="E1491" t="n">
        <v>347.13</v>
      </c>
      <c r="F1491" t="n">
        <v>1.53</v>
      </c>
      <c r="G1491" t="n">
        <v>5.31</v>
      </c>
      <c r="H1491" t="inlineStr">
        <is>
          <t>Card</t>
        </is>
      </c>
      <c r="I1491" t="inlineStr">
        <is>
          <t>Success</t>
        </is>
      </c>
      <c r="J1491" t="inlineStr">
        <is>
          <t>Delivered</t>
        </is>
      </c>
      <c r="K1491" t="n">
        <v>0</v>
      </c>
      <c r="L1491" t="n">
        <v>0</v>
      </c>
      <c r="M1491" t="inlineStr">
        <is>
          <t>INR</t>
        </is>
      </c>
      <c r="N1491" t="inlineStr">
        <is>
          <t>2025-07-24 10:51:09</t>
        </is>
      </c>
    </row>
    <row r="1492">
      <c r="A1492" t="inlineStr">
        <is>
          <t>TXN00120298</t>
        </is>
      </c>
      <c r="B1492" t="inlineStr">
        <is>
          <t>MER00649</t>
        </is>
      </c>
      <c r="C1492" s="8" t="n">
        <v>45862</v>
      </c>
      <c r="D1492" t="inlineStr">
        <is>
          <t>ORD00120298</t>
        </is>
      </c>
      <c r="E1492" t="n">
        <v>1133.55</v>
      </c>
      <c r="F1492" t="n">
        <v>1.53</v>
      </c>
      <c r="G1492" t="n">
        <v>17.34</v>
      </c>
      <c r="H1492" t="inlineStr">
        <is>
          <t>UPI</t>
        </is>
      </c>
      <c r="I1492" t="inlineStr">
        <is>
          <t>Success</t>
        </is>
      </c>
      <c r="J1492" t="inlineStr">
        <is>
          <t>Delivered</t>
        </is>
      </c>
      <c r="K1492" t="n">
        <v>0</v>
      </c>
      <c r="L1492" t="n">
        <v>0</v>
      </c>
      <c r="M1492" t="inlineStr">
        <is>
          <t>INR</t>
        </is>
      </c>
      <c r="N1492" t="inlineStr">
        <is>
          <t>2025-07-24 17:45:54</t>
        </is>
      </c>
    </row>
    <row r="1493">
      <c r="A1493" t="inlineStr">
        <is>
          <t>TXN00120120</t>
        </is>
      </c>
      <c r="B1493" t="inlineStr">
        <is>
          <t>MER00649</t>
        </is>
      </c>
      <c r="C1493" s="8" t="n">
        <v>45862</v>
      </c>
      <c r="D1493" t="inlineStr">
        <is>
          <t>ORD00120120</t>
        </is>
      </c>
      <c r="E1493" t="n">
        <v>2665.41</v>
      </c>
      <c r="F1493" t="n">
        <v>1.53</v>
      </c>
      <c r="G1493" t="n">
        <v>40.78</v>
      </c>
      <c r="H1493" t="inlineStr">
        <is>
          <t>COD</t>
        </is>
      </c>
      <c r="I1493" t="inlineStr">
        <is>
          <t>Success</t>
        </is>
      </c>
      <c r="J1493" t="inlineStr">
        <is>
          <t>Delivered</t>
        </is>
      </c>
      <c r="K1493" t="n">
        <v>0</v>
      </c>
      <c r="L1493" t="n">
        <v>243.96</v>
      </c>
      <c r="M1493" t="inlineStr">
        <is>
          <t>INR</t>
        </is>
      </c>
      <c r="N1493" t="inlineStr">
        <is>
          <t>2025-07-24 05:34:55</t>
        </is>
      </c>
    </row>
    <row r="1494">
      <c r="A1494" t="inlineStr">
        <is>
          <t>TXN00121014</t>
        </is>
      </c>
      <c r="B1494" t="inlineStr">
        <is>
          <t>MER00649</t>
        </is>
      </c>
      <c r="C1494" s="8" t="n">
        <v>45865</v>
      </c>
      <c r="D1494" t="inlineStr">
        <is>
          <t>ORD00121014</t>
        </is>
      </c>
      <c r="E1494" t="n">
        <v>1913</v>
      </c>
      <c r="F1494" t="n">
        <v>1.53</v>
      </c>
      <c r="G1494" t="n">
        <v>29.27</v>
      </c>
      <c r="H1494" t="inlineStr">
        <is>
          <t>UPI</t>
        </is>
      </c>
      <c r="I1494" t="inlineStr">
        <is>
          <t>Success</t>
        </is>
      </c>
      <c r="J1494" t="inlineStr">
        <is>
          <t>Processing</t>
        </is>
      </c>
      <c r="K1494" t="n">
        <v>0</v>
      </c>
      <c r="L1494" t="n">
        <v>0</v>
      </c>
      <c r="M1494" t="inlineStr">
        <is>
          <t>INR</t>
        </is>
      </c>
      <c r="N1494" t="inlineStr">
        <is>
          <t>2025-07-27 23:53:44</t>
        </is>
      </c>
    </row>
    <row r="1495">
      <c r="A1495" t="inlineStr">
        <is>
          <t>TXN00121635</t>
        </is>
      </c>
      <c r="B1495" t="inlineStr">
        <is>
          <t>MER00649</t>
        </is>
      </c>
      <c r="C1495" s="8" t="n">
        <v>45867</v>
      </c>
      <c r="D1495" t="inlineStr">
        <is>
          <t>ORD00121635</t>
        </is>
      </c>
      <c r="E1495" t="n">
        <v>618.36</v>
      </c>
      <c r="F1495" t="n">
        <v>1.53</v>
      </c>
      <c r="G1495" t="n">
        <v>9.460000000000001</v>
      </c>
      <c r="H1495" t="inlineStr">
        <is>
          <t>UPI</t>
        </is>
      </c>
      <c r="I1495" t="inlineStr">
        <is>
          <t>Success</t>
        </is>
      </c>
      <c r="J1495" t="inlineStr">
        <is>
          <t>Delivered</t>
        </is>
      </c>
      <c r="K1495" t="n">
        <v>0</v>
      </c>
      <c r="L1495" t="n">
        <v>0</v>
      </c>
      <c r="M1495" t="inlineStr">
        <is>
          <t>INR</t>
        </is>
      </c>
      <c r="N1495" t="inlineStr">
        <is>
          <t>2025-07-29 01:15:50</t>
        </is>
      </c>
    </row>
    <row r="1496">
      <c r="A1496" t="inlineStr">
        <is>
          <t>TXN00123237</t>
        </is>
      </c>
      <c r="B1496" t="inlineStr">
        <is>
          <t>MER00649</t>
        </is>
      </c>
      <c r="C1496" s="8" t="n">
        <v>45871</v>
      </c>
      <c r="D1496" t="inlineStr">
        <is>
          <t>ORD00123237</t>
        </is>
      </c>
      <c r="E1496" t="n">
        <v>2721.59</v>
      </c>
      <c r="F1496" t="n">
        <v>1.53</v>
      </c>
      <c r="G1496" t="n">
        <v>41.64</v>
      </c>
      <c r="H1496" t="inlineStr">
        <is>
          <t>UPI</t>
        </is>
      </c>
      <c r="I1496" t="inlineStr">
        <is>
          <t>Success</t>
        </is>
      </c>
      <c r="J1496" t="inlineStr">
        <is>
          <t>Delivered</t>
        </is>
      </c>
      <c r="K1496" t="n">
        <v>0</v>
      </c>
      <c r="L1496" t="n">
        <v>0</v>
      </c>
      <c r="M1496" t="inlineStr">
        <is>
          <t>INR</t>
        </is>
      </c>
      <c r="N1496" t="inlineStr">
        <is>
          <t>2025-08-02 15:34:36</t>
        </is>
      </c>
    </row>
    <row r="1497">
      <c r="A1497" t="inlineStr">
        <is>
          <t>TXN00124004</t>
        </is>
      </c>
      <c r="B1497" t="inlineStr">
        <is>
          <t>MER00649</t>
        </is>
      </c>
      <c r="C1497" s="8" t="n">
        <v>45873</v>
      </c>
      <c r="D1497" t="inlineStr">
        <is>
          <t>ORD00124004</t>
        </is>
      </c>
      <c r="E1497" t="n">
        <v>2593.98</v>
      </c>
      <c r="F1497" t="n">
        <v>1.53</v>
      </c>
      <c r="G1497" t="n">
        <v>39.69</v>
      </c>
      <c r="H1497" t="inlineStr">
        <is>
          <t>Card</t>
        </is>
      </c>
      <c r="I1497" t="inlineStr">
        <is>
          <t>Success</t>
        </is>
      </c>
      <c r="J1497" t="inlineStr">
        <is>
          <t>Delivered</t>
        </is>
      </c>
      <c r="K1497" t="n">
        <v>0</v>
      </c>
      <c r="L1497" t="n">
        <v>0</v>
      </c>
      <c r="M1497" t="inlineStr">
        <is>
          <t>INR</t>
        </is>
      </c>
      <c r="N1497" t="inlineStr">
        <is>
          <t>2025-08-04 21:50:35</t>
        </is>
      </c>
    </row>
    <row r="1498">
      <c r="A1498" t="inlineStr">
        <is>
          <t>TXN00124418</t>
        </is>
      </c>
      <c r="B1498" t="inlineStr">
        <is>
          <t>MER00649</t>
        </is>
      </c>
      <c r="C1498" s="8" t="n">
        <v>45875</v>
      </c>
      <c r="D1498" t="inlineStr">
        <is>
          <t>ORD00124418</t>
        </is>
      </c>
      <c r="E1498" t="n">
        <v>683.98</v>
      </c>
      <c r="F1498" t="n">
        <v>1.53</v>
      </c>
      <c r="G1498" t="n">
        <v>10.46</v>
      </c>
      <c r="H1498" t="inlineStr">
        <is>
          <t>NetBanking</t>
        </is>
      </c>
      <c r="I1498" t="inlineStr">
        <is>
          <t>Success</t>
        </is>
      </c>
      <c r="J1498" t="inlineStr">
        <is>
          <t>Delivered</t>
        </is>
      </c>
      <c r="K1498" t="n">
        <v>0</v>
      </c>
      <c r="L1498" t="n">
        <v>0</v>
      </c>
      <c r="M1498" t="inlineStr">
        <is>
          <t>INR</t>
        </is>
      </c>
      <c r="N1498" t="inlineStr">
        <is>
          <t>2025-08-06 02:08:16</t>
        </is>
      </c>
    </row>
    <row r="1499">
      <c r="A1499" t="inlineStr">
        <is>
          <t>TXN00124871</t>
        </is>
      </c>
      <c r="B1499" t="inlineStr">
        <is>
          <t>MER00649</t>
        </is>
      </c>
      <c r="C1499" s="8" t="n">
        <v>45876</v>
      </c>
      <c r="D1499" t="inlineStr">
        <is>
          <t>ORD00124871</t>
        </is>
      </c>
      <c r="E1499" t="n">
        <v>474.64</v>
      </c>
      <c r="F1499" t="n">
        <v>1.53</v>
      </c>
      <c r="G1499" t="n">
        <v>7.26</v>
      </c>
      <c r="H1499" t="inlineStr">
        <is>
          <t>UPI</t>
        </is>
      </c>
      <c r="I1499" t="inlineStr">
        <is>
          <t>Success</t>
        </is>
      </c>
      <c r="J1499" t="inlineStr">
        <is>
          <t>Delivered</t>
        </is>
      </c>
      <c r="K1499" t="n">
        <v>0</v>
      </c>
      <c r="L1499" t="n">
        <v>0</v>
      </c>
      <c r="M1499" t="inlineStr">
        <is>
          <t>INR</t>
        </is>
      </c>
      <c r="N1499" t="inlineStr">
        <is>
          <t>2025-08-07 17:09:04</t>
        </is>
      </c>
    </row>
    <row r="1500">
      <c r="A1500" t="inlineStr">
        <is>
          <t>TXN00125209</t>
        </is>
      </c>
      <c r="B1500" t="inlineStr">
        <is>
          <t>MER00649</t>
        </is>
      </c>
      <c r="C1500" s="8" t="n">
        <v>45877</v>
      </c>
      <c r="D1500" t="inlineStr">
        <is>
          <t>ORD00125209</t>
        </is>
      </c>
      <c r="E1500" t="n">
        <v>2808.77</v>
      </c>
      <c r="F1500" t="n">
        <v>1.87</v>
      </c>
      <c r="G1500" t="n">
        <v>42.97</v>
      </c>
      <c r="H1500" t="inlineStr">
        <is>
          <t>UPI</t>
        </is>
      </c>
      <c r="I1500" t="inlineStr">
        <is>
          <t>Success</t>
        </is>
      </c>
      <c r="J1500" t="inlineStr">
        <is>
          <t>Returned</t>
        </is>
      </c>
      <c r="K1500" t="n">
        <v>1543.66</v>
      </c>
      <c r="L1500" t="n">
        <v>0</v>
      </c>
      <c r="M1500" t="inlineStr">
        <is>
          <t>INR</t>
        </is>
      </c>
      <c r="N1500" t="inlineStr">
        <is>
          <t>2025-08-08 08:05:02</t>
        </is>
      </c>
    </row>
    <row r="1501">
      <c r="A1501" t="inlineStr">
        <is>
          <t>TXN00125244</t>
        </is>
      </c>
      <c r="B1501" t="inlineStr">
        <is>
          <t>MER00649</t>
        </is>
      </c>
      <c r="C1501" s="8" t="n">
        <v>45877</v>
      </c>
      <c r="D1501" t="inlineStr">
        <is>
          <t>ORD00125244</t>
        </is>
      </c>
      <c r="E1501" t="n">
        <v>1136.98</v>
      </c>
      <c r="F1501" t="n">
        <v>1.53</v>
      </c>
      <c r="G1501" t="n">
        <v>17.4</v>
      </c>
      <c r="H1501" t="inlineStr">
        <is>
          <t>NetBanking</t>
        </is>
      </c>
      <c r="I1501" t="inlineStr">
        <is>
          <t>Success</t>
        </is>
      </c>
      <c r="J1501" t="inlineStr">
        <is>
          <t>Delivered</t>
        </is>
      </c>
      <c r="K1501" t="n">
        <v>0</v>
      </c>
      <c r="L1501" t="n">
        <v>120.03</v>
      </c>
      <c r="M1501" t="inlineStr">
        <is>
          <t>INR</t>
        </is>
      </c>
      <c r="N1501" t="inlineStr">
        <is>
          <t>2025-08-08 04:06:36</t>
        </is>
      </c>
    </row>
    <row r="1502">
      <c r="A1502" t="inlineStr">
        <is>
          <t>TXN00129634</t>
        </is>
      </c>
      <c r="B1502" t="inlineStr">
        <is>
          <t>MER00649</t>
        </is>
      </c>
      <c r="C1502" s="8" t="n">
        <v>45890</v>
      </c>
      <c r="D1502" t="inlineStr">
        <is>
          <t>ORD00129634</t>
        </is>
      </c>
      <c r="E1502" t="n">
        <v>591.47</v>
      </c>
      <c r="F1502" t="n">
        <v>1.53</v>
      </c>
      <c r="G1502" t="n">
        <v>9.050000000000001</v>
      </c>
      <c r="H1502" t="inlineStr">
        <is>
          <t>UPI</t>
        </is>
      </c>
      <c r="I1502" t="inlineStr">
        <is>
          <t>Success</t>
        </is>
      </c>
      <c r="J1502" t="inlineStr">
        <is>
          <t>Delivered</t>
        </is>
      </c>
      <c r="K1502" t="n">
        <v>0</v>
      </c>
      <c r="L1502" t="n">
        <v>0</v>
      </c>
      <c r="M1502" t="inlineStr">
        <is>
          <t>INR</t>
        </is>
      </c>
      <c r="N1502" t="inlineStr">
        <is>
          <t>2025-08-21 22:50:17</t>
        </is>
      </c>
    </row>
    <row r="1503">
      <c r="A1503" t="inlineStr">
        <is>
          <t>TXN00130176</t>
        </is>
      </c>
      <c r="B1503" t="inlineStr">
        <is>
          <t>MER00649</t>
        </is>
      </c>
      <c r="C1503" s="8" t="n">
        <v>45892</v>
      </c>
      <c r="D1503" t="inlineStr">
        <is>
          <t>ORD00130176</t>
        </is>
      </c>
      <c r="E1503" t="n">
        <v>1294.62</v>
      </c>
      <c r="F1503" t="n">
        <v>1.53</v>
      </c>
      <c r="G1503" t="n">
        <v>19.81</v>
      </c>
      <c r="H1503" t="inlineStr">
        <is>
          <t>Wallet</t>
        </is>
      </c>
      <c r="I1503" t="inlineStr">
        <is>
          <t>Success</t>
        </is>
      </c>
      <c r="J1503" t="inlineStr">
        <is>
          <t>Cancelled</t>
        </is>
      </c>
      <c r="K1503" t="n">
        <v>1149.84</v>
      </c>
      <c r="L1503" t="n">
        <v>0</v>
      </c>
      <c r="M1503" t="inlineStr">
        <is>
          <t>INR</t>
        </is>
      </c>
      <c r="N1503" t="inlineStr">
        <is>
          <t>2025-08-23 14:35:13</t>
        </is>
      </c>
    </row>
    <row r="1504">
      <c r="A1504" t="inlineStr">
        <is>
          <t>TXN00130632</t>
        </is>
      </c>
      <c r="B1504" t="inlineStr">
        <is>
          <t>MER00649</t>
        </is>
      </c>
      <c r="C1504" s="8" t="n">
        <v>45893</v>
      </c>
      <c r="D1504" t="inlineStr">
        <is>
          <t>ORD00130632</t>
        </is>
      </c>
      <c r="E1504" t="n">
        <v>1503.48</v>
      </c>
      <c r="F1504" t="n">
        <v>1.53</v>
      </c>
      <c r="G1504" t="n">
        <v>23</v>
      </c>
      <c r="H1504" t="inlineStr">
        <is>
          <t>UPI</t>
        </is>
      </c>
      <c r="I1504" t="inlineStr">
        <is>
          <t>Unknown</t>
        </is>
      </c>
      <c r="J1504" t="inlineStr">
        <is>
          <t>Delivered</t>
        </is>
      </c>
      <c r="K1504" t="n">
        <v>0</v>
      </c>
      <c r="L1504" t="n">
        <v>238.3</v>
      </c>
      <c r="M1504" t="inlineStr">
        <is>
          <t>INR</t>
        </is>
      </c>
      <c r="N1504" t="inlineStr">
        <is>
          <t>2025-08-24 01:59:47</t>
        </is>
      </c>
    </row>
    <row r="1505">
      <c r="A1505" t="inlineStr">
        <is>
          <t>TXN00130687</t>
        </is>
      </c>
      <c r="B1505" t="inlineStr">
        <is>
          <t>MER00649</t>
        </is>
      </c>
      <c r="C1505" s="8" t="n">
        <v>45894</v>
      </c>
      <c r="D1505" t="inlineStr">
        <is>
          <t>ORD00130687</t>
        </is>
      </c>
      <c r="E1505" t="n">
        <v>1600.75</v>
      </c>
      <c r="F1505" t="n">
        <v>1.53</v>
      </c>
      <c r="G1505" t="n">
        <v>24.49</v>
      </c>
      <c r="H1505" t="inlineStr">
        <is>
          <t>NetBanking</t>
        </is>
      </c>
      <c r="I1505" t="inlineStr">
        <is>
          <t>Success</t>
        </is>
      </c>
      <c r="J1505" t="inlineStr">
        <is>
          <t>Delivered</t>
        </is>
      </c>
      <c r="K1505" t="n">
        <v>0</v>
      </c>
      <c r="L1505" t="n">
        <v>0</v>
      </c>
      <c r="M1505" t="inlineStr">
        <is>
          <t>INR</t>
        </is>
      </c>
      <c r="N1505" t="inlineStr">
        <is>
          <t>2025-08-25 00:25:51</t>
        </is>
      </c>
    </row>
    <row r="1506">
      <c r="A1506" t="inlineStr">
        <is>
          <t>TXN00131071</t>
        </is>
      </c>
      <c r="B1506" t="inlineStr">
        <is>
          <t>MER00649</t>
        </is>
      </c>
      <c r="C1506" s="8" t="n">
        <v>45895</v>
      </c>
      <c r="D1506" t="inlineStr">
        <is>
          <t>ORD00131071</t>
        </is>
      </c>
      <c r="E1506" t="n">
        <v>982.0700000000001</v>
      </c>
      <c r="F1506" t="n">
        <v>1.53</v>
      </c>
      <c r="G1506" t="n">
        <v>15.03</v>
      </c>
      <c r="H1506" t="inlineStr">
        <is>
          <t>UPI</t>
        </is>
      </c>
      <c r="I1506" t="inlineStr">
        <is>
          <t>Success</t>
        </is>
      </c>
      <c r="J1506" t="inlineStr">
        <is>
          <t>Delivered</t>
        </is>
      </c>
      <c r="K1506" t="n">
        <v>0</v>
      </c>
      <c r="L1506" t="n">
        <v>121.05</v>
      </c>
      <c r="M1506" t="inlineStr">
        <is>
          <t>INR</t>
        </is>
      </c>
      <c r="N1506" t="inlineStr">
        <is>
          <t>2025-08-26 00:01:06</t>
        </is>
      </c>
    </row>
    <row r="1507">
      <c r="A1507" t="inlineStr">
        <is>
          <t>TXN00132591</t>
        </is>
      </c>
      <c r="B1507" t="inlineStr">
        <is>
          <t>MER00649</t>
        </is>
      </c>
      <c r="C1507" s="8" t="n">
        <v>45899</v>
      </c>
      <c r="D1507" t="inlineStr">
        <is>
          <t>ORD00132591</t>
        </is>
      </c>
      <c r="E1507" t="n">
        <v>1465.1</v>
      </c>
      <c r="F1507" t="n">
        <v>1.53</v>
      </c>
      <c r="G1507" t="n">
        <v>22.42</v>
      </c>
      <c r="H1507" t="inlineStr">
        <is>
          <t>UPI</t>
        </is>
      </c>
      <c r="I1507" t="inlineStr">
        <is>
          <t>Success</t>
        </is>
      </c>
      <c r="J1507" t="inlineStr">
        <is>
          <t>Delivered</t>
        </is>
      </c>
      <c r="K1507" t="n">
        <v>0</v>
      </c>
      <c r="L1507" t="n">
        <v>0</v>
      </c>
      <c r="M1507" t="inlineStr">
        <is>
          <t>INR</t>
        </is>
      </c>
      <c r="N1507" t="inlineStr">
        <is>
          <t>2025-08-30 14:07:26</t>
        </is>
      </c>
    </row>
    <row r="1508">
      <c r="A1508" t="inlineStr">
        <is>
          <t>TXN00133329</t>
        </is>
      </c>
      <c r="B1508" t="inlineStr">
        <is>
          <t>MER00649</t>
        </is>
      </c>
      <c r="C1508" s="8" t="n">
        <v>45901</v>
      </c>
      <c r="D1508" t="inlineStr">
        <is>
          <t>ORD00133329</t>
        </is>
      </c>
      <c r="E1508" t="n">
        <v>2225.63</v>
      </c>
      <c r="F1508" t="n">
        <v>1.53</v>
      </c>
      <c r="G1508" t="n">
        <v>34.05</v>
      </c>
      <c r="H1508" t="inlineStr">
        <is>
          <t>UPI</t>
        </is>
      </c>
      <c r="I1508" t="inlineStr">
        <is>
          <t>Success</t>
        </is>
      </c>
      <c r="J1508" t="inlineStr">
        <is>
          <t>Delivered</t>
        </is>
      </c>
      <c r="K1508" t="n">
        <v>0</v>
      </c>
      <c r="L1508" t="n">
        <v>0</v>
      </c>
      <c r="M1508" t="inlineStr">
        <is>
          <t>INR</t>
        </is>
      </c>
      <c r="N1508" t="inlineStr">
        <is>
          <t>2025-09-01 13:27:13</t>
        </is>
      </c>
    </row>
    <row r="1509">
      <c r="A1509" t="inlineStr">
        <is>
          <t>TXN00134596</t>
        </is>
      </c>
      <c r="B1509" t="inlineStr">
        <is>
          <t>MER00649</t>
        </is>
      </c>
      <c r="C1509" s="8" t="n">
        <v>45905</v>
      </c>
      <c r="D1509" t="inlineStr">
        <is>
          <t>ORD00134596</t>
        </is>
      </c>
      <c r="E1509" t="n">
        <v>537.04</v>
      </c>
      <c r="F1509" t="n">
        <v>1.53</v>
      </c>
      <c r="G1509" t="n">
        <v>8.220000000000001</v>
      </c>
      <c r="H1509" t="inlineStr">
        <is>
          <t>Card</t>
        </is>
      </c>
      <c r="I1509" t="inlineStr">
        <is>
          <t>Failed</t>
        </is>
      </c>
      <c r="J1509" t="inlineStr">
        <is>
          <t>Processing</t>
        </is>
      </c>
      <c r="K1509" t="n">
        <v>0</v>
      </c>
      <c r="L1509" t="n">
        <v>0</v>
      </c>
      <c r="M1509" t="inlineStr">
        <is>
          <t>INR</t>
        </is>
      </c>
      <c r="N1509" t="inlineStr">
        <is>
          <t>2025-09-05 20:10:59</t>
        </is>
      </c>
    </row>
    <row r="1510">
      <c r="A1510" t="inlineStr">
        <is>
          <t>TXN00134588</t>
        </is>
      </c>
      <c r="B1510" t="inlineStr">
        <is>
          <t>MER00649</t>
        </is>
      </c>
      <c r="C1510" s="8" t="n">
        <v>45905</v>
      </c>
      <c r="D1510" t="inlineStr">
        <is>
          <t>ORD00134588</t>
        </is>
      </c>
      <c r="E1510" t="n">
        <v>755.63</v>
      </c>
      <c r="F1510" t="n">
        <v>1.09</v>
      </c>
      <c r="G1510" t="n">
        <v>11.56</v>
      </c>
      <c r="H1510" t="inlineStr">
        <is>
          <t>UPI</t>
        </is>
      </c>
      <c r="I1510" t="inlineStr">
        <is>
          <t>Success</t>
        </is>
      </c>
      <c r="J1510" t="inlineStr">
        <is>
          <t>Delivered</t>
        </is>
      </c>
      <c r="K1510" t="n">
        <v>0</v>
      </c>
      <c r="L1510" t="n">
        <v>0</v>
      </c>
      <c r="M1510" t="inlineStr">
        <is>
          <t>INR</t>
        </is>
      </c>
      <c r="N1510" t="inlineStr">
        <is>
          <t>2025-09-05 04:50:50</t>
        </is>
      </c>
    </row>
    <row r="1511">
      <c r="A1511" t="inlineStr">
        <is>
          <t>TXN00138180</t>
        </is>
      </c>
      <c r="B1511" t="inlineStr">
        <is>
          <t>MER00649</t>
        </is>
      </c>
      <c r="C1511" s="8" t="n">
        <v>45915</v>
      </c>
      <c r="D1511" t="inlineStr">
        <is>
          <t>ORD00138180</t>
        </is>
      </c>
      <c r="E1511" t="n">
        <v>1238.6</v>
      </c>
      <c r="F1511" t="n">
        <v>1.64</v>
      </c>
      <c r="G1511" t="n">
        <v>20.31</v>
      </c>
      <c r="H1511" t="inlineStr">
        <is>
          <t>UPI</t>
        </is>
      </c>
      <c r="I1511" t="inlineStr">
        <is>
          <t>Success</t>
        </is>
      </c>
      <c r="J1511" t="inlineStr">
        <is>
          <t>Delivered</t>
        </is>
      </c>
      <c r="K1511" t="n">
        <v>0</v>
      </c>
      <c r="L1511" t="n">
        <v>0</v>
      </c>
      <c r="M1511" t="inlineStr">
        <is>
          <t>INR</t>
        </is>
      </c>
      <c r="N1511" t="inlineStr">
        <is>
          <t>2025-09-15 06:20:34</t>
        </is>
      </c>
    </row>
    <row r="1512">
      <c r="A1512" t="inlineStr">
        <is>
          <t>TXN00138666</t>
        </is>
      </c>
      <c r="B1512" t="inlineStr">
        <is>
          <t>MER00649</t>
        </is>
      </c>
      <c r="C1512" s="8" t="n">
        <v>45917</v>
      </c>
      <c r="D1512" t="inlineStr">
        <is>
          <t>ORD00138666</t>
        </is>
      </c>
      <c r="E1512" t="n">
        <v>932.87</v>
      </c>
      <c r="F1512" t="n">
        <v>1.64</v>
      </c>
      <c r="G1512" t="n">
        <v>15.3</v>
      </c>
      <c r="H1512" t="inlineStr">
        <is>
          <t>UPI</t>
        </is>
      </c>
      <c r="I1512" t="inlineStr">
        <is>
          <t>Success</t>
        </is>
      </c>
      <c r="J1512" t="inlineStr">
        <is>
          <t>Delivered</t>
        </is>
      </c>
      <c r="K1512" t="n">
        <v>0</v>
      </c>
      <c r="L1512" t="n">
        <v>0</v>
      </c>
      <c r="M1512" t="inlineStr">
        <is>
          <t>INR</t>
        </is>
      </c>
      <c r="N1512" t="inlineStr">
        <is>
          <t>2025-09-17 14:33:02</t>
        </is>
      </c>
    </row>
    <row r="1513">
      <c r="A1513" t="inlineStr">
        <is>
          <t>TXN00139641</t>
        </is>
      </c>
      <c r="B1513" t="inlineStr">
        <is>
          <t>MER00649</t>
        </is>
      </c>
      <c r="C1513" s="8" t="n">
        <v>45919</v>
      </c>
      <c r="D1513" t="inlineStr">
        <is>
          <t>ORD00139641</t>
        </is>
      </c>
      <c r="E1513" t="n">
        <v>1782.87</v>
      </c>
      <c r="F1513" t="n">
        <v>1.64</v>
      </c>
      <c r="G1513" t="n">
        <v>29.24</v>
      </c>
      <c r="H1513" t="inlineStr">
        <is>
          <t>UPI</t>
        </is>
      </c>
      <c r="I1513" t="inlineStr">
        <is>
          <t>Success</t>
        </is>
      </c>
      <c r="J1513" t="inlineStr">
        <is>
          <t>Delivered</t>
        </is>
      </c>
      <c r="K1513" t="n">
        <v>0</v>
      </c>
      <c r="L1513" t="n">
        <v>0</v>
      </c>
      <c r="M1513" t="inlineStr">
        <is>
          <t>INR</t>
        </is>
      </c>
      <c r="N1513" t="inlineStr">
        <is>
          <t>2025-09-19 21:25:11</t>
        </is>
      </c>
    </row>
    <row r="1514">
      <c r="A1514" t="inlineStr">
        <is>
          <t>TXN00139645</t>
        </is>
      </c>
      <c r="B1514" t="inlineStr">
        <is>
          <t>MER00649</t>
        </is>
      </c>
      <c r="C1514" s="8" t="n">
        <v>45919</v>
      </c>
      <c r="D1514" t="inlineStr">
        <is>
          <t>ORD00139645</t>
        </is>
      </c>
      <c r="E1514" t="n">
        <v>1647.89</v>
      </c>
      <c r="F1514" t="n">
        <v>1.64</v>
      </c>
      <c r="G1514" t="n">
        <v>27.03</v>
      </c>
      <c r="H1514" t="inlineStr">
        <is>
          <t>Wallet</t>
        </is>
      </c>
      <c r="I1514" t="inlineStr">
        <is>
          <t>Success</t>
        </is>
      </c>
      <c r="J1514" t="inlineStr">
        <is>
          <t>Cancelled</t>
        </is>
      </c>
      <c r="K1514" t="n">
        <v>1642.73</v>
      </c>
      <c r="L1514" t="n">
        <v>0</v>
      </c>
      <c r="M1514" t="inlineStr">
        <is>
          <t>INR</t>
        </is>
      </c>
      <c r="N1514" t="inlineStr">
        <is>
          <t>2025-09-19 09:16:11</t>
        </is>
      </c>
    </row>
    <row r="1515">
      <c r="A1515" t="inlineStr">
        <is>
          <t>TXN00140237</t>
        </is>
      </c>
      <c r="B1515" t="inlineStr">
        <is>
          <t>MER00649</t>
        </is>
      </c>
      <c r="C1515" s="8" t="n">
        <v>45921</v>
      </c>
      <c r="D1515" t="inlineStr">
        <is>
          <t>ORD00140237</t>
        </is>
      </c>
      <c r="E1515" t="n">
        <v>582.55</v>
      </c>
      <c r="F1515" t="n">
        <v>1.64</v>
      </c>
      <c r="G1515" t="n">
        <v>9.550000000000001</v>
      </c>
      <c r="H1515" t="inlineStr">
        <is>
          <t>UPI</t>
        </is>
      </c>
      <c r="I1515" t="inlineStr">
        <is>
          <t>Success</t>
        </is>
      </c>
      <c r="J1515" t="inlineStr">
        <is>
          <t>Returned</t>
        </is>
      </c>
      <c r="K1515" t="n">
        <v>276.7</v>
      </c>
      <c r="L1515" t="n">
        <v>0</v>
      </c>
      <c r="M1515" t="inlineStr">
        <is>
          <t>INR</t>
        </is>
      </c>
      <c r="N1515" t="inlineStr">
        <is>
          <t>2025-09-21 01:28:56</t>
        </is>
      </c>
    </row>
    <row r="1516">
      <c r="A1516" t="inlineStr">
        <is>
          <t>TXN00141832</t>
        </is>
      </c>
      <c r="B1516" t="inlineStr">
        <is>
          <t>MER00649</t>
        </is>
      </c>
      <c r="C1516" s="8" t="n">
        <v>45926</v>
      </c>
      <c r="D1516" t="inlineStr">
        <is>
          <t>ORD00141832</t>
        </is>
      </c>
      <c r="E1516" t="n">
        <v>1223.46</v>
      </c>
      <c r="F1516" t="n">
        <v>1.64</v>
      </c>
      <c r="G1516" t="n">
        <v>20.06</v>
      </c>
      <c r="H1516" t="inlineStr">
        <is>
          <t>UPI</t>
        </is>
      </c>
      <c r="I1516" t="inlineStr">
        <is>
          <t>Failed</t>
        </is>
      </c>
      <c r="J1516" t="inlineStr">
        <is>
          <t>Processing</t>
        </is>
      </c>
      <c r="K1516" t="n">
        <v>0</v>
      </c>
      <c r="L1516" t="n">
        <v>0</v>
      </c>
      <c r="M1516" t="inlineStr">
        <is>
          <t>INR</t>
        </is>
      </c>
      <c r="N1516" t="inlineStr">
        <is>
          <t>2025-09-26 19:42:18</t>
        </is>
      </c>
    </row>
    <row r="1517">
      <c r="A1517" t="inlineStr">
        <is>
          <t>TXN00145173</t>
        </is>
      </c>
      <c r="B1517" t="inlineStr">
        <is>
          <t>MER00649</t>
        </is>
      </c>
      <c r="C1517" s="8" t="n">
        <v>45934</v>
      </c>
      <c r="D1517" t="inlineStr">
        <is>
          <t>ORD00145173</t>
        </is>
      </c>
      <c r="E1517" t="n">
        <v>2133.17</v>
      </c>
      <c r="F1517" t="n">
        <v>1.64</v>
      </c>
      <c r="G1517" t="n">
        <v>34.98</v>
      </c>
      <c r="H1517" t="inlineStr">
        <is>
          <t>UPI</t>
        </is>
      </c>
      <c r="I1517" t="inlineStr">
        <is>
          <t>Success</t>
        </is>
      </c>
      <c r="J1517" t="inlineStr">
        <is>
          <t>Delivered</t>
        </is>
      </c>
      <c r="K1517" t="n">
        <v>0</v>
      </c>
      <c r="L1517" t="n">
        <v>0</v>
      </c>
      <c r="M1517" t="inlineStr">
        <is>
          <t>INR</t>
        </is>
      </c>
      <c r="N1517" t="inlineStr">
        <is>
          <t>2025-10-04 20:58:56</t>
        </is>
      </c>
    </row>
    <row r="1518">
      <c r="A1518" t="inlineStr">
        <is>
          <t>TXN00145412</t>
        </is>
      </c>
      <c r="B1518" t="inlineStr">
        <is>
          <t>MER00649</t>
        </is>
      </c>
      <c r="C1518" s="8" t="n">
        <v>45935</v>
      </c>
      <c r="D1518" t="inlineStr">
        <is>
          <t>ORD00145412</t>
        </is>
      </c>
      <c r="E1518" t="n">
        <v>1452.71</v>
      </c>
      <c r="F1518" t="n">
        <v>1.64</v>
      </c>
      <c r="G1518" t="n">
        <v>23.82</v>
      </c>
      <c r="H1518" t="inlineStr">
        <is>
          <t>UPI</t>
        </is>
      </c>
      <c r="I1518" t="inlineStr">
        <is>
          <t>Failed</t>
        </is>
      </c>
      <c r="J1518" t="inlineStr">
        <is>
          <t>Cancelled</t>
        </is>
      </c>
      <c r="K1518" t="n">
        <v>0</v>
      </c>
      <c r="L1518" t="n">
        <v>0</v>
      </c>
      <c r="M1518" t="inlineStr">
        <is>
          <t>INR</t>
        </is>
      </c>
      <c r="N1518" t="inlineStr">
        <is>
          <t>2025-10-05 10:36:28</t>
        </is>
      </c>
    </row>
    <row r="1519">
      <c r="A1519" t="inlineStr">
        <is>
          <t>TXN00146299</t>
        </is>
      </c>
      <c r="B1519" t="inlineStr">
        <is>
          <t>MER00649</t>
        </is>
      </c>
      <c r="C1519" s="8" t="n">
        <v>45936</v>
      </c>
      <c r="D1519" t="inlineStr">
        <is>
          <t>ORD00146299</t>
        </is>
      </c>
      <c r="E1519" t="n">
        <v>1643.22</v>
      </c>
      <c r="F1519" t="n">
        <v>1.64</v>
      </c>
      <c r="G1519" t="n">
        <v>26.95</v>
      </c>
      <c r="H1519" t="inlineStr">
        <is>
          <t>NetBanking</t>
        </is>
      </c>
      <c r="I1519" t="inlineStr">
        <is>
          <t>Success</t>
        </is>
      </c>
      <c r="J1519" t="inlineStr">
        <is>
          <t>Delivered</t>
        </is>
      </c>
      <c r="K1519" t="n">
        <v>0</v>
      </c>
      <c r="L1519" t="n">
        <v>0</v>
      </c>
      <c r="M1519" t="inlineStr">
        <is>
          <t>INR</t>
        </is>
      </c>
      <c r="N1519" t="inlineStr">
        <is>
          <t>2025-10-06 21:55:43</t>
        </is>
      </c>
    </row>
    <row r="1520">
      <c r="A1520" t="inlineStr">
        <is>
          <t>TXN00146288</t>
        </is>
      </c>
      <c r="B1520" t="inlineStr">
        <is>
          <t>MER00649</t>
        </is>
      </c>
      <c r="C1520" s="8" t="n">
        <v>45936</v>
      </c>
      <c r="D1520" t="inlineStr">
        <is>
          <t>ORD00146288</t>
        </is>
      </c>
      <c r="E1520" t="n">
        <v>684.6900000000001</v>
      </c>
      <c r="F1520" t="n">
        <v>1.64</v>
      </c>
      <c r="G1520" t="n">
        <v>11.23</v>
      </c>
      <c r="H1520" t="inlineStr">
        <is>
          <t>Card</t>
        </is>
      </c>
      <c r="I1520" t="inlineStr">
        <is>
          <t>Success</t>
        </is>
      </c>
      <c r="J1520" t="inlineStr">
        <is>
          <t>Delivered</t>
        </is>
      </c>
      <c r="K1520" t="n">
        <v>0</v>
      </c>
      <c r="L1520" t="n">
        <v>0</v>
      </c>
      <c r="M1520" t="inlineStr">
        <is>
          <t>INR</t>
        </is>
      </c>
      <c r="N1520" t="inlineStr">
        <is>
          <t>2025-10-06 14:50:43</t>
        </is>
      </c>
    </row>
    <row r="1521">
      <c r="A1521" t="inlineStr">
        <is>
          <t>TXN00147641</t>
        </is>
      </c>
      <c r="B1521" t="inlineStr">
        <is>
          <t>MER00649</t>
        </is>
      </c>
      <c r="C1521" s="8" t="n">
        <v>45939</v>
      </c>
      <c r="D1521" t="inlineStr">
        <is>
          <t>ORD00147641</t>
        </is>
      </c>
      <c r="E1521" t="n">
        <v>1092.5</v>
      </c>
      <c r="F1521" t="n">
        <v>2.53</v>
      </c>
      <c r="G1521" t="n">
        <v>17.92</v>
      </c>
      <c r="H1521" t="inlineStr">
        <is>
          <t>Card</t>
        </is>
      </c>
      <c r="I1521" t="inlineStr">
        <is>
          <t>Success</t>
        </is>
      </c>
      <c r="J1521" t="inlineStr">
        <is>
          <t>Returned</t>
        </is>
      </c>
      <c r="K1521" t="n">
        <v>1092.5</v>
      </c>
      <c r="L1521" t="n">
        <v>0</v>
      </c>
      <c r="M1521" t="inlineStr">
        <is>
          <t>INR</t>
        </is>
      </c>
      <c r="N1521" t="inlineStr">
        <is>
          <t>2025-10-09 03:13:27</t>
        </is>
      </c>
    </row>
    <row r="1522">
      <c r="A1522" t="inlineStr">
        <is>
          <t>TXN00149432</t>
        </is>
      </c>
      <c r="B1522" t="inlineStr">
        <is>
          <t>MER00649</t>
        </is>
      </c>
      <c r="C1522" s="8" t="n">
        <v>45943</v>
      </c>
      <c r="D1522" t="inlineStr">
        <is>
          <t>ORD00149432</t>
        </is>
      </c>
      <c r="E1522" t="n">
        <v>1830.61</v>
      </c>
      <c r="F1522" t="n">
        <v>1.21</v>
      </c>
      <c r="G1522" t="n">
        <v>30.02</v>
      </c>
      <c r="H1522" t="inlineStr">
        <is>
          <t>UPI</t>
        </is>
      </c>
      <c r="I1522" t="inlineStr">
        <is>
          <t>Success</t>
        </is>
      </c>
      <c r="J1522" t="inlineStr">
        <is>
          <t>Delivered</t>
        </is>
      </c>
      <c r="K1522" t="n">
        <v>0</v>
      </c>
      <c r="L1522" t="n">
        <v>0</v>
      </c>
      <c r="M1522" t="inlineStr">
        <is>
          <t>INR</t>
        </is>
      </c>
      <c r="N1522" t="inlineStr">
        <is>
          <t>2025-10-13 08:28:47</t>
        </is>
      </c>
    </row>
    <row r="1523">
      <c r="A1523" t="inlineStr">
        <is>
          <t>TXN00150319</t>
        </is>
      </c>
      <c r="B1523" t="inlineStr">
        <is>
          <t>MER00649</t>
        </is>
      </c>
      <c r="C1523" s="8" t="n">
        <v>45945</v>
      </c>
      <c r="D1523" t="inlineStr">
        <is>
          <t>ORD00150319</t>
        </is>
      </c>
      <c r="E1523" t="n">
        <v>650.9</v>
      </c>
      <c r="F1523" t="n">
        <v>1.64</v>
      </c>
      <c r="G1523" t="n">
        <v>10.67</v>
      </c>
      <c r="H1523" t="inlineStr">
        <is>
          <t>COD</t>
        </is>
      </c>
      <c r="I1523" t="inlineStr">
        <is>
          <t>Pending</t>
        </is>
      </c>
      <c r="J1523" t="inlineStr">
        <is>
          <t>Processing</t>
        </is>
      </c>
      <c r="K1523" t="n">
        <v>0</v>
      </c>
      <c r="L1523" t="n">
        <v>0</v>
      </c>
      <c r="M1523" t="inlineStr">
        <is>
          <t>INR</t>
        </is>
      </c>
      <c r="N1523" t="inlineStr">
        <is>
          <t>2025-10-15 19:59:05</t>
        </is>
      </c>
    </row>
    <row r="1524">
      <c r="A1524" t="inlineStr">
        <is>
          <t>TXN00151236</t>
        </is>
      </c>
      <c r="B1524" t="inlineStr">
        <is>
          <t>MER00649</t>
        </is>
      </c>
      <c r="C1524" s="8" t="n">
        <v>45947</v>
      </c>
      <c r="D1524" t="inlineStr">
        <is>
          <t>ORD00151236</t>
        </is>
      </c>
      <c r="E1524" t="n">
        <v>2366.27</v>
      </c>
      <c r="F1524" t="n">
        <v>1.64</v>
      </c>
      <c r="G1524" t="n">
        <v>38.81</v>
      </c>
      <c r="H1524" t="inlineStr">
        <is>
          <t>UPI</t>
        </is>
      </c>
      <c r="I1524" t="inlineStr">
        <is>
          <t>Success</t>
        </is>
      </c>
      <c r="J1524" t="inlineStr">
        <is>
          <t>Returned</t>
        </is>
      </c>
      <c r="K1524" t="n">
        <v>2366.27</v>
      </c>
      <c r="L1524" t="n">
        <v>0</v>
      </c>
      <c r="M1524" t="inlineStr">
        <is>
          <t>INR</t>
        </is>
      </c>
      <c r="N1524" t="inlineStr">
        <is>
          <t>2025-10-17 18:13:31</t>
        </is>
      </c>
    </row>
    <row r="1525">
      <c r="A1525" t="inlineStr">
        <is>
          <t>TXN00151445</t>
        </is>
      </c>
      <c r="B1525" t="inlineStr">
        <is>
          <t>MER00649</t>
        </is>
      </c>
      <c r="C1525" s="8" t="n">
        <v>45947</v>
      </c>
      <c r="D1525" t="inlineStr">
        <is>
          <t>ORD00151445</t>
        </is>
      </c>
      <c r="E1525" t="n">
        <v>666.96</v>
      </c>
      <c r="F1525" t="n">
        <v>1.64</v>
      </c>
      <c r="G1525" t="n">
        <v>10.94</v>
      </c>
      <c r="H1525" t="inlineStr">
        <is>
          <t>UPI</t>
        </is>
      </c>
      <c r="I1525" t="inlineStr">
        <is>
          <t>Success</t>
        </is>
      </c>
      <c r="J1525" t="inlineStr">
        <is>
          <t>Delivered</t>
        </is>
      </c>
      <c r="K1525" t="n">
        <v>0</v>
      </c>
      <c r="L1525" t="n">
        <v>0</v>
      </c>
      <c r="M1525" t="inlineStr">
        <is>
          <t>INR</t>
        </is>
      </c>
      <c r="N1525" t="inlineStr">
        <is>
          <t>2025-10-17 16:20:00</t>
        </is>
      </c>
    </row>
    <row r="1526">
      <c r="A1526" t="inlineStr">
        <is>
          <t>TXN00151257</t>
        </is>
      </c>
      <c r="B1526" t="inlineStr">
        <is>
          <t>MER00649</t>
        </is>
      </c>
      <c r="C1526" s="8" t="n">
        <v>45947</v>
      </c>
      <c r="D1526" t="inlineStr">
        <is>
          <t>ORD00151257</t>
        </is>
      </c>
      <c r="E1526" t="n">
        <v>2064</v>
      </c>
      <c r="F1526" t="n">
        <v>1.64</v>
      </c>
      <c r="G1526" t="n">
        <v>33.85</v>
      </c>
      <c r="H1526" t="inlineStr">
        <is>
          <t>Card</t>
        </is>
      </c>
      <c r="I1526" t="inlineStr">
        <is>
          <t>Success</t>
        </is>
      </c>
      <c r="J1526" t="inlineStr">
        <is>
          <t>Delivered</t>
        </is>
      </c>
      <c r="K1526" t="n">
        <v>0</v>
      </c>
      <c r="L1526" t="n">
        <v>0</v>
      </c>
      <c r="M1526" t="inlineStr">
        <is>
          <t>INR</t>
        </is>
      </c>
      <c r="N1526" t="inlineStr">
        <is>
          <t>2025-10-17 13:00:04</t>
        </is>
      </c>
    </row>
    <row r="1527">
      <c r="A1527" t="inlineStr">
        <is>
          <t>TXN00151441</t>
        </is>
      </c>
      <c r="B1527" t="inlineStr">
        <is>
          <t>MER00649</t>
        </is>
      </c>
      <c r="C1527" s="8" t="n">
        <v>45947</v>
      </c>
      <c r="D1527" t="inlineStr">
        <is>
          <t>ORD00151441</t>
        </is>
      </c>
      <c r="E1527" t="n">
        <v>672.08</v>
      </c>
      <c r="F1527" t="n">
        <v>1.64</v>
      </c>
      <c r="G1527" t="n">
        <v>11.02</v>
      </c>
      <c r="H1527" t="inlineStr">
        <is>
          <t>Wallet</t>
        </is>
      </c>
      <c r="I1527" t="inlineStr">
        <is>
          <t>Success</t>
        </is>
      </c>
      <c r="J1527" t="inlineStr">
        <is>
          <t>Delivered</t>
        </is>
      </c>
      <c r="K1527" t="n">
        <v>0</v>
      </c>
      <c r="L1527" t="n">
        <v>0</v>
      </c>
      <c r="M1527" t="inlineStr">
        <is>
          <t>INR</t>
        </is>
      </c>
      <c r="N1527" t="inlineStr">
        <is>
          <t>2025-10-17 00:05:27</t>
        </is>
      </c>
    </row>
    <row r="1528">
      <c r="A1528" t="inlineStr">
        <is>
          <t>TXN00156401</t>
        </is>
      </c>
      <c r="B1528" t="inlineStr">
        <is>
          <t>MER00649</t>
        </is>
      </c>
      <c r="C1528" s="8" t="n">
        <v>45958</v>
      </c>
      <c r="D1528" t="inlineStr">
        <is>
          <t>ORD00156401</t>
        </is>
      </c>
      <c r="E1528" t="n">
        <v>263.79</v>
      </c>
      <c r="F1528" t="n">
        <v>1.64</v>
      </c>
      <c r="G1528" t="n">
        <v>4.33</v>
      </c>
      <c r="H1528" t="inlineStr">
        <is>
          <t>UPI</t>
        </is>
      </c>
      <c r="I1528" t="inlineStr">
        <is>
          <t>Success</t>
        </is>
      </c>
      <c r="J1528" t="inlineStr">
        <is>
          <t>Delivered</t>
        </is>
      </c>
      <c r="K1528" t="n">
        <v>0</v>
      </c>
      <c r="L1528" t="n">
        <v>0</v>
      </c>
      <c r="M1528" t="inlineStr">
        <is>
          <t>INR</t>
        </is>
      </c>
      <c r="N1528" t="inlineStr">
        <is>
          <t>2025-10-28 17:51:04</t>
        </is>
      </c>
    </row>
    <row r="1529">
      <c r="A1529" t="inlineStr">
        <is>
          <t>TXN00158366</t>
        </is>
      </c>
      <c r="B1529" t="inlineStr">
        <is>
          <t>MER00649</t>
        </is>
      </c>
      <c r="C1529" s="8" t="n">
        <v>45962</v>
      </c>
      <c r="D1529" t="inlineStr">
        <is>
          <t>ORD00158366</t>
        </is>
      </c>
      <c r="E1529" t="n">
        <v>1156.8</v>
      </c>
      <c r="F1529" t="n">
        <v>1.64</v>
      </c>
      <c r="G1529" t="n">
        <v>18.97</v>
      </c>
      <c r="H1529" t="inlineStr">
        <is>
          <t>UPI</t>
        </is>
      </c>
      <c r="I1529" t="inlineStr">
        <is>
          <t>Success</t>
        </is>
      </c>
      <c r="J1529" t="inlineStr">
        <is>
          <t>Delivered</t>
        </is>
      </c>
      <c r="K1529" t="n">
        <v>0</v>
      </c>
      <c r="L1529" t="n">
        <v>0</v>
      </c>
      <c r="M1529" t="inlineStr">
        <is>
          <t>INR</t>
        </is>
      </c>
      <c r="N1529" t="inlineStr">
        <is>
          <t>2025-11-01 19:01:49</t>
        </is>
      </c>
    </row>
    <row r="1530">
      <c r="A1530" t="inlineStr">
        <is>
          <t>TXN00159620</t>
        </is>
      </c>
      <c r="B1530" t="inlineStr">
        <is>
          <t>MER00649</t>
        </is>
      </c>
      <c r="C1530" s="8" t="n">
        <v>45964</v>
      </c>
      <c r="D1530" t="inlineStr">
        <is>
          <t>ORD00159620</t>
        </is>
      </c>
      <c r="E1530" t="n">
        <v>1278.41</v>
      </c>
      <c r="F1530" t="n">
        <v>1.64</v>
      </c>
      <c r="G1530" t="n">
        <v>20.97</v>
      </c>
      <c r="H1530" t="inlineStr">
        <is>
          <t>COD</t>
        </is>
      </c>
      <c r="I1530" t="inlineStr">
        <is>
          <t>Success</t>
        </is>
      </c>
      <c r="J1530" t="inlineStr">
        <is>
          <t>Delivered</t>
        </is>
      </c>
      <c r="K1530" t="n">
        <v>0</v>
      </c>
      <c r="L1530" t="n">
        <v>0</v>
      </c>
      <c r="M1530" t="inlineStr">
        <is>
          <t>INR</t>
        </is>
      </c>
      <c r="N1530" t="inlineStr">
        <is>
          <t>2025-11-03 06:28:14</t>
        </is>
      </c>
    </row>
    <row r="1531">
      <c r="A1531" t="inlineStr">
        <is>
          <t>TXN00159629</t>
        </is>
      </c>
      <c r="B1531" t="inlineStr">
        <is>
          <t>MER00649</t>
        </is>
      </c>
      <c r="C1531" s="8" t="n">
        <v>45964</v>
      </c>
      <c r="D1531" t="inlineStr">
        <is>
          <t>ORD00159629</t>
        </is>
      </c>
      <c r="E1531" t="n">
        <v>1096.87</v>
      </c>
      <c r="F1531" t="n">
        <v>1.64</v>
      </c>
      <c r="G1531" t="n">
        <v>17.99</v>
      </c>
      <c r="H1531" t="inlineStr">
        <is>
          <t>UPI</t>
        </is>
      </c>
      <c r="I1531" t="inlineStr">
        <is>
          <t>Success</t>
        </is>
      </c>
      <c r="J1531" t="inlineStr">
        <is>
          <t>Delivered</t>
        </is>
      </c>
      <c r="K1531" t="n">
        <v>0</v>
      </c>
      <c r="L1531" t="n">
        <v>0</v>
      </c>
      <c r="M1531" t="inlineStr">
        <is>
          <t>INR</t>
        </is>
      </c>
      <c r="N1531" t="inlineStr">
        <is>
          <t>2025-11-03 17:55:12</t>
        </is>
      </c>
    </row>
    <row r="1532">
      <c r="A1532" t="inlineStr">
        <is>
          <t>TXN00159814</t>
        </is>
      </c>
      <c r="B1532" t="inlineStr">
        <is>
          <t>MER00649</t>
        </is>
      </c>
      <c r="C1532" s="8" t="n">
        <v>45965</v>
      </c>
      <c r="D1532" t="inlineStr">
        <is>
          <t>ORD00159814</t>
        </is>
      </c>
      <c r="E1532" t="n">
        <v>1178.34</v>
      </c>
      <c r="F1532" t="n">
        <v>1.64</v>
      </c>
      <c r="G1532" t="n">
        <v>19.32</v>
      </c>
      <c r="H1532" t="inlineStr">
        <is>
          <t>UPI</t>
        </is>
      </c>
      <c r="I1532" t="inlineStr">
        <is>
          <t>Success</t>
        </is>
      </c>
      <c r="J1532" t="inlineStr">
        <is>
          <t>Delivered</t>
        </is>
      </c>
      <c r="K1532" t="n">
        <v>0</v>
      </c>
      <c r="L1532" t="n">
        <v>0</v>
      </c>
      <c r="M1532" t="inlineStr">
        <is>
          <t>INR</t>
        </is>
      </c>
      <c r="N1532" t="inlineStr">
        <is>
          <t>2025-11-04 14:38:08</t>
        </is>
      </c>
    </row>
    <row r="1533">
      <c r="A1533" t="inlineStr">
        <is>
          <t>TXN00160173</t>
        </is>
      </c>
      <c r="B1533" t="inlineStr">
        <is>
          <t>MER00649</t>
        </is>
      </c>
      <c r="C1533" s="8" t="n">
        <v>45965</v>
      </c>
      <c r="D1533" t="inlineStr">
        <is>
          <t>ORD00160173</t>
        </is>
      </c>
      <c r="E1533" t="n">
        <v>1295.52</v>
      </c>
      <c r="F1533" t="n">
        <v>1.64</v>
      </c>
      <c r="G1533" t="n">
        <v>21.25</v>
      </c>
      <c r="H1533" t="inlineStr">
        <is>
          <t>UPI</t>
        </is>
      </c>
      <c r="I1533" t="inlineStr">
        <is>
          <t>Pending</t>
        </is>
      </c>
      <c r="J1533" t="inlineStr">
        <is>
          <t>Processing</t>
        </is>
      </c>
      <c r="K1533" t="n">
        <v>0</v>
      </c>
      <c r="L1533" t="n">
        <v>0</v>
      </c>
      <c r="M1533" t="inlineStr">
        <is>
          <t>INR</t>
        </is>
      </c>
      <c r="N1533" t="inlineStr">
        <is>
          <t>2025-11-04 10:12:33</t>
        </is>
      </c>
    </row>
    <row r="1534">
      <c r="A1534" t="inlineStr">
        <is>
          <t>TXN00160714</t>
        </is>
      </c>
      <c r="B1534" t="inlineStr">
        <is>
          <t>MER00649</t>
        </is>
      </c>
      <c r="C1534" s="8" t="n">
        <v>45966</v>
      </c>
      <c r="D1534" t="inlineStr">
        <is>
          <t>ORD00160714</t>
        </is>
      </c>
      <c r="E1534" t="n">
        <v>441.88</v>
      </c>
      <c r="F1534" t="n">
        <v>1.21</v>
      </c>
      <c r="G1534" t="n">
        <v>7.25</v>
      </c>
      <c r="H1534" t="inlineStr">
        <is>
          <t>Wallet</t>
        </is>
      </c>
      <c r="I1534" t="inlineStr">
        <is>
          <t>Success</t>
        </is>
      </c>
      <c r="J1534" t="inlineStr">
        <is>
          <t>Delivered</t>
        </is>
      </c>
      <c r="K1534" t="n">
        <v>0</v>
      </c>
      <c r="L1534" t="n">
        <v>26.25</v>
      </c>
      <c r="M1534" t="inlineStr">
        <is>
          <t>INR</t>
        </is>
      </c>
      <c r="N1534" t="inlineStr">
        <is>
          <t>2025-11-05 04:55:48</t>
        </is>
      </c>
    </row>
    <row r="1535">
      <c r="A1535" t="inlineStr">
        <is>
          <t>TXN00161430</t>
        </is>
      </c>
      <c r="B1535" t="inlineStr">
        <is>
          <t>MER00649</t>
        </is>
      </c>
      <c r="C1535" s="8" t="n">
        <v>45968</v>
      </c>
      <c r="D1535" t="inlineStr">
        <is>
          <t>ORD00161430</t>
        </is>
      </c>
      <c r="E1535" t="n">
        <v>709.36</v>
      </c>
      <c r="F1535" t="n">
        <v>1.64</v>
      </c>
      <c r="G1535" t="n">
        <v>11.63</v>
      </c>
      <c r="H1535" t="inlineStr">
        <is>
          <t>Wallet</t>
        </is>
      </c>
      <c r="I1535" t="inlineStr">
        <is>
          <t>Failed</t>
        </is>
      </c>
      <c r="J1535" t="inlineStr">
        <is>
          <t>Cancelled</t>
        </is>
      </c>
      <c r="K1535" t="n">
        <v>0</v>
      </c>
      <c r="L1535" t="n">
        <v>0</v>
      </c>
      <c r="M1535" t="inlineStr">
        <is>
          <t>INR</t>
        </is>
      </c>
      <c r="N1535" t="inlineStr">
        <is>
          <t>2025-11-07 17:23:22</t>
        </is>
      </c>
    </row>
    <row r="1536">
      <c r="A1536" t="inlineStr">
        <is>
          <t>TXN00163237</t>
        </is>
      </c>
      <c r="B1536" t="inlineStr">
        <is>
          <t>MER00649</t>
        </is>
      </c>
      <c r="C1536" s="8" t="n">
        <v>45971</v>
      </c>
      <c r="D1536" t="inlineStr">
        <is>
          <t>ORD00163237</t>
        </is>
      </c>
      <c r="E1536" t="n">
        <v>1309.17</v>
      </c>
      <c r="F1536" t="n">
        <v>1.64</v>
      </c>
      <c r="G1536" t="n">
        <v>21.47</v>
      </c>
      <c r="H1536" t="inlineStr">
        <is>
          <t>UPI</t>
        </is>
      </c>
      <c r="I1536" t="inlineStr">
        <is>
          <t>Success</t>
        </is>
      </c>
      <c r="J1536" t="inlineStr">
        <is>
          <t>Cancelled</t>
        </is>
      </c>
      <c r="K1536" t="n">
        <v>1306.69</v>
      </c>
      <c r="L1536" t="n">
        <v>0</v>
      </c>
      <c r="M1536" t="inlineStr">
        <is>
          <t>INR</t>
        </is>
      </c>
      <c r="N1536" t="inlineStr">
        <is>
          <t>2025-11-10 01:19:24</t>
        </is>
      </c>
    </row>
    <row r="1537">
      <c r="A1537" t="inlineStr">
        <is>
          <t>TXN00163274</t>
        </is>
      </c>
      <c r="B1537" t="inlineStr">
        <is>
          <t>MER00649</t>
        </is>
      </c>
      <c r="C1537" s="8" t="n">
        <v>45971</v>
      </c>
      <c r="D1537" t="inlineStr">
        <is>
          <t>ORD00163274</t>
        </is>
      </c>
      <c r="E1537" t="n">
        <v>994.76</v>
      </c>
      <c r="F1537" t="n">
        <v>1.64</v>
      </c>
      <c r="G1537" t="n">
        <v>16.31</v>
      </c>
      <c r="H1537" t="inlineStr">
        <is>
          <t>Card</t>
        </is>
      </c>
      <c r="I1537" t="inlineStr">
        <is>
          <t>Success</t>
        </is>
      </c>
      <c r="J1537" t="inlineStr">
        <is>
          <t>Delivered</t>
        </is>
      </c>
      <c r="K1537" t="n">
        <v>0</v>
      </c>
      <c r="L1537" t="n">
        <v>0</v>
      </c>
      <c r="M1537" t="inlineStr">
        <is>
          <t>INR</t>
        </is>
      </c>
      <c r="N1537" t="inlineStr">
        <is>
          <t>2025-11-10 20:56:07</t>
        </is>
      </c>
    </row>
    <row r="1538">
      <c r="A1538" t="inlineStr">
        <is>
          <t>TXN00166271</t>
        </is>
      </c>
      <c r="B1538" t="inlineStr">
        <is>
          <t>MER00649</t>
        </is>
      </c>
      <c r="C1538" s="8" t="n">
        <v>45976</v>
      </c>
      <c r="D1538" t="inlineStr">
        <is>
          <t>ORD00166271</t>
        </is>
      </c>
      <c r="E1538" t="n">
        <v>1769.91</v>
      </c>
      <c r="F1538" t="n">
        <v>1.64</v>
      </c>
      <c r="G1538" t="n">
        <v>29.03</v>
      </c>
      <c r="H1538" t="inlineStr">
        <is>
          <t>UPI</t>
        </is>
      </c>
      <c r="I1538" t="inlineStr">
        <is>
          <t>Failed</t>
        </is>
      </c>
      <c r="J1538" t="inlineStr">
        <is>
          <t>Cancelled</t>
        </is>
      </c>
      <c r="K1538" t="n">
        <v>0</v>
      </c>
      <c r="L1538" t="n">
        <v>0</v>
      </c>
      <c r="M1538" t="inlineStr">
        <is>
          <t>INR</t>
        </is>
      </c>
      <c r="N1538" t="inlineStr">
        <is>
          <t>2025-11-15 01:35:44</t>
        </is>
      </c>
    </row>
    <row r="1539">
      <c r="A1539" t="inlineStr">
        <is>
          <t>TXN00167233</t>
        </is>
      </c>
      <c r="B1539" t="inlineStr">
        <is>
          <t>MER00649</t>
        </is>
      </c>
      <c r="C1539" s="8" t="n">
        <v>45978</v>
      </c>
      <c r="D1539" t="inlineStr">
        <is>
          <t>ORD00167233</t>
        </is>
      </c>
      <c r="E1539" t="n">
        <v>439.04</v>
      </c>
      <c r="F1539" t="n">
        <v>1.64</v>
      </c>
      <c r="G1539" t="n">
        <v>7.2</v>
      </c>
      <c r="H1539" t="inlineStr">
        <is>
          <t>UPI</t>
        </is>
      </c>
      <c r="I1539" t="inlineStr">
        <is>
          <t>Success</t>
        </is>
      </c>
      <c r="J1539" t="inlineStr">
        <is>
          <t>Delivered</t>
        </is>
      </c>
      <c r="K1539" t="n">
        <v>0</v>
      </c>
      <c r="L1539" t="n">
        <v>0</v>
      </c>
      <c r="M1539" t="inlineStr">
        <is>
          <t>INR</t>
        </is>
      </c>
      <c r="N1539" t="inlineStr">
        <is>
          <t>2025-11-17 09:05:05</t>
        </is>
      </c>
    </row>
    <row r="1540">
      <c r="A1540" t="inlineStr">
        <is>
          <t>TXN00168322</t>
        </is>
      </c>
      <c r="B1540" t="inlineStr">
        <is>
          <t>MER00649</t>
        </is>
      </c>
      <c r="C1540" s="8" t="n">
        <v>45980</v>
      </c>
      <c r="D1540" t="inlineStr">
        <is>
          <t>ORD00168322</t>
        </is>
      </c>
      <c r="E1540" t="n">
        <v>528.14</v>
      </c>
      <c r="F1540" t="n">
        <v>1.64</v>
      </c>
      <c r="G1540" t="n">
        <v>8.66</v>
      </c>
      <c r="H1540" t="inlineStr">
        <is>
          <t>UPI</t>
        </is>
      </c>
      <c r="I1540" t="inlineStr">
        <is>
          <t>Success</t>
        </is>
      </c>
      <c r="J1540" t="inlineStr">
        <is>
          <t>Delivered</t>
        </is>
      </c>
      <c r="K1540" t="n">
        <v>0</v>
      </c>
      <c r="L1540" t="n">
        <v>0</v>
      </c>
      <c r="M1540" t="inlineStr">
        <is>
          <t>INR</t>
        </is>
      </c>
      <c r="N1540" t="inlineStr">
        <is>
          <t>2025-11-19 16:40:29</t>
        </is>
      </c>
    </row>
    <row r="1541">
      <c r="A1541" t="inlineStr">
        <is>
          <t>TXN00168329</t>
        </is>
      </c>
      <c r="B1541" t="inlineStr">
        <is>
          <t>MER00649</t>
        </is>
      </c>
      <c r="C1541" s="8" t="n">
        <v>45980</v>
      </c>
      <c r="D1541" t="inlineStr">
        <is>
          <t>ORD00168329</t>
        </is>
      </c>
      <c r="E1541" t="n">
        <v>1255</v>
      </c>
      <c r="F1541" t="n">
        <v>1.64</v>
      </c>
      <c r="G1541" t="n">
        <v>20.58</v>
      </c>
      <c r="H1541" t="inlineStr">
        <is>
          <t>UPI</t>
        </is>
      </c>
      <c r="I1541" t="inlineStr">
        <is>
          <t>Success</t>
        </is>
      </c>
      <c r="J1541" t="inlineStr">
        <is>
          <t>Delivered</t>
        </is>
      </c>
      <c r="K1541" t="n">
        <v>0</v>
      </c>
      <c r="L1541" t="n">
        <v>0</v>
      </c>
      <c r="M1541" t="inlineStr">
        <is>
          <t>INR</t>
        </is>
      </c>
      <c r="N1541" t="inlineStr">
        <is>
          <t>2025-11-19 20:10:36</t>
        </is>
      </c>
    </row>
    <row r="1542">
      <c r="A1542" t="inlineStr">
        <is>
          <t>TXN00169054</t>
        </is>
      </c>
      <c r="B1542" t="inlineStr">
        <is>
          <t>MER00649</t>
        </is>
      </c>
      <c r="C1542" s="8" t="n">
        <v>45981</v>
      </c>
      <c r="D1542" t="inlineStr">
        <is>
          <t>ORD00169054</t>
        </is>
      </c>
      <c r="E1542" t="n">
        <v>947.88</v>
      </c>
      <c r="F1542" t="n">
        <v>1.64</v>
      </c>
      <c r="G1542" t="n">
        <v>15.55</v>
      </c>
      <c r="H1542" t="inlineStr">
        <is>
          <t>Card</t>
        </is>
      </c>
      <c r="I1542" t="inlineStr">
        <is>
          <t>Success</t>
        </is>
      </c>
      <c r="J1542" t="inlineStr">
        <is>
          <t>Returned</t>
        </is>
      </c>
      <c r="K1542" t="n">
        <v>947.88</v>
      </c>
      <c r="L1542" t="n">
        <v>0</v>
      </c>
      <c r="M1542" t="inlineStr">
        <is>
          <t>INR</t>
        </is>
      </c>
      <c r="N1542" t="inlineStr">
        <is>
          <t>2025-11-20 23:27:12</t>
        </is>
      </c>
    </row>
    <row r="1543">
      <c r="A1543" t="inlineStr">
        <is>
          <t>TXN00169288</t>
        </is>
      </c>
      <c r="B1543" t="inlineStr">
        <is>
          <t>MER00649</t>
        </is>
      </c>
      <c r="C1543" s="8" t="n">
        <v>45982</v>
      </c>
      <c r="D1543" t="inlineStr">
        <is>
          <t>ORD00169288</t>
        </is>
      </c>
      <c r="E1543" t="n">
        <v>1692.82</v>
      </c>
      <c r="F1543" t="n">
        <v>1.64</v>
      </c>
      <c r="G1543" t="n">
        <v>27.76</v>
      </c>
      <c r="H1543" t="inlineStr">
        <is>
          <t>UPI</t>
        </is>
      </c>
      <c r="I1543" t="inlineStr">
        <is>
          <t>Success</t>
        </is>
      </c>
      <c r="J1543" t="inlineStr">
        <is>
          <t>Returned</t>
        </is>
      </c>
      <c r="K1543" t="n">
        <v>1211.77</v>
      </c>
      <c r="L1543" t="n">
        <v>0</v>
      </c>
      <c r="M1543" t="inlineStr">
        <is>
          <t>INR</t>
        </is>
      </c>
      <c r="N1543" t="inlineStr">
        <is>
          <t>2025-11-21 06:14:30</t>
        </is>
      </c>
    </row>
    <row r="1544">
      <c r="A1544" t="inlineStr">
        <is>
          <t>TXN00170137</t>
        </is>
      </c>
      <c r="B1544" t="inlineStr">
        <is>
          <t>MER00649</t>
        </is>
      </c>
      <c r="C1544" s="8" t="n">
        <v>45983</v>
      </c>
      <c r="D1544" t="inlineStr">
        <is>
          <t>ORD00170137</t>
        </is>
      </c>
      <c r="E1544" t="n">
        <v>844.3</v>
      </c>
      <c r="F1544" t="n">
        <v>1.64</v>
      </c>
      <c r="G1544" t="n">
        <v>13.85</v>
      </c>
      <c r="H1544" t="inlineStr">
        <is>
          <t>Card</t>
        </is>
      </c>
      <c r="I1544" t="inlineStr">
        <is>
          <t>Success</t>
        </is>
      </c>
      <c r="J1544" t="inlineStr">
        <is>
          <t>Delivered</t>
        </is>
      </c>
      <c r="K1544" t="n">
        <v>0</v>
      </c>
      <c r="L1544" t="n">
        <v>0</v>
      </c>
      <c r="M1544" t="inlineStr">
        <is>
          <t>INR</t>
        </is>
      </c>
      <c r="N1544" t="inlineStr">
        <is>
          <t>2025-11-22 04:31:57</t>
        </is>
      </c>
    </row>
    <row r="1545">
      <c r="A1545" t="inlineStr">
        <is>
          <t>TXN00169924</t>
        </is>
      </c>
      <c r="B1545" t="inlineStr">
        <is>
          <t>MER00649</t>
        </is>
      </c>
      <c r="C1545" s="8" t="n">
        <v>45983</v>
      </c>
      <c r="D1545" t="inlineStr">
        <is>
          <t>ORD00169924</t>
        </is>
      </c>
      <c r="E1545" t="n">
        <v>827.17</v>
      </c>
      <c r="F1545" t="n">
        <v>1.64</v>
      </c>
      <c r="G1545" t="n">
        <v>13.57</v>
      </c>
      <c r="H1545" t="inlineStr">
        <is>
          <t>Wallet</t>
        </is>
      </c>
      <c r="I1545" t="inlineStr">
        <is>
          <t>Success</t>
        </is>
      </c>
      <c r="J1545" t="inlineStr">
        <is>
          <t>Delivered</t>
        </is>
      </c>
      <c r="K1545" t="n">
        <v>0</v>
      </c>
      <c r="L1545" t="n">
        <v>0</v>
      </c>
      <c r="M1545" t="inlineStr">
        <is>
          <t>INR</t>
        </is>
      </c>
      <c r="N1545" t="inlineStr">
        <is>
          <t>2025-11-22 12:21:36</t>
        </is>
      </c>
    </row>
    <row r="1546">
      <c r="A1546" t="inlineStr">
        <is>
          <t>TXN00170620</t>
        </is>
      </c>
      <c r="B1546" t="inlineStr">
        <is>
          <t>MER00649</t>
        </is>
      </c>
      <c r="C1546" s="8" t="n">
        <v>45984</v>
      </c>
      <c r="D1546" t="inlineStr">
        <is>
          <t>ORD00170620</t>
        </is>
      </c>
      <c r="E1546" t="n">
        <v>1444.91</v>
      </c>
      <c r="F1546" t="n">
        <v>1.64</v>
      </c>
      <c r="G1546" t="n">
        <v>23.7</v>
      </c>
      <c r="H1546" t="inlineStr">
        <is>
          <t>UPI</t>
        </is>
      </c>
      <c r="I1546" t="inlineStr">
        <is>
          <t>Success</t>
        </is>
      </c>
      <c r="J1546" t="inlineStr">
        <is>
          <t>Delivered</t>
        </is>
      </c>
      <c r="K1546" t="n">
        <v>0</v>
      </c>
      <c r="L1546" t="n">
        <v>0</v>
      </c>
      <c r="M1546" t="inlineStr">
        <is>
          <t>INR</t>
        </is>
      </c>
      <c r="N1546" t="inlineStr">
        <is>
          <t>2025-11-23 03:51:17</t>
        </is>
      </c>
    </row>
    <row r="1547">
      <c r="A1547" t="inlineStr">
        <is>
          <t>TXN00171153</t>
        </is>
      </c>
      <c r="B1547" t="inlineStr">
        <is>
          <t>MER00649</t>
        </is>
      </c>
      <c r="C1547" s="8" t="n">
        <v>45985</v>
      </c>
      <c r="D1547" t="inlineStr">
        <is>
          <t>ORD00171153</t>
        </is>
      </c>
      <c r="E1547" t="n">
        <v>1561.96</v>
      </c>
      <c r="F1547" t="n">
        <v>1.64</v>
      </c>
      <c r="G1547" t="n">
        <v>25.62</v>
      </c>
      <c r="H1547" t="inlineStr">
        <is>
          <t>UPI</t>
        </is>
      </c>
      <c r="I1547" t="inlineStr">
        <is>
          <t>Success</t>
        </is>
      </c>
      <c r="J1547" t="inlineStr">
        <is>
          <t>Returned</t>
        </is>
      </c>
      <c r="K1547" t="n">
        <v>1561.96</v>
      </c>
      <c r="L1547" t="n">
        <v>0</v>
      </c>
      <c r="M1547" t="inlineStr">
        <is>
          <t>INR</t>
        </is>
      </c>
      <c r="N1547" t="inlineStr">
        <is>
          <t>2025-11-24 01:55:17</t>
        </is>
      </c>
    </row>
    <row r="1548">
      <c r="A1548" t="inlineStr">
        <is>
          <t>TXN00171310</t>
        </is>
      </c>
      <c r="B1548" t="inlineStr">
        <is>
          <t>MER00649</t>
        </is>
      </c>
      <c r="C1548" s="8" t="n">
        <v>45986</v>
      </c>
      <c r="D1548" t="inlineStr">
        <is>
          <t>ORD00171310</t>
        </is>
      </c>
      <c r="E1548" t="n">
        <v>892.73</v>
      </c>
      <c r="F1548" t="n">
        <v>1.64</v>
      </c>
      <c r="G1548" t="n">
        <v>14.64</v>
      </c>
      <c r="H1548" t="inlineStr">
        <is>
          <t>Card</t>
        </is>
      </c>
      <c r="I1548" t="inlineStr">
        <is>
          <t>Success</t>
        </is>
      </c>
      <c r="J1548" t="inlineStr">
        <is>
          <t>Delivered</t>
        </is>
      </c>
      <c r="K1548" t="n">
        <v>0</v>
      </c>
      <c r="L1548" t="n">
        <v>143.3</v>
      </c>
      <c r="M1548" t="inlineStr">
        <is>
          <t>INR</t>
        </is>
      </c>
      <c r="N1548" t="inlineStr">
        <is>
          <t>2025-11-25 11:32:59</t>
        </is>
      </c>
    </row>
    <row r="1549">
      <c r="A1549" t="inlineStr">
        <is>
          <t>TXN00172255</t>
        </is>
      </c>
      <c r="B1549" t="inlineStr">
        <is>
          <t>MER00649</t>
        </is>
      </c>
      <c r="C1549" s="8" t="n">
        <v>45987</v>
      </c>
      <c r="D1549" t="inlineStr">
        <is>
          <t>ORD00172255</t>
        </is>
      </c>
      <c r="E1549" t="n">
        <v>3946.28</v>
      </c>
      <c r="F1549" t="n">
        <v>1.64</v>
      </c>
      <c r="G1549" t="n">
        <v>64.72</v>
      </c>
      <c r="H1549" t="inlineStr">
        <is>
          <t>NetBanking</t>
        </is>
      </c>
      <c r="I1549" t="inlineStr">
        <is>
          <t>Success</t>
        </is>
      </c>
      <c r="J1549" t="inlineStr">
        <is>
          <t>Delivered</t>
        </is>
      </c>
      <c r="K1549" t="n">
        <v>0</v>
      </c>
      <c r="L1549" t="n">
        <v>744.52</v>
      </c>
      <c r="M1549" t="inlineStr">
        <is>
          <t>INR</t>
        </is>
      </c>
      <c r="N1549" t="inlineStr">
        <is>
          <t>2025-11-26 20:56:05</t>
        </is>
      </c>
    </row>
    <row r="1550">
      <c r="A1550" t="inlineStr">
        <is>
          <t>TXN00172261</t>
        </is>
      </c>
      <c r="B1550" t="inlineStr">
        <is>
          <t>MER00649</t>
        </is>
      </c>
      <c r="C1550" s="8" t="n">
        <v>45987</v>
      </c>
      <c r="D1550" t="inlineStr">
        <is>
          <t>ORD00172261</t>
        </is>
      </c>
      <c r="E1550" t="n">
        <v>1540.29</v>
      </c>
      <c r="F1550" t="n">
        <v>1.64</v>
      </c>
      <c r="G1550" t="n">
        <v>25.26</v>
      </c>
      <c r="H1550" t="inlineStr">
        <is>
          <t>UPI</t>
        </is>
      </c>
      <c r="I1550" t="inlineStr">
        <is>
          <t>Success</t>
        </is>
      </c>
      <c r="J1550" t="inlineStr">
        <is>
          <t>Delivered</t>
        </is>
      </c>
      <c r="K1550" t="n">
        <v>0</v>
      </c>
      <c r="L1550" t="n">
        <v>295.5</v>
      </c>
      <c r="M1550" t="inlineStr">
        <is>
          <t>INR</t>
        </is>
      </c>
      <c r="N1550" t="inlineStr">
        <is>
          <t>2025-11-26 04:15:55</t>
        </is>
      </c>
    </row>
    <row r="1551">
      <c r="A1551" t="inlineStr">
        <is>
          <t>TXN00174071</t>
        </is>
      </c>
      <c r="B1551" t="inlineStr">
        <is>
          <t>MER00649</t>
        </is>
      </c>
      <c r="C1551" s="8" t="n">
        <v>45991</v>
      </c>
      <c r="D1551" t="inlineStr">
        <is>
          <t>ORD00174071</t>
        </is>
      </c>
      <c r="E1551" t="n">
        <v>952.49</v>
      </c>
      <c r="F1551" t="n">
        <v>1.64</v>
      </c>
      <c r="G1551" t="n">
        <v>15.62</v>
      </c>
      <c r="H1551" t="inlineStr">
        <is>
          <t>NetBanking</t>
        </is>
      </c>
      <c r="I1551" t="inlineStr">
        <is>
          <t>Success</t>
        </is>
      </c>
      <c r="J1551" t="inlineStr">
        <is>
          <t>Delivered</t>
        </is>
      </c>
      <c r="K1551" t="n">
        <v>0</v>
      </c>
      <c r="L1551" t="n">
        <v>0</v>
      </c>
      <c r="M1551" t="inlineStr">
        <is>
          <t>INR</t>
        </is>
      </c>
      <c r="N1551" t="inlineStr">
        <is>
          <t>2025-11-30 14:04:03</t>
        </is>
      </c>
    </row>
    <row r="1552">
      <c r="A1552" t="inlineStr">
        <is>
          <t>TXN00175648</t>
        </is>
      </c>
      <c r="B1552" t="inlineStr">
        <is>
          <t>MER00649</t>
        </is>
      </c>
      <c r="C1552" s="8" t="n">
        <v>45994</v>
      </c>
      <c r="D1552" t="inlineStr">
        <is>
          <t>ORD00175648</t>
        </is>
      </c>
      <c r="E1552" t="n">
        <v>934.76</v>
      </c>
      <c r="F1552" t="n">
        <v>1.64</v>
      </c>
      <c r="G1552" t="n">
        <v>15.33</v>
      </c>
      <c r="H1552" t="inlineStr">
        <is>
          <t>Card</t>
        </is>
      </c>
      <c r="I1552" t="inlineStr">
        <is>
          <t>Success</t>
        </is>
      </c>
      <c r="J1552" t="inlineStr">
        <is>
          <t>Delivered</t>
        </is>
      </c>
      <c r="K1552" t="n">
        <v>0</v>
      </c>
      <c r="L1552" t="n">
        <v>173.39</v>
      </c>
      <c r="M1552" t="inlineStr">
        <is>
          <t>INR</t>
        </is>
      </c>
      <c r="N1552" t="inlineStr">
        <is>
          <t>2025-12-03 11:23:09</t>
        </is>
      </c>
    </row>
    <row r="1553">
      <c r="A1553" t="inlineStr">
        <is>
          <t>TXN00176744</t>
        </is>
      </c>
      <c r="B1553" t="inlineStr">
        <is>
          <t>MER00649</t>
        </is>
      </c>
      <c r="C1553" s="8" t="n">
        <v>45997</v>
      </c>
      <c r="D1553" t="inlineStr">
        <is>
          <t>ORD00176744</t>
        </is>
      </c>
      <c r="E1553" t="n">
        <v>709.59</v>
      </c>
      <c r="F1553" t="n">
        <v>1.64</v>
      </c>
      <c r="G1553" t="n">
        <v>11.64</v>
      </c>
      <c r="H1553" t="inlineStr">
        <is>
          <t>Card</t>
        </is>
      </c>
      <c r="I1553" t="inlineStr">
        <is>
          <t>Success</t>
        </is>
      </c>
      <c r="J1553" t="inlineStr">
        <is>
          <t>Processing</t>
        </is>
      </c>
      <c r="K1553" t="n">
        <v>0</v>
      </c>
      <c r="L1553" t="n">
        <v>0</v>
      </c>
      <c r="M1553" t="inlineStr">
        <is>
          <t>INR</t>
        </is>
      </c>
      <c r="N1553" t="inlineStr">
        <is>
          <t>2025-12-06 12:48:21</t>
        </is>
      </c>
    </row>
    <row r="1554">
      <c r="A1554" t="inlineStr">
        <is>
          <t>TXN00176749</t>
        </is>
      </c>
      <c r="B1554" t="inlineStr">
        <is>
          <t>MER00649</t>
        </is>
      </c>
      <c r="C1554" s="8" t="n">
        <v>45997</v>
      </c>
      <c r="D1554" t="inlineStr">
        <is>
          <t>ORD00176749</t>
        </is>
      </c>
      <c r="E1554" t="n">
        <v>1673.98</v>
      </c>
      <c r="F1554" t="n">
        <v>1.64</v>
      </c>
      <c r="G1554" t="n">
        <v>27.45</v>
      </c>
      <c r="H1554" t="inlineStr">
        <is>
          <t>NetBanking</t>
        </is>
      </c>
      <c r="I1554" t="inlineStr">
        <is>
          <t>Success</t>
        </is>
      </c>
      <c r="J1554" t="inlineStr">
        <is>
          <t>Delivered</t>
        </is>
      </c>
      <c r="K1554" t="n">
        <v>0</v>
      </c>
      <c r="L1554" t="n">
        <v>0</v>
      </c>
      <c r="M1554" t="inlineStr">
        <is>
          <t>INR</t>
        </is>
      </c>
      <c r="N1554" t="inlineStr">
        <is>
          <t>2025-12-06 14:21:19</t>
        </is>
      </c>
    </row>
    <row r="1555">
      <c r="A1555" t="inlineStr">
        <is>
          <t>TXN00177026</t>
        </is>
      </c>
      <c r="B1555" t="inlineStr">
        <is>
          <t>MER00649</t>
        </is>
      </c>
      <c r="C1555" s="8" t="n">
        <v>45998</v>
      </c>
      <c r="D1555" t="inlineStr">
        <is>
          <t>ORD00177026</t>
        </is>
      </c>
      <c r="E1555" t="n">
        <v>2144.88</v>
      </c>
      <c r="F1555" t="n">
        <v>1.64</v>
      </c>
      <c r="G1555" t="n">
        <v>35.18</v>
      </c>
      <c r="H1555" t="inlineStr">
        <is>
          <t>UPI</t>
        </is>
      </c>
      <c r="I1555" t="inlineStr">
        <is>
          <t>Success</t>
        </is>
      </c>
      <c r="J1555" t="inlineStr">
        <is>
          <t>Delivered</t>
        </is>
      </c>
      <c r="K1555" t="n">
        <v>0</v>
      </c>
      <c r="L1555" t="n">
        <v>0</v>
      </c>
      <c r="M1555" t="inlineStr">
        <is>
          <t>INR</t>
        </is>
      </c>
      <c r="N1555" t="inlineStr">
        <is>
          <t>2025-12-07 05:02:02</t>
        </is>
      </c>
    </row>
    <row r="1556">
      <c r="A1556" t="inlineStr">
        <is>
          <t>TXN00180749</t>
        </is>
      </c>
      <c r="B1556" t="inlineStr">
        <is>
          <t>MER00649</t>
        </is>
      </c>
      <c r="C1556" s="8" t="n">
        <v>46008</v>
      </c>
      <c r="D1556" t="inlineStr">
        <is>
          <t>ORD00180749</t>
        </is>
      </c>
      <c r="E1556" t="n">
        <v>3826.9</v>
      </c>
      <c r="F1556" t="n">
        <v>1.64</v>
      </c>
      <c r="G1556" t="n">
        <v>62.76</v>
      </c>
      <c r="H1556" t="inlineStr">
        <is>
          <t>UPI</t>
        </is>
      </c>
      <c r="I1556" t="inlineStr">
        <is>
          <t>Success</t>
        </is>
      </c>
      <c r="J1556" t="inlineStr">
        <is>
          <t>Delivered</t>
        </is>
      </c>
      <c r="K1556" t="n">
        <v>0</v>
      </c>
      <c r="L1556" t="n">
        <v>0</v>
      </c>
      <c r="M1556" t="inlineStr">
        <is>
          <t>INR</t>
        </is>
      </c>
      <c r="N1556" t="inlineStr">
        <is>
          <t>2025-12-17 04:30:20</t>
        </is>
      </c>
    </row>
    <row r="1557">
      <c r="A1557" t="inlineStr">
        <is>
          <t>TXN00181293</t>
        </is>
      </c>
      <c r="B1557" t="inlineStr">
        <is>
          <t>MER00649</t>
        </is>
      </c>
      <c r="C1557" s="8" t="n">
        <v>46009</v>
      </c>
      <c r="D1557" t="inlineStr">
        <is>
          <t>ORD00181293</t>
        </is>
      </c>
      <c r="E1557" t="n">
        <v>646.0700000000001</v>
      </c>
      <c r="F1557" t="n">
        <v>1.33</v>
      </c>
      <c r="G1557" t="n">
        <v>10.6</v>
      </c>
      <c r="H1557" t="inlineStr">
        <is>
          <t>Card</t>
        </is>
      </c>
      <c r="I1557" t="inlineStr">
        <is>
          <t>Success</t>
        </is>
      </c>
      <c r="J1557" t="inlineStr">
        <is>
          <t>Delivered</t>
        </is>
      </c>
      <c r="K1557" t="n">
        <v>0</v>
      </c>
      <c r="L1557" t="n">
        <v>0</v>
      </c>
      <c r="M1557" t="inlineStr">
        <is>
          <t>INR</t>
        </is>
      </c>
      <c r="N1557" t="inlineStr">
        <is>
          <t>2025-12-18 23:22:11</t>
        </is>
      </c>
    </row>
    <row r="1558">
      <c r="A1558" t="inlineStr">
        <is>
          <t>TXN00181428</t>
        </is>
      </c>
      <c r="B1558" t="inlineStr">
        <is>
          <t>MER00649</t>
        </is>
      </c>
      <c r="C1558" s="8" t="n">
        <v>46010</v>
      </c>
      <c r="D1558" t="inlineStr">
        <is>
          <t>ORD00181428</t>
        </is>
      </c>
      <c r="E1558" t="n">
        <v>861.3200000000001</v>
      </c>
      <c r="F1558" t="n">
        <v>1.64</v>
      </c>
      <c r="G1558" t="n">
        <v>14.13</v>
      </c>
      <c r="H1558" t="inlineStr">
        <is>
          <t>Card</t>
        </is>
      </c>
      <c r="I1558" t="inlineStr">
        <is>
          <t>Success</t>
        </is>
      </c>
      <c r="J1558" t="inlineStr">
        <is>
          <t>Returned</t>
        </is>
      </c>
      <c r="K1558" t="n">
        <v>861.3200000000001</v>
      </c>
      <c r="L1558" t="n">
        <v>0</v>
      </c>
      <c r="M1558" t="inlineStr">
        <is>
          <t>INR</t>
        </is>
      </c>
      <c r="N1558" t="inlineStr">
        <is>
          <t>2025-12-19 05:10:52</t>
        </is>
      </c>
    </row>
    <row r="1559">
      <c r="A1559" t="inlineStr">
        <is>
          <t>TXN00182342</t>
        </is>
      </c>
      <c r="B1559" t="inlineStr">
        <is>
          <t>MER00649</t>
        </is>
      </c>
      <c r="C1559" s="8" t="n">
        <v>46012</v>
      </c>
      <c r="D1559" t="inlineStr">
        <is>
          <t>ORD00182342</t>
        </is>
      </c>
      <c r="E1559" t="n">
        <v>2827.05</v>
      </c>
      <c r="F1559" t="n">
        <v>1.64</v>
      </c>
      <c r="G1559" t="n">
        <v>46.36</v>
      </c>
      <c r="H1559" t="inlineStr">
        <is>
          <t>NetBanking</t>
        </is>
      </c>
      <c r="I1559" t="inlineStr">
        <is>
          <t>Success</t>
        </is>
      </c>
      <c r="J1559" t="inlineStr">
        <is>
          <t>Cancelled</t>
        </is>
      </c>
      <c r="K1559" t="n">
        <v>2639.6</v>
      </c>
      <c r="L1559" t="n">
        <v>0</v>
      </c>
      <c r="M1559" t="inlineStr">
        <is>
          <t>INR</t>
        </is>
      </c>
      <c r="N1559" t="inlineStr">
        <is>
          <t>2025-12-21 08:35:47</t>
        </is>
      </c>
    </row>
    <row r="1560">
      <c r="A1560" t="inlineStr">
        <is>
          <t>TXN00182708</t>
        </is>
      </c>
      <c r="B1560" t="inlineStr">
        <is>
          <t>MER00649</t>
        </is>
      </c>
      <c r="C1560" s="8" t="n">
        <v>46013</v>
      </c>
      <c r="D1560" t="inlineStr">
        <is>
          <t>ORD00182708</t>
        </is>
      </c>
      <c r="E1560" t="n">
        <v>1869.7</v>
      </c>
      <c r="F1560" t="n">
        <v>1.64</v>
      </c>
      <c r="G1560" t="n">
        <v>30.66</v>
      </c>
      <c r="H1560" t="inlineStr">
        <is>
          <t>UPI</t>
        </is>
      </c>
      <c r="I1560" t="inlineStr">
        <is>
          <t>Success</t>
        </is>
      </c>
      <c r="J1560" t="inlineStr">
        <is>
          <t>Delivered</t>
        </is>
      </c>
      <c r="K1560" t="n">
        <v>0</v>
      </c>
      <c r="L1560" t="n">
        <v>0</v>
      </c>
      <c r="M1560" t="inlineStr">
        <is>
          <t>INR</t>
        </is>
      </c>
      <c r="N1560" t="inlineStr">
        <is>
          <t>2025-12-22 18:57:11</t>
        </is>
      </c>
    </row>
    <row r="1561">
      <c r="A1561" t="inlineStr">
        <is>
          <t>TXN00183028</t>
        </is>
      </c>
      <c r="B1561" t="inlineStr">
        <is>
          <t>MER00649</t>
        </is>
      </c>
      <c r="C1561" s="8" t="n">
        <v>46014</v>
      </c>
      <c r="D1561" t="inlineStr">
        <is>
          <t>ORD00183028</t>
        </is>
      </c>
      <c r="E1561" t="n">
        <v>1090.72</v>
      </c>
      <c r="F1561" t="n">
        <v>1.64</v>
      </c>
      <c r="G1561" t="n">
        <v>17.89</v>
      </c>
      <c r="H1561" t="inlineStr">
        <is>
          <t>UPI</t>
        </is>
      </c>
      <c r="I1561" t="inlineStr">
        <is>
          <t>Success</t>
        </is>
      </c>
      <c r="J1561" t="inlineStr">
        <is>
          <t>Delivered</t>
        </is>
      </c>
      <c r="K1561" t="n">
        <v>0</v>
      </c>
      <c r="L1561" t="n">
        <v>0</v>
      </c>
      <c r="M1561" t="inlineStr">
        <is>
          <t>INR</t>
        </is>
      </c>
      <c r="N1561" t="inlineStr">
        <is>
          <t>2025-12-23 11:08:01</t>
        </is>
      </c>
    </row>
    <row r="1562">
      <c r="A1562" t="inlineStr">
        <is>
          <t>TXN00183580</t>
        </is>
      </c>
      <c r="B1562" t="inlineStr">
        <is>
          <t>MER00649</t>
        </is>
      </c>
      <c r="C1562" s="8" t="n">
        <v>46015</v>
      </c>
      <c r="D1562" t="inlineStr">
        <is>
          <t>ORD00183580</t>
        </is>
      </c>
      <c r="E1562" t="n">
        <v>1081.31</v>
      </c>
      <c r="F1562" t="n">
        <v>1.64</v>
      </c>
      <c r="G1562" t="n">
        <v>17.73</v>
      </c>
      <c r="H1562" t="inlineStr">
        <is>
          <t>Card</t>
        </is>
      </c>
      <c r="I1562" t="inlineStr">
        <is>
          <t>Success</t>
        </is>
      </c>
      <c r="J1562" t="inlineStr">
        <is>
          <t>Delivered</t>
        </is>
      </c>
      <c r="K1562" t="n">
        <v>0</v>
      </c>
      <c r="L1562" t="n">
        <v>0</v>
      </c>
      <c r="M1562" t="inlineStr">
        <is>
          <t>INR</t>
        </is>
      </c>
      <c r="N1562" t="inlineStr">
        <is>
          <t>2025-12-24 10:45:18</t>
        </is>
      </c>
    </row>
    <row r="1563">
      <c r="A1563" t="inlineStr">
        <is>
          <t>TXN00184210</t>
        </is>
      </c>
      <c r="B1563" t="inlineStr">
        <is>
          <t>MER00649</t>
        </is>
      </c>
      <c r="C1563" s="8" t="n">
        <v>46017</v>
      </c>
      <c r="D1563" t="inlineStr">
        <is>
          <t>ORD00184210</t>
        </is>
      </c>
      <c r="E1563" t="n">
        <v>2134.04</v>
      </c>
      <c r="F1563" t="n">
        <v>1.64</v>
      </c>
      <c r="G1563" t="n">
        <v>35</v>
      </c>
      <c r="H1563" t="inlineStr">
        <is>
          <t>UPI</t>
        </is>
      </c>
      <c r="I1563" t="inlineStr">
        <is>
          <t>Success</t>
        </is>
      </c>
      <c r="J1563" t="inlineStr">
        <is>
          <t>Delivered</t>
        </is>
      </c>
      <c r="K1563" t="n">
        <v>0</v>
      </c>
      <c r="L1563" t="n">
        <v>0</v>
      </c>
      <c r="M1563" t="inlineStr">
        <is>
          <t>INR</t>
        </is>
      </c>
      <c r="N1563" t="inlineStr">
        <is>
          <t>2025-12-26 23:57:36</t>
        </is>
      </c>
    </row>
    <row r="1564">
      <c r="A1564" t="inlineStr">
        <is>
          <t>TXN00184857</t>
        </is>
      </c>
      <c r="B1564" t="inlineStr">
        <is>
          <t>MER00649</t>
        </is>
      </c>
      <c r="C1564" s="8" t="n">
        <v>46019</v>
      </c>
      <c r="D1564" t="inlineStr">
        <is>
          <t>ORD00184857</t>
        </is>
      </c>
      <c r="E1564" t="n">
        <v>805.52</v>
      </c>
      <c r="F1564" t="n">
        <v>1.64</v>
      </c>
      <c r="G1564" t="n">
        <v>13.21</v>
      </c>
      <c r="H1564" t="inlineStr">
        <is>
          <t>Card</t>
        </is>
      </c>
      <c r="I1564" t="inlineStr">
        <is>
          <t>Success</t>
        </is>
      </c>
      <c r="J1564" t="inlineStr">
        <is>
          <t>Delivered</t>
        </is>
      </c>
      <c r="K1564" t="n">
        <v>0</v>
      </c>
      <c r="L1564" t="n">
        <v>0</v>
      </c>
      <c r="M1564" t="inlineStr">
        <is>
          <t>INR</t>
        </is>
      </c>
      <c r="N1564" t="inlineStr">
        <is>
          <t>2025-12-28 00:50:13</t>
        </is>
      </c>
    </row>
    <row r="1565">
      <c r="A1565" t="inlineStr">
        <is>
          <t>TXN00185380</t>
        </is>
      </c>
      <c r="B1565" t="inlineStr">
        <is>
          <t>MER00649</t>
        </is>
      </c>
      <c r="C1565" s="8" t="n">
        <v>46020</v>
      </c>
      <c r="D1565" t="inlineStr">
        <is>
          <t>ORD00185380</t>
        </is>
      </c>
      <c r="E1565" t="n">
        <v>2600.38</v>
      </c>
      <c r="F1565" t="n">
        <v>1.64</v>
      </c>
      <c r="G1565" t="n">
        <v>42.65</v>
      </c>
      <c r="H1565" t="inlineStr">
        <is>
          <t>UPI</t>
        </is>
      </c>
      <c r="I1565" t="inlineStr">
        <is>
          <t>Success</t>
        </is>
      </c>
      <c r="J1565" t="inlineStr">
        <is>
          <t>Delivered</t>
        </is>
      </c>
      <c r="K1565" t="n">
        <v>0</v>
      </c>
      <c r="L1565" t="n">
        <v>0</v>
      </c>
      <c r="M1565" t="inlineStr">
        <is>
          <t>INR</t>
        </is>
      </c>
      <c r="N1565" t="inlineStr">
        <is>
          <t>2025-12-29 05:11:38</t>
        </is>
      </c>
    </row>
    <row r="1566">
      <c r="A1566" t="inlineStr">
        <is>
          <t>TXN00186385</t>
        </is>
      </c>
      <c r="B1566" t="inlineStr">
        <is>
          <t>MER00649</t>
        </is>
      </c>
      <c r="C1566" s="8" t="n">
        <v>46023</v>
      </c>
      <c r="D1566" t="inlineStr">
        <is>
          <t>ORD00186385</t>
        </is>
      </c>
      <c r="E1566" t="n">
        <v>1421.32</v>
      </c>
      <c r="F1566" t="n">
        <v>1.64</v>
      </c>
      <c r="G1566" t="n">
        <v>23.31</v>
      </c>
      <c r="H1566" t="inlineStr">
        <is>
          <t>Wallet</t>
        </is>
      </c>
      <c r="I1566" t="inlineStr">
        <is>
          <t>Success</t>
        </is>
      </c>
      <c r="J1566" t="inlineStr">
        <is>
          <t>Delivered</t>
        </is>
      </c>
      <c r="K1566" t="n">
        <v>0</v>
      </c>
      <c r="L1566" t="n">
        <v>167.26</v>
      </c>
      <c r="M1566" t="inlineStr">
        <is>
          <t>INR</t>
        </is>
      </c>
      <c r="N1566" t="inlineStr">
        <is>
          <t>2026-01-01 05:17:16</t>
        </is>
      </c>
    </row>
    <row r="1567">
      <c r="A1567" t="inlineStr">
        <is>
          <t>TXN00189002</t>
        </is>
      </c>
      <c r="B1567" t="inlineStr">
        <is>
          <t>MER00649</t>
        </is>
      </c>
      <c r="C1567" s="8" t="n">
        <v>46028</v>
      </c>
      <c r="D1567" t="inlineStr">
        <is>
          <t>ORD00189002</t>
        </is>
      </c>
      <c r="E1567" t="n">
        <v>648.29</v>
      </c>
      <c r="F1567" t="n">
        <v>1.64</v>
      </c>
      <c r="G1567" t="n">
        <v>10.63</v>
      </c>
      <c r="H1567" t="inlineStr">
        <is>
          <t>UPI</t>
        </is>
      </c>
      <c r="I1567" t="inlineStr">
        <is>
          <t>Success</t>
        </is>
      </c>
      <c r="J1567" t="inlineStr">
        <is>
          <t>Delivered</t>
        </is>
      </c>
      <c r="K1567" t="n">
        <v>0</v>
      </c>
      <c r="L1567" t="n">
        <v>0</v>
      </c>
      <c r="M1567" t="inlineStr">
        <is>
          <t>INR</t>
        </is>
      </c>
      <c r="N1567" t="inlineStr">
        <is>
          <t>2026-01-06 04:39:05</t>
        </is>
      </c>
    </row>
    <row r="1568">
      <c r="A1568" t="inlineStr">
        <is>
          <t>TXN00189727</t>
        </is>
      </c>
      <c r="B1568" t="inlineStr">
        <is>
          <t>MER00649</t>
        </is>
      </c>
      <c r="C1568" s="8" t="n">
        <v>46030</v>
      </c>
      <c r="D1568" t="inlineStr">
        <is>
          <t>ORD00189727</t>
        </is>
      </c>
      <c r="E1568" t="n">
        <v>1598.79</v>
      </c>
      <c r="F1568" t="n">
        <v>1.64</v>
      </c>
      <c r="G1568" t="n">
        <v>26.22</v>
      </c>
      <c r="H1568" t="inlineStr">
        <is>
          <t>Card</t>
        </is>
      </c>
      <c r="I1568" t="inlineStr">
        <is>
          <t>Success</t>
        </is>
      </c>
      <c r="J1568" t="inlineStr">
        <is>
          <t>Returned</t>
        </is>
      </c>
      <c r="K1568" t="n">
        <v>1240.19</v>
      </c>
      <c r="L1568" t="n">
        <v>0</v>
      </c>
      <c r="M1568" t="inlineStr">
        <is>
          <t>INR</t>
        </is>
      </c>
      <c r="N1568" t="inlineStr">
        <is>
          <t>2026-01-08 03:44:55</t>
        </is>
      </c>
    </row>
    <row r="1569">
      <c r="A1569" t="inlineStr">
        <is>
          <t>TXN00191694</t>
        </is>
      </c>
      <c r="B1569" t="inlineStr">
        <is>
          <t>MER00649</t>
        </is>
      </c>
      <c r="C1569" s="8" t="n">
        <v>46034</v>
      </c>
      <c r="D1569" t="inlineStr">
        <is>
          <t>ORD00191694</t>
        </is>
      </c>
      <c r="E1569" t="n">
        <v>438.09</v>
      </c>
      <c r="F1569" t="n">
        <v>1.64</v>
      </c>
      <c r="G1569" t="n">
        <v>7.18</v>
      </c>
      <c r="H1569" t="inlineStr">
        <is>
          <t>UPI</t>
        </is>
      </c>
      <c r="I1569" t="inlineStr">
        <is>
          <t>Success</t>
        </is>
      </c>
      <c r="J1569" t="inlineStr">
        <is>
          <t>Delivered</t>
        </is>
      </c>
      <c r="K1569" t="n">
        <v>0</v>
      </c>
      <c r="L1569" t="n">
        <v>0</v>
      </c>
      <c r="M1569" t="inlineStr">
        <is>
          <t>INR</t>
        </is>
      </c>
      <c r="N1569" t="inlineStr">
        <is>
          <t>2026-01-12 14:26:56</t>
        </is>
      </c>
    </row>
    <row r="1570">
      <c r="A1570" t="inlineStr">
        <is>
          <t>TXN00191969</t>
        </is>
      </c>
      <c r="B1570" t="inlineStr">
        <is>
          <t>MER00649</t>
        </is>
      </c>
      <c r="C1570" s="8" t="n">
        <v>46035</v>
      </c>
      <c r="D1570" t="inlineStr">
        <is>
          <t>ORD00191969</t>
        </is>
      </c>
      <c r="E1570" t="n">
        <v>1364.17</v>
      </c>
      <c r="F1570" t="n">
        <v>1.64</v>
      </c>
      <c r="G1570" t="n">
        <v>22.37</v>
      </c>
      <c r="H1570" t="inlineStr">
        <is>
          <t>Card</t>
        </is>
      </c>
      <c r="I1570" t="inlineStr">
        <is>
          <t>Success</t>
        </is>
      </c>
      <c r="J1570" t="inlineStr">
        <is>
          <t>Delivered</t>
        </is>
      </c>
      <c r="K1570" t="n">
        <v>0</v>
      </c>
      <c r="L1570" t="n">
        <v>0</v>
      </c>
      <c r="M1570" t="inlineStr">
        <is>
          <t>INR</t>
        </is>
      </c>
      <c r="N1570" t="inlineStr">
        <is>
          <t>2026-01-13 15:28:48</t>
        </is>
      </c>
    </row>
    <row r="1571">
      <c r="A1571" t="inlineStr">
        <is>
          <t>TXN00195561</t>
        </is>
      </c>
      <c r="B1571" t="inlineStr">
        <is>
          <t>MER00649</t>
        </is>
      </c>
      <c r="C1571" s="8" t="n">
        <v>46043</v>
      </c>
      <c r="D1571" t="inlineStr">
        <is>
          <t>ORD00195561</t>
        </is>
      </c>
      <c r="E1571" t="n">
        <v>1096.25</v>
      </c>
      <c r="F1571" t="n">
        <v>1.64</v>
      </c>
      <c r="G1571" t="n">
        <v>17.98</v>
      </c>
      <c r="H1571" t="inlineStr">
        <is>
          <t>Card</t>
        </is>
      </c>
      <c r="I1571" t="inlineStr">
        <is>
          <t>Success</t>
        </is>
      </c>
      <c r="J1571" t="inlineStr">
        <is>
          <t>Delivered</t>
        </is>
      </c>
      <c r="K1571" t="n">
        <v>0</v>
      </c>
      <c r="L1571" t="n">
        <v>0</v>
      </c>
      <c r="M1571" t="inlineStr">
        <is>
          <t>INR</t>
        </is>
      </c>
      <c r="N1571" t="inlineStr">
        <is>
          <t>2026-01-21 18:30:56</t>
        </is>
      </c>
    </row>
    <row r="1572">
      <c r="A1572" t="inlineStr">
        <is>
          <t>TXN00195870</t>
        </is>
      </c>
      <c r="B1572" t="inlineStr">
        <is>
          <t>MER00649</t>
        </is>
      </c>
      <c r="C1572" s="8" t="n">
        <v>46044</v>
      </c>
      <c r="D1572" t="inlineStr">
        <is>
          <t>ORD00195870</t>
        </is>
      </c>
      <c r="E1572" t="n">
        <v>1513.41</v>
      </c>
      <c r="F1572" t="n">
        <v>1.64</v>
      </c>
      <c r="G1572" t="n">
        <v>24.82</v>
      </c>
      <c r="H1572" t="inlineStr">
        <is>
          <t>UPI</t>
        </is>
      </c>
      <c r="I1572" t="inlineStr">
        <is>
          <t>Success</t>
        </is>
      </c>
      <c r="J1572" t="inlineStr">
        <is>
          <t>Delivered</t>
        </is>
      </c>
      <c r="K1572" t="n">
        <v>0</v>
      </c>
      <c r="L1572" t="n">
        <v>0</v>
      </c>
      <c r="M1572" t="inlineStr">
        <is>
          <t>INR</t>
        </is>
      </c>
      <c r="N1572" t="inlineStr">
        <is>
          <t>2026-01-22 08:07:15</t>
        </is>
      </c>
    </row>
    <row r="1573">
      <c r="A1573" t="inlineStr">
        <is>
          <t>TXN00197096</t>
        </is>
      </c>
      <c r="B1573" t="inlineStr">
        <is>
          <t>MER00649</t>
        </is>
      </c>
      <c r="C1573" s="8" t="n">
        <v>46046</v>
      </c>
      <c r="D1573" t="inlineStr">
        <is>
          <t>ORD00197096</t>
        </is>
      </c>
      <c r="E1573" t="n">
        <v>2800.12</v>
      </c>
      <c r="F1573" t="n">
        <v>1.64</v>
      </c>
      <c r="G1573" t="n">
        <v>45.92</v>
      </c>
      <c r="H1573" t="inlineStr">
        <is>
          <t>UPI</t>
        </is>
      </c>
      <c r="I1573" t="inlineStr">
        <is>
          <t>Success</t>
        </is>
      </c>
      <c r="J1573" t="inlineStr">
        <is>
          <t>Delivered</t>
        </is>
      </c>
      <c r="K1573" t="n">
        <v>0</v>
      </c>
      <c r="L1573" t="n">
        <v>0</v>
      </c>
      <c r="M1573" t="inlineStr">
        <is>
          <t>INR</t>
        </is>
      </c>
      <c r="N1573" t="inlineStr">
        <is>
          <t>2026-01-24 12:14:44</t>
        </is>
      </c>
    </row>
    <row r="1574">
      <c r="A1574" t="inlineStr">
        <is>
          <t>TXN00197099</t>
        </is>
      </c>
      <c r="B1574" t="inlineStr">
        <is>
          <t>MER00649</t>
        </is>
      </c>
      <c r="C1574" s="8" t="n">
        <v>46046</v>
      </c>
      <c r="D1574" t="inlineStr">
        <is>
          <t>ORD00197099</t>
        </is>
      </c>
      <c r="E1574" t="n">
        <v>3497.45</v>
      </c>
      <c r="F1574" t="n">
        <v>1.64</v>
      </c>
      <c r="G1574" t="n">
        <v>57.36</v>
      </c>
      <c r="H1574" t="inlineStr">
        <is>
          <t>Card</t>
        </is>
      </c>
      <c r="I1574" t="inlineStr">
        <is>
          <t>Success</t>
        </is>
      </c>
      <c r="J1574" t="inlineStr">
        <is>
          <t>Delivered</t>
        </is>
      </c>
      <c r="K1574" t="n">
        <v>0</v>
      </c>
      <c r="L1574" t="n">
        <v>0</v>
      </c>
      <c r="M1574" t="inlineStr">
        <is>
          <t>INR</t>
        </is>
      </c>
      <c r="N1574" t="inlineStr">
        <is>
          <t>2026-01-24 09:57:11</t>
        </is>
      </c>
    </row>
    <row r="1575">
      <c r="A1575" t="inlineStr">
        <is>
          <t>TXN00197094</t>
        </is>
      </c>
      <c r="B1575" t="inlineStr">
        <is>
          <t>MER00649</t>
        </is>
      </c>
      <c r="C1575" s="8" t="n">
        <v>46046</v>
      </c>
      <c r="D1575" t="inlineStr">
        <is>
          <t>ORD00197094</t>
        </is>
      </c>
      <c r="E1575" t="n">
        <v>2260.88</v>
      </c>
      <c r="F1575" t="n">
        <v>1.64</v>
      </c>
      <c r="G1575" t="n">
        <v>37.08</v>
      </c>
      <c r="H1575" t="inlineStr">
        <is>
          <t>Card</t>
        </is>
      </c>
      <c r="I1575" t="inlineStr">
        <is>
          <t>Success</t>
        </is>
      </c>
      <c r="J1575" t="inlineStr">
        <is>
          <t>Delivered</t>
        </is>
      </c>
      <c r="K1575" t="n">
        <v>0</v>
      </c>
      <c r="L1575" t="n">
        <v>0</v>
      </c>
      <c r="M1575" t="inlineStr">
        <is>
          <t>INR</t>
        </is>
      </c>
      <c r="N1575" t="inlineStr">
        <is>
          <t>2026-01-24 19:49:46</t>
        </is>
      </c>
    </row>
    <row r="1576">
      <c r="A1576" t="inlineStr">
        <is>
          <t>TXN00198385</t>
        </is>
      </c>
      <c r="B1576" t="inlineStr">
        <is>
          <t>MER00649</t>
        </is>
      </c>
      <c r="C1576" s="8" t="n">
        <v>46049</v>
      </c>
      <c r="D1576" t="inlineStr">
        <is>
          <t>ORD00198385</t>
        </is>
      </c>
      <c r="E1576" t="n">
        <v>1671.18</v>
      </c>
      <c r="F1576" t="n">
        <v>1.64</v>
      </c>
      <c r="G1576" t="n">
        <v>27.41</v>
      </c>
      <c r="H1576" t="inlineStr">
        <is>
          <t>UPI</t>
        </is>
      </c>
      <c r="I1576" t="inlineStr">
        <is>
          <t>Success</t>
        </is>
      </c>
      <c r="J1576" t="inlineStr">
        <is>
          <t>Delivered</t>
        </is>
      </c>
      <c r="K1576" t="n">
        <v>0</v>
      </c>
      <c r="L1576" t="n">
        <v>267.83</v>
      </c>
      <c r="M1576" t="inlineStr">
        <is>
          <t>INR</t>
        </is>
      </c>
      <c r="N1576" t="inlineStr">
        <is>
          <t>2026-01-27 22:53:05</t>
        </is>
      </c>
    </row>
    <row r="1577">
      <c r="A1577" t="inlineStr">
        <is>
          <t>TXN00199361</t>
        </is>
      </c>
      <c r="B1577" t="inlineStr">
        <is>
          <t>MER00649</t>
        </is>
      </c>
      <c r="C1577" s="8" t="n">
        <v>46051</v>
      </c>
      <c r="D1577" t="inlineStr">
        <is>
          <t>ORD00199361</t>
        </is>
      </c>
      <c r="E1577" t="n">
        <v>1038.3</v>
      </c>
      <c r="F1577" t="n">
        <v>1.64</v>
      </c>
      <c r="G1577" t="n">
        <v>17.03</v>
      </c>
      <c r="H1577" t="inlineStr">
        <is>
          <t>Card</t>
        </is>
      </c>
      <c r="I1577" t="inlineStr">
        <is>
          <t>Success</t>
        </is>
      </c>
      <c r="J1577" t="inlineStr">
        <is>
          <t>Delivered</t>
        </is>
      </c>
      <c r="K1577" t="n">
        <v>0</v>
      </c>
      <c r="L1577" t="n">
        <v>0</v>
      </c>
      <c r="M1577" t="inlineStr">
        <is>
          <t>INR</t>
        </is>
      </c>
      <c r="N1577" t="inlineStr">
        <is>
          <t>2026-01-29 23:19:32</t>
        </is>
      </c>
    </row>
    <row r="1578">
      <c r="A1578" t="inlineStr">
        <is>
          <t>TXN00201567</t>
        </is>
      </c>
      <c r="B1578" t="inlineStr">
        <is>
          <t>MER00649</t>
        </is>
      </c>
      <c r="C1578" s="8" t="n">
        <v>46056</v>
      </c>
      <c r="D1578" t="inlineStr">
        <is>
          <t>ORD00201567</t>
        </is>
      </c>
      <c r="E1578" t="n">
        <v>1061.06</v>
      </c>
      <c r="F1578" t="n">
        <v>1.64</v>
      </c>
      <c r="G1578" t="n">
        <v>17.4</v>
      </c>
      <c r="H1578" t="inlineStr">
        <is>
          <t>UPI</t>
        </is>
      </c>
      <c r="I1578" t="inlineStr">
        <is>
          <t>Success</t>
        </is>
      </c>
      <c r="J1578" t="inlineStr">
        <is>
          <t>Delivered</t>
        </is>
      </c>
      <c r="K1578" t="n">
        <v>0</v>
      </c>
      <c r="L1578" t="n">
        <v>0</v>
      </c>
      <c r="M1578" t="inlineStr">
        <is>
          <t>INR</t>
        </is>
      </c>
      <c r="N1578" t="inlineStr">
        <is>
          <t>2026-02-03 21:02:00</t>
        </is>
      </c>
    </row>
    <row r="1579">
      <c r="A1579" t="inlineStr">
        <is>
          <t>TXN00202470</t>
        </is>
      </c>
      <c r="B1579" t="inlineStr">
        <is>
          <t>MER00649</t>
        </is>
      </c>
      <c r="C1579" s="8" t="n">
        <v>46059</v>
      </c>
      <c r="D1579" t="inlineStr">
        <is>
          <t>ORD00202470</t>
        </is>
      </c>
      <c r="E1579" t="n">
        <v>2985.64</v>
      </c>
      <c r="F1579" t="n">
        <v>1.64</v>
      </c>
      <c r="G1579" t="n">
        <v>48.96</v>
      </c>
      <c r="H1579" t="inlineStr">
        <is>
          <t>Card</t>
        </is>
      </c>
      <c r="I1579" t="inlineStr">
        <is>
          <t>Success</t>
        </is>
      </c>
      <c r="J1579" t="inlineStr">
        <is>
          <t>Delivered</t>
        </is>
      </c>
      <c r="K1579" t="n">
        <v>0</v>
      </c>
      <c r="L1579" t="n">
        <v>0</v>
      </c>
      <c r="M1579" t="inlineStr">
        <is>
          <t>INR</t>
        </is>
      </c>
      <c r="N1579" t="inlineStr">
        <is>
          <t>2026-02-06 13:56:54</t>
        </is>
      </c>
    </row>
    <row r="1580">
      <c r="A1580" t="inlineStr">
        <is>
          <t>TXN00203335</t>
        </is>
      </c>
      <c r="B1580" t="inlineStr">
        <is>
          <t>MER00649</t>
        </is>
      </c>
      <c r="C1580" s="8" t="n">
        <v>46061</v>
      </c>
      <c r="D1580" t="inlineStr">
        <is>
          <t>ORD00203335</t>
        </is>
      </c>
      <c r="E1580" t="n">
        <v>765.8</v>
      </c>
      <c r="F1580" t="n">
        <v>1.64</v>
      </c>
      <c r="G1580" t="n">
        <v>12.56</v>
      </c>
      <c r="H1580" t="inlineStr">
        <is>
          <t>Wallet</t>
        </is>
      </c>
      <c r="I1580" t="inlineStr">
        <is>
          <t>Success</t>
        </is>
      </c>
      <c r="J1580" t="inlineStr">
        <is>
          <t>Returned</t>
        </is>
      </c>
      <c r="K1580" t="n">
        <v>765.8</v>
      </c>
      <c r="L1580" t="n">
        <v>0</v>
      </c>
      <c r="M1580" t="inlineStr">
        <is>
          <t>INR</t>
        </is>
      </c>
      <c r="N1580" t="inlineStr">
        <is>
          <t>2026-02-08 03:20:36</t>
        </is>
      </c>
    </row>
    <row r="1581">
      <c r="A1581" t="inlineStr">
        <is>
          <t>TXN00203693</t>
        </is>
      </c>
      <c r="B1581" t="inlineStr">
        <is>
          <t>MER00649</t>
        </is>
      </c>
      <c r="C1581" s="8" t="n">
        <v>46062</v>
      </c>
      <c r="D1581" t="inlineStr">
        <is>
          <t>ORD00203693</t>
        </is>
      </c>
      <c r="E1581" t="n">
        <v>1349.56</v>
      </c>
      <c r="F1581" t="n">
        <v>1.64</v>
      </c>
      <c r="G1581" t="n">
        <v>22.13</v>
      </c>
      <c r="H1581" t="inlineStr">
        <is>
          <t>Wallet</t>
        </is>
      </c>
      <c r="I1581" t="inlineStr">
        <is>
          <t>Failed</t>
        </is>
      </c>
      <c r="J1581" t="inlineStr">
        <is>
          <t>Cancelled</t>
        </is>
      </c>
      <c r="K1581" t="n">
        <v>0</v>
      </c>
      <c r="L1581" t="n">
        <v>0</v>
      </c>
      <c r="M1581" t="inlineStr">
        <is>
          <t>INR</t>
        </is>
      </c>
      <c r="N1581" t="inlineStr">
        <is>
          <t>2026-02-09 01:34:07</t>
        </is>
      </c>
    </row>
    <row r="1582">
      <c r="A1582" t="inlineStr">
        <is>
          <t>TXN00203595</t>
        </is>
      </c>
      <c r="B1582" t="inlineStr">
        <is>
          <t>MER00649</t>
        </is>
      </c>
      <c r="C1582" s="8" t="n">
        <v>46062</v>
      </c>
      <c r="D1582" t="inlineStr">
        <is>
          <t>ORD00203595</t>
        </is>
      </c>
      <c r="E1582" t="n">
        <v>2106.71</v>
      </c>
      <c r="F1582" t="n">
        <v>1.64</v>
      </c>
      <c r="G1582" t="n">
        <v>34.55</v>
      </c>
      <c r="H1582" t="inlineStr">
        <is>
          <t>UPI</t>
        </is>
      </c>
      <c r="I1582" t="inlineStr">
        <is>
          <t>Success</t>
        </is>
      </c>
      <c r="J1582" t="inlineStr">
        <is>
          <t>Delivered</t>
        </is>
      </c>
      <c r="K1582" t="n">
        <v>0</v>
      </c>
      <c r="L1582" t="n">
        <v>0</v>
      </c>
      <c r="M1582" t="inlineStr">
        <is>
          <t>INR</t>
        </is>
      </c>
      <c r="N1582" t="inlineStr">
        <is>
          <t>2026-02-09 20:33:14</t>
        </is>
      </c>
    </row>
    <row r="1583">
      <c r="A1583" t="inlineStr">
        <is>
          <t>TXN00204763</t>
        </is>
      </c>
      <c r="B1583" t="inlineStr">
        <is>
          <t>MER00649</t>
        </is>
      </c>
      <c r="C1583" s="8" t="n">
        <v>46064</v>
      </c>
      <c r="D1583" t="inlineStr">
        <is>
          <t>ORD00204763</t>
        </is>
      </c>
      <c r="E1583" t="n">
        <v>1482.15</v>
      </c>
      <c r="F1583" t="n">
        <v>1.64</v>
      </c>
      <c r="G1583" t="n">
        <v>24.31</v>
      </c>
      <c r="H1583" t="inlineStr">
        <is>
          <t>Card</t>
        </is>
      </c>
      <c r="I1583" t="inlineStr">
        <is>
          <t>Success</t>
        </is>
      </c>
      <c r="J1583" t="inlineStr">
        <is>
          <t>Delivered</t>
        </is>
      </c>
      <c r="K1583" t="n">
        <v>0</v>
      </c>
      <c r="L1583" t="n">
        <v>0</v>
      </c>
      <c r="M1583" t="inlineStr">
        <is>
          <t>INR</t>
        </is>
      </c>
      <c r="N1583" t="inlineStr">
        <is>
          <t>2026-02-11 21:00:47</t>
        </is>
      </c>
    </row>
    <row r="1584">
      <c r="A1584" t="inlineStr">
        <is>
          <t>TXN00204660</t>
        </is>
      </c>
      <c r="B1584" t="inlineStr">
        <is>
          <t>MER00649</t>
        </is>
      </c>
      <c r="C1584" s="8" t="n">
        <v>46064</v>
      </c>
      <c r="D1584" t="inlineStr">
        <is>
          <t>ORD00204660</t>
        </is>
      </c>
      <c r="E1584" t="n">
        <v>3035.64</v>
      </c>
      <c r="F1584" t="n">
        <v>1.64</v>
      </c>
      <c r="G1584" t="n">
        <v>49.78</v>
      </c>
      <c r="H1584" t="inlineStr">
        <is>
          <t>Card</t>
        </is>
      </c>
      <c r="I1584" t="inlineStr">
        <is>
          <t>Success</t>
        </is>
      </c>
      <c r="J1584" t="inlineStr">
        <is>
          <t>Cancelled</t>
        </is>
      </c>
      <c r="K1584" t="n">
        <v>2775.97</v>
      </c>
      <c r="L1584" t="n">
        <v>0</v>
      </c>
      <c r="M1584" t="inlineStr">
        <is>
          <t>INR</t>
        </is>
      </c>
      <c r="N1584" t="inlineStr">
        <is>
          <t>2026-02-11 07:36:48</t>
        </is>
      </c>
    </row>
    <row r="1585">
      <c r="A1585" t="inlineStr">
        <is>
          <t>TXN00205022</t>
        </is>
      </c>
      <c r="B1585" t="inlineStr">
        <is>
          <t>MER00649</t>
        </is>
      </c>
      <c r="C1585" s="8" t="n">
        <v>46065</v>
      </c>
      <c r="D1585" t="inlineStr">
        <is>
          <t>ORD00205022</t>
        </is>
      </c>
      <c r="E1585" t="n">
        <v>1200.17</v>
      </c>
      <c r="F1585" t="n">
        <v>1.64</v>
      </c>
      <c r="G1585" t="n">
        <v>19.68</v>
      </c>
      <c r="H1585" t="inlineStr">
        <is>
          <t>Card</t>
        </is>
      </c>
      <c r="I1585" t="inlineStr">
        <is>
          <t>Success</t>
        </is>
      </c>
      <c r="J1585" t="inlineStr">
        <is>
          <t>Delivered</t>
        </is>
      </c>
      <c r="K1585" t="n">
        <v>0</v>
      </c>
      <c r="L1585" t="n">
        <v>0</v>
      </c>
      <c r="M1585" t="inlineStr">
        <is>
          <t>INR</t>
        </is>
      </c>
      <c r="N1585" t="inlineStr">
        <is>
          <t>2026-02-12 04:59:59</t>
        </is>
      </c>
    </row>
    <row r="1586">
      <c r="A1586" t="inlineStr">
        <is>
          <t>TXN00205590</t>
        </is>
      </c>
      <c r="B1586" t="inlineStr">
        <is>
          <t>MER00649</t>
        </is>
      </c>
      <c r="C1586" s="8" t="n">
        <v>46066</v>
      </c>
      <c r="D1586" t="inlineStr">
        <is>
          <t>ORD00205590</t>
        </is>
      </c>
      <c r="E1586" t="n">
        <v>3936.06</v>
      </c>
      <c r="F1586" t="n">
        <v>1.64</v>
      </c>
      <c r="G1586" t="n">
        <v>64.55</v>
      </c>
      <c r="H1586" t="inlineStr">
        <is>
          <t>UPI</t>
        </is>
      </c>
      <c r="I1586" t="inlineStr">
        <is>
          <t>Success</t>
        </is>
      </c>
      <c r="J1586" t="inlineStr">
        <is>
          <t>Delivered</t>
        </is>
      </c>
      <c r="K1586" t="n">
        <v>0</v>
      </c>
      <c r="L1586" t="n">
        <v>222.19</v>
      </c>
      <c r="M1586" t="inlineStr">
        <is>
          <t>INR</t>
        </is>
      </c>
      <c r="N1586" t="inlineStr">
        <is>
          <t>2026-02-13 14:38:16</t>
        </is>
      </c>
    </row>
    <row r="1587">
      <c r="A1587" t="inlineStr">
        <is>
          <t>TXN00206970</t>
        </is>
      </c>
      <c r="B1587" t="inlineStr">
        <is>
          <t>MER00649</t>
        </is>
      </c>
      <c r="C1587" s="8" t="n">
        <v>46070</v>
      </c>
      <c r="D1587" t="inlineStr">
        <is>
          <t>ORD00206970</t>
        </is>
      </c>
      <c r="E1587" t="n">
        <v>1410.36</v>
      </c>
      <c r="F1587" t="n">
        <v>1.64</v>
      </c>
      <c r="G1587" t="n">
        <v>23.13</v>
      </c>
      <c r="H1587" t="inlineStr">
        <is>
          <t>Wallet</t>
        </is>
      </c>
      <c r="I1587" t="inlineStr">
        <is>
          <t>Success</t>
        </is>
      </c>
      <c r="J1587" t="inlineStr">
        <is>
          <t>Delivered</t>
        </is>
      </c>
      <c r="K1587" t="n">
        <v>0</v>
      </c>
      <c r="L1587" t="n">
        <v>0</v>
      </c>
      <c r="M1587" t="inlineStr">
        <is>
          <t>INR</t>
        </is>
      </c>
      <c r="N1587" t="inlineStr">
        <is>
          <t>2026-02-17 15:02:04</t>
        </is>
      </c>
    </row>
    <row r="1588">
      <c r="A1588" t="inlineStr">
        <is>
          <t>TXN00206965</t>
        </is>
      </c>
      <c r="B1588" t="inlineStr">
        <is>
          <t>MER00649</t>
        </is>
      </c>
      <c r="C1588" s="8" t="n">
        <v>46070</v>
      </c>
      <c r="D1588" t="inlineStr">
        <is>
          <t>ORD00206965</t>
        </is>
      </c>
      <c r="E1588" t="n">
        <v>2816.93</v>
      </c>
      <c r="F1588" t="n">
        <v>1.64</v>
      </c>
      <c r="G1588" t="n">
        <v>46.2</v>
      </c>
      <c r="H1588" t="inlineStr">
        <is>
          <t>UPI</t>
        </is>
      </c>
      <c r="I1588" t="inlineStr">
        <is>
          <t>Pending</t>
        </is>
      </c>
      <c r="J1588" t="inlineStr">
        <is>
          <t>Processing</t>
        </is>
      </c>
      <c r="K1588" t="n">
        <v>0</v>
      </c>
      <c r="L1588" t="n">
        <v>0</v>
      </c>
      <c r="M1588" t="inlineStr">
        <is>
          <t>INR</t>
        </is>
      </c>
      <c r="N1588" t="inlineStr">
        <is>
          <t>2026-02-17 19:12:00</t>
        </is>
      </c>
    </row>
    <row r="1589">
      <c r="A1589" t="inlineStr">
        <is>
          <t>TXN00207460</t>
        </is>
      </c>
      <c r="B1589" t="inlineStr">
        <is>
          <t>MER00649</t>
        </is>
      </c>
      <c r="C1589" s="8" t="n">
        <v>46071</v>
      </c>
      <c r="D1589" t="inlineStr">
        <is>
          <t>ORD00207460</t>
        </is>
      </c>
      <c r="E1589" t="n">
        <v>818.15</v>
      </c>
      <c r="F1589" t="n">
        <v>1.64</v>
      </c>
      <c r="G1589" t="n">
        <v>13.42</v>
      </c>
      <c r="H1589" t="inlineStr">
        <is>
          <t>Wallet</t>
        </is>
      </c>
      <c r="I1589" t="inlineStr">
        <is>
          <t>Success</t>
        </is>
      </c>
      <c r="J1589" t="inlineStr">
        <is>
          <t>Delivered</t>
        </is>
      </c>
      <c r="K1589" t="n">
        <v>0</v>
      </c>
      <c r="L1589" t="n">
        <v>0</v>
      </c>
      <c r="M1589" t="inlineStr">
        <is>
          <t>INR</t>
        </is>
      </c>
      <c r="N1589" t="inlineStr">
        <is>
          <t>2026-02-18 09:53:03</t>
        </is>
      </c>
    </row>
    <row r="1590">
      <c r="A1590" t="inlineStr">
        <is>
          <t>TXN00207301</t>
        </is>
      </c>
      <c r="B1590" t="inlineStr">
        <is>
          <t>MER00649</t>
        </is>
      </c>
      <c r="C1590" s="8" t="n">
        <v>46071</v>
      </c>
      <c r="D1590" t="inlineStr">
        <is>
          <t>ORD00207301</t>
        </is>
      </c>
      <c r="E1590" t="n">
        <v>889.58</v>
      </c>
      <c r="F1590" t="n">
        <v>1.64</v>
      </c>
      <c r="G1590" t="n">
        <v>14.59</v>
      </c>
      <c r="H1590" t="inlineStr">
        <is>
          <t>UPI</t>
        </is>
      </c>
      <c r="I1590" t="inlineStr">
        <is>
          <t>Success</t>
        </is>
      </c>
      <c r="J1590" t="inlineStr">
        <is>
          <t>Delivered</t>
        </is>
      </c>
      <c r="K1590" t="n">
        <v>0</v>
      </c>
      <c r="L1590" t="n">
        <v>0</v>
      </c>
      <c r="M1590" t="inlineStr">
        <is>
          <t>INR</t>
        </is>
      </c>
      <c r="N1590" t="inlineStr">
        <is>
          <t>2026-02-18 08:23:44</t>
        </is>
      </c>
    </row>
    <row r="1591">
      <c r="A1591" t="inlineStr">
        <is>
          <t>TXN00209598</t>
        </is>
      </c>
      <c r="B1591" t="inlineStr">
        <is>
          <t>MER00649</t>
        </is>
      </c>
      <c r="C1591" s="8" t="n">
        <v>46076</v>
      </c>
      <c r="D1591" t="inlineStr">
        <is>
          <t>ORD00209598</t>
        </is>
      </c>
      <c r="E1591" t="n">
        <v>1634.54</v>
      </c>
      <c r="F1591" t="n">
        <v>1.64</v>
      </c>
      <c r="G1591" t="n">
        <v>26.81</v>
      </c>
      <c r="H1591" t="inlineStr">
        <is>
          <t>UPI</t>
        </is>
      </c>
      <c r="I1591" t="inlineStr">
        <is>
          <t>Success</t>
        </is>
      </c>
      <c r="J1591" t="inlineStr">
        <is>
          <t>Delivered</t>
        </is>
      </c>
      <c r="K1591" t="n">
        <v>0</v>
      </c>
      <c r="L1591" t="n">
        <v>0</v>
      </c>
      <c r="M1591" t="inlineStr">
        <is>
          <t>INR</t>
        </is>
      </c>
      <c r="N1591" t="inlineStr">
        <is>
          <t>2026-02-23 22:34:37</t>
        </is>
      </c>
    </row>
    <row r="1592">
      <c r="A1592" t="inlineStr">
        <is>
          <t>TXN00210227</t>
        </is>
      </c>
      <c r="B1592" t="inlineStr">
        <is>
          <t>MER00649</t>
        </is>
      </c>
      <c r="C1592" s="8" t="n">
        <v>46078</v>
      </c>
      <c r="D1592" t="inlineStr">
        <is>
          <t>ORD00210227</t>
        </is>
      </c>
      <c r="E1592" t="n">
        <v>1133.25</v>
      </c>
      <c r="F1592" t="n">
        <v>1.64</v>
      </c>
      <c r="G1592" t="n">
        <v>18.59</v>
      </c>
      <c r="H1592" t="inlineStr">
        <is>
          <t>Wallet</t>
        </is>
      </c>
      <c r="I1592" t="inlineStr">
        <is>
          <t>Success</t>
        </is>
      </c>
      <c r="J1592" t="inlineStr">
        <is>
          <t>Delivered</t>
        </is>
      </c>
      <c r="K1592" t="n">
        <v>0</v>
      </c>
      <c r="L1592" t="n">
        <v>0</v>
      </c>
      <c r="M1592" t="inlineStr">
        <is>
          <t>INR</t>
        </is>
      </c>
      <c r="N1592" t="inlineStr">
        <is>
          <t>2026-02-25 09:18:42</t>
        </is>
      </c>
    </row>
    <row r="1593">
      <c r="A1593" t="inlineStr">
        <is>
          <t>TXN00210297</t>
        </is>
      </c>
      <c r="B1593" t="inlineStr">
        <is>
          <t>MER00649</t>
        </is>
      </c>
      <c r="C1593" s="8" t="n">
        <v>46078</v>
      </c>
      <c r="D1593" t="inlineStr">
        <is>
          <t>ORD00210297</t>
        </is>
      </c>
      <c r="E1593" t="n">
        <v>934.36</v>
      </c>
      <c r="F1593" t="n">
        <v>1.64</v>
      </c>
      <c r="G1593" t="n">
        <v>15.32</v>
      </c>
      <c r="H1593" t="inlineStr">
        <is>
          <t>UPI</t>
        </is>
      </c>
      <c r="I1593" t="inlineStr">
        <is>
          <t>Success</t>
        </is>
      </c>
      <c r="J1593" t="inlineStr">
        <is>
          <t>Delivered</t>
        </is>
      </c>
      <c r="K1593" t="n">
        <v>0</v>
      </c>
      <c r="L1593" t="n">
        <v>0</v>
      </c>
      <c r="M1593" t="inlineStr">
        <is>
          <t>INR</t>
        </is>
      </c>
      <c r="N1593" t="inlineStr">
        <is>
          <t>2026-02-25 17:54:15</t>
        </is>
      </c>
    </row>
    <row r="1594">
      <c r="A1594" t="inlineStr">
        <is>
          <t>TXN00210504</t>
        </is>
      </c>
      <c r="B1594" t="inlineStr">
        <is>
          <t>MER00649</t>
        </is>
      </c>
      <c r="C1594" s="8" t="n">
        <v>46079</v>
      </c>
      <c r="D1594" t="inlineStr">
        <is>
          <t>ORD00210504</t>
        </is>
      </c>
      <c r="E1594" t="n">
        <v>1500.29</v>
      </c>
      <c r="F1594" t="n">
        <v>1.64</v>
      </c>
      <c r="G1594" t="n">
        <v>24.6</v>
      </c>
      <c r="H1594" t="inlineStr">
        <is>
          <t>UPI</t>
        </is>
      </c>
      <c r="I1594" t="inlineStr">
        <is>
          <t>Success</t>
        </is>
      </c>
      <c r="J1594" t="inlineStr">
        <is>
          <t>Delivered</t>
        </is>
      </c>
      <c r="K1594" t="n">
        <v>0</v>
      </c>
      <c r="L1594" t="n">
        <v>0</v>
      </c>
      <c r="M1594" t="inlineStr">
        <is>
          <t>INR</t>
        </is>
      </c>
      <c r="N1594" t="inlineStr">
        <is>
          <t>2026-02-26 00:46:28</t>
        </is>
      </c>
    </row>
    <row r="1595">
      <c r="A1595" t="inlineStr">
        <is>
          <t>TXN00211120</t>
        </is>
      </c>
      <c r="B1595" t="inlineStr">
        <is>
          <t>MER00649</t>
        </is>
      </c>
      <c r="C1595" s="8" t="n">
        <v>46080</v>
      </c>
      <c r="D1595" t="inlineStr">
        <is>
          <t>ORD00211120</t>
        </is>
      </c>
      <c r="E1595" t="n">
        <v>1591.25</v>
      </c>
      <c r="F1595" t="n">
        <v>1.64</v>
      </c>
      <c r="G1595" t="n">
        <v>26.1</v>
      </c>
      <c r="H1595" t="inlineStr">
        <is>
          <t>Card</t>
        </is>
      </c>
      <c r="I1595" t="inlineStr">
        <is>
          <t>Success</t>
        </is>
      </c>
      <c r="J1595" t="inlineStr">
        <is>
          <t>Delivered</t>
        </is>
      </c>
      <c r="K1595" t="n">
        <v>0</v>
      </c>
      <c r="L1595" t="n">
        <v>0</v>
      </c>
      <c r="M1595" t="inlineStr">
        <is>
          <t>INR</t>
        </is>
      </c>
      <c r="N1595" t="inlineStr">
        <is>
          <t>2026-02-27 16:27:31</t>
        </is>
      </c>
    </row>
    <row r="1596">
      <c r="A1596" t="inlineStr">
        <is>
          <t>TXN00211622</t>
        </is>
      </c>
      <c r="B1596" t="inlineStr">
        <is>
          <t>MER00649</t>
        </is>
      </c>
      <c r="C1596" s="8" t="n">
        <v>46081</v>
      </c>
      <c r="D1596" t="inlineStr">
        <is>
          <t>ORD00211622</t>
        </is>
      </c>
      <c r="E1596" t="n">
        <v>2319.8</v>
      </c>
      <c r="F1596" t="n">
        <v>1.64</v>
      </c>
      <c r="G1596" t="n">
        <v>38.04</v>
      </c>
      <c r="H1596" t="inlineStr">
        <is>
          <t>Card</t>
        </is>
      </c>
      <c r="I1596" t="inlineStr">
        <is>
          <t>Success</t>
        </is>
      </c>
      <c r="J1596" t="inlineStr">
        <is>
          <t>Delivered</t>
        </is>
      </c>
      <c r="K1596" t="n">
        <v>0</v>
      </c>
      <c r="L1596" t="n">
        <v>0</v>
      </c>
      <c r="M1596" t="inlineStr">
        <is>
          <t>INR</t>
        </is>
      </c>
      <c r="N1596" t="inlineStr">
        <is>
          <t>2026-02-28 04:42:19</t>
        </is>
      </c>
    </row>
    <row r="1597">
      <c r="A1597" t="inlineStr">
        <is>
          <t>TXN00212189</t>
        </is>
      </c>
      <c r="B1597" t="inlineStr">
        <is>
          <t>MER00649</t>
        </is>
      </c>
      <c r="C1597" s="8" t="n">
        <v>46083</v>
      </c>
      <c r="D1597" t="inlineStr">
        <is>
          <t>ORD00212189</t>
        </is>
      </c>
      <c r="E1597" t="n">
        <v>1586.15</v>
      </c>
      <c r="F1597" t="n">
        <v>1.64</v>
      </c>
      <c r="G1597" t="n">
        <v>26.01</v>
      </c>
      <c r="H1597" t="inlineStr">
        <is>
          <t>Card</t>
        </is>
      </c>
      <c r="I1597" t="inlineStr">
        <is>
          <t>Success</t>
        </is>
      </c>
      <c r="J1597" t="inlineStr">
        <is>
          <t>Delivered</t>
        </is>
      </c>
      <c r="K1597" t="n">
        <v>0</v>
      </c>
      <c r="L1597" t="n">
        <v>0</v>
      </c>
      <c r="M1597" t="inlineStr">
        <is>
          <t>INR</t>
        </is>
      </c>
      <c r="N1597" t="inlineStr">
        <is>
          <t>2026-03-02 21:25:32</t>
        </is>
      </c>
    </row>
    <row r="1598">
      <c r="A1598" t="inlineStr">
        <is>
          <t>TXN00213094</t>
        </is>
      </c>
      <c r="B1598" t="inlineStr">
        <is>
          <t>MER00649</t>
        </is>
      </c>
      <c r="C1598" s="8" t="n">
        <v>46085</v>
      </c>
      <c r="D1598" t="inlineStr">
        <is>
          <t>ORD00213094</t>
        </is>
      </c>
      <c r="E1598" t="n">
        <v>841.1900000000001</v>
      </c>
      <c r="F1598" t="n">
        <v>1.64</v>
      </c>
      <c r="G1598" t="n">
        <v>13.8</v>
      </c>
      <c r="H1598" t="inlineStr">
        <is>
          <t>UPI</t>
        </is>
      </c>
      <c r="I1598" t="inlineStr">
        <is>
          <t>Success</t>
        </is>
      </c>
      <c r="J1598" t="inlineStr">
        <is>
          <t>Delivered</t>
        </is>
      </c>
      <c r="K1598" t="n">
        <v>0</v>
      </c>
      <c r="L1598" t="n">
        <v>0</v>
      </c>
      <c r="M1598" t="inlineStr">
        <is>
          <t>INR</t>
        </is>
      </c>
      <c r="N1598" t="inlineStr">
        <is>
          <t>2026-03-04 02:57:40</t>
        </is>
      </c>
    </row>
    <row r="1599">
      <c r="A1599" t="inlineStr">
        <is>
          <t>TXN00213669</t>
        </is>
      </c>
      <c r="B1599" t="inlineStr">
        <is>
          <t>MER00649</t>
        </is>
      </c>
      <c r="C1599" s="8" t="n">
        <v>46087</v>
      </c>
      <c r="D1599" t="inlineStr">
        <is>
          <t>ORD00213669</t>
        </is>
      </c>
      <c r="E1599" t="n">
        <v>1477.84</v>
      </c>
      <c r="F1599" t="n">
        <v>1.64</v>
      </c>
      <c r="G1599" t="n">
        <v>24.24</v>
      </c>
      <c r="H1599" t="inlineStr">
        <is>
          <t>UPI</t>
        </is>
      </c>
      <c r="I1599" t="inlineStr">
        <is>
          <t>Success</t>
        </is>
      </c>
      <c r="J1599" t="inlineStr">
        <is>
          <t>Delivered</t>
        </is>
      </c>
      <c r="K1599" t="n">
        <v>0</v>
      </c>
      <c r="L1599" t="n">
        <v>0</v>
      </c>
      <c r="M1599" t="inlineStr">
        <is>
          <t>INR</t>
        </is>
      </c>
      <c r="N1599" t="inlineStr">
        <is>
          <t>2026-03-06 12:41:48</t>
        </is>
      </c>
    </row>
    <row r="1600">
      <c r="A1600" t="inlineStr">
        <is>
          <t>TXN00213670</t>
        </is>
      </c>
      <c r="B1600" t="inlineStr">
        <is>
          <t>MER00649</t>
        </is>
      </c>
      <c r="C1600" s="8" t="n">
        <v>46087</v>
      </c>
      <c r="D1600" t="inlineStr">
        <is>
          <t>ORD00213670</t>
        </is>
      </c>
      <c r="E1600" t="n">
        <v>657.78</v>
      </c>
      <c r="F1600" t="n">
        <v>1.64</v>
      </c>
      <c r="G1600" t="n">
        <v>10.79</v>
      </c>
      <c r="H1600" t="inlineStr">
        <is>
          <t>Card</t>
        </is>
      </c>
      <c r="I1600" t="inlineStr">
        <is>
          <t>Success</t>
        </is>
      </c>
      <c r="J1600" t="inlineStr">
        <is>
          <t>Delivered</t>
        </is>
      </c>
      <c r="K1600" t="n">
        <v>0</v>
      </c>
      <c r="L1600" t="n">
        <v>0</v>
      </c>
      <c r="M1600" t="inlineStr">
        <is>
          <t>INR</t>
        </is>
      </c>
      <c r="N1600" t="inlineStr">
        <is>
          <t>2026-03-06 13:33:46</t>
        </is>
      </c>
    </row>
    <row r="1601">
      <c r="A1601" t="inlineStr">
        <is>
          <t>TXN00213675</t>
        </is>
      </c>
      <c r="B1601" t="inlineStr">
        <is>
          <t>MER00649</t>
        </is>
      </c>
      <c r="C1601" s="8" t="n">
        <v>46087</v>
      </c>
      <c r="D1601" t="inlineStr">
        <is>
          <t>ORD00213675</t>
        </is>
      </c>
      <c r="E1601" t="n">
        <v>1046.22</v>
      </c>
      <c r="F1601" t="n">
        <v>1.64</v>
      </c>
      <c r="G1601" t="n">
        <v>17.16</v>
      </c>
      <c r="H1601" t="inlineStr">
        <is>
          <t>UPI</t>
        </is>
      </c>
      <c r="I1601" t="inlineStr">
        <is>
          <t>Success</t>
        </is>
      </c>
      <c r="J1601" t="inlineStr">
        <is>
          <t>Delivered</t>
        </is>
      </c>
      <c r="K1601" t="n">
        <v>0</v>
      </c>
      <c r="L1601" t="n">
        <v>0</v>
      </c>
      <c r="M1601" t="inlineStr">
        <is>
          <t>INR</t>
        </is>
      </c>
      <c r="N1601" t="inlineStr">
        <is>
          <t>2026-03-06 06:47:50</t>
        </is>
      </c>
    </row>
    <row r="1602">
      <c r="A1602" t="inlineStr">
        <is>
          <t>TXN00214662</t>
        </is>
      </c>
      <c r="B1602" t="inlineStr">
        <is>
          <t>MER00649</t>
        </is>
      </c>
      <c r="C1602" s="8" t="n">
        <v>46090</v>
      </c>
      <c r="D1602" t="inlineStr">
        <is>
          <t>ORD00214662</t>
        </is>
      </c>
      <c r="E1602" t="n">
        <v>1115.89</v>
      </c>
      <c r="F1602" t="n">
        <v>1.64</v>
      </c>
      <c r="G1602" t="n">
        <v>18.3</v>
      </c>
      <c r="H1602" t="inlineStr">
        <is>
          <t>UPI</t>
        </is>
      </c>
      <c r="I1602" t="inlineStr">
        <is>
          <t>Success</t>
        </is>
      </c>
      <c r="J1602" t="inlineStr">
        <is>
          <t>Delivered</t>
        </is>
      </c>
      <c r="K1602" t="n">
        <v>0</v>
      </c>
      <c r="L1602" t="n">
        <v>0</v>
      </c>
      <c r="M1602" t="inlineStr">
        <is>
          <t>INR</t>
        </is>
      </c>
      <c r="N1602" t="inlineStr">
        <is>
          <t>2026-03-09 14:02:19</t>
        </is>
      </c>
    </row>
    <row r="1603">
      <c r="A1603" t="inlineStr">
        <is>
          <t>TXN00214962</t>
        </is>
      </c>
      <c r="B1603" t="inlineStr">
        <is>
          <t>MER00649</t>
        </is>
      </c>
      <c r="C1603" s="8" t="n">
        <v>46091</v>
      </c>
      <c r="D1603" t="inlineStr">
        <is>
          <t>ORD00214962</t>
        </is>
      </c>
      <c r="E1603" t="n">
        <v>3535.44</v>
      </c>
      <c r="F1603" t="n">
        <v>1.64</v>
      </c>
      <c r="G1603" t="n">
        <v>57.98</v>
      </c>
      <c r="H1603" t="inlineStr">
        <is>
          <t>UPI</t>
        </is>
      </c>
      <c r="I1603" t="inlineStr">
        <is>
          <t>Success</t>
        </is>
      </c>
      <c r="J1603" t="inlineStr">
        <is>
          <t>Processing</t>
        </is>
      </c>
      <c r="K1603" t="n">
        <v>0</v>
      </c>
      <c r="L1603" t="n">
        <v>0</v>
      </c>
      <c r="M1603" t="inlineStr">
        <is>
          <t>INR</t>
        </is>
      </c>
      <c r="N1603" t="inlineStr">
        <is>
          <t>2026-03-10 13:55:46</t>
        </is>
      </c>
    </row>
    <row r="1604">
      <c r="A1604" t="inlineStr">
        <is>
          <t>TXN00214963</t>
        </is>
      </c>
      <c r="B1604" t="inlineStr">
        <is>
          <t>MER00649</t>
        </is>
      </c>
      <c r="C1604" s="8" t="n">
        <v>46091</v>
      </c>
      <c r="D1604" t="inlineStr">
        <is>
          <t>ORD00214963</t>
        </is>
      </c>
      <c r="E1604" t="n">
        <v>630.27</v>
      </c>
      <c r="F1604" t="n">
        <v>1.64</v>
      </c>
      <c r="G1604" t="n">
        <v>10.34</v>
      </c>
      <c r="H1604" t="inlineStr">
        <is>
          <t>UPI</t>
        </is>
      </c>
      <c r="I1604" t="inlineStr">
        <is>
          <t>Success</t>
        </is>
      </c>
      <c r="J1604" t="inlineStr">
        <is>
          <t>Delivered</t>
        </is>
      </c>
      <c r="K1604" t="n">
        <v>0</v>
      </c>
      <c r="L1604" t="n">
        <v>0</v>
      </c>
      <c r="M1604" t="inlineStr">
        <is>
          <t>INR</t>
        </is>
      </c>
      <c r="N1604" t="inlineStr">
        <is>
          <t>2026-03-10 06:50:18</t>
        </is>
      </c>
    </row>
    <row r="1605">
      <c r="A1605" t="inlineStr">
        <is>
          <t>TXN00215359</t>
        </is>
      </c>
      <c r="B1605" t="inlineStr">
        <is>
          <t>MER00649</t>
        </is>
      </c>
      <c r="C1605" s="8" t="n">
        <v>46092</v>
      </c>
      <c r="D1605" t="inlineStr">
        <is>
          <t>ORD00215359</t>
        </is>
      </c>
      <c r="E1605" t="n">
        <v>837.7</v>
      </c>
      <c r="F1605" t="n">
        <v>1.64</v>
      </c>
      <c r="G1605" t="n">
        <v>13.74</v>
      </c>
      <c r="H1605" t="inlineStr">
        <is>
          <t>UPI</t>
        </is>
      </c>
      <c r="I1605" t="inlineStr">
        <is>
          <t>Success</t>
        </is>
      </c>
      <c r="J1605" t="inlineStr">
        <is>
          <t>Delivered</t>
        </is>
      </c>
      <c r="K1605" t="n">
        <v>0</v>
      </c>
      <c r="L1605" t="n">
        <v>97.68000000000001</v>
      </c>
      <c r="M1605" t="inlineStr">
        <is>
          <t>INR</t>
        </is>
      </c>
      <c r="N1605" t="inlineStr">
        <is>
          <t>2026-03-11 15:53:29</t>
        </is>
      </c>
    </row>
    <row r="1606">
      <c r="A1606" t="inlineStr">
        <is>
          <t>TXN00215419</t>
        </is>
      </c>
      <c r="B1606" t="inlineStr">
        <is>
          <t>MER00649</t>
        </is>
      </c>
      <c r="C1606" s="8" t="n">
        <v>46092</v>
      </c>
      <c r="D1606" t="inlineStr">
        <is>
          <t>ORD00215419</t>
        </is>
      </c>
      <c r="E1606" t="n">
        <v>1018.53</v>
      </c>
      <c r="F1606" t="n">
        <v>1.64</v>
      </c>
      <c r="G1606" t="n">
        <v>16.7</v>
      </c>
      <c r="H1606" t="inlineStr">
        <is>
          <t>Card</t>
        </is>
      </c>
      <c r="I1606" t="inlineStr">
        <is>
          <t>Success</t>
        </is>
      </c>
      <c r="J1606" t="inlineStr">
        <is>
          <t>Delivered</t>
        </is>
      </c>
      <c r="K1606" t="n">
        <v>0</v>
      </c>
      <c r="L1606" t="n">
        <v>0</v>
      </c>
      <c r="M1606" t="inlineStr">
        <is>
          <t>INR</t>
        </is>
      </c>
      <c r="N1606" t="inlineStr">
        <is>
          <t>2026-03-11 16:59:56</t>
        </is>
      </c>
    </row>
    <row r="1607">
      <c r="A1607" t="inlineStr">
        <is>
          <t>TXN00215956</t>
        </is>
      </c>
      <c r="B1607" t="inlineStr">
        <is>
          <t>MER00649</t>
        </is>
      </c>
      <c r="C1607" s="8" t="n">
        <v>46093</v>
      </c>
      <c r="D1607" t="inlineStr">
        <is>
          <t>ORD00215956</t>
        </is>
      </c>
      <c r="E1607" t="n">
        <v>564.61</v>
      </c>
      <c r="F1607" t="n">
        <v>1.64</v>
      </c>
      <c r="G1607" t="n">
        <v>9.26</v>
      </c>
      <c r="H1607" t="inlineStr">
        <is>
          <t>Card</t>
        </is>
      </c>
      <c r="I1607" t="inlineStr">
        <is>
          <t>Success</t>
        </is>
      </c>
      <c r="J1607" t="inlineStr">
        <is>
          <t>Returned</t>
        </is>
      </c>
      <c r="K1607" t="n">
        <v>564.61</v>
      </c>
      <c r="L1607" t="n">
        <v>0</v>
      </c>
      <c r="M1607" t="inlineStr">
        <is>
          <t>INR</t>
        </is>
      </c>
      <c r="N1607" t="inlineStr">
        <is>
          <t>2026-03-12 12:49:19</t>
        </is>
      </c>
    </row>
    <row r="1608">
      <c r="A1608" t="inlineStr">
        <is>
          <t>TXN00216627</t>
        </is>
      </c>
      <c r="B1608" t="inlineStr">
        <is>
          <t>MER00649</t>
        </is>
      </c>
      <c r="C1608" s="8" t="n">
        <v>46095</v>
      </c>
      <c r="D1608" t="inlineStr">
        <is>
          <t>ORD00216627</t>
        </is>
      </c>
      <c r="E1608" t="n">
        <v>1154.98</v>
      </c>
      <c r="F1608" t="n">
        <v>1.64</v>
      </c>
      <c r="G1608" t="n">
        <v>18.94</v>
      </c>
      <c r="H1608" t="inlineStr">
        <is>
          <t>UPI</t>
        </is>
      </c>
      <c r="I1608" t="inlineStr">
        <is>
          <t>Success</t>
        </is>
      </c>
      <c r="J1608" t="inlineStr">
        <is>
          <t>Delivered</t>
        </is>
      </c>
      <c r="K1608" t="n">
        <v>0</v>
      </c>
      <c r="L1608" t="n">
        <v>0</v>
      </c>
      <c r="M1608" t="inlineStr">
        <is>
          <t>INR</t>
        </is>
      </c>
      <c r="N1608" t="inlineStr">
        <is>
          <t>2026-03-14 15:41:32</t>
        </is>
      </c>
    </row>
    <row r="1609">
      <c r="A1609" t="inlineStr">
        <is>
          <t>TXN00217881</t>
        </is>
      </c>
      <c r="B1609" t="inlineStr">
        <is>
          <t>MER00649</t>
        </is>
      </c>
      <c r="C1609" s="8" t="n">
        <v>46098</v>
      </c>
      <c r="D1609" t="inlineStr">
        <is>
          <t>ORD00217881</t>
        </is>
      </c>
      <c r="E1609" t="n">
        <v>655.4400000000001</v>
      </c>
      <c r="F1609" t="n">
        <v>1.64</v>
      </c>
      <c r="G1609" t="n">
        <v>10.75</v>
      </c>
      <c r="H1609" t="inlineStr">
        <is>
          <t>NetBanking</t>
        </is>
      </c>
      <c r="I1609" t="inlineStr">
        <is>
          <t>Success</t>
        </is>
      </c>
      <c r="J1609" t="inlineStr">
        <is>
          <t>Returned</t>
        </is>
      </c>
      <c r="K1609" t="n">
        <v>655.4400000000001</v>
      </c>
      <c r="L1609" t="n">
        <v>120.19</v>
      </c>
      <c r="M1609" t="inlineStr">
        <is>
          <t>INR</t>
        </is>
      </c>
      <c r="N1609" t="inlineStr">
        <is>
          <t>2026-03-17 02:22:14</t>
        </is>
      </c>
    </row>
    <row r="1610">
      <c r="A1610" t="inlineStr">
        <is>
          <t>TXN00219718</t>
        </is>
      </c>
      <c r="B1610" t="inlineStr">
        <is>
          <t>MER00649</t>
        </is>
      </c>
      <c r="C1610" s="8" t="n">
        <v>46103</v>
      </c>
      <c r="D1610" t="inlineStr">
        <is>
          <t>ORD00219718</t>
        </is>
      </c>
      <c r="E1610" t="n">
        <v>973.26</v>
      </c>
      <c r="F1610" t="n">
        <v>1.64</v>
      </c>
      <c r="G1610" t="n">
        <v>15.96</v>
      </c>
      <c r="H1610" t="inlineStr">
        <is>
          <t>UPI</t>
        </is>
      </c>
      <c r="I1610" t="inlineStr">
        <is>
          <t>Success</t>
        </is>
      </c>
      <c r="J1610" t="inlineStr">
        <is>
          <t>Cancelled</t>
        </is>
      </c>
      <c r="K1610" t="n">
        <v>972.65</v>
      </c>
      <c r="L1610" t="n">
        <v>0</v>
      </c>
      <c r="M1610" t="inlineStr">
        <is>
          <t>INR</t>
        </is>
      </c>
      <c r="N1610" t="inlineStr">
        <is>
          <t>2026-03-22 21:43:05</t>
        </is>
      </c>
    </row>
    <row r="1611">
      <c r="A1611" t="inlineStr">
        <is>
          <t>TXN00219727</t>
        </is>
      </c>
      <c r="B1611" t="inlineStr">
        <is>
          <t>MER00649</t>
        </is>
      </c>
      <c r="C1611" s="8" t="n">
        <v>46103</v>
      </c>
      <c r="D1611" t="inlineStr">
        <is>
          <t>ORD00219727</t>
        </is>
      </c>
      <c r="E1611" t="n">
        <v>1515.36</v>
      </c>
      <c r="F1611" t="n">
        <v>1.64</v>
      </c>
      <c r="G1611" t="n">
        <v>24.85</v>
      </c>
      <c r="H1611" t="inlineStr">
        <is>
          <t>UPI</t>
        </is>
      </c>
      <c r="I1611" t="inlineStr">
        <is>
          <t>Success</t>
        </is>
      </c>
      <c r="J1611" t="inlineStr">
        <is>
          <t>Delivered</t>
        </is>
      </c>
      <c r="K1611" t="n">
        <v>0</v>
      </c>
      <c r="L1611" t="n">
        <v>95.52</v>
      </c>
      <c r="M1611" t="inlineStr">
        <is>
          <t>INR</t>
        </is>
      </c>
      <c r="N1611" t="inlineStr">
        <is>
          <t>2026-03-22 17:35:37</t>
        </is>
      </c>
    </row>
    <row r="1612">
      <c r="A1612" t="inlineStr">
        <is>
          <t>TXN00219942</t>
        </is>
      </c>
      <c r="B1612" t="inlineStr">
        <is>
          <t>MER00649</t>
        </is>
      </c>
      <c r="C1612" s="8" t="n">
        <v>46104</v>
      </c>
      <c r="D1612" t="inlineStr">
        <is>
          <t>ORD00219942</t>
        </is>
      </c>
      <c r="E1612" t="n">
        <v>1861.03</v>
      </c>
      <c r="F1612" t="n">
        <v>1.64</v>
      </c>
      <c r="G1612" t="n">
        <v>30.52</v>
      </c>
      <c r="H1612" t="inlineStr">
        <is>
          <t>Wallet</t>
        </is>
      </c>
      <c r="I1612" t="inlineStr">
        <is>
          <t>Success</t>
        </is>
      </c>
      <c r="J1612" t="inlineStr">
        <is>
          <t>Cancelled</t>
        </is>
      </c>
      <c r="K1612" t="n">
        <v>1770.07</v>
      </c>
      <c r="L1612" t="n">
        <v>0</v>
      </c>
      <c r="M1612" t="inlineStr">
        <is>
          <t>INR</t>
        </is>
      </c>
      <c r="N1612" t="inlineStr">
        <is>
          <t>2026-03-23 01:01:52</t>
        </is>
      </c>
    </row>
    <row r="1613">
      <c r="A1613" t="inlineStr">
        <is>
          <t>TXN00220335</t>
        </is>
      </c>
      <c r="B1613" t="inlineStr">
        <is>
          <t>MER00649</t>
        </is>
      </c>
      <c r="C1613" s="8" t="n">
        <v>46105</v>
      </c>
      <c r="D1613" t="inlineStr">
        <is>
          <t>ORD00220335</t>
        </is>
      </c>
      <c r="E1613" t="n">
        <v>1214.93</v>
      </c>
      <c r="F1613" t="n">
        <v>1.64</v>
      </c>
      <c r="G1613" t="n">
        <v>19.92</v>
      </c>
      <c r="H1613" t="inlineStr">
        <is>
          <t>UPI</t>
        </is>
      </c>
      <c r="I1613" t="inlineStr">
        <is>
          <t>Success</t>
        </is>
      </c>
      <c r="J1613" t="inlineStr">
        <is>
          <t>Delivered</t>
        </is>
      </c>
      <c r="K1613" t="n">
        <v>0</v>
      </c>
      <c r="L1613" t="n">
        <v>0</v>
      </c>
      <c r="M1613" t="inlineStr">
        <is>
          <t>INR</t>
        </is>
      </c>
      <c r="N1613" t="inlineStr">
        <is>
          <t>2026-03-24 23:49:07</t>
        </is>
      </c>
    </row>
    <row r="1614">
      <c r="A1614" t="inlineStr">
        <is>
          <t>TXN00221059</t>
        </is>
      </c>
      <c r="B1614" t="inlineStr">
        <is>
          <t>MER00649</t>
        </is>
      </c>
      <c r="C1614" s="8" t="n">
        <v>46107</v>
      </c>
      <c r="D1614" t="inlineStr">
        <is>
          <t>ORD00221059</t>
        </is>
      </c>
      <c r="E1614" t="n">
        <v>1626.61</v>
      </c>
      <c r="F1614" t="n">
        <v>1.64</v>
      </c>
      <c r="G1614" t="n">
        <v>26.68</v>
      </c>
      <c r="H1614" t="inlineStr">
        <is>
          <t>Card</t>
        </is>
      </c>
      <c r="I1614" t="inlineStr">
        <is>
          <t>Success</t>
        </is>
      </c>
      <c r="J1614" t="inlineStr">
        <is>
          <t>Delivered</t>
        </is>
      </c>
      <c r="K1614" t="n">
        <v>0</v>
      </c>
      <c r="L1614" t="n">
        <v>0</v>
      </c>
      <c r="M1614" t="inlineStr">
        <is>
          <t>INR</t>
        </is>
      </c>
      <c r="N1614" t="inlineStr">
        <is>
          <t>2026-03-26 22:31:27</t>
        </is>
      </c>
    </row>
    <row r="1615">
      <c r="A1615" t="inlineStr">
        <is>
          <t>TXN00221968</t>
        </is>
      </c>
      <c r="B1615" t="inlineStr">
        <is>
          <t>MER00649</t>
        </is>
      </c>
      <c r="C1615" s="8" t="n">
        <v>46109</v>
      </c>
      <c r="D1615" t="inlineStr">
        <is>
          <t>ORD00221968</t>
        </is>
      </c>
      <c r="E1615" t="n">
        <v>1117.85</v>
      </c>
      <c r="F1615" t="n">
        <v>1.64</v>
      </c>
      <c r="G1615" t="n">
        <v>18.33</v>
      </c>
      <c r="H1615" t="inlineStr">
        <is>
          <t>NetBanking</t>
        </is>
      </c>
      <c r="I1615" t="inlineStr">
        <is>
          <t>Success</t>
        </is>
      </c>
      <c r="J1615" t="inlineStr">
        <is>
          <t>Delivered</t>
        </is>
      </c>
      <c r="K1615" t="n">
        <v>0</v>
      </c>
      <c r="L1615" t="n">
        <v>0</v>
      </c>
      <c r="M1615" t="inlineStr">
        <is>
          <t>INR</t>
        </is>
      </c>
      <c r="N1615" t="inlineStr">
        <is>
          <t>2026-03-28 13:38:00</t>
        </is>
      </c>
    </row>
    <row r="1616">
      <c r="A1616" t="inlineStr">
        <is>
          <t>TXN00222747</t>
        </is>
      </c>
      <c r="B1616" t="inlineStr">
        <is>
          <t>MER00649</t>
        </is>
      </c>
      <c r="C1616" s="8" t="n">
        <v>46112</v>
      </c>
      <c r="D1616" t="inlineStr">
        <is>
          <t>ORD00222747</t>
        </is>
      </c>
      <c r="E1616" t="n">
        <v>885.64</v>
      </c>
      <c r="F1616" t="n">
        <v>1.64</v>
      </c>
      <c r="G1616" t="n">
        <v>14.52</v>
      </c>
      <c r="H1616" t="inlineStr">
        <is>
          <t>COD</t>
        </is>
      </c>
      <c r="I1616" t="inlineStr">
        <is>
          <t>Success</t>
        </is>
      </c>
      <c r="J1616" t="inlineStr">
        <is>
          <t>Delivered</t>
        </is>
      </c>
      <c r="K1616" t="n">
        <v>0</v>
      </c>
      <c r="L1616" t="n">
        <v>0</v>
      </c>
      <c r="M1616" t="inlineStr">
        <is>
          <t>INR</t>
        </is>
      </c>
      <c r="N1616" t="inlineStr">
        <is>
          <t>2026-03-31 16:21:50</t>
        </is>
      </c>
    </row>
    <row r="1617">
      <c r="A1617" t="inlineStr">
        <is>
          <t>TXN00223965</t>
        </is>
      </c>
      <c r="B1617" t="inlineStr">
        <is>
          <t>MER00649</t>
        </is>
      </c>
      <c r="C1617" s="8" t="n">
        <v>46115</v>
      </c>
      <c r="D1617" t="inlineStr">
        <is>
          <t>ORD00223965</t>
        </is>
      </c>
      <c r="E1617" t="n">
        <v>847.91</v>
      </c>
      <c r="F1617" t="n">
        <v>1.64</v>
      </c>
      <c r="G1617" t="n">
        <v>13.91</v>
      </c>
      <c r="H1617" t="inlineStr">
        <is>
          <t>Card</t>
        </is>
      </c>
      <c r="I1617" t="inlineStr">
        <is>
          <t>Success</t>
        </is>
      </c>
      <c r="J1617" t="inlineStr">
        <is>
          <t>Delivered</t>
        </is>
      </c>
      <c r="K1617" t="n">
        <v>0</v>
      </c>
      <c r="L1617" t="n">
        <v>126.75</v>
      </c>
      <c r="M1617" t="inlineStr">
        <is>
          <t>INR</t>
        </is>
      </c>
      <c r="N1617" t="inlineStr">
        <is>
          <t>2026-04-03 09:29:02</t>
        </is>
      </c>
    </row>
    <row r="1618">
      <c r="A1618" t="inlineStr">
        <is>
          <t>TXN00226067</t>
        </is>
      </c>
      <c r="B1618" t="inlineStr">
        <is>
          <t>MER00649</t>
        </is>
      </c>
      <c r="C1618" s="8" t="n">
        <v>46120</v>
      </c>
      <c r="D1618" t="inlineStr">
        <is>
          <t>ORD00226067</t>
        </is>
      </c>
      <c r="E1618" t="n">
        <v>1653.93</v>
      </c>
      <c r="F1618" t="n">
        <v>1.64</v>
      </c>
      <c r="G1618" t="n">
        <v>27.12</v>
      </c>
      <c r="H1618" t="inlineStr">
        <is>
          <t>UPI</t>
        </is>
      </c>
      <c r="I1618" t="inlineStr">
        <is>
          <t>Success</t>
        </is>
      </c>
      <c r="J1618" t="inlineStr">
        <is>
          <t>Returned</t>
        </is>
      </c>
      <c r="K1618" t="n">
        <v>598.9400000000001</v>
      </c>
      <c r="L1618" t="n">
        <v>0</v>
      </c>
      <c r="M1618" t="inlineStr">
        <is>
          <t>INR</t>
        </is>
      </c>
      <c r="N1618" t="inlineStr">
        <is>
          <t>2026-04-08 12:36:50</t>
        </is>
      </c>
    </row>
    <row r="1619">
      <c r="A1619" t="inlineStr">
        <is>
          <t>TXN00227020</t>
        </is>
      </c>
      <c r="B1619" t="inlineStr">
        <is>
          <t>MER00649</t>
        </is>
      </c>
      <c r="C1619" s="8" t="n">
        <v>46123</v>
      </c>
      <c r="D1619" t="inlineStr">
        <is>
          <t>ORD00227020</t>
        </is>
      </c>
      <c r="E1619" t="n">
        <v>1103.45</v>
      </c>
      <c r="F1619" t="n">
        <v>1.64</v>
      </c>
      <c r="G1619" t="n">
        <v>18.1</v>
      </c>
      <c r="H1619" t="inlineStr">
        <is>
          <t>Card</t>
        </is>
      </c>
      <c r="I1619" t="inlineStr">
        <is>
          <t>Success</t>
        </is>
      </c>
      <c r="J1619" t="inlineStr">
        <is>
          <t>Delivered</t>
        </is>
      </c>
      <c r="K1619" t="n">
        <v>0</v>
      </c>
      <c r="L1619" t="n">
        <v>0</v>
      </c>
      <c r="M1619" t="inlineStr">
        <is>
          <t>INR</t>
        </is>
      </c>
      <c r="N1619" t="inlineStr">
        <is>
          <t>2026-04-11 16:32:11</t>
        </is>
      </c>
    </row>
    <row r="1620">
      <c r="A1620" t="inlineStr">
        <is>
          <t>TXN00228214</t>
        </is>
      </c>
      <c r="B1620" t="inlineStr">
        <is>
          <t>MER00649</t>
        </is>
      </c>
      <c r="C1620" s="8" t="n">
        <v>46126</v>
      </c>
      <c r="D1620" t="inlineStr">
        <is>
          <t>ORD00228214</t>
        </is>
      </c>
      <c r="E1620" t="n">
        <v>1227.71</v>
      </c>
      <c r="F1620" t="n">
        <v>1.64</v>
      </c>
      <c r="G1620" t="n">
        <v>20.13</v>
      </c>
      <c r="H1620" t="inlineStr">
        <is>
          <t>Card</t>
        </is>
      </c>
      <c r="I1620" t="inlineStr">
        <is>
          <t>Success</t>
        </is>
      </c>
      <c r="J1620" t="inlineStr">
        <is>
          <t>Delivered</t>
        </is>
      </c>
      <c r="K1620" t="n">
        <v>0</v>
      </c>
      <c r="L1620" t="n">
        <v>0</v>
      </c>
      <c r="M1620" t="inlineStr">
        <is>
          <t>INR</t>
        </is>
      </c>
      <c r="N1620" t="inlineStr">
        <is>
          <t>2026-04-14 03:19:23</t>
        </is>
      </c>
    </row>
    <row r="1621">
      <c r="A1621" t="inlineStr">
        <is>
          <t>TXN00228219</t>
        </is>
      </c>
      <c r="B1621" t="inlineStr">
        <is>
          <t>MER00649</t>
        </is>
      </c>
      <c r="C1621" s="8" t="n">
        <v>46126</v>
      </c>
      <c r="D1621" t="inlineStr">
        <is>
          <t>ORD00228219</t>
        </is>
      </c>
      <c r="E1621" t="n">
        <v>778.86</v>
      </c>
      <c r="F1621" t="n">
        <v>1.64</v>
      </c>
      <c r="G1621" t="n">
        <v>12.77</v>
      </c>
      <c r="H1621" t="inlineStr">
        <is>
          <t>UPI</t>
        </is>
      </c>
      <c r="I1621" t="inlineStr">
        <is>
          <t>Success</t>
        </is>
      </c>
      <c r="J1621" t="inlineStr">
        <is>
          <t>Delivered</t>
        </is>
      </c>
      <c r="K1621" t="n">
        <v>0</v>
      </c>
      <c r="L1621" t="n">
        <v>0</v>
      </c>
      <c r="M1621" t="inlineStr">
        <is>
          <t>INR</t>
        </is>
      </c>
      <c r="N1621" t="inlineStr">
        <is>
          <t>2026-04-14 00:23:24</t>
        </is>
      </c>
    </row>
    <row r="1622">
      <c r="A1622" t="inlineStr">
        <is>
          <t>TXN00230259</t>
        </is>
      </c>
      <c r="B1622" t="inlineStr">
        <is>
          <t>MER00649</t>
        </is>
      </c>
      <c r="C1622" s="8" t="n">
        <v>46131</v>
      </c>
      <c r="D1622" t="inlineStr">
        <is>
          <t>ORD00230259</t>
        </is>
      </c>
      <c r="E1622" t="n">
        <v>1705.77</v>
      </c>
      <c r="F1622" t="n">
        <v>1.64</v>
      </c>
      <c r="G1622" t="n">
        <v>27.97</v>
      </c>
      <c r="H1622" t="inlineStr">
        <is>
          <t>UPI</t>
        </is>
      </c>
      <c r="I1622" t="inlineStr">
        <is>
          <t>Success</t>
        </is>
      </c>
      <c r="J1622" t="inlineStr">
        <is>
          <t>Delivered</t>
        </is>
      </c>
      <c r="K1622" t="n">
        <v>0</v>
      </c>
      <c r="L1622" t="n">
        <v>0</v>
      </c>
      <c r="M1622" t="inlineStr">
        <is>
          <t>INR</t>
        </is>
      </c>
      <c r="N1622" t="inlineStr">
        <is>
          <t>2026-04-19 17:08:04</t>
        </is>
      </c>
    </row>
    <row r="1623">
      <c r="A1623" t="inlineStr">
        <is>
          <t>TXN00232452</t>
        </is>
      </c>
      <c r="B1623" t="inlineStr">
        <is>
          <t>MER00649</t>
        </is>
      </c>
      <c r="C1623" s="8" t="n">
        <v>46137</v>
      </c>
      <c r="D1623" t="inlineStr">
        <is>
          <t>ORD00232452</t>
        </is>
      </c>
      <c r="E1623" t="n">
        <v>1731.58</v>
      </c>
      <c r="F1623" t="n">
        <v>1.64</v>
      </c>
      <c r="G1623" t="n">
        <v>28.4</v>
      </c>
      <c r="H1623" t="inlineStr">
        <is>
          <t>UPI</t>
        </is>
      </c>
      <c r="I1623" t="inlineStr">
        <is>
          <t>Success</t>
        </is>
      </c>
      <c r="J1623" t="inlineStr">
        <is>
          <t>Delivered</t>
        </is>
      </c>
      <c r="K1623" t="n">
        <v>0</v>
      </c>
      <c r="L1623" t="n">
        <v>120.95</v>
      </c>
      <c r="M1623" t="inlineStr">
        <is>
          <t>INR</t>
        </is>
      </c>
      <c r="N1623" t="inlineStr">
        <is>
          <t>2026-04-25 08:22:39</t>
        </is>
      </c>
    </row>
    <row r="1624">
      <c r="A1624" t="inlineStr">
        <is>
          <t>TXN00234764</t>
        </is>
      </c>
      <c r="B1624" t="inlineStr">
        <is>
          <t>MER00649</t>
        </is>
      </c>
      <c r="C1624" s="8" t="n">
        <v>46143</v>
      </c>
      <c r="D1624" t="inlineStr">
        <is>
          <t>ORD00234764</t>
        </is>
      </c>
      <c r="E1624" t="n">
        <v>2114.7</v>
      </c>
      <c r="F1624" t="n">
        <v>1.64</v>
      </c>
      <c r="G1624" t="n">
        <v>34.68</v>
      </c>
      <c r="H1624" t="inlineStr">
        <is>
          <t>UPI</t>
        </is>
      </c>
      <c r="I1624" t="inlineStr">
        <is>
          <t>Success</t>
        </is>
      </c>
      <c r="J1624" t="inlineStr">
        <is>
          <t>Delivered</t>
        </is>
      </c>
      <c r="K1624" t="n">
        <v>0</v>
      </c>
      <c r="L1624" t="n">
        <v>0</v>
      </c>
      <c r="M1624" t="inlineStr">
        <is>
          <t>INR</t>
        </is>
      </c>
      <c r="N1624" t="inlineStr">
        <is>
          <t>2026-05-01 04:31:44</t>
        </is>
      </c>
    </row>
    <row r="1625">
      <c r="A1625" t="inlineStr">
        <is>
          <t>TXN00234776</t>
        </is>
      </c>
      <c r="B1625" t="inlineStr">
        <is>
          <t>MER00649</t>
        </is>
      </c>
      <c r="C1625" s="8" t="n">
        <v>46143</v>
      </c>
      <c r="D1625" t="inlineStr">
        <is>
          <t>ORD00234776</t>
        </is>
      </c>
      <c r="E1625" t="n">
        <v>1010.68</v>
      </c>
      <c r="F1625" t="n">
        <v>1.64</v>
      </c>
      <c r="G1625" t="n">
        <v>16.58</v>
      </c>
      <c r="H1625" t="inlineStr">
        <is>
          <t>Card</t>
        </is>
      </c>
      <c r="I1625" t="inlineStr">
        <is>
          <t>Success</t>
        </is>
      </c>
      <c r="J1625" t="inlineStr">
        <is>
          <t>Returned</t>
        </is>
      </c>
      <c r="K1625" t="n">
        <v>652.28</v>
      </c>
      <c r="L1625" t="n">
        <v>0</v>
      </c>
      <c r="M1625" t="inlineStr">
        <is>
          <t>INR</t>
        </is>
      </c>
      <c r="N1625" t="inlineStr">
        <is>
          <t>2026-05-01 11:54:50</t>
        </is>
      </c>
    </row>
    <row r="1626">
      <c r="A1626" t="inlineStr">
        <is>
          <t>TXN00235436</t>
        </is>
      </c>
      <c r="B1626" t="inlineStr">
        <is>
          <t>MER00649</t>
        </is>
      </c>
      <c r="C1626" s="8" t="n">
        <v>46145</v>
      </c>
      <c r="D1626" t="inlineStr">
        <is>
          <t>ORD00235436</t>
        </is>
      </c>
      <c r="E1626" t="n">
        <v>397.46</v>
      </c>
      <c r="F1626" t="n">
        <v>1.64</v>
      </c>
      <c r="G1626" t="n">
        <v>6.52</v>
      </c>
      <c r="H1626" t="inlineStr">
        <is>
          <t>Card</t>
        </is>
      </c>
      <c r="I1626" t="inlineStr">
        <is>
          <t>Success</t>
        </is>
      </c>
      <c r="J1626" t="inlineStr">
        <is>
          <t>Delivered</t>
        </is>
      </c>
      <c r="K1626" t="n">
        <v>0</v>
      </c>
      <c r="L1626" t="n">
        <v>0</v>
      </c>
      <c r="M1626" t="inlineStr">
        <is>
          <t>INR</t>
        </is>
      </c>
      <c r="N1626" t="inlineStr">
        <is>
          <t>2026-05-03 06:56:13</t>
        </is>
      </c>
    </row>
    <row r="1627">
      <c r="A1627" t="inlineStr">
        <is>
          <t>TXN00235900</t>
        </is>
      </c>
      <c r="B1627" t="inlineStr">
        <is>
          <t>MER00649</t>
        </is>
      </c>
      <c r="C1627" s="8" t="n">
        <v>46146</v>
      </c>
      <c r="D1627" t="inlineStr">
        <is>
          <t>ORD00235900</t>
        </is>
      </c>
      <c r="E1627" t="n">
        <v>773.5700000000001</v>
      </c>
      <c r="F1627" t="n">
        <v>1.64</v>
      </c>
      <c r="G1627" t="n">
        <v>12.69</v>
      </c>
      <c r="H1627" t="inlineStr">
        <is>
          <t>UPI</t>
        </is>
      </c>
      <c r="I1627" t="inlineStr">
        <is>
          <t>Success</t>
        </is>
      </c>
      <c r="J1627" t="inlineStr">
        <is>
          <t>Delivered</t>
        </is>
      </c>
      <c r="K1627" t="n">
        <v>0</v>
      </c>
      <c r="L1627" t="n">
        <v>0</v>
      </c>
      <c r="M1627" t="inlineStr">
        <is>
          <t>INR</t>
        </is>
      </c>
      <c r="N1627" t="inlineStr">
        <is>
          <t>2026-05-04 15:10:34</t>
        </is>
      </c>
    </row>
    <row r="1628">
      <c r="A1628" t="inlineStr">
        <is>
          <t>TXN00236629</t>
        </is>
      </c>
      <c r="B1628" t="inlineStr">
        <is>
          <t>MER00649</t>
        </is>
      </c>
      <c r="C1628" s="8" t="n">
        <v>46148</v>
      </c>
      <c r="D1628" t="inlineStr">
        <is>
          <t>ORD00236629</t>
        </is>
      </c>
      <c r="E1628" t="n">
        <v>1299.26</v>
      </c>
      <c r="F1628" t="n">
        <v>1.64</v>
      </c>
      <c r="G1628" t="n">
        <v>21.31</v>
      </c>
      <c r="H1628" t="inlineStr">
        <is>
          <t>Card</t>
        </is>
      </c>
      <c r="I1628" t="inlineStr">
        <is>
          <t>Success</t>
        </is>
      </c>
      <c r="J1628" t="inlineStr">
        <is>
          <t>Delivered</t>
        </is>
      </c>
      <c r="K1628" t="n">
        <v>0</v>
      </c>
      <c r="L1628" t="n">
        <v>0</v>
      </c>
      <c r="M1628" t="inlineStr">
        <is>
          <t>INR</t>
        </is>
      </c>
      <c r="N1628" t="inlineStr">
        <is>
          <t>2026-05-06 09:00:51</t>
        </is>
      </c>
    </row>
    <row r="1629">
      <c r="A1629" t="inlineStr">
        <is>
          <t>TXN00237356</t>
        </is>
      </c>
      <c r="B1629" t="inlineStr">
        <is>
          <t>MER00649</t>
        </is>
      </c>
      <c r="C1629" s="8" t="n">
        <v>46150</v>
      </c>
      <c r="D1629" t="inlineStr">
        <is>
          <t>ORD00237356</t>
        </is>
      </c>
      <c r="E1629" t="n">
        <v>1104.48</v>
      </c>
      <c r="F1629" t="n">
        <v>1.64</v>
      </c>
      <c r="G1629" t="n">
        <v>18.11</v>
      </c>
      <c r="H1629" t="inlineStr">
        <is>
          <t>UPI</t>
        </is>
      </c>
      <c r="I1629" t="inlineStr">
        <is>
          <t>Success</t>
        </is>
      </c>
      <c r="J1629" t="inlineStr">
        <is>
          <t>Delivered</t>
        </is>
      </c>
      <c r="K1629" t="n">
        <v>0</v>
      </c>
      <c r="L1629" t="n">
        <v>0</v>
      </c>
      <c r="M1629" t="inlineStr">
        <is>
          <t>INR</t>
        </is>
      </c>
      <c r="N1629" t="inlineStr">
        <is>
          <t>2026-05-08 17:27:03</t>
        </is>
      </c>
    </row>
    <row r="1630">
      <c r="A1630" t="inlineStr">
        <is>
          <t>TXN00237451</t>
        </is>
      </c>
      <c r="B1630" t="inlineStr">
        <is>
          <t>MER00649</t>
        </is>
      </c>
      <c r="C1630" s="8" t="n">
        <v>46150</v>
      </c>
      <c r="D1630" t="inlineStr">
        <is>
          <t>ORD00237451</t>
        </is>
      </c>
      <c r="E1630" t="n">
        <v>1050.87</v>
      </c>
      <c r="F1630" t="n">
        <v>1.64</v>
      </c>
      <c r="G1630" t="n">
        <v>17.23</v>
      </c>
      <c r="H1630" t="inlineStr">
        <is>
          <t>NetBanking</t>
        </is>
      </c>
      <c r="I1630" t="inlineStr">
        <is>
          <t>Success</t>
        </is>
      </c>
      <c r="J1630" t="inlineStr">
        <is>
          <t>Returned</t>
        </is>
      </c>
      <c r="K1630" t="n">
        <v>1050.87</v>
      </c>
      <c r="L1630" t="n">
        <v>0</v>
      </c>
      <c r="M1630" t="inlineStr">
        <is>
          <t>INR</t>
        </is>
      </c>
      <c r="N1630" t="inlineStr">
        <is>
          <t>2026-05-08 06:00:42</t>
        </is>
      </c>
    </row>
    <row r="1631">
      <c r="A1631" t="inlineStr">
        <is>
          <t>TXN00237354</t>
        </is>
      </c>
      <c r="B1631" t="inlineStr">
        <is>
          <t>MER00649</t>
        </is>
      </c>
      <c r="C1631" s="8" t="n">
        <v>46150</v>
      </c>
      <c r="D1631" t="inlineStr">
        <is>
          <t>ORD00237354</t>
        </is>
      </c>
      <c r="E1631" t="n">
        <v>3223.42</v>
      </c>
      <c r="F1631" t="n">
        <v>1.64</v>
      </c>
      <c r="G1631" t="n">
        <v>52.86</v>
      </c>
      <c r="H1631" t="inlineStr">
        <is>
          <t>UPI</t>
        </is>
      </c>
      <c r="I1631" t="inlineStr">
        <is>
          <t>Success</t>
        </is>
      </c>
      <c r="J1631" t="inlineStr">
        <is>
          <t>Delivered</t>
        </is>
      </c>
      <c r="K1631" t="n">
        <v>0</v>
      </c>
      <c r="L1631" t="n">
        <v>0</v>
      </c>
      <c r="M1631" t="inlineStr">
        <is>
          <t>INR</t>
        </is>
      </c>
      <c r="N1631" t="inlineStr">
        <is>
          <t>2026-05-08 03:17:08</t>
        </is>
      </c>
    </row>
    <row r="1632">
      <c r="A1632" t="inlineStr">
        <is>
          <t>TXN00238697</t>
        </is>
      </c>
      <c r="B1632" t="inlineStr">
        <is>
          <t>MER00649</t>
        </is>
      </c>
      <c r="C1632" s="8" t="n">
        <v>46153</v>
      </c>
      <c r="D1632" t="inlineStr">
        <is>
          <t>ORD00238697</t>
        </is>
      </c>
      <c r="E1632" t="n">
        <v>3120.94</v>
      </c>
      <c r="F1632" t="n">
        <v>1.64</v>
      </c>
      <c r="G1632" t="n">
        <v>51.18</v>
      </c>
      <c r="H1632" t="inlineStr">
        <is>
          <t>UPI</t>
        </is>
      </c>
      <c r="I1632" t="inlineStr">
        <is>
          <t>Unknown</t>
        </is>
      </c>
      <c r="J1632" t="inlineStr">
        <is>
          <t>Delivered</t>
        </is>
      </c>
      <c r="K1632" t="n">
        <v>0</v>
      </c>
      <c r="L1632" t="n">
        <v>0</v>
      </c>
      <c r="M1632" t="inlineStr">
        <is>
          <t>INR</t>
        </is>
      </c>
      <c r="N1632" t="inlineStr">
        <is>
          <t>2026-05-11 16:00:23</t>
        </is>
      </c>
    </row>
    <row r="1633">
      <c r="A1633" t="inlineStr">
        <is>
          <t>TXN00241333</t>
        </is>
      </c>
      <c r="B1633" t="inlineStr">
        <is>
          <t>MER00649</t>
        </is>
      </c>
      <c r="C1633" s="8" t="n">
        <v>46160</v>
      </c>
      <c r="D1633" t="inlineStr">
        <is>
          <t>ORD00241333</t>
        </is>
      </c>
      <c r="E1633" t="n">
        <v>967.3</v>
      </c>
      <c r="F1633" t="n">
        <v>1.64</v>
      </c>
      <c r="G1633" t="n">
        <v>15.86</v>
      </c>
      <c r="H1633" t="inlineStr">
        <is>
          <t>Card</t>
        </is>
      </c>
      <c r="I1633" t="inlineStr">
        <is>
          <t>Success</t>
        </is>
      </c>
      <c r="J1633" t="inlineStr">
        <is>
          <t>Delivered</t>
        </is>
      </c>
      <c r="K1633" t="n">
        <v>0</v>
      </c>
      <c r="L1633" t="n">
        <v>0</v>
      </c>
      <c r="M1633" t="inlineStr">
        <is>
          <t>INR</t>
        </is>
      </c>
      <c r="N1633" t="inlineStr">
        <is>
          <t>2026-05-18 15:17:28</t>
        </is>
      </c>
    </row>
    <row r="1634">
      <c r="A1634" t="inlineStr">
        <is>
          <t>TXN00242393</t>
        </is>
      </c>
      <c r="B1634" t="inlineStr">
        <is>
          <t>MER00649</t>
        </is>
      </c>
      <c r="C1634" s="8" t="n">
        <v>46163</v>
      </c>
      <c r="D1634" t="inlineStr">
        <is>
          <t>ORD00242393</t>
        </is>
      </c>
      <c r="E1634" t="n">
        <v>1097.43</v>
      </c>
      <c r="F1634" t="n">
        <v>1.64</v>
      </c>
      <c r="G1634" t="n">
        <v>18</v>
      </c>
      <c r="H1634" t="inlineStr">
        <is>
          <t>UPI</t>
        </is>
      </c>
      <c r="I1634" t="inlineStr">
        <is>
          <t>Success</t>
        </is>
      </c>
      <c r="J1634" t="inlineStr">
        <is>
          <t>Delivered</t>
        </is>
      </c>
      <c r="K1634" t="n">
        <v>0</v>
      </c>
      <c r="L1634" t="n">
        <v>0</v>
      </c>
      <c r="M1634" t="inlineStr">
        <is>
          <t>INR</t>
        </is>
      </c>
      <c r="N1634" t="inlineStr">
        <is>
          <t>2026-05-21 05:11:42</t>
        </is>
      </c>
    </row>
    <row r="1635">
      <c r="A1635" t="inlineStr">
        <is>
          <t>TXN00243716</t>
        </is>
      </c>
      <c r="B1635" t="inlineStr">
        <is>
          <t>MER00649</t>
        </is>
      </c>
      <c r="C1635" s="8" t="n">
        <v>46167</v>
      </c>
      <c r="D1635" t="inlineStr">
        <is>
          <t>ORD00243716</t>
        </is>
      </c>
      <c r="E1635" t="n">
        <v>699.03</v>
      </c>
      <c r="F1635" t="n">
        <v>1.64</v>
      </c>
      <c r="G1635" t="n">
        <v>11.46</v>
      </c>
      <c r="H1635" t="inlineStr">
        <is>
          <t>Card</t>
        </is>
      </c>
      <c r="I1635" t="inlineStr">
        <is>
          <t>Success</t>
        </is>
      </c>
      <c r="J1635" t="inlineStr">
        <is>
          <t>Delivered</t>
        </is>
      </c>
      <c r="K1635" t="n">
        <v>0</v>
      </c>
      <c r="L1635" t="n">
        <v>0</v>
      </c>
      <c r="M1635" t="inlineStr">
        <is>
          <t>INR</t>
        </is>
      </c>
      <c r="N1635" t="inlineStr">
        <is>
          <t>2026-05-25 06:20:33</t>
        </is>
      </c>
    </row>
    <row r="1636">
      <c r="A1636" t="inlineStr">
        <is>
          <t>TXN00244273</t>
        </is>
      </c>
      <c r="B1636" t="inlineStr">
        <is>
          <t>MER00649</t>
        </is>
      </c>
      <c r="C1636" s="8" t="n">
        <v>46168</v>
      </c>
      <c r="D1636" t="inlineStr">
        <is>
          <t>ORD00244273</t>
        </is>
      </c>
      <c r="E1636" t="n">
        <v>1053.38</v>
      </c>
      <c r="F1636" t="n">
        <v>1.64</v>
      </c>
      <c r="G1636" t="n">
        <v>17.28</v>
      </c>
      <c r="H1636" t="inlineStr">
        <is>
          <t>Card</t>
        </is>
      </c>
      <c r="I1636" t="inlineStr">
        <is>
          <t>Success</t>
        </is>
      </c>
      <c r="J1636" t="inlineStr">
        <is>
          <t>Delivered</t>
        </is>
      </c>
      <c r="K1636" t="n">
        <v>0</v>
      </c>
      <c r="L1636" t="n">
        <v>0</v>
      </c>
      <c r="M1636" t="inlineStr">
        <is>
          <t>INR</t>
        </is>
      </c>
      <c r="N1636" t="inlineStr">
        <is>
          <t>2026-05-26 07:10:25</t>
        </is>
      </c>
    </row>
    <row r="1637">
      <c r="A1637" t="inlineStr">
        <is>
          <t>TXN00244123</t>
        </is>
      </c>
      <c r="B1637" t="inlineStr">
        <is>
          <t>MER00649</t>
        </is>
      </c>
      <c r="C1637" s="8" t="n">
        <v>46168</v>
      </c>
      <c r="D1637" t="inlineStr">
        <is>
          <t>ORD00244123</t>
        </is>
      </c>
      <c r="E1637" t="n">
        <v>2505.87</v>
      </c>
      <c r="F1637" t="n">
        <v>1.64</v>
      </c>
      <c r="G1637" t="n">
        <v>41.1</v>
      </c>
      <c r="H1637" t="inlineStr">
        <is>
          <t>UPI</t>
        </is>
      </c>
      <c r="I1637" t="inlineStr">
        <is>
          <t>Success</t>
        </is>
      </c>
      <c r="J1637" t="inlineStr">
        <is>
          <t>Delivered</t>
        </is>
      </c>
      <c r="K1637" t="n">
        <v>0</v>
      </c>
      <c r="L1637" t="n">
        <v>0</v>
      </c>
      <c r="M1637" t="inlineStr">
        <is>
          <t>INR</t>
        </is>
      </c>
      <c r="N1637" t="inlineStr">
        <is>
          <t>2026-05-26 15:15:18</t>
        </is>
      </c>
    </row>
    <row r="1638">
      <c r="A1638" t="inlineStr">
        <is>
          <t>TXN00245331</t>
        </is>
      </c>
      <c r="B1638" t="inlineStr">
        <is>
          <t>MER00649</t>
        </is>
      </c>
      <c r="C1638" s="8" t="n">
        <v>46171</v>
      </c>
      <c r="D1638" t="inlineStr">
        <is>
          <t>ORD00245331</t>
        </is>
      </c>
      <c r="E1638" t="n">
        <v>799.12</v>
      </c>
      <c r="F1638" t="n">
        <v>1.64</v>
      </c>
      <c r="G1638" t="n">
        <v>13.11</v>
      </c>
      <c r="H1638" t="inlineStr">
        <is>
          <t>Card</t>
        </is>
      </c>
      <c r="I1638" t="inlineStr">
        <is>
          <t>Success</t>
        </is>
      </c>
      <c r="J1638" t="inlineStr">
        <is>
          <t>Delivered</t>
        </is>
      </c>
      <c r="K1638" t="n">
        <v>0</v>
      </c>
      <c r="L1638" t="n">
        <v>0</v>
      </c>
      <c r="M1638" t="inlineStr">
        <is>
          <t>INR</t>
        </is>
      </c>
      <c r="N1638" t="inlineStr">
        <is>
          <t>2026-05-29 08:32:03</t>
        </is>
      </c>
    </row>
    <row r="1639">
      <c r="A1639" t="inlineStr">
        <is>
          <t>TXN00246311</t>
        </is>
      </c>
      <c r="B1639" t="inlineStr">
        <is>
          <t>MER00649</t>
        </is>
      </c>
      <c r="C1639" s="8" t="n">
        <v>46173</v>
      </c>
      <c r="D1639" t="inlineStr">
        <is>
          <t>ORD00246311</t>
        </is>
      </c>
      <c r="E1639" t="n">
        <v>1479.38</v>
      </c>
      <c r="F1639" t="n">
        <v>1.64</v>
      </c>
      <c r="G1639" t="n">
        <v>24.26</v>
      </c>
      <c r="H1639" t="inlineStr">
        <is>
          <t>Wallet</t>
        </is>
      </c>
      <c r="I1639" t="inlineStr">
        <is>
          <t>Success</t>
        </is>
      </c>
      <c r="J1639" t="inlineStr">
        <is>
          <t>Delivered</t>
        </is>
      </c>
      <c r="K1639" t="n">
        <v>0</v>
      </c>
      <c r="L1639" t="n">
        <v>0</v>
      </c>
      <c r="M1639" t="inlineStr">
        <is>
          <t>INR</t>
        </is>
      </c>
      <c r="N1639" t="inlineStr">
        <is>
          <t>2026-05-31 11:14:30</t>
        </is>
      </c>
    </row>
    <row r="1640">
      <c r="A1640" t="inlineStr">
        <is>
          <t>TXN00250024</t>
        </is>
      </c>
      <c r="B1640" t="inlineStr">
        <is>
          <t>MER00649</t>
        </is>
      </c>
      <c r="C1640" s="8" t="n">
        <v>46183</v>
      </c>
      <c r="D1640" t="inlineStr">
        <is>
          <t>ORD00250024</t>
        </is>
      </c>
      <c r="E1640" t="n">
        <v>1381.75</v>
      </c>
      <c r="F1640" t="n">
        <v>1.64</v>
      </c>
      <c r="G1640" t="n">
        <v>22.66</v>
      </c>
      <c r="H1640" t="inlineStr">
        <is>
          <t>NetBanking</t>
        </is>
      </c>
      <c r="I1640" t="inlineStr">
        <is>
          <t>Success</t>
        </is>
      </c>
      <c r="J1640" t="inlineStr">
        <is>
          <t>Delivered</t>
        </is>
      </c>
      <c r="K1640" t="n">
        <v>0</v>
      </c>
      <c r="L1640" t="n">
        <v>199.09</v>
      </c>
      <c r="M1640" t="inlineStr">
        <is>
          <t>INR</t>
        </is>
      </c>
      <c r="N1640" t="inlineStr">
        <is>
          <t>2026-06-10 14:18:05</t>
        </is>
      </c>
    </row>
    <row r="1641">
      <c r="A1641" t="inlineStr">
        <is>
          <t>TXN00250676</t>
        </is>
      </c>
      <c r="B1641" t="inlineStr">
        <is>
          <t>MER00649</t>
        </is>
      </c>
      <c r="C1641" s="8" t="n">
        <v>46184</v>
      </c>
      <c r="D1641" t="inlineStr">
        <is>
          <t>ORD00250676</t>
        </is>
      </c>
      <c r="E1641" t="n">
        <v>2180.76</v>
      </c>
      <c r="F1641" t="n">
        <v>1.64</v>
      </c>
      <c r="G1641" t="n">
        <v>35.76</v>
      </c>
      <c r="H1641" t="inlineStr">
        <is>
          <t>UPI</t>
        </is>
      </c>
      <c r="I1641" t="inlineStr">
        <is>
          <t>Unknown</t>
        </is>
      </c>
      <c r="J1641" t="inlineStr">
        <is>
          <t>Delivered</t>
        </is>
      </c>
      <c r="K1641" t="n">
        <v>0</v>
      </c>
      <c r="L1641" t="n">
        <v>0</v>
      </c>
      <c r="M1641" t="inlineStr">
        <is>
          <t>INR</t>
        </is>
      </c>
      <c r="N1641" t="inlineStr">
        <is>
          <t>2026-06-11 18:06:47</t>
        </is>
      </c>
    </row>
    <row r="1642">
      <c r="A1642" t="inlineStr">
        <is>
          <t>TXN00254339</t>
        </is>
      </c>
      <c r="B1642" t="inlineStr">
        <is>
          <t>MER00649</t>
        </is>
      </c>
      <c r="C1642" s="8" t="n">
        <v>46193</v>
      </c>
      <c r="D1642" t="inlineStr">
        <is>
          <t>ORD00254339</t>
        </is>
      </c>
      <c r="E1642" t="n">
        <v>600.91</v>
      </c>
      <c r="F1642" t="n">
        <v>1.64</v>
      </c>
      <c r="G1642" t="n">
        <v>9.85</v>
      </c>
      <c r="H1642" t="inlineStr">
        <is>
          <t>NetBanking</t>
        </is>
      </c>
      <c r="I1642" t="inlineStr">
        <is>
          <t>Success</t>
        </is>
      </c>
      <c r="J1642" t="inlineStr">
        <is>
          <t>Delivered</t>
        </is>
      </c>
      <c r="K1642" t="n">
        <v>0</v>
      </c>
      <c r="L1642" t="n">
        <v>98.40000000000001</v>
      </c>
      <c r="M1642" t="inlineStr">
        <is>
          <t>INR</t>
        </is>
      </c>
      <c r="N1642" t="inlineStr">
        <is>
          <t>2026-06-20 03:51:25</t>
        </is>
      </c>
    </row>
    <row r="1643">
      <c r="A1643" t="inlineStr">
        <is>
          <t>TXN00254772</t>
        </is>
      </c>
      <c r="B1643" t="inlineStr">
        <is>
          <t>MER00649</t>
        </is>
      </c>
      <c r="C1643" s="8" t="n">
        <v>46195</v>
      </c>
      <c r="D1643" t="inlineStr">
        <is>
          <t>ORD00254772</t>
        </is>
      </c>
      <c r="E1643" t="n">
        <v>1096</v>
      </c>
      <c r="F1643" t="n">
        <v>1.64</v>
      </c>
      <c r="G1643" t="n">
        <v>17.97</v>
      </c>
      <c r="H1643" t="inlineStr">
        <is>
          <t>Card</t>
        </is>
      </c>
      <c r="I1643" t="inlineStr">
        <is>
          <t>Success</t>
        </is>
      </c>
      <c r="J1643" t="inlineStr">
        <is>
          <t>Delivered</t>
        </is>
      </c>
      <c r="K1643" t="n">
        <v>0</v>
      </c>
      <c r="L1643" t="n">
        <v>96.25</v>
      </c>
      <c r="M1643" t="inlineStr">
        <is>
          <t>INR</t>
        </is>
      </c>
      <c r="N1643" t="inlineStr">
        <is>
          <t>2026-06-22 02:45:42</t>
        </is>
      </c>
    </row>
    <row r="1644">
      <c r="A1644" t="inlineStr">
        <is>
          <t>TXN00255417</t>
        </is>
      </c>
      <c r="B1644" t="inlineStr">
        <is>
          <t>MER00649</t>
        </is>
      </c>
      <c r="C1644" s="8" t="n">
        <v>46196</v>
      </c>
      <c r="D1644" t="inlineStr">
        <is>
          <t>ORD00255417</t>
        </is>
      </c>
      <c r="E1644" t="n">
        <v>558.42</v>
      </c>
      <c r="F1644" t="n">
        <v>0.64</v>
      </c>
      <c r="G1644" t="n">
        <v>9.16</v>
      </c>
      <c r="H1644" t="inlineStr">
        <is>
          <t>Card</t>
        </is>
      </c>
      <c r="I1644" t="inlineStr">
        <is>
          <t>Success</t>
        </is>
      </c>
      <c r="J1644" t="inlineStr">
        <is>
          <t>Delivered</t>
        </is>
      </c>
      <c r="K1644" t="n">
        <v>0</v>
      </c>
      <c r="L1644" t="n">
        <v>0</v>
      </c>
      <c r="M1644" t="inlineStr">
        <is>
          <t>INR</t>
        </is>
      </c>
      <c r="N1644" t="inlineStr">
        <is>
          <t>2026-06-23 14:27:02</t>
        </is>
      </c>
    </row>
    <row r="1645">
      <c r="A1645" t="inlineStr">
        <is>
          <t>TXN00255879</t>
        </is>
      </c>
      <c r="B1645" t="inlineStr">
        <is>
          <t>MER00649</t>
        </is>
      </c>
      <c r="C1645" s="8" t="n">
        <v>46197</v>
      </c>
      <c r="D1645" t="inlineStr">
        <is>
          <t>ORD00255879</t>
        </is>
      </c>
      <c r="E1645" t="n">
        <v>1768.06</v>
      </c>
      <c r="F1645" t="n">
        <v>1.64</v>
      </c>
      <c r="G1645" t="n">
        <v>29</v>
      </c>
      <c r="H1645" t="inlineStr">
        <is>
          <t>UPI</t>
        </is>
      </c>
      <c r="I1645" t="inlineStr">
        <is>
          <t>Success</t>
        </is>
      </c>
      <c r="J1645" t="inlineStr">
        <is>
          <t>Delivered</t>
        </is>
      </c>
      <c r="K1645" t="n">
        <v>0</v>
      </c>
      <c r="L1645" t="n">
        <v>0</v>
      </c>
      <c r="M1645" t="inlineStr">
        <is>
          <t>INR</t>
        </is>
      </c>
      <c r="N1645" t="inlineStr">
        <is>
          <t>2026-06-24 21:40:22</t>
        </is>
      </c>
    </row>
    <row r="1646">
      <c r="A1646" t="inlineStr">
        <is>
          <t>TXN00256371</t>
        </is>
      </c>
      <c r="B1646" t="inlineStr">
        <is>
          <t>MER00649</t>
        </is>
      </c>
      <c r="C1646" s="8" t="n">
        <v>46199</v>
      </c>
      <c r="D1646" t="inlineStr">
        <is>
          <t>ORD00256371</t>
        </is>
      </c>
      <c r="E1646" t="n">
        <v>927.3</v>
      </c>
      <c r="F1646" t="n">
        <v>1.64</v>
      </c>
      <c r="G1646" t="n">
        <v>15.21</v>
      </c>
      <c r="H1646" t="inlineStr">
        <is>
          <t>UPI</t>
        </is>
      </c>
      <c r="I1646" t="inlineStr">
        <is>
          <t>Pending</t>
        </is>
      </c>
      <c r="J1646" t="inlineStr">
        <is>
          <t>Processing</t>
        </is>
      </c>
      <c r="K1646" t="n">
        <v>0</v>
      </c>
      <c r="L1646" t="n">
        <v>0</v>
      </c>
      <c r="M1646" t="inlineStr">
        <is>
          <t>INR</t>
        </is>
      </c>
      <c r="N1646" t="inlineStr">
        <is>
          <t>2026-06-26 07:43:07</t>
        </is>
      </c>
    </row>
    <row r="1647">
      <c r="A1647" t="inlineStr">
        <is>
          <t>TXN00258209</t>
        </is>
      </c>
      <c r="B1647" t="inlineStr">
        <is>
          <t>MER00649</t>
        </is>
      </c>
      <c r="C1647" s="8" t="n">
        <v>46203</v>
      </c>
      <c r="D1647" t="inlineStr">
        <is>
          <t>ORD00258209</t>
        </is>
      </c>
      <c r="E1647" t="n">
        <v>637.62</v>
      </c>
      <c r="F1647" t="n">
        <v>1.64</v>
      </c>
      <c r="G1647" t="n">
        <v>10.46</v>
      </c>
      <c r="H1647" t="inlineStr">
        <is>
          <t>Card</t>
        </is>
      </c>
      <c r="I1647" t="inlineStr">
        <is>
          <t>Success</t>
        </is>
      </c>
      <c r="J1647" t="inlineStr">
        <is>
          <t>Returned</t>
        </is>
      </c>
      <c r="K1647" t="n">
        <v>637.62</v>
      </c>
      <c r="L1647" t="n">
        <v>0</v>
      </c>
      <c r="M1647" t="inlineStr">
        <is>
          <t>INR</t>
        </is>
      </c>
      <c r="N1647" t="inlineStr">
        <is>
          <t>2026-06-30 16:22:08</t>
        </is>
      </c>
    </row>
    <row r="1648">
      <c r="A1648" t="inlineStr">
        <is>
          <t>TXN00258830</t>
        </is>
      </c>
      <c r="B1648" t="inlineStr">
        <is>
          <t>MER00649</t>
        </is>
      </c>
      <c r="C1648" s="8" t="n">
        <v>46205</v>
      </c>
      <c r="D1648" t="inlineStr">
        <is>
          <t>ORD00258830</t>
        </is>
      </c>
      <c r="E1648" t="n">
        <v>1158.35</v>
      </c>
      <c r="F1648" t="n">
        <v>1.64</v>
      </c>
      <c r="G1648" t="n">
        <v>19</v>
      </c>
      <c r="H1648" t="inlineStr">
        <is>
          <t>UPI</t>
        </is>
      </c>
      <c r="I1648" t="inlineStr">
        <is>
          <t>Success</t>
        </is>
      </c>
      <c r="J1648" t="inlineStr">
        <is>
          <t>Delivered</t>
        </is>
      </c>
      <c r="K1648" t="n">
        <v>0</v>
      </c>
      <c r="L1648" t="n">
        <v>0</v>
      </c>
      <c r="M1648" t="inlineStr">
        <is>
          <t>INR</t>
        </is>
      </c>
      <c r="N1648" t="inlineStr">
        <is>
          <t>2026-07-02 04:08:33</t>
        </is>
      </c>
    </row>
    <row r="1649">
      <c r="A1649" t="inlineStr">
        <is>
          <t>TXN00259366</t>
        </is>
      </c>
      <c r="B1649" t="inlineStr">
        <is>
          <t>MER00649</t>
        </is>
      </c>
      <c r="C1649" s="8" t="n">
        <v>46206</v>
      </c>
      <c r="D1649" t="inlineStr">
        <is>
          <t>ORD00259366</t>
        </is>
      </c>
      <c r="E1649" t="n">
        <v>727.9</v>
      </c>
      <c r="F1649" t="n">
        <v>1.64</v>
      </c>
      <c r="G1649" t="n">
        <v>11.94</v>
      </c>
      <c r="H1649" t="inlineStr">
        <is>
          <t>UPI</t>
        </is>
      </c>
      <c r="I1649" t="inlineStr">
        <is>
          <t>Success</t>
        </is>
      </c>
      <c r="J1649" t="inlineStr">
        <is>
          <t>Delivered</t>
        </is>
      </c>
      <c r="K1649" t="n">
        <v>0</v>
      </c>
      <c r="L1649" t="n">
        <v>0</v>
      </c>
      <c r="M1649" t="inlineStr">
        <is>
          <t>INR</t>
        </is>
      </c>
      <c r="N1649" t="inlineStr">
        <is>
          <t>2026-07-03 07:07:21</t>
        </is>
      </c>
    </row>
    <row r="1650">
      <c r="A1650" t="inlineStr">
        <is>
          <t>TXN00259615</t>
        </is>
      </c>
      <c r="B1650" t="inlineStr">
        <is>
          <t>MER00649</t>
        </is>
      </c>
      <c r="C1650" s="8" t="n">
        <v>46207</v>
      </c>
      <c r="D1650" t="inlineStr">
        <is>
          <t>ORD00259615</t>
        </is>
      </c>
      <c r="E1650" t="n">
        <v>689.02</v>
      </c>
      <c r="F1650" t="n">
        <v>1.64</v>
      </c>
      <c r="G1650" t="n">
        <v>11.3</v>
      </c>
      <c r="H1650" t="inlineStr">
        <is>
          <t>UPI</t>
        </is>
      </c>
      <c r="I1650" t="inlineStr">
        <is>
          <t>Success</t>
        </is>
      </c>
      <c r="J1650" t="inlineStr">
        <is>
          <t>Delivered</t>
        </is>
      </c>
      <c r="K1650" t="n">
        <v>0</v>
      </c>
      <c r="L1650" t="n">
        <v>0</v>
      </c>
      <c r="M1650" t="inlineStr">
        <is>
          <t>INR</t>
        </is>
      </c>
      <c r="N1650" t="inlineStr">
        <is>
          <t>2026-07-04 01:25:28</t>
        </is>
      </c>
    </row>
    <row r="1651">
      <c r="A1651" t="inlineStr">
        <is>
          <t>TXN00260145</t>
        </is>
      </c>
      <c r="B1651" t="inlineStr">
        <is>
          <t>MER00649</t>
        </is>
      </c>
      <c r="C1651" s="8" t="n">
        <v>46208</v>
      </c>
      <c r="D1651" t="inlineStr">
        <is>
          <t>ORD00260145</t>
        </is>
      </c>
      <c r="E1651" t="n">
        <v>2231.28</v>
      </c>
      <c r="F1651" t="n">
        <v>1.64</v>
      </c>
      <c r="G1651" t="n">
        <v>36.59</v>
      </c>
      <c r="H1651" t="inlineStr">
        <is>
          <t>UPI</t>
        </is>
      </c>
      <c r="I1651" t="inlineStr">
        <is>
          <t>Failed</t>
        </is>
      </c>
      <c r="J1651" t="inlineStr">
        <is>
          <t>Cancelled</t>
        </is>
      </c>
      <c r="K1651" t="n">
        <v>0</v>
      </c>
      <c r="L1651" t="n">
        <v>0</v>
      </c>
      <c r="M1651" t="inlineStr">
        <is>
          <t>INR</t>
        </is>
      </c>
      <c r="N1651" t="inlineStr">
        <is>
          <t>2026-07-05 00:47:23</t>
        </is>
      </c>
    </row>
    <row r="1652">
      <c r="A1652" t="inlineStr">
        <is>
          <t>TXN00260597</t>
        </is>
      </c>
      <c r="B1652" t="inlineStr">
        <is>
          <t>MER00649</t>
        </is>
      </c>
      <c r="C1652" s="8" t="n">
        <v>46209</v>
      </c>
      <c r="D1652" t="inlineStr">
        <is>
          <t>ORD00260597</t>
        </is>
      </c>
      <c r="E1652" t="n">
        <v>5365.35</v>
      </c>
      <c r="F1652" t="n">
        <v>1.64</v>
      </c>
      <c r="G1652" t="n">
        <v>87.98999999999999</v>
      </c>
      <c r="H1652" t="inlineStr">
        <is>
          <t>Card</t>
        </is>
      </c>
      <c r="I1652" t="inlineStr">
        <is>
          <t>Success</t>
        </is>
      </c>
      <c r="J1652" t="inlineStr">
        <is>
          <t>Delivered</t>
        </is>
      </c>
      <c r="K1652" t="n">
        <v>0</v>
      </c>
      <c r="L1652" t="n">
        <v>0</v>
      </c>
      <c r="M1652" t="inlineStr">
        <is>
          <t>INR</t>
        </is>
      </c>
      <c r="N1652" t="inlineStr">
        <is>
          <t>2026-07-06 02:03:23</t>
        </is>
      </c>
    </row>
    <row r="1653">
      <c r="A1653" t="inlineStr">
        <is>
          <t>TXN00261158</t>
        </is>
      </c>
      <c r="B1653" t="inlineStr">
        <is>
          <t>MER00649</t>
        </is>
      </c>
      <c r="C1653" s="8" t="n">
        <v>46211</v>
      </c>
      <c r="D1653" t="inlineStr">
        <is>
          <t>ORD00261158</t>
        </is>
      </c>
      <c r="E1653" t="n">
        <v>4392.18</v>
      </c>
      <c r="F1653" t="n">
        <v>1.64</v>
      </c>
      <c r="G1653" t="n">
        <v>72.03</v>
      </c>
      <c r="H1653" t="inlineStr">
        <is>
          <t>Card</t>
        </is>
      </c>
      <c r="I1653" t="inlineStr">
        <is>
          <t>Success</t>
        </is>
      </c>
      <c r="J1653" t="inlineStr">
        <is>
          <t>Delivered</t>
        </is>
      </c>
      <c r="K1653" t="n">
        <v>0</v>
      </c>
      <c r="L1653" t="n">
        <v>0</v>
      </c>
      <c r="M1653" t="inlineStr">
        <is>
          <t>INR</t>
        </is>
      </c>
      <c r="N1653" t="inlineStr">
        <is>
          <t>2026-07-08 22:39:31</t>
        </is>
      </c>
    </row>
    <row r="1654">
      <c r="A1654" t="inlineStr">
        <is>
          <t>TXN00261789</t>
        </is>
      </c>
      <c r="B1654" t="inlineStr">
        <is>
          <t>MER00649</t>
        </is>
      </c>
      <c r="C1654" s="8" t="n">
        <v>46212</v>
      </c>
      <c r="D1654" t="inlineStr">
        <is>
          <t>ORD00261789</t>
        </is>
      </c>
      <c r="E1654" t="n">
        <v>687.14</v>
      </c>
      <c r="F1654" t="n">
        <v>1.64</v>
      </c>
      <c r="G1654" t="n">
        <v>11.27</v>
      </c>
      <c r="H1654" t="inlineStr">
        <is>
          <t>UPI</t>
        </is>
      </c>
      <c r="I1654" t="inlineStr">
        <is>
          <t>Success</t>
        </is>
      </c>
      <c r="J1654" t="inlineStr">
        <is>
          <t>Returned</t>
        </is>
      </c>
      <c r="K1654" t="n">
        <v>687.14</v>
      </c>
      <c r="L1654" t="n">
        <v>0</v>
      </c>
      <c r="M1654" t="inlineStr">
        <is>
          <t>INR</t>
        </is>
      </c>
      <c r="N1654" t="inlineStr">
        <is>
          <t>2026-07-09 12:18:03</t>
        </is>
      </c>
    </row>
    <row r="1655">
      <c r="A1655" t="inlineStr">
        <is>
          <t>TXN00262177</t>
        </is>
      </c>
      <c r="B1655" t="inlineStr">
        <is>
          <t>MER00649</t>
        </is>
      </c>
      <c r="C1655" s="8" t="n">
        <v>46213</v>
      </c>
      <c r="D1655" t="inlineStr">
        <is>
          <t>ORD00262177</t>
        </is>
      </c>
      <c r="E1655" t="n">
        <v>1419.36</v>
      </c>
      <c r="F1655" t="n">
        <v>1.64</v>
      </c>
      <c r="G1655" t="n">
        <v>23.28</v>
      </c>
      <c r="H1655" t="inlineStr">
        <is>
          <t>NetBanking</t>
        </is>
      </c>
      <c r="I1655" t="inlineStr">
        <is>
          <t>Success</t>
        </is>
      </c>
      <c r="J1655" t="inlineStr">
        <is>
          <t>Delivered</t>
        </is>
      </c>
      <c r="K1655" t="n">
        <v>0</v>
      </c>
      <c r="L1655" t="n">
        <v>201.31</v>
      </c>
      <c r="M1655" t="inlineStr">
        <is>
          <t>INR</t>
        </is>
      </c>
      <c r="N1655" t="inlineStr">
        <is>
          <t>2026-07-10 12:48:40</t>
        </is>
      </c>
    </row>
    <row r="1656">
      <c r="A1656" t="inlineStr">
        <is>
          <t>TXN00262911</t>
        </is>
      </c>
      <c r="B1656" t="inlineStr">
        <is>
          <t>MER00649</t>
        </is>
      </c>
      <c r="C1656" s="8" t="n">
        <v>46215</v>
      </c>
      <c r="D1656" t="inlineStr">
        <is>
          <t>ORD00262911</t>
        </is>
      </c>
      <c r="E1656" t="n">
        <v>1027.05</v>
      </c>
      <c r="F1656" t="n">
        <v>1.64</v>
      </c>
      <c r="G1656" t="n">
        <v>16.84</v>
      </c>
      <c r="H1656" t="inlineStr">
        <is>
          <t>UPI</t>
        </is>
      </c>
      <c r="I1656" t="inlineStr">
        <is>
          <t>Success</t>
        </is>
      </c>
      <c r="J1656" t="inlineStr">
        <is>
          <t>Delivered</t>
        </is>
      </c>
      <c r="K1656" t="n">
        <v>0</v>
      </c>
      <c r="L1656" t="n">
        <v>0</v>
      </c>
      <c r="M1656" t="inlineStr">
        <is>
          <t>INR</t>
        </is>
      </c>
      <c r="N1656" t="inlineStr">
        <is>
          <t>2026-07-12 19:17:02</t>
        </is>
      </c>
    </row>
    <row r="1657">
      <c r="A1657" t="inlineStr">
        <is>
          <t>TXN00263602</t>
        </is>
      </c>
      <c r="B1657" t="inlineStr">
        <is>
          <t>MER00649</t>
        </is>
      </c>
      <c r="C1657" s="8" t="n">
        <v>46217</v>
      </c>
      <c r="D1657" t="inlineStr">
        <is>
          <t>ORD00263602</t>
        </is>
      </c>
      <c r="E1657" t="n">
        <v>2190.83</v>
      </c>
      <c r="F1657" t="n">
        <v>1.64</v>
      </c>
      <c r="G1657" t="n">
        <v>35.93</v>
      </c>
      <c r="H1657" t="inlineStr">
        <is>
          <t>UPI</t>
        </is>
      </c>
      <c r="I1657" t="inlineStr">
        <is>
          <t>Success</t>
        </is>
      </c>
      <c r="J1657" t="inlineStr">
        <is>
          <t>Returned</t>
        </is>
      </c>
      <c r="K1657" t="n">
        <v>1422.47</v>
      </c>
      <c r="L1657" t="n">
        <v>255.61</v>
      </c>
      <c r="M1657" t="inlineStr">
        <is>
          <t>INR</t>
        </is>
      </c>
      <c r="N1657" t="inlineStr">
        <is>
          <t>2026-07-14 10:27:49</t>
        </is>
      </c>
    </row>
    <row r="1658">
      <c r="A1658" t="inlineStr">
        <is>
          <t>TXN00264790</t>
        </is>
      </c>
      <c r="B1658" t="inlineStr">
        <is>
          <t>MER00649</t>
        </is>
      </c>
      <c r="C1658" s="8" t="n">
        <v>46220</v>
      </c>
      <c r="D1658" t="inlineStr">
        <is>
          <t>ORD00264790</t>
        </is>
      </c>
      <c r="E1658" t="n">
        <v>6459.51</v>
      </c>
      <c r="F1658" t="n">
        <v>1.64</v>
      </c>
      <c r="G1658" t="n">
        <v>105.94</v>
      </c>
      <c r="H1658" t="inlineStr">
        <is>
          <t>UPI</t>
        </is>
      </c>
      <c r="I1658" t="inlineStr">
        <is>
          <t>Success</t>
        </is>
      </c>
      <c r="J1658" t="inlineStr">
        <is>
          <t>Processing</t>
        </is>
      </c>
      <c r="K1658" t="n">
        <v>0</v>
      </c>
      <c r="L1658" t="n">
        <v>999.45</v>
      </c>
      <c r="M1658" t="inlineStr">
        <is>
          <t>INR</t>
        </is>
      </c>
      <c r="N1658" t="inlineStr">
        <is>
          <t>2026-07-17 02:23:46</t>
        </is>
      </c>
    </row>
    <row r="1659">
      <c r="A1659" t="inlineStr">
        <is>
          <t>TXN00264795</t>
        </is>
      </c>
      <c r="B1659" t="inlineStr">
        <is>
          <t>MER00649</t>
        </is>
      </c>
      <c r="C1659" s="8" t="n">
        <v>46220</v>
      </c>
      <c r="D1659" t="inlineStr">
        <is>
          <t>ORD00264795</t>
        </is>
      </c>
      <c r="E1659" t="n">
        <v>1375.68</v>
      </c>
      <c r="F1659" t="n">
        <v>1.64</v>
      </c>
      <c r="G1659" t="n">
        <v>22.56</v>
      </c>
      <c r="H1659" t="inlineStr">
        <is>
          <t>UPI</t>
        </is>
      </c>
      <c r="I1659" t="inlineStr">
        <is>
          <t>Success</t>
        </is>
      </c>
      <c r="J1659" t="inlineStr">
        <is>
          <t>Delivered</t>
        </is>
      </c>
      <c r="K1659" t="n">
        <v>0</v>
      </c>
      <c r="L1659" t="n">
        <v>0</v>
      </c>
      <c r="M1659" t="inlineStr">
        <is>
          <t>INR</t>
        </is>
      </c>
      <c r="N1659" t="inlineStr">
        <is>
          <t>2026-07-17 17:25:10</t>
        </is>
      </c>
    </row>
    <row r="1660">
      <c r="A1660" t="inlineStr">
        <is>
          <t>TXN00264793</t>
        </is>
      </c>
      <c r="B1660" t="inlineStr">
        <is>
          <t>MER00649</t>
        </is>
      </c>
      <c r="C1660" s="8" t="n">
        <v>46220</v>
      </c>
      <c r="D1660" t="inlineStr">
        <is>
          <t>ORD00264793</t>
        </is>
      </c>
      <c r="E1660" t="n">
        <v>1611.9</v>
      </c>
      <c r="F1660" t="n">
        <v>1.64</v>
      </c>
      <c r="G1660" t="n">
        <v>26.44</v>
      </c>
      <c r="H1660" t="inlineStr">
        <is>
          <t>COD</t>
        </is>
      </c>
      <c r="I1660" t="inlineStr">
        <is>
          <t>Success</t>
        </is>
      </c>
      <c r="J1660" t="inlineStr">
        <is>
          <t>Returned</t>
        </is>
      </c>
      <c r="K1660" t="n">
        <v>1611.9</v>
      </c>
      <c r="L1660" t="n">
        <v>0</v>
      </c>
      <c r="M1660" t="inlineStr">
        <is>
          <t>INR</t>
        </is>
      </c>
      <c r="N1660" t="inlineStr">
        <is>
          <t>2026-07-17 07:14:05</t>
        </is>
      </c>
    </row>
    <row r="1661">
      <c r="A1661" t="inlineStr">
        <is>
          <t>TXN00265237</t>
        </is>
      </c>
      <c r="B1661" t="inlineStr">
        <is>
          <t>MER00649</t>
        </is>
      </c>
      <c r="C1661" s="8" t="n">
        <v>46221</v>
      </c>
      <c r="D1661" t="inlineStr">
        <is>
          <t>ORD00265237</t>
        </is>
      </c>
      <c r="E1661" t="n">
        <v>1953.54</v>
      </c>
      <c r="F1661" t="n">
        <v>1.64</v>
      </c>
      <c r="G1661" t="n">
        <v>32.04</v>
      </c>
      <c r="H1661" t="inlineStr">
        <is>
          <t>Card</t>
        </is>
      </c>
      <c r="I1661" t="inlineStr">
        <is>
          <t>Pending</t>
        </is>
      </c>
      <c r="J1661" t="inlineStr">
        <is>
          <t>Processing</t>
        </is>
      </c>
      <c r="K1661" t="n">
        <v>0</v>
      </c>
      <c r="L1661" t="n">
        <v>0</v>
      </c>
      <c r="M1661" t="inlineStr">
        <is>
          <t>INR</t>
        </is>
      </c>
      <c r="N1661" t="inlineStr">
        <is>
          <t>2026-07-18 21:44:21</t>
        </is>
      </c>
    </row>
    <row r="1662">
      <c r="A1662" t="inlineStr">
        <is>
          <t>TXN00266185</t>
        </is>
      </c>
      <c r="B1662" t="inlineStr">
        <is>
          <t>MER00649</t>
        </is>
      </c>
      <c r="C1662" s="8" t="n">
        <v>46224</v>
      </c>
      <c r="D1662" t="inlineStr">
        <is>
          <t>ORD00266185</t>
        </is>
      </c>
      <c r="E1662" t="n">
        <v>432.44</v>
      </c>
      <c r="F1662" t="n">
        <v>1.64</v>
      </c>
      <c r="G1662" t="n">
        <v>7.09</v>
      </c>
      <c r="H1662" t="inlineStr">
        <is>
          <t>COD</t>
        </is>
      </c>
      <c r="I1662" t="inlineStr">
        <is>
          <t>Success</t>
        </is>
      </c>
      <c r="J1662" t="inlineStr">
        <is>
          <t>Delivered</t>
        </is>
      </c>
      <c r="K1662" t="n">
        <v>0</v>
      </c>
      <c r="L1662" t="n">
        <v>33.16</v>
      </c>
      <c r="M1662" t="inlineStr">
        <is>
          <t>INR</t>
        </is>
      </c>
      <c r="N1662" t="inlineStr">
        <is>
          <t>2026-07-21 23:48:05</t>
        </is>
      </c>
    </row>
    <row r="1663">
      <c r="A1663" t="inlineStr">
        <is>
          <t>TXN00266187</t>
        </is>
      </c>
      <c r="B1663" t="inlineStr">
        <is>
          <t>MER00649</t>
        </is>
      </c>
      <c r="C1663" s="8" t="n">
        <v>46224</v>
      </c>
      <c r="D1663" t="inlineStr">
        <is>
          <t>ORD00266187</t>
        </is>
      </c>
      <c r="E1663" t="n">
        <v>1873.2</v>
      </c>
      <c r="F1663" t="n">
        <v>1.64</v>
      </c>
      <c r="G1663" t="n">
        <v>30.72</v>
      </c>
      <c r="H1663" t="inlineStr">
        <is>
          <t>UPI</t>
        </is>
      </c>
      <c r="I1663" t="inlineStr">
        <is>
          <t>Success</t>
        </is>
      </c>
      <c r="J1663" t="inlineStr">
        <is>
          <t>Delivered</t>
        </is>
      </c>
      <c r="K1663" t="n">
        <v>0</v>
      </c>
      <c r="L1663" t="n">
        <v>194.17</v>
      </c>
      <c r="M1663" t="inlineStr">
        <is>
          <t>INR</t>
        </is>
      </c>
      <c r="N1663" t="inlineStr">
        <is>
          <t>2026-07-21 01:46:01</t>
        </is>
      </c>
    </row>
    <row r="1664">
      <c r="A1664" t="inlineStr">
        <is>
          <t>TXN00266985</t>
        </is>
      </c>
      <c r="B1664" t="inlineStr">
        <is>
          <t>MER00649</t>
        </is>
      </c>
      <c r="C1664" s="8" t="n">
        <v>46226</v>
      </c>
      <c r="D1664" t="inlineStr">
        <is>
          <t>ORD00266985</t>
        </is>
      </c>
      <c r="E1664" t="n">
        <v>2011.43</v>
      </c>
      <c r="F1664" t="n">
        <v>1.64</v>
      </c>
      <c r="G1664" t="n">
        <v>32.99</v>
      </c>
      <c r="H1664" t="inlineStr">
        <is>
          <t>Card</t>
        </is>
      </c>
      <c r="I1664" t="inlineStr">
        <is>
          <t>Success</t>
        </is>
      </c>
      <c r="J1664" t="inlineStr">
        <is>
          <t>Delivered</t>
        </is>
      </c>
      <c r="K1664" t="n">
        <v>0</v>
      </c>
      <c r="L1664" t="n">
        <v>0</v>
      </c>
      <c r="M1664" t="inlineStr">
        <is>
          <t>INR</t>
        </is>
      </c>
      <c r="N1664" t="inlineStr">
        <is>
          <t>2026-07-23 12:19:25</t>
        </is>
      </c>
    </row>
    <row r="1665">
      <c r="A1665" t="inlineStr">
        <is>
          <t>TXN00267591</t>
        </is>
      </c>
      <c r="B1665" t="inlineStr">
        <is>
          <t>MER00649</t>
        </is>
      </c>
      <c r="C1665" s="8" t="n">
        <v>46227</v>
      </c>
      <c r="D1665" t="inlineStr">
        <is>
          <t>ORD00267591</t>
        </is>
      </c>
      <c r="E1665" t="n">
        <v>1460.65</v>
      </c>
      <c r="F1665" t="n">
        <v>1.64</v>
      </c>
      <c r="G1665" t="n">
        <v>23.95</v>
      </c>
      <c r="H1665" t="inlineStr">
        <is>
          <t>Card</t>
        </is>
      </c>
      <c r="I1665" t="inlineStr">
        <is>
          <t>Success</t>
        </is>
      </c>
      <c r="J1665" t="inlineStr">
        <is>
          <t>Delivered</t>
        </is>
      </c>
      <c r="K1665" t="n">
        <v>0</v>
      </c>
      <c r="L1665" t="n">
        <v>0</v>
      </c>
      <c r="M1665" t="inlineStr">
        <is>
          <t>INR</t>
        </is>
      </c>
      <c r="N1665" t="inlineStr">
        <is>
          <t>2026-07-24 09:18:16</t>
        </is>
      </c>
    </row>
    <row r="1666">
      <c r="A1666" t="inlineStr">
        <is>
          <t>TXN00267689</t>
        </is>
      </c>
      <c r="B1666" t="inlineStr">
        <is>
          <t>MER00649</t>
        </is>
      </c>
      <c r="C1666" s="8" t="n">
        <v>46227</v>
      </c>
      <c r="D1666" t="inlineStr">
        <is>
          <t>ORD00267689</t>
        </is>
      </c>
      <c r="E1666" t="n">
        <v>1311.8</v>
      </c>
      <c r="F1666" t="n">
        <v>1.64</v>
      </c>
      <c r="G1666" t="n">
        <v>21.51</v>
      </c>
      <c r="H1666" t="inlineStr">
        <is>
          <t>COD</t>
        </is>
      </c>
      <c r="I1666" t="inlineStr">
        <is>
          <t>Success</t>
        </is>
      </c>
      <c r="J1666" t="inlineStr">
        <is>
          <t>Delivered</t>
        </is>
      </c>
      <c r="K1666" t="n">
        <v>0</v>
      </c>
      <c r="L1666" t="n">
        <v>0</v>
      </c>
      <c r="M1666" t="inlineStr">
        <is>
          <t>INR</t>
        </is>
      </c>
      <c r="N1666" t="inlineStr">
        <is>
          <t>2026-07-24 04:42:43</t>
        </is>
      </c>
    </row>
    <row r="1667">
      <c r="A1667" t="inlineStr">
        <is>
          <t>TXN00269267</t>
        </is>
      </c>
      <c r="B1667" t="inlineStr">
        <is>
          <t>MER00649</t>
        </is>
      </c>
      <c r="C1667" s="8" t="n">
        <v>46231</v>
      </c>
      <c r="D1667" t="inlineStr">
        <is>
          <t>ORD00269267</t>
        </is>
      </c>
      <c r="E1667" t="n">
        <v>3162.33</v>
      </c>
      <c r="F1667" t="n">
        <v>1.64</v>
      </c>
      <c r="G1667" t="n">
        <v>51.86</v>
      </c>
      <c r="H1667" t="inlineStr">
        <is>
          <t>Card</t>
        </is>
      </c>
      <c r="I1667" t="inlineStr">
        <is>
          <t>Success</t>
        </is>
      </c>
      <c r="J1667" t="inlineStr">
        <is>
          <t>Delivered</t>
        </is>
      </c>
      <c r="K1667" t="n">
        <v>0</v>
      </c>
      <c r="L1667" t="n">
        <v>0</v>
      </c>
      <c r="M1667" t="inlineStr">
        <is>
          <t>INR</t>
        </is>
      </c>
      <c r="N1667" t="inlineStr">
        <is>
          <t>2026-07-28 00:50:12</t>
        </is>
      </c>
    </row>
    <row r="1668">
      <c r="A1668" t="inlineStr">
        <is>
          <t>TXN00269381</t>
        </is>
      </c>
      <c r="B1668" t="inlineStr">
        <is>
          <t>MER00649</t>
        </is>
      </c>
      <c r="C1668" s="8" t="n">
        <v>46232</v>
      </c>
      <c r="D1668" t="inlineStr">
        <is>
          <t>ORD00269381</t>
        </is>
      </c>
      <c r="E1668" t="n">
        <v>2103.77</v>
      </c>
      <c r="F1668" t="n">
        <v>1.64</v>
      </c>
      <c r="G1668" t="n">
        <v>34.5</v>
      </c>
      <c r="H1668" t="inlineStr">
        <is>
          <t>Card</t>
        </is>
      </c>
      <c r="I1668" t="inlineStr">
        <is>
          <t>Success</t>
        </is>
      </c>
      <c r="J1668" t="inlineStr">
        <is>
          <t>Delivered</t>
        </is>
      </c>
      <c r="K1668" t="n">
        <v>0</v>
      </c>
      <c r="L1668" t="n">
        <v>0</v>
      </c>
      <c r="M1668" t="inlineStr">
        <is>
          <t>INR</t>
        </is>
      </c>
      <c r="N1668" t="inlineStr">
        <is>
          <t>2026-07-29 04:58:07</t>
        </is>
      </c>
    </row>
    <row r="1669">
      <c r="A1669" t="inlineStr">
        <is>
          <t>TXN00002081</t>
        </is>
      </c>
      <c r="B1669" t="inlineStr">
        <is>
          <t>MER00658</t>
        </is>
      </c>
      <c r="C1669" s="8" t="n">
        <v>45513</v>
      </c>
      <c r="D1669" t="inlineStr">
        <is>
          <t>ORD00002081</t>
        </is>
      </c>
      <c r="E1669" t="n">
        <v>3224.24</v>
      </c>
      <c r="F1669" t="n">
        <v>2.5</v>
      </c>
      <c r="G1669" t="n">
        <v>80.61</v>
      </c>
      <c r="H1669" t="inlineStr">
        <is>
          <t>UPI</t>
        </is>
      </c>
      <c r="I1669" t="inlineStr">
        <is>
          <t>Success</t>
        </is>
      </c>
      <c r="J1669" t="inlineStr">
        <is>
          <t>Delivered</t>
        </is>
      </c>
      <c r="K1669" t="n">
        <v>0</v>
      </c>
      <c r="L1669" t="n">
        <v>0</v>
      </c>
      <c r="M1669" t="inlineStr">
        <is>
          <t>INR</t>
        </is>
      </c>
      <c r="N1669" t="inlineStr">
        <is>
          <t>2024-08-09 06:14:33</t>
        </is>
      </c>
    </row>
    <row r="1670">
      <c r="A1670" t="inlineStr">
        <is>
          <t>TXN00008933</t>
        </is>
      </c>
      <c r="B1670" t="inlineStr">
        <is>
          <t>MER00658</t>
        </is>
      </c>
      <c r="C1670" s="8" t="n">
        <v>45541</v>
      </c>
      <c r="D1670" t="inlineStr">
        <is>
          <t>ORD00008933</t>
        </is>
      </c>
      <c r="E1670" t="n">
        <v>1324.64</v>
      </c>
      <c r="F1670" t="n">
        <v>2.54</v>
      </c>
      <c r="G1670" t="n">
        <v>33.65</v>
      </c>
      <c r="H1670" t="inlineStr">
        <is>
          <t>Card</t>
        </is>
      </c>
      <c r="I1670" t="inlineStr">
        <is>
          <t>Success</t>
        </is>
      </c>
      <c r="J1670" t="inlineStr">
        <is>
          <t>Delivered</t>
        </is>
      </c>
      <c r="K1670" t="n">
        <v>0</v>
      </c>
      <c r="L1670" t="n">
        <v>123.78</v>
      </c>
      <c r="M1670" t="inlineStr">
        <is>
          <t>INR</t>
        </is>
      </c>
      <c r="N1670" t="inlineStr">
        <is>
          <t>2024-09-06 20:20:17</t>
        </is>
      </c>
    </row>
    <row r="1671">
      <c r="A1671" t="inlineStr">
        <is>
          <t>TXN00015633</t>
        </is>
      </c>
      <c r="B1671" t="inlineStr">
        <is>
          <t>MER00658</t>
        </is>
      </c>
      <c r="C1671" s="8" t="n">
        <v>45564</v>
      </c>
      <c r="D1671" t="inlineStr">
        <is>
          <t>ORD00015633</t>
        </is>
      </c>
      <c r="E1671" t="n">
        <v>6018.18</v>
      </c>
      <c r="F1671" t="n">
        <v>2.54</v>
      </c>
      <c r="G1671" t="n">
        <v>152.86</v>
      </c>
      <c r="H1671" t="inlineStr">
        <is>
          <t>NetBanking</t>
        </is>
      </c>
      <c r="I1671" t="inlineStr">
        <is>
          <t>Success</t>
        </is>
      </c>
      <c r="J1671" t="inlineStr">
        <is>
          <t>Delivered</t>
        </is>
      </c>
      <c r="K1671" t="n">
        <v>0</v>
      </c>
      <c r="L1671" t="n">
        <v>0</v>
      </c>
      <c r="M1671" t="inlineStr">
        <is>
          <t>INR</t>
        </is>
      </c>
      <c r="N1671" t="inlineStr">
        <is>
          <t>2024-09-29 09:58:24</t>
        </is>
      </c>
    </row>
    <row r="1672">
      <c r="A1672" t="inlineStr">
        <is>
          <t>TXN00029546</t>
        </is>
      </c>
      <c r="B1672" t="inlineStr">
        <is>
          <t>MER00658</t>
        </is>
      </c>
      <c r="C1672" s="8" t="n">
        <v>45600</v>
      </c>
      <c r="D1672" t="inlineStr">
        <is>
          <t>ORD00029546</t>
        </is>
      </c>
      <c r="E1672" t="n">
        <v>1437.85</v>
      </c>
      <c r="F1672" t="n">
        <v>3.27</v>
      </c>
      <c r="G1672" t="n">
        <v>36.52</v>
      </c>
      <c r="H1672" t="inlineStr">
        <is>
          <t>UPI</t>
        </is>
      </c>
      <c r="I1672" t="inlineStr">
        <is>
          <t>Success</t>
        </is>
      </c>
      <c r="J1672" t="inlineStr">
        <is>
          <t>Delivered</t>
        </is>
      </c>
      <c r="K1672" t="n">
        <v>0</v>
      </c>
      <c r="L1672" t="n">
        <v>210.01</v>
      </c>
      <c r="M1672" t="inlineStr">
        <is>
          <t>INR</t>
        </is>
      </c>
      <c r="N1672" t="inlineStr">
        <is>
          <t>2024-11-04 17:54:40</t>
        </is>
      </c>
    </row>
    <row r="1673">
      <c r="A1673" t="inlineStr">
        <is>
          <t>TXN00030670</t>
        </is>
      </c>
      <c r="B1673" t="inlineStr">
        <is>
          <t>MER00658</t>
        </is>
      </c>
      <c r="C1673" s="8" t="n">
        <v>45602</v>
      </c>
      <c r="D1673" t="inlineStr">
        <is>
          <t>ORD00030670</t>
        </is>
      </c>
      <c r="E1673" t="n">
        <v>3118.92</v>
      </c>
      <c r="F1673" t="n">
        <v>2.54</v>
      </c>
      <c r="G1673" t="n">
        <v>79.22</v>
      </c>
      <c r="H1673" t="inlineStr">
        <is>
          <t>UPI</t>
        </is>
      </c>
      <c r="I1673" t="inlineStr">
        <is>
          <t>Success</t>
        </is>
      </c>
      <c r="J1673" t="inlineStr">
        <is>
          <t>Processing</t>
        </is>
      </c>
      <c r="K1673" t="n">
        <v>0</v>
      </c>
      <c r="L1673" t="n">
        <v>261.89</v>
      </c>
      <c r="M1673" t="inlineStr">
        <is>
          <t>INR</t>
        </is>
      </c>
      <c r="N1673" t="inlineStr">
        <is>
          <t>2024-11-06 23:12:57</t>
        </is>
      </c>
    </row>
    <row r="1674">
      <c r="A1674" t="inlineStr">
        <is>
          <t>TXN00037531</t>
        </is>
      </c>
      <c r="B1674" t="inlineStr">
        <is>
          <t>MER00658</t>
        </is>
      </c>
      <c r="C1674" s="8" t="n">
        <v>45617</v>
      </c>
      <c r="D1674" t="inlineStr">
        <is>
          <t>ORD00037531</t>
        </is>
      </c>
      <c r="E1674" t="n">
        <v>4316.97</v>
      </c>
      <c r="F1674" t="n">
        <v>2.54</v>
      </c>
      <c r="G1674" t="n">
        <v>109.65</v>
      </c>
      <c r="H1674" t="inlineStr">
        <is>
          <t>Wallet</t>
        </is>
      </c>
      <c r="I1674" t="inlineStr">
        <is>
          <t>Failed</t>
        </is>
      </c>
      <c r="J1674" t="inlineStr">
        <is>
          <t>Cancelled</t>
        </is>
      </c>
      <c r="K1674" t="n">
        <v>0</v>
      </c>
      <c r="L1674" t="n">
        <v>0</v>
      </c>
      <c r="M1674" t="inlineStr">
        <is>
          <t>INR</t>
        </is>
      </c>
      <c r="N1674" t="inlineStr">
        <is>
          <t>2024-11-21 14:18:32</t>
        </is>
      </c>
    </row>
    <row r="1675">
      <c r="A1675" t="inlineStr">
        <is>
          <t>TXN00065206</t>
        </is>
      </c>
      <c r="B1675" t="inlineStr">
        <is>
          <t>MER00658</t>
        </is>
      </c>
      <c r="C1675" s="8" t="n">
        <v>45695</v>
      </c>
      <c r="D1675" t="inlineStr">
        <is>
          <t>ORD00065206</t>
        </is>
      </c>
      <c r="E1675" t="n">
        <v>4023.38</v>
      </c>
      <c r="F1675" t="n">
        <v>2.54</v>
      </c>
      <c r="G1675" t="n">
        <v>102.19</v>
      </c>
      <c r="H1675" t="inlineStr">
        <is>
          <t>Card</t>
        </is>
      </c>
      <c r="I1675" t="inlineStr">
        <is>
          <t>Success</t>
        </is>
      </c>
      <c r="J1675" t="inlineStr">
        <is>
          <t>Delivered</t>
        </is>
      </c>
      <c r="K1675" t="n">
        <v>0</v>
      </c>
      <c r="L1675" t="n">
        <v>0</v>
      </c>
      <c r="M1675" t="inlineStr">
        <is>
          <t>INR</t>
        </is>
      </c>
      <c r="N1675" t="inlineStr">
        <is>
          <t>2025-02-07 06:53:43</t>
        </is>
      </c>
    </row>
    <row r="1676">
      <c r="A1676" t="inlineStr">
        <is>
          <t>TXN00070941</t>
        </is>
      </c>
      <c r="B1676" t="inlineStr">
        <is>
          <t>MER00658</t>
        </is>
      </c>
      <c r="C1676" s="8" t="n">
        <v>45712</v>
      </c>
      <c r="D1676" t="inlineStr">
        <is>
          <t>ORD00070941</t>
        </is>
      </c>
      <c r="E1676" t="n">
        <v>2045.69</v>
      </c>
      <c r="F1676" t="n">
        <v>2.54</v>
      </c>
      <c r="G1676" t="n">
        <v>51.96</v>
      </c>
      <c r="H1676" t="inlineStr">
        <is>
          <t>Card</t>
        </is>
      </c>
      <c r="I1676" t="inlineStr">
        <is>
          <t>Success</t>
        </is>
      </c>
      <c r="J1676" t="inlineStr">
        <is>
          <t>Delivered</t>
        </is>
      </c>
      <c r="K1676" t="n">
        <v>0</v>
      </c>
      <c r="L1676" t="n">
        <v>0</v>
      </c>
      <c r="M1676" t="inlineStr">
        <is>
          <t>INR</t>
        </is>
      </c>
      <c r="N1676" t="inlineStr">
        <is>
          <t>2025-02-24 19:19:56</t>
        </is>
      </c>
    </row>
    <row r="1677">
      <c r="A1677" t="inlineStr">
        <is>
          <t>TXN00073096</t>
        </is>
      </c>
      <c r="B1677" t="inlineStr">
        <is>
          <t>MER00658</t>
        </is>
      </c>
      <c r="C1677" s="8" t="n">
        <v>45719</v>
      </c>
      <c r="D1677" t="inlineStr">
        <is>
          <t>ORD00073096</t>
        </is>
      </c>
      <c r="E1677" t="n">
        <v>2192.59</v>
      </c>
      <c r="F1677" t="n">
        <v>2.54</v>
      </c>
      <c r="G1677" t="n">
        <v>55.69</v>
      </c>
      <c r="H1677" t="inlineStr">
        <is>
          <t>Card</t>
        </is>
      </c>
      <c r="I1677" t="inlineStr">
        <is>
          <t>Success</t>
        </is>
      </c>
      <c r="J1677" t="inlineStr">
        <is>
          <t>Delivered</t>
        </is>
      </c>
      <c r="K1677" t="n">
        <v>0</v>
      </c>
      <c r="L1677" t="n">
        <v>0</v>
      </c>
      <c r="M1677" t="inlineStr">
        <is>
          <t>INR</t>
        </is>
      </c>
      <c r="N1677" t="inlineStr">
        <is>
          <t>2025-03-03 14:08:46</t>
        </is>
      </c>
    </row>
    <row r="1678">
      <c r="A1678" t="inlineStr">
        <is>
          <t>TXN00074549</t>
        </is>
      </c>
      <c r="B1678" t="inlineStr">
        <is>
          <t>MER00658</t>
        </is>
      </c>
      <c r="C1678" s="8" t="n">
        <v>45723</v>
      </c>
      <c r="D1678" t="inlineStr">
        <is>
          <t>ORD00074549</t>
        </is>
      </c>
      <c r="E1678" t="n">
        <v>1918.43</v>
      </c>
      <c r="F1678" t="n">
        <v>2.54</v>
      </c>
      <c r="G1678" t="n">
        <v>48.73</v>
      </c>
      <c r="H1678" t="inlineStr">
        <is>
          <t>UPI</t>
        </is>
      </c>
      <c r="I1678" t="inlineStr">
        <is>
          <t>Success</t>
        </is>
      </c>
      <c r="J1678" t="inlineStr">
        <is>
          <t>Delivered</t>
        </is>
      </c>
      <c r="K1678" t="n">
        <v>0</v>
      </c>
      <c r="L1678" t="n">
        <v>0</v>
      </c>
      <c r="M1678" t="inlineStr">
        <is>
          <t>INR</t>
        </is>
      </c>
      <c r="N1678" t="inlineStr">
        <is>
          <t>2025-03-07 01:44:41</t>
        </is>
      </c>
    </row>
    <row r="1679">
      <c r="A1679" t="inlineStr">
        <is>
          <t>TXN00075645</t>
        </is>
      </c>
      <c r="B1679" t="inlineStr">
        <is>
          <t>MER00658</t>
        </is>
      </c>
      <c r="C1679" s="8" t="n">
        <v>45727</v>
      </c>
      <c r="D1679" t="inlineStr">
        <is>
          <t>ORD00075645</t>
        </is>
      </c>
      <c r="E1679" t="n">
        <v>6386.93</v>
      </c>
      <c r="F1679" t="n">
        <v>2.54</v>
      </c>
      <c r="G1679" t="n">
        <v>162.23</v>
      </c>
      <c r="H1679" t="inlineStr">
        <is>
          <t>UPI</t>
        </is>
      </c>
      <c r="I1679" t="inlineStr">
        <is>
          <t>Success</t>
        </is>
      </c>
      <c r="J1679" t="inlineStr">
        <is>
          <t>Delivered</t>
        </is>
      </c>
      <c r="K1679" t="n">
        <v>0</v>
      </c>
      <c r="L1679" t="n">
        <v>0</v>
      </c>
      <c r="M1679" t="inlineStr">
        <is>
          <t>INR</t>
        </is>
      </c>
      <c r="N1679" t="inlineStr">
        <is>
          <t>2025-03-11 13:00:21</t>
        </is>
      </c>
    </row>
    <row r="1680">
      <c r="A1680" t="inlineStr">
        <is>
          <t>TXN00092511</t>
        </is>
      </c>
      <c r="B1680" t="inlineStr">
        <is>
          <t>MER00658</t>
        </is>
      </c>
      <c r="C1680" s="8" t="n">
        <v>45779</v>
      </c>
      <c r="D1680" t="inlineStr">
        <is>
          <t>ORD00092511</t>
        </is>
      </c>
      <c r="E1680" t="n">
        <v>1670.74</v>
      </c>
      <c r="F1680" t="n">
        <v>2.54</v>
      </c>
      <c r="G1680" t="n">
        <v>42.44</v>
      </c>
      <c r="H1680" t="inlineStr">
        <is>
          <t>NetBanking</t>
        </is>
      </c>
      <c r="I1680" t="inlineStr">
        <is>
          <t>Success</t>
        </is>
      </c>
      <c r="J1680" t="inlineStr">
        <is>
          <t>Delivered</t>
        </is>
      </c>
      <c r="K1680" t="n">
        <v>0</v>
      </c>
      <c r="L1680" t="n">
        <v>0</v>
      </c>
      <c r="M1680" t="inlineStr">
        <is>
          <t>INR</t>
        </is>
      </c>
      <c r="N1680" t="inlineStr">
        <is>
          <t>2025-05-02 22:03:54</t>
        </is>
      </c>
    </row>
    <row r="1681">
      <c r="A1681" t="inlineStr">
        <is>
          <t>TXN00094797</t>
        </is>
      </c>
      <c r="B1681" t="inlineStr">
        <is>
          <t>MER00658</t>
        </is>
      </c>
      <c r="C1681" s="8" t="n">
        <v>45786</v>
      </c>
      <c r="D1681" t="inlineStr">
        <is>
          <t>ORD00094797</t>
        </is>
      </c>
      <c r="E1681" t="n">
        <v>5637.56</v>
      </c>
      <c r="F1681" t="n">
        <v>2.54</v>
      </c>
      <c r="G1681" t="n">
        <v>143.19</v>
      </c>
      <c r="H1681" t="inlineStr">
        <is>
          <t>Card</t>
        </is>
      </c>
      <c r="I1681" t="inlineStr">
        <is>
          <t>Success</t>
        </is>
      </c>
      <c r="J1681" t="inlineStr">
        <is>
          <t>Delivered</t>
        </is>
      </c>
      <c r="K1681" t="n">
        <v>0</v>
      </c>
      <c r="L1681" t="n">
        <v>0</v>
      </c>
      <c r="M1681" t="inlineStr">
        <is>
          <t>INR</t>
        </is>
      </c>
      <c r="N1681" t="inlineStr">
        <is>
          <t>2025-05-09 11:59:19</t>
        </is>
      </c>
    </row>
    <row r="1682">
      <c r="A1682" t="inlineStr">
        <is>
          <t>TXN00105191</t>
        </is>
      </c>
      <c r="B1682" t="inlineStr">
        <is>
          <t>MER00658</t>
        </is>
      </c>
      <c r="C1682" s="8" t="n">
        <v>45817</v>
      </c>
      <c r="D1682" t="inlineStr">
        <is>
          <t>ORD00105191</t>
        </is>
      </c>
      <c r="E1682" t="n">
        <v>4224.25</v>
      </c>
      <c r="F1682" t="n">
        <v>2.54</v>
      </c>
      <c r="G1682" t="n">
        <v>107.3</v>
      </c>
      <c r="H1682" t="inlineStr">
        <is>
          <t>UPI</t>
        </is>
      </c>
      <c r="I1682" t="inlineStr">
        <is>
          <t>Success</t>
        </is>
      </c>
      <c r="J1682" t="inlineStr">
        <is>
          <t>Delivered</t>
        </is>
      </c>
      <c r="K1682" t="n">
        <v>0</v>
      </c>
      <c r="L1682" t="n">
        <v>407.72</v>
      </c>
      <c r="M1682" t="inlineStr">
        <is>
          <t>INR</t>
        </is>
      </c>
      <c r="N1682" t="inlineStr">
        <is>
          <t>2025-06-09 15:29:42</t>
        </is>
      </c>
    </row>
    <row r="1683">
      <c r="A1683" t="inlineStr">
        <is>
          <t>TXN00126131</t>
        </is>
      </c>
      <c r="B1683" t="inlineStr">
        <is>
          <t>MER00658</t>
        </is>
      </c>
      <c r="C1683" s="8" t="n">
        <v>45880</v>
      </c>
      <c r="D1683" t="inlineStr">
        <is>
          <t>ORD00126131</t>
        </is>
      </c>
      <c r="E1683" t="n">
        <v>4059.38</v>
      </c>
      <c r="F1683" t="n">
        <v>2.54</v>
      </c>
      <c r="G1683" t="n">
        <v>103.11</v>
      </c>
      <c r="H1683" t="inlineStr">
        <is>
          <t>Card</t>
        </is>
      </c>
      <c r="I1683" t="inlineStr">
        <is>
          <t>Success</t>
        </is>
      </c>
      <c r="J1683" t="inlineStr">
        <is>
          <t>Delivered</t>
        </is>
      </c>
      <c r="K1683" t="n">
        <v>0</v>
      </c>
      <c r="L1683" t="n">
        <v>0</v>
      </c>
      <c r="M1683" t="inlineStr">
        <is>
          <t>INR</t>
        </is>
      </c>
      <c r="N1683" t="inlineStr">
        <is>
          <t>2025-08-11 06:08:31</t>
        </is>
      </c>
    </row>
    <row r="1684">
      <c r="A1684" t="inlineStr">
        <is>
          <t>TXN00126663</t>
        </is>
      </c>
      <c r="B1684" t="inlineStr">
        <is>
          <t>MER00658</t>
        </is>
      </c>
      <c r="C1684" s="8" t="n">
        <v>45881</v>
      </c>
      <c r="D1684" t="inlineStr">
        <is>
          <t>ORD00126663</t>
        </is>
      </c>
      <c r="E1684" t="n">
        <v>4890.57</v>
      </c>
      <c r="F1684" t="n">
        <v>2.54</v>
      </c>
      <c r="G1684" t="n">
        <v>124.22</v>
      </c>
      <c r="H1684" t="inlineStr">
        <is>
          <t>Card</t>
        </is>
      </c>
      <c r="I1684" t="inlineStr">
        <is>
          <t>Success</t>
        </is>
      </c>
      <c r="J1684" t="inlineStr">
        <is>
          <t>Delivered</t>
        </is>
      </c>
      <c r="K1684" t="n">
        <v>0</v>
      </c>
      <c r="L1684" t="n">
        <v>0</v>
      </c>
      <c r="M1684" t="inlineStr">
        <is>
          <t>INR</t>
        </is>
      </c>
      <c r="N1684" t="inlineStr">
        <is>
          <t>2025-08-12 22:17:51</t>
        </is>
      </c>
    </row>
    <row r="1685">
      <c r="A1685" t="inlineStr">
        <is>
          <t>TXN00159419</t>
        </is>
      </c>
      <c r="B1685" t="inlineStr">
        <is>
          <t>MER00658</t>
        </is>
      </c>
      <c r="C1685" s="8" t="n">
        <v>45964</v>
      </c>
      <c r="D1685" t="inlineStr">
        <is>
          <t>ORD00159419</t>
        </is>
      </c>
      <c r="E1685" t="n">
        <v>910.46</v>
      </c>
      <c r="F1685" t="n">
        <v>2.82</v>
      </c>
      <c r="G1685" t="n">
        <v>25.67</v>
      </c>
      <c r="H1685" t="inlineStr">
        <is>
          <t>UPI</t>
        </is>
      </c>
      <c r="I1685" t="inlineStr">
        <is>
          <t>Failed</t>
        </is>
      </c>
      <c r="J1685" t="inlineStr">
        <is>
          <t>Cancelled</t>
        </is>
      </c>
      <c r="K1685" t="n">
        <v>0</v>
      </c>
      <c r="L1685" t="n">
        <v>0</v>
      </c>
      <c r="M1685" t="inlineStr">
        <is>
          <t>INR</t>
        </is>
      </c>
      <c r="N1685" t="inlineStr">
        <is>
          <t>2025-11-03 15:24:50</t>
        </is>
      </c>
    </row>
    <row r="1686">
      <c r="A1686" t="inlineStr">
        <is>
          <t>TXN00161936</t>
        </is>
      </c>
      <c r="B1686" t="inlineStr">
        <is>
          <t>MER00658</t>
        </is>
      </c>
      <c r="C1686" s="8" t="n">
        <v>45968</v>
      </c>
      <c r="D1686" t="inlineStr">
        <is>
          <t>ORD00161936</t>
        </is>
      </c>
      <c r="E1686" t="n">
        <v>3183.61</v>
      </c>
      <c r="F1686" t="n">
        <v>2.82</v>
      </c>
      <c r="G1686" t="n">
        <v>89.78</v>
      </c>
      <c r="H1686" t="inlineStr">
        <is>
          <t>UPI</t>
        </is>
      </c>
      <c r="I1686" t="inlineStr">
        <is>
          <t>Success</t>
        </is>
      </c>
      <c r="J1686" t="inlineStr">
        <is>
          <t>Cancelled</t>
        </is>
      </c>
      <c r="K1686" t="n">
        <v>2828.41</v>
      </c>
      <c r="L1686" t="n">
        <v>376.52</v>
      </c>
      <c r="M1686" t="inlineStr">
        <is>
          <t>INR</t>
        </is>
      </c>
      <c r="N1686" t="inlineStr">
        <is>
          <t>2025-11-07 02:06:19</t>
        </is>
      </c>
    </row>
    <row r="1687">
      <c r="A1687" t="inlineStr">
        <is>
          <t>TXN00162821</t>
        </is>
      </c>
      <c r="B1687" t="inlineStr">
        <is>
          <t>MER00658</t>
        </is>
      </c>
      <c r="C1687" s="8" t="n">
        <v>45970</v>
      </c>
      <c r="D1687" t="inlineStr">
        <is>
          <t>ORD00162821</t>
        </is>
      </c>
      <c r="E1687" t="n">
        <v>3056.62</v>
      </c>
      <c r="F1687" t="n">
        <v>2.82</v>
      </c>
      <c r="G1687" t="n">
        <v>86.2</v>
      </c>
      <c r="H1687" t="inlineStr">
        <is>
          <t>UPI</t>
        </is>
      </c>
      <c r="I1687" t="inlineStr">
        <is>
          <t>Success</t>
        </is>
      </c>
      <c r="J1687" t="inlineStr">
        <is>
          <t>Delivered</t>
        </is>
      </c>
      <c r="K1687" t="n">
        <v>0</v>
      </c>
      <c r="L1687" t="n">
        <v>0</v>
      </c>
      <c r="M1687" t="inlineStr">
        <is>
          <t>INR</t>
        </is>
      </c>
      <c r="N1687" t="inlineStr">
        <is>
          <t>2025-11-09 02:54:52</t>
        </is>
      </c>
    </row>
    <row r="1688">
      <c r="A1688" t="inlineStr">
        <is>
          <t>TXN00166056</t>
        </is>
      </c>
      <c r="B1688" t="inlineStr">
        <is>
          <t>MER00658</t>
        </is>
      </c>
      <c r="C1688" s="8" t="n">
        <v>45976</v>
      </c>
      <c r="D1688" t="inlineStr">
        <is>
          <t>ORD00166056</t>
        </is>
      </c>
      <c r="E1688" t="n">
        <v>1399.85</v>
      </c>
      <c r="F1688" t="n">
        <v>2.82</v>
      </c>
      <c r="G1688" t="n">
        <v>39.48</v>
      </c>
      <c r="H1688" t="inlineStr">
        <is>
          <t>UPI</t>
        </is>
      </c>
      <c r="I1688" t="inlineStr">
        <is>
          <t>Success</t>
        </is>
      </c>
      <c r="J1688" t="inlineStr">
        <is>
          <t>Returned</t>
        </is>
      </c>
      <c r="K1688" t="n">
        <v>1399.85</v>
      </c>
      <c r="L1688" t="n">
        <v>174.08</v>
      </c>
      <c r="M1688" t="inlineStr">
        <is>
          <t>INR</t>
        </is>
      </c>
      <c r="N1688" t="inlineStr">
        <is>
          <t>2025-11-15 02:36:41</t>
        </is>
      </c>
    </row>
    <row r="1689">
      <c r="A1689" t="inlineStr">
        <is>
          <t>TXN00173218</t>
        </is>
      </c>
      <c r="B1689" t="inlineStr">
        <is>
          <t>MER00658</t>
        </is>
      </c>
      <c r="C1689" s="8" t="n">
        <v>45989</v>
      </c>
      <c r="D1689" t="inlineStr">
        <is>
          <t>ORD00173218</t>
        </is>
      </c>
      <c r="E1689" t="n">
        <v>6647.28</v>
      </c>
      <c r="F1689" t="n">
        <v>2.82</v>
      </c>
      <c r="G1689" t="n">
        <v>187.45</v>
      </c>
      <c r="H1689" t="inlineStr">
        <is>
          <t>UPI</t>
        </is>
      </c>
      <c r="I1689" t="inlineStr">
        <is>
          <t>Success</t>
        </is>
      </c>
      <c r="J1689" t="inlineStr">
        <is>
          <t>Cancelled</t>
        </is>
      </c>
      <c r="K1689" t="n">
        <v>6572.36</v>
      </c>
      <c r="L1689" t="n">
        <v>0</v>
      </c>
      <c r="M1689" t="inlineStr">
        <is>
          <t>INR</t>
        </is>
      </c>
      <c r="N1689" t="inlineStr">
        <is>
          <t>2025-11-28 10:14:21</t>
        </is>
      </c>
    </row>
    <row r="1690">
      <c r="A1690" t="inlineStr">
        <is>
          <t>TXN00175149</t>
        </is>
      </c>
      <c r="B1690" t="inlineStr">
        <is>
          <t>MER00658</t>
        </is>
      </c>
      <c r="C1690" s="8" t="n">
        <v>45993</v>
      </c>
      <c r="D1690" t="inlineStr">
        <is>
          <t>ORD00175149</t>
        </is>
      </c>
      <c r="E1690" t="n">
        <v>2417.12</v>
      </c>
      <c r="F1690" t="n">
        <v>2.82</v>
      </c>
      <c r="G1690" t="n">
        <v>68.16</v>
      </c>
      <c r="H1690" t="inlineStr">
        <is>
          <t>NetBanking</t>
        </is>
      </c>
      <c r="I1690" t="inlineStr">
        <is>
          <t>Success</t>
        </is>
      </c>
      <c r="J1690" t="inlineStr">
        <is>
          <t>Delivered</t>
        </is>
      </c>
      <c r="K1690" t="n">
        <v>0</v>
      </c>
      <c r="L1690" t="n">
        <v>0</v>
      </c>
      <c r="M1690" t="inlineStr">
        <is>
          <t>INR</t>
        </is>
      </c>
      <c r="N1690" t="inlineStr">
        <is>
          <t>2025-12-02 16:01:31</t>
        </is>
      </c>
    </row>
    <row r="1691">
      <c r="A1691" t="inlineStr">
        <is>
          <t>TXN00190452</t>
        </is>
      </c>
      <c r="B1691" t="inlineStr">
        <is>
          <t>MER00658</t>
        </is>
      </c>
      <c r="C1691" s="8" t="n">
        <v>46032</v>
      </c>
      <c r="D1691" t="inlineStr">
        <is>
          <t>ORD00190452</t>
        </is>
      </c>
      <c r="E1691" t="n">
        <v>1929.33</v>
      </c>
      <c r="F1691" t="n">
        <v>2.82</v>
      </c>
      <c r="G1691" t="n">
        <v>54.41</v>
      </c>
      <c r="H1691" t="inlineStr">
        <is>
          <t>UPI</t>
        </is>
      </c>
      <c r="I1691" t="inlineStr">
        <is>
          <t>Success</t>
        </is>
      </c>
      <c r="J1691" t="inlineStr">
        <is>
          <t>Returned</t>
        </is>
      </c>
      <c r="K1691" t="n">
        <v>1365.69</v>
      </c>
      <c r="L1691" t="n">
        <v>0</v>
      </c>
      <c r="M1691" t="inlineStr">
        <is>
          <t>INR</t>
        </is>
      </c>
      <c r="N1691" t="inlineStr">
        <is>
          <t>2026-01-10 21:55:44</t>
        </is>
      </c>
    </row>
    <row r="1692">
      <c r="A1692" t="inlineStr">
        <is>
          <t>TXN00221804</t>
        </is>
      </c>
      <c r="B1692" t="inlineStr">
        <is>
          <t>MER00658</t>
        </is>
      </c>
      <c r="C1692" s="8" t="n">
        <v>46109</v>
      </c>
      <c r="D1692" t="inlineStr">
        <is>
          <t>ORD00221804</t>
        </is>
      </c>
      <c r="E1692" t="n">
        <v>4090.87</v>
      </c>
      <c r="F1692" t="n">
        <v>2.82</v>
      </c>
      <c r="G1692" t="n">
        <v>115.36</v>
      </c>
      <c r="H1692" t="inlineStr">
        <is>
          <t>Card</t>
        </is>
      </c>
      <c r="I1692" t="inlineStr">
        <is>
          <t>Success</t>
        </is>
      </c>
      <c r="J1692" t="inlineStr">
        <is>
          <t>Returned</t>
        </is>
      </c>
      <c r="K1692" t="n">
        <v>4090.87</v>
      </c>
      <c r="L1692" t="n">
        <v>0</v>
      </c>
      <c r="M1692" t="inlineStr">
        <is>
          <t>INR</t>
        </is>
      </c>
      <c r="N1692" t="inlineStr">
        <is>
          <t>2026-03-28 10:20:50</t>
        </is>
      </c>
    </row>
    <row r="1693">
      <c r="A1693" t="inlineStr">
        <is>
          <t>TXN00234404</t>
        </is>
      </c>
      <c r="B1693" t="inlineStr">
        <is>
          <t>MER00658</t>
        </is>
      </c>
      <c r="C1693" s="8" t="n">
        <v>46142</v>
      </c>
      <c r="D1693" t="inlineStr">
        <is>
          <t>ORD00234404</t>
        </is>
      </c>
      <c r="E1693" t="n">
        <v>1787.68</v>
      </c>
      <c r="F1693" t="n">
        <v>2.82</v>
      </c>
      <c r="G1693" t="n">
        <v>50.41</v>
      </c>
      <c r="H1693" t="inlineStr">
        <is>
          <t>UPI</t>
        </is>
      </c>
      <c r="I1693" t="inlineStr">
        <is>
          <t>Success</t>
        </is>
      </c>
      <c r="J1693" t="inlineStr">
        <is>
          <t>Delivered</t>
        </is>
      </c>
      <c r="K1693" t="n">
        <v>0</v>
      </c>
      <c r="L1693" t="n">
        <v>0</v>
      </c>
      <c r="M1693" t="inlineStr">
        <is>
          <t>INR</t>
        </is>
      </c>
      <c r="N1693" t="inlineStr">
        <is>
          <t>2026-04-30 20:20:03</t>
        </is>
      </c>
    </row>
    <row r="1694">
      <c r="A1694" t="inlineStr">
        <is>
          <t>TXN00239147</t>
        </is>
      </c>
      <c r="B1694" t="inlineStr">
        <is>
          <t>MER00658</t>
        </is>
      </c>
      <c r="C1694" s="8" t="n">
        <v>46154</v>
      </c>
      <c r="D1694" t="inlineStr">
        <is>
          <t>ORD00239147</t>
        </is>
      </c>
      <c r="E1694" t="n">
        <v>1895.77</v>
      </c>
      <c r="F1694" t="n">
        <v>2.82</v>
      </c>
      <c r="G1694" t="n">
        <v>53.46</v>
      </c>
      <c r="H1694" t="inlineStr">
        <is>
          <t>UPI</t>
        </is>
      </c>
      <c r="I1694" t="inlineStr">
        <is>
          <t>Success</t>
        </is>
      </c>
      <c r="J1694" t="inlineStr">
        <is>
          <t>Delivered</t>
        </is>
      </c>
      <c r="K1694" t="n">
        <v>0</v>
      </c>
      <c r="L1694" t="n">
        <v>287.04</v>
      </c>
      <c r="M1694" t="inlineStr">
        <is>
          <t>INR</t>
        </is>
      </c>
      <c r="N1694" t="inlineStr">
        <is>
          <t>2026-05-12 01:12:33</t>
        </is>
      </c>
    </row>
    <row r="1695">
      <c r="A1695" t="inlineStr">
        <is>
          <t>TXN00245261</t>
        </is>
      </c>
      <c r="B1695" t="inlineStr">
        <is>
          <t>MER00658</t>
        </is>
      </c>
      <c r="C1695" s="8" t="n">
        <v>46171</v>
      </c>
      <c r="D1695" t="inlineStr">
        <is>
          <t>ORD00245261</t>
        </is>
      </c>
      <c r="E1695" t="n">
        <v>1748.68</v>
      </c>
      <c r="F1695" t="n">
        <v>2.82</v>
      </c>
      <c r="G1695" t="n">
        <v>49.31</v>
      </c>
      <c r="H1695" t="inlineStr">
        <is>
          <t>Card</t>
        </is>
      </c>
      <c r="I1695" t="inlineStr">
        <is>
          <t>Success</t>
        </is>
      </c>
      <c r="J1695" t="inlineStr">
        <is>
          <t>Delivered</t>
        </is>
      </c>
      <c r="K1695" t="n">
        <v>0</v>
      </c>
      <c r="L1695" t="n">
        <v>0</v>
      </c>
      <c r="M1695" t="inlineStr">
        <is>
          <t>INR</t>
        </is>
      </c>
      <c r="N1695" t="inlineStr">
        <is>
          <t>2026-05-29 11:56:49</t>
        </is>
      </c>
    </row>
    <row r="1696">
      <c r="A1696" t="inlineStr">
        <is>
          <t>TXN00264467</t>
        </is>
      </c>
      <c r="B1696" t="inlineStr">
        <is>
          <t>MER00658</t>
        </is>
      </c>
      <c r="C1696" s="8" t="n">
        <v>46219</v>
      </c>
      <c r="D1696" t="inlineStr">
        <is>
          <t>ORD00264467</t>
        </is>
      </c>
      <c r="E1696" t="n">
        <v>3779.92</v>
      </c>
      <c r="F1696" t="n">
        <v>2.82</v>
      </c>
      <c r="G1696" t="n">
        <v>106.59</v>
      </c>
      <c r="H1696" t="inlineStr">
        <is>
          <t>UPI</t>
        </is>
      </c>
      <c r="I1696" t="inlineStr">
        <is>
          <t>Success</t>
        </is>
      </c>
      <c r="J1696" t="inlineStr">
        <is>
          <t>Delivered</t>
        </is>
      </c>
      <c r="K1696" t="n">
        <v>0</v>
      </c>
      <c r="L1696" t="n">
        <v>0</v>
      </c>
      <c r="M1696" t="inlineStr">
        <is>
          <t>INR</t>
        </is>
      </c>
      <c r="N1696" t="inlineStr">
        <is>
          <t>2026-07-16 00:22:20</t>
        </is>
      </c>
    </row>
    <row r="1697">
      <c r="A1697" t="inlineStr">
        <is>
          <t>TXN00004928</t>
        </is>
      </c>
      <c r="B1697" t="inlineStr">
        <is>
          <t>MER00662</t>
        </is>
      </c>
      <c r="C1697" s="8" t="n">
        <v>45525</v>
      </c>
      <c r="D1697" t="inlineStr">
        <is>
          <t>ORD00004928</t>
        </is>
      </c>
      <c r="E1697" t="n">
        <v>786.85</v>
      </c>
      <c r="F1697" t="n">
        <v>1.9</v>
      </c>
      <c r="G1697" t="n">
        <v>14.95</v>
      </c>
      <c r="H1697" t="inlineStr">
        <is>
          <t>COD</t>
        </is>
      </c>
      <c r="I1697" t="inlineStr">
        <is>
          <t>Success</t>
        </is>
      </c>
      <c r="J1697" t="inlineStr">
        <is>
          <t>Delivered</t>
        </is>
      </c>
      <c r="K1697" t="n">
        <v>0</v>
      </c>
      <c r="L1697" t="n">
        <v>0</v>
      </c>
      <c r="M1697" t="inlineStr">
        <is>
          <t>INR</t>
        </is>
      </c>
      <c r="N1697" t="inlineStr">
        <is>
          <t>2024-08-21 16:44:16</t>
        </is>
      </c>
    </row>
    <row r="1698">
      <c r="A1698" t="inlineStr">
        <is>
          <t>TXN00005608</t>
        </is>
      </c>
      <c r="B1698" t="inlineStr">
        <is>
          <t>MER00662</t>
        </is>
      </c>
      <c r="C1698" s="8" t="n">
        <v>45528</v>
      </c>
      <c r="D1698" t="inlineStr">
        <is>
          <t>ORD00005608</t>
        </is>
      </c>
      <c r="E1698" t="n">
        <v>2517.44</v>
      </c>
      <c r="F1698" t="n">
        <v>1.9</v>
      </c>
      <c r="G1698" t="n">
        <v>47.83</v>
      </c>
      <c r="H1698" t="inlineStr">
        <is>
          <t>UPI</t>
        </is>
      </c>
      <c r="I1698" t="inlineStr">
        <is>
          <t>Success</t>
        </is>
      </c>
      <c r="J1698" t="inlineStr">
        <is>
          <t>Returned</t>
        </is>
      </c>
      <c r="K1698" t="n">
        <v>2517.44</v>
      </c>
      <c r="L1698" t="n">
        <v>0</v>
      </c>
      <c r="M1698" t="inlineStr">
        <is>
          <t>INR</t>
        </is>
      </c>
      <c r="N1698" t="inlineStr">
        <is>
          <t>2024-08-24 14:20:12</t>
        </is>
      </c>
    </row>
    <row r="1699">
      <c r="A1699" t="inlineStr">
        <is>
          <t>TXN00006373</t>
        </is>
      </c>
      <c r="B1699" t="inlineStr">
        <is>
          <t>MER00662</t>
        </is>
      </c>
      <c r="C1699" s="8" t="n">
        <v>45531</v>
      </c>
      <c r="D1699" t="inlineStr">
        <is>
          <t>ORD00006373</t>
        </is>
      </c>
      <c r="E1699" t="n">
        <v>1788.91</v>
      </c>
      <c r="F1699" t="n">
        <v>1.9</v>
      </c>
      <c r="G1699" t="n">
        <v>33.99</v>
      </c>
      <c r="H1699" t="inlineStr">
        <is>
          <t>UPI</t>
        </is>
      </c>
      <c r="I1699" t="inlineStr">
        <is>
          <t>Success</t>
        </is>
      </c>
      <c r="J1699" t="inlineStr">
        <is>
          <t>Delivered</t>
        </is>
      </c>
      <c r="K1699" t="n">
        <v>0</v>
      </c>
      <c r="L1699" t="n">
        <v>0</v>
      </c>
      <c r="M1699" t="inlineStr">
        <is>
          <t>INR</t>
        </is>
      </c>
      <c r="N1699" t="inlineStr">
        <is>
          <t>2024-08-27 21:41:01</t>
        </is>
      </c>
    </row>
    <row r="1700">
      <c r="A1700" t="inlineStr">
        <is>
          <t>TXN00009257</t>
        </is>
      </c>
      <c r="B1700" t="inlineStr">
        <is>
          <t>MER00662</t>
        </is>
      </c>
      <c r="C1700" s="8" t="n">
        <v>45542</v>
      </c>
      <c r="D1700" t="inlineStr">
        <is>
          <t>ORD00009257</t>
        </is>
      </c>
      <c r="E1700" t="n">
        <v>1070.97</v>
      </c>
      <c r="F1700" t="n">
        <v>1.9</v>
      </c>
      <c r="G1700" t="n">
        <v>20.35</v>
      </c>
      <c r="H1700" t="inlineStr">
        <is>
          <t>UPI</t>
        </is>
      </c>
      <c r="I1700" t="inlineStr">
        <is>
          <t>Success</t>
        </is>
      </c>
      <c r="J1700" t="inlineStr">
        <is>
          <t>Delivered</t>
        </is>
      </c>
      <c r="K1700" t="n">
        <v>0</v>
      </c>
      <c r="L1700" t="n">
        <v>0</v>
      </c>
      <c r="M1700" t="inlineStr">
        <is>
          <t>INR</t>
        </is>
      </c>
      <c r="N1700" t="inlineStr">
        <is>
          <t>2024-09-07 12:45:29</t>
        </is>
      </c>
    </row>
    <row r="1701">
      <c r="A1701" t="inlineStr">
        <is>
          <t>TXN00012656</t>
        </is>
      </c>
      <c r="B1701" t="inlineStr">
        <is>
          <t>MER00662</t>
        </is>
      </c>
      <c r="C1701" s="8" t="n">
        <v>45554</v>
      </c>
      <c r="D1701" t="inlineStr">
        <is>
          <t>ORD00012656</t>
        </is>
      </c>
      <c r="E1701" t="n">
        <v>744.7</v>
      </c>
      <c r="F1701" t="n">
        <v>1.9</v>
      </c>
      <c r="G1701" t="n">
        <v>14.15</v>
      </c>
      <c r="H1701" t="inlineStr">
        <is>
          <t>UPI</t>
        </is>
      </c>
      <c r="I1701" t="inlineStr">
        <is>
          <t>Success</t>
        </is>
      </c>
      <c r="J1701" t="inlineStr">
        <is>
          <t>Delivered</t>
        </is>
      </c>
      <c r="K1701" t="n">
        <v>0</v>
      </c>
      <c r="L1701" t="n">
        <v>0</v>
      </c>
      <c r="M1701" t="inlineStr">
        <is>
          <t>INR</t>
        </is>
      </c>
      <c r="N1701" t="inlineStr">
        <is>
          <t>2024-09-19 16:50:04</t>
        </is>
      </c>
    </row>
    <row r="1702">
      <c r="A1702" t="inlineStr">
        <is>
          <t>TXN00014099</t>
        </is>
      </c>
      <c r="B1702" t="inlineStr">
        <is>
          <t>MER00662</t>
        </is>
      </c>
      <c r="C1702" s="8" t="n">
        <v>45559</v>
      </c>
      <c r="D1702" t="inlineStr">
        <is>
          <t>ORD00014099</t>
        </is>
      </c>
      <c r="E1702" t="n">
        <v>1918.09</v>
      </c>
      <c r="F1702" t="n">
        <v>2.74</v>
      </c>
      <c r="G1702" t="n">
        <v>36.44</v>
      </c>
      <c r="H1702" t="inlineStr">
        <is>
          <t>UPI</t>
        </is>
      </c>
      <c r="I1702" t="inlineStr">
        <is>
          <t>Success</t>
        </is>
      </c>
      <c r="J1702" t="inlineStr">
        <is>
          <t>Delivered</t>
        </is>
      </c>
      <c r="K1702" t="n">
        <v>0</v>
      </c>
      <c r="L1702" t="n">
        <v>0</v>
      </c>
      <c r="M1702" t="inlineStr">
        <is>
          <t>INR</t>
        </is>
      </c>
      <c r="N1702" t="inlineStr">
        <is>
          <t>2024-09-24 03:14:31</t>
        </is>
      </c>
    </row>
    <row r="1703">
      <c r="A1703" t="inlineStr">
        <is>
          <t>TXN00016428</t>
        </is>
      </c>
      <c r="B1703" t="inlineStr">
        <is>
          <t>MER00662</t>
        </is>
      </c>
      <c r="C1703" s="8" t="n">
        <v>45566</v>
      </c>
      <c r="D1703" t="inlineStr">
        <is>
          <t>ORD00016428</t>
        </is>
      </c>
      <c r="E1703" t="n">
        <v>4006.68</v>
      </c>
      <c r="F1703" t="n">
        <v>1.9</v>
      </c>
      <c r="G1703" t="n">
        <v>76.13</v>
      </c>
      <c r="H1703" t="inlineStr">
        <is>
          <t>Card</t>
        </is>
      </c>
      <c r="I1703" t="inlineStr">
        <is>
          <t>Success</t>
        </is>
      </c>
      <c r="J1703" t="inlineStr">
        <is>
          <t>Delivered</t>
        </is>
      </c>
      <c r="K1703" t="n">
        <v>0</v>
      </c>
      <c r="L1703" t="n">
        <v>0</v>
      </c>
      <c r="M1703" t="inlineStr">
        <is>
          <t>INR</t>
        </is>
      </c>
      <c r="N1703" t="inlineStr">
        <is>
          <t>2024-10-01 03:38:32</t>
        </is>
      </c>
    </row>
    <row r="1704">
      <c r="A1704" t="inlineStr">
        <is>
          <t>TXN00019422</t>
        </is>
      </c>
      <c r="B1704" t="inlineStr">
        <is>
          <t>MER00662</t>
        </is>
      </c>
      <c r="C1704" s="8" t="n">
        <v>45574</v>
      </c>
      <c r="D1704" t="inlineStr">
        <is>
          <t>ORD00019422</t>
        </is>
      </c>
      <c r="E1704" t="n">
        <v>2266.89</v>
      </c>
      <c r="F1704" t="n">
        <v>1.9</v>
      </c>
      <c r="G1704" t="n">
        <v>43.07</v>
      </c>
      <c r="H1704" t="inlineStr">
        <is>
          <t>Card</t>
        </is>
      </c>
      <c r="I1704" t="inlineStr">
        <is>
          <t>Success</t>
        </is>
      </c>
      <c r="J1704" t="inlineStr">
        <is>
          <t>Delivered</t>
        </is>
      </c>
      <c r="K1704" t="n">
        <v>0</v>
      </c>
      <c r="L1704" t="n">
        <v>452.05</v>
      </c>
      <c r="M1704" t="inlineStr">
        <is>
          <t>INR</t>
        </is>
      </c>
      <c r="N1704" t="inlineStr">
        <is>
          <t>2024-10-09 00:04:19</t>
        </is>
      </c>
    </row>
    <row r="1705">
      <c r="A1705" t="inlineStr">
        <is>
          <t>TXN00020821</t>
        </is>
      </c>
      <c r="B1705" t="inlineStr">
        <is>
          <t>MER00662</t>
        </is>
      </c>
      <c r="C1705" s="8" t="n">
        <v>45578</v>
      </c>
      <c r="D1705" t="inlineStr">
        <is>
          <t>ORD00020821</t>
        </is>
      </c>
      <c r="E1705" t="n">
        <v>914.48</v>
      </c>
      <c r="F1705" t="n">
        <v>1.9</v>
      </c>
      <c r="G1705" t="n">
        <v>17.38</v>
      </c>
      <c r="H1705" t="inlineStr">
        <is>
          <t>Wallet</t>
        </is>
      </c>
      <c r="I1705" t="inlineStr">
        <is>
          <t>Success</t>
        </is>
      </c>
      <c r="J1705" t="inlineStr">
        <is>
          <t>Delivered</t>
        </is>
      </c>
      <c r="K1705" t="n">
        <v>0</v>
      </c>
      <c r="L1705" t="n">
        <v>0</v>
      </c>
      <c r="M1705" t="inlineStr">
        <is>
          <t>INR</t>
        </is>
      </c>
      <c r="N1705" t="inlineStr">
        <is>
          <t>2024-10-13 12:54:55</t>
        </is>
      </c>
    </row>
    <row r="1706">
      <c r="A1706" t="inlineStr">
        <is>
          <t>TXN00024258</t>
        </is>
      </c>
      <c r="B1706" t="inlineStr">
        <is>
          <t>MER00662</t>
        </is>
      </c>
      <c r="C1706" s="8" t="n">
        <v>45587</v>
      </c>
      <c r="D1706" t="inlineStr">
        <is>
          <t>ORD00024258</t>
        </is>
      </c>
      <c r="E1706" t="n">
        <v>1677.66</v>
      </c>
      <c r="F1706" t="n">
        <v>1.9</v>
      </c>
      <c r="G1706" t="n">
        <v>31.88</v>
      </c>
      <c r="H1706" t="inlineStr">
        <is>
          <t>Wallet</t>
        </is>
      </c>
      <c r="I1706" t="inlineStr">
        <is>
          <t>Success</t>
        </is>
      </c>
      <c r="J1706" t="inlineStr">
        <is>
          <t>Delivered</t>
        </is>
      </c>
      <c r="K1706" t="n">
        <v>0</v>
      </c>
      <c r="L1706" t="n">
        <v>0</v>
      </c>
      <c r="M1706" t="inlineStr">
        <is>
          <t>INR</t>
        </is>
      </c>
      <c r="N1706" t="inlineStr">
        <is>
          <t>2024-10-22 00:36:01</t>
        </is>
      </c>
    </row>
    <row r="1707">
      <c r="A1707" t="inlineStr">
        <is>
          <t>TXN00027209</t>
        </is>
      </c>
      <c r="B1707" t="inlineStr">
        <is>
          <t>MER00662</t>
        </is>
      </c>
      <c r="C1707" s="8" t="n">
        <v>45594</v>
      </c>
      <c r="D1707" t="inlineStr">
        <is>
          <t>ORD00027209</t>
        </is>
      </c>
      <c r="E1707" t="n">
        <v>3670.02</v>
      </c>
      <c r="F1707" t="n">
        <v>1.9</v>
      </c>
      <c r="G1707" t="n">
        <v>69.73</v>
      </c>
      <c r="H1707" t="inlineStr">
        <is>
          <t>Card</t>
        </is>
      </c>
      <c r="I1707" t="inlineStr">
        <is>
          <t>Success</t>
        </is>
      </c>
      <c r="J1707" t="inlineStr">
        <is>
          <t>Delivered</t>
        </is>
      </c>
      <c r="K1707" t="n">
        <v>0</v>
      </c>
      <c r="L1707" t="n">
        <v>0</v>
      </c>
      <c r="M1707" t="inlineStr">
        <is>
          <t>INR</t>
        </is>
      </c>
      <c r="N1707" t="inlineStr">
        <is>
          <t>2024-10-29 03:24:02</t>
        </is>
      </c>
    </row>
    <row r="1708">
      <c r="A1708" t="inlineStr">
        <is>
          <t>TXN00027426</t>
        </is>
      </c>
      <c r="B1708" t="inlineStr">
        <is>
          <t>MER00662</t>
        </is>
      </c>
      <c r="C1708" s="8" t="n">
        <v>45595</v>
      </c>
      <c r="D1708" t="inlineStr">
        <is>
          <t>ORD00027426</t>
        </is>
      </c>
      <c r="E1708" t="n">
        <v>1326.28</v>
      </c>
      <c r="F1708" t="n">
        <v>1.9</v>
      </c>
      <c r="G1708" t="n">
        <v>25.2</v>
      </c>
      <c r="H1708" t="inlineStr">
        <is>
          <t>UPI</t>
        </is>
      </c>
      <c r="I1708" t="inlineStr">
        <is>
          <t>Success</t>
        </is>
      </c>
      <c r="J1708" t="inlineStr">
        <is>
          <t>Returned</t>
        </is>
      </c>
      <c r="K1708" t="n">
        <v>418.15</v>
      </c>
      <c r="L1708" t="n">
        <v>0</v>
      </c>
      <c r="M1708" t="inlineStr">
        <is>
          <t>INR</t>
        </is>
      </c>
      <c r="N1708" t="inlineStr">
        <is>
          <t>2024-10-30 00:03:55</t>
        </is>
      </c>
    </row>
    <row r="1709">
      <c r="A1709" t="inlineStr">
        <is>
          <t>TXN00031045</t>
        </is>
      </c>
      <c r="B1709" t="inlineStr">
        <is>
          <t>MER00662</t>
        </is>
      </c>
      <c r="C1709" s="8" t="n">
        <v>45603</v>
      </c>
      <c r="D1709" t="inlineStr">
        <is>
          <t>ORD00031045</t>
        </is>
      </c>
      <c r="E1709" t="n">
        <v>1418.39</v>
      </c>
      <c r="F1709" t="n">
        <v>1.9</v>
      </c>
      <c r="G1709" t="n">
        <v>26.95</v>
      </c>
      <c r="H1709" t="inlineStr">
        <is>
          <t>NetBanking</t>
        </is>
      </c>
      <c r="I1709" t="inlineStr">
        <is>
          <t>Success</t>
        </is>
      </c>
      <c r="J1709" t="inlineStr">
        <is>
          <t>Delivered</t>
        </is>
      </c>
      <c r="K1709" t="n">
        <v>0</v>
      </c>
      <c r="L1709" t="n">
        <v>0</v>
      </c>
      <c r="M1709" t="inlineStr">
        <is>
          <t>INR</t>
        </is>
      </c>
      <c r="N1709" t="inlineStr">
        <is>
          <t>2024-11-07 11:45:18</t>
        </is>
      </c>
    </row>
    <row r="1710">
      <c r="A1710" t="inlineStr">
        <is>
          <t>TXN00032395</t>
        </is>
      </c>
      <c r="B1710" t="inlineStr">
        <is>
          <t>MER00662</t>
        </is>
      </c>
      <c r="C1710" s="8" t="n">
        <v>45606</v>
      </c>
      <c r="D1710" t="inlineStr">
        <is>
          <t>ORD00032395</t>
        </is>
      </c>
      <c r="E1710" t="n">
        <v>1166.22</v>
      </c>
      <c r="F1710" t="n">
        <v>1.9</v>
      </c>
      <c r="G1710" t="n">
        <v>22.16</v>
      </c>
      <c r="H1710" t="inlineStr">
        <is>
          <t>UPI</t>
        </is>
      </c>
      <c r="I1710" t="inlineStr">
        <is>
          <t>Success</t>
        </is>
      </c>
      <c r="J1710" t="inlineStr">
        <is>
          <t>Processing</t>
        </is>
      </c>
      <c r="K1710" t="n">
        <v>0</v>
      </c>
      <c r="L1710" t="n">
        <v>0</v>
      </c>
      <c r="M1710" t="inlineStr">
        <is>
          <t>INR</t>
        </is>
      </c>
      <c r="N1710" t="inlineStr">
        <is>
          <t>2024-11-10 05:01:06</t>
        </is>
      </c>
    </row>
    <row r="1711">
      <c r="A1711" t="inlineStr">
        <is>
          <t>TXN00033555</t>
        </is>
      </c>
      <c r="B1711" t="inlineStr">
        <is>
          <t>MER00662</t>
        </is>
      </c>
      <c r="C1711" s="8" t="n">
        <v>45609</v>
      </c>
      <c r="D1711" t="inlineStr">
        <is>
          <t>ORD00033555</t>
        </is>
      </c>
      <c r="E1711" t="n">
        <v>2063.87</v>
      </c>
      <c r="F1711" t="n">
        <v>1.9</v>
      </c>
      <c r="G1711" t="n">
        <v>39.21</v>
      </c>
      <c r="H1711" t="inlineStr">
        <is>
          <t>UPI</t>
        </is>
      </c>
      <c r="I1711" t="inlineStr">
        <is>
          <t>Pending</t>
        </is>
      </c>
      <c r="J1711" t="inlineStr">
        <is>
          <t>Processing</t>
        </is>
      </c>
      <c r="K1711" t="n">
        <v>0</v>
      </c>
      <c r="L1711" t="n">
        <v>0</v>
      </c>
      <c r="M1711" t="inlineStr">
        <is>
          <t>INR</t>
        </is>
      </c>
      <c r="N1711" t="inlineStr">
        <is>
          <t>2024-11-13 01:31:47</t>
        </is>
      </c>
    </row>
    <row r="1712">
      <c r="A1712" t="inlineStr">
        <is>
          <t>TXN00041870</t>
        </is>
      </c>
      <c r="B1712" t="inlineStr">
        <is>
          <t>MER00662</t>
        </is>
      </c>
      <c r="C1712" s="8" t="n">
        <v>45627</v>
      </c>
      <c r="D1712" t="inlineStr">
        <is>
          <t>ORD00041870</t>
        </is>
      </c>
      <c r="E1712" t="n">
        <v>405.14</v>
      </c>
      <c r="F1712" t="n">
        <v>1.9</v>
      </c>
      <c r="G1712" t="n">
        <v>7.7</v>
      </c>
      <c r="H1712" t="inlineStr">
        <is>
          <t>Wallet</t>
        </is>
      </c>
      <c r="I1712" t="inlineStr">
        <is>
          <t>Success</t>
        </is>
      </c>
      <c r="J1712" t="inlineStr">
        <is>
          <t>Delivered</t>
        </is>
      </c>
      <c r="K1712" t="n">
        <v>0</v>
      </c>
      <c r="L1712" t="n">
        <v>0</v>
      </c>
      <c r="M1712" t="inlineStr">
        <is>
          <t>INR</t>
        </is>
      </c>
      <c r="N1712" t="inlineStr">
        <is>
          <t>2024-12-01 01:21:16</t>
        </is>
      </c>
    </row>
    <row r="1713">
      <c r="A1713" t="inlineStr">
        <is>
          <t>TXN00042207</t>
        </is>
      </c>
      <c r="B1713" t="inlineStr">
        <is>
          <t>MER00662</t>
        </is>
      </c>
      <c r="C1713" s="8" t="n">
        <v>45628</v>
      </c>
      <c r="D1713" t="inlineStr">
        <is>
          <t>ORD00042207</t>
        </is>
      </c>
      <c r="E1713" t="n">
        <v>576.67</v>
      </c>
      <c r="F1713" t="n">
        <v>1.9</v>
      </c>
      <c r="G1713" t="n">
        <v>10.96</v>
      </c>
      <c r="H1713" t="inlineStr">
        <is>
          <t>UPI</t>
        </is>
      </c>
      <c r="I1713" t="inlineStr">
        <is>
          <t>Success</t>
        </is>
      </c>
      <c r="J1713" t="inlineStr">
        <is>
          <t>Delivered</t>
        </is>
      </c>
      <c r="K1713" t="n">
        <v>0</v>
      </c>
      <c r="L1713" t="n">
        <v>0</v>
      </c>
      <c r="M1713" t="inlineStr">
        <is>
          <t>INR</t>
        </is>
      </c>
      <c r="N1713" t="inlineStr">
        <is>
          <t>2024-12-02 00:26:11</t>
        </is>
      </c>
    </row>
    <row r="1714">
      <c r="A1714" t="inlineStr">
        <is>
          <t>TXN00045225</t>
        </is>
      </c>
      <c r="B1714" t="inlineStr">
        <is>
          <t>MER00662</t>
        </is>
      </c>
      <c r="C1714" s="8" t="n">
        <v>45638</v>
      </c>
      <c r="D1714" t="inlineStr">
        <is>
          <t>ORD00045225</t>
        </is>
      </c>
      <c r="E1714" t="n">
        <v>2150.13</v>
      </c>
      <c r="F1714" t="n">
        <v>1.9</v>
      </c>
      <c r="G1714" t="n">
        <v>40.85</v>
      </c>
      <c r="H1714" t="inlineStr">
        <is>
          <t>UPI</t>
        </is>
      </c>
      <c r="I1714" t="inlineStr">
        <is>
          <t>Failed</t>
        </is>
      </c>
      <c r="J1714" t="inlineStr">
        <is>
          <t>Processing</t>
        </is>
      </c>
      <c r="K1714" t="n">
        <v>0</v>
      </c>
      <c r="L1714" t="n">
        <v>0</v>
      </c>
      <c r="M1714" t="inlineStr">
        <is>
          <t>INR</t>
        </is>
      </c>
      <c r="N1714" t="inlineStr">
        <is>
          <t>2024-12-12 14:43:28</t>
        </is>
      </c>
    </row>
    <row r="1715">
      <c r="A1715" t="inlineStr">
        <is>
          <t>TXN00047220</t>
        </is>
      </c>
      <c r="B1715" t="inlineStr">
        <is>
          <t>MER00662</t>
        </is>
      </c>
      <c r="C1715" s="8" t="n">
        <v>45645</v>
      </c>
      <c r="D1715" t="inlineStr">
        <is>
          <t>ORD00047220</t>
        </is>
      </c>
      <c r="E1715" t="n">
        <v>1896.15</v>
      </c>
      <c r="F1715" t="n">
        <v>1.9</v>
      </c>
      <c r="G1715" t="n">
        <v>36.03</v>
      </c>
      <c r="H1715" t="inlineStr">
        <is>
          <t>UPI</t>
        </is>
      </c>
      <c r="I1715" t="inlineStr">
        <is>
          <t>Success</t>
        </is>
      </c>
      <c r="J1715" t="inlineStr">
        <is>
          <t>Delivered</t>
        </is>
      </c>
      <c r="K1715" t="n">
        <v>0</v>
      </c>
      <c r="L1715" t="n">
        <v>210.3</v>
      </c>
      <c r="M1715" t="inlineStr">
        <is>
          <t>INR</t>
        </is>
      </c>
      <c r="N1715" t="inlineStr">
        <is>
          <t>2024-12-19 23:29:03</t>
        </is>
      </c>
    </row>
    <row r="1716">
      <c r="A1716" t="inlineStr">
        <is>
          <t>TXN00048056</t>
        </is>
      </c>
      <c r="B1716" t="inlineStr">
        <is>
          <t>MER00662</t>
        </is>
      </c>
      <c r="C1716" s="8" t="n">
        <v>45647</v>
      </c>
      <c r="D1716" t="inlineStr">
        <is>
          <t>ORD00048056</t>
        </is>
      </c>
      <c r="E1716" t="n">
        <v>2689.88</v>
      </c>
      <c r="F1716" t="n">
        <v>1.9</v>
      </c>
      <c r="G1716" t="n">
        <v>51.11</v>
      </c>
      <c r="H1716" t="inlineStr">
        <is>
          <t>Card</t>
        </is>
      </c>
      <c r="I1716" t="inlineStr">
        <is>
          <t>Success</t>
        </is>
      </c>
      <c r="J1716" t="inlineStr">
        <is>
          <t>Returned</t>
        </is>
      </c>
      <c r="K1716" t="n">
        <v>2689.88</v>
      </c>
      <c r="L1716" t="n">
        <v>0</v>
      </c>
      <c r="M1716" t="inlineStr">
        <is>
          <t>INR</t>
        </is>
      </c>
      <c r="N1716" t="inlineStr">
        <is>
          <t>2024-12-21 13:51:26</t>
        </is>
      </c>
    </row>
    <row r="1717">
      <c r="A1717" t="inlineStr">
        <is>
          <t>TXN00050777</t>
        </is>
      </c>
      <c r="B1717" t="inlineStr">
        <is>
          <t>MER00662</t>
        </is>
      </c>
      <c r="C1717" s="8" t="n">
        <v>45656</v>
      </c>
      <c r="D1717" t="inlineStr">
        <is>
          <t>ORD00050777</t>
        </is>
      </c>
      <c r="E1717" t="n">
        <v>869.35</v>
      </c>
      <c r="F1717" t="n">
        <v>1.9</v>
      </c>
      <c r="G1717" t="n">
        <v>16.52</v>
      </c>
      <c r="H1717" t="inlineStr">
        <is>
          <t>UPI</t>
        </is>
      </c>
      <c r="I1717" t="inlineStr">
        <is>
          <t>Success</t>
        </is>
      </c>
      <c r="J1717" t="inlineStr">
        <is>
          <t>Delivered</t>
        </is>
      </c>
      <c r="K1717" t="n">
        <v>0</v>
      </c>
      <c r="L1717" t="n">
        <v>0</v>
      </c>
      <c r="M1717" t="inlineStr">
        <is>
          <t>INR</t>
        </is>
      </c>
      <c r="N1717" t="inlineStr">
        <is>
          <t>2024-12-30 05:48:48</t>
        </is>
      </c>
    </row>
    <row r="1718">
      <c r="A1718" t="inlineStr">
        <is>
          <t>TXN00054782</t>
        </is>
      </c>
      <c r="B1718" t="inlineStr">
        <is>
          <t>MER00662</t>
        </is>
      </c>
      <c r="C1718" s="8" t="n">
        <v>45667</v>
      </c>
      <c r="D1718" t="inlineStr">
        <is>
          <t>ORD00054782</t>
        </is>
      </c>
      <c r="E1718" t="n">
        <v>3244.2</v>
      </c>
      <c r="F1718" t="n">
        <v>1.9</v>
      </c>
      <c r="G1718" t="n">
        <v>61.64</v>
      </c>
      <c r="H1718" t="inlineStr">
        <is>
          <t>UPI</t>
        </is>
      </c>
      <c r="I1718" t="inlineStr">
        <is>
          <t>Success</t>
        </is>
      </c>
      <c r="J1718" t="inlineStr">
        <is>
          <t>Returned</t>
        </is>
      </c>
      <c r="K1718" t="n">
        <v>3244.2</v>
      </c>
      <c r="L1718" t="n">
        <v>0</v>
      </c>
      <c r="M1718" t="inlineStr">
        <is>
          <t>INR</t>
        </is>
      </c>
      <c r="N1718" t="inlineStr">
        <is>
          <t>2025-01-10 01:54:32</t>
        </is>
      </c>
    </row>
    <row r="1719">
      <c r="A1719" t="inlineStr">
        <is>
          <t>TXN00061471</t>
        </is>
      </c>
      <c r="B1719" t="inlineStr">
        <is>
          <t>MER00662</t>
        </is>
      </c>
      <c r="C1719" s="8" t="n">
        <v>45685</v>
      </c>
      <c r="D1719" t="inlineStr">
        <is>
          <t>ORD00061471</t>
        </is>
      </c>
      <c r="E1719" t="n">
        <v>5728.42</v>
      </c>
      <c r="F1719" t="n">
        <v>1.4</v>
      </c>
      <c r="G1719" t="n">
        <v>108.84</v>
      </c>
      <c r="H1719" t="inlineStr">
        <is>
          <t>NetBanking</t>
        </is>
      </c>
      <c r="I1719" t="inlineStr">
        <is>
          <t>Success</t>
        </is>
      </c>
      <c r="J1719" t="inlineStr">
        <is>
          <t>Processing</t>
        </is>
      </c>
      <c r="K1719" t="n">
        <v>0</v>
      </c>
      <c r="L1719" t="n">
        <v>0</v>
      </c>
      <c r="M1719" t="inlineStr">
        <is>
          <t>INR</t>
        </is>
      </c>
      <c r="N1719" t="inlineStr">
        <is>
          <t>2025-01-28 22:26:36</t>
        </is>
      </c>
    </row>
    <row r="1720">
      <c r="A1720" t="inlineStr">
        <is>
          <t>TXN00063206</t>
        </is>
      </c>
      <c r="B1720" t="inlineStr">
        <is>
          <t>MER00662</t>
        </is>
      </c>
      <c r="C1720" s="8" t="n">
        <v>45689</v>
      </c>
      <c r="D1720" t="inlineStr">
        <is>
          <t>ORD00063206</t>
        </is>
      </c>
      <c r="E1720" t="n">
        <v>1543.93</v>
      </c>
      <c r="F1720" t="n">
        <v>1.9</v>
      </c>
      <c r="G1720" t="n">
        <v>29.33</v>
      </c>
      <c r="H1720" t="inlineStr">
        <is>
          <t>Card</t>
        </is>
      </c>
      <c r="I1720" t="inlineStr">
        <is>
          <t>Success</t>
        </is>
      </c>
      <c r="J1720" t="inlineStr">
        <is>
          <t>Returned</t>
        </is>
      </c>
      <c r="K1720" t="n">
        <v>987.36</v>
      </c>
      <c r="L1720" t="n">
        <v>0</v>
      </c>
      <c r="M1720" t="inlineStr">
        <is>
          <t>INR</t>
        </is>
      </c>
      <c r="N1720" t="inlineStr">
        <is>
          <t>2025-02-01 11:47:28</t>
        </is>
      </c>
    </row>
    <row r="1721">
      <c r="A1721" t="inlineStr">
        <is>
          <t>TXN00066367</t>
        </is>
      </c>
      <c r="B1721" t="inlineStr">
        <is>
          <t>MER00662</t>
        </is>
      </c>
      <c r="C1721" s="8" t="n">
        <v>45699</v>
      </c>
      <c r="D1721" t="inlineStr">
        <is>
          <t>ORD00066367</t>
        </is>
      </c>
      <c r="E1721" t="n">
        <v>3526.53</v>
      </c>
      <c r="F1721" t="n">
        <v>1.9</v>
      </c>
      <c r="G1721" t="n">
        <v>67</v>
      </c>
      <c r="H1721" t="inlineStr">
        <is>
          <t>Card</t>
        </is>
      </c>
      <c r="I1721" t="inlineStr">
        <is>
          <t>Success</t>
        </is>
      </c>
      <c r="J1721" t="inlineStr">
        <is>
          <t>Delivered</t>
        </is>
      </c>
      <c r="K1721" t="n">
        <v>0</v>
      </c>
      <c r="L1721" t="n">
        <v>0</v>
      </c>
      <c r="M1721" t="inlineStr">
        <is>
          <t>INR</t>
        </is>
      </c>
      <c r="N1721" t="inlineStr">
        <is>
          <t>2025-02-11 00:10:03</t>
        </is>
      </c>
    </row>
    <row r="1722">
      <c r="A1722" t="inlineStr">
        <is>
          <t>TXN00067368</t>
        </is>
      </c>
      <c r="B1722" t="inlineStr">
        <is>
          <t>MER00662</t>
        </is>
      </c>
      <c r="C1722" s="8" t="n">
        <v>45702</v>
      </c>
      <c r="D1722" t="inlineStr">
        <is>
          <t>ORD00067368</t>
        </is>
      </c>
      <c r="E1722" t="n">
        <v>3145.88</v>
      </c>
      <c r="F1722" t="n">
        <v>1.9</v>
      </c>
      <c r="G1722" t="n">
        <v>59.77</v>
      </c>
      <c r="H1722" t="inlineStr">
        <is>
          <t>COD</t>
        </is>
      </c>
      <c r="I1722" t="inlineStr">
        <is>
          <t>Success</t>
        </is>
      </c>
      <c r="J1722" t="inlineStr">
        <is>
          <t>Delivered</t>
        </is>
      </c>
      <c r="K1722" t="n">
        <v>0</v>
      </c>
      <c r="L1722" t="n">
        <v>0</v>
      </c>
      <c r="M1722" t="inlineStr">
        <is>
          <t>INR</t>
        </is>
      </c>
      <c r="N1722" t="inlineStr">
        <is>
          <t>2025-02-14 12:22:31</t>
        </is>
      </c>
    </row>
    <row r="1723">
      <c r="A1723" t="inlineStr">
        <is>
          <t>TXN00067851</t>
        </is>
      </c>
      <c r="B1723" t="inlineStr">
        <is>
          <t>MER00662</t>
        </is>
      </c>
      <c r="C1723" s="8" t="n">
        <v>45703</v>
      </c>
      <c r="D1723" t="inlineStr">
        <is>
          <t>ORD00067851</t>
        </is>
      </c>
      <c r="E1723" t="n">
        <v>662.52</v>
      </c>
      <c r="F1723" t="n">
        <v>1.9</v>
      </c>
      <c r="G1723" t="n">
        <v>12.59</v>
      </c>
      <c r="H1723" t="inlineStr">
        <is>
          <t>Card</t>
        </is>
      </c>
      <c r="I1723" t="inlineStr">
        <is>
          <t>Success</t>
        </is>
      </c>
      <c r="J1723" t="inlineStr">
        <is>
          <t>Delivered</t>
        </is>
      </c>
      <c r="K1723" t="n">
        <v>0</v>
      </c>
      <c r="L1723" t="n">
        <v>109.01</v>
      </c>
      <c r="M1723" t="inlineStr">
        <is>
          <t>INR</t>
        </is>
      </c>
      <c r="N1723" t="inlineStr">
        <is>
          <t>2025-02-15 23:12:46</t>
        </is>
      </c>
    </row>
    <row r="1724">
      <c r="A1724" t="inlineStr">
        <is>
          <t>TXN00068688</t>
        </is>
      </c>
      <c r="B1724" t="inlineStr">
        <is>
          <t>MER00662</t>
        </is>
      </c>
      <c r="C1724" s="8" t="n">
        <v>45706</v>
      </c>
      <c r="D1724" t="inlineStr">
        <is>
          <t>ORD00068688</t>
        </is>
      </c>
      <c r="E1724" t="n">
        <v>2271.78</v>
      </c>
      <c r="F1724" t="n">
        <v>1.9</v>
      </c>
      <c r="G1724" t="n">
        <v>43.16</v>
      </c>
      <c r="H1724" t="inlineStr">
        <is>
          <t>UPI</t>
        </is>
      </c>
      <c r="I1724" t="inlineStr">
        <is>
          <t>Success</t>
        </is>
      </c>
      <c r="J1724" t="inlineStr">
        <is>
          <t>Delivered</t>
        </is>
      </c>
      <c r="K1724" t="n">
        <v>0</v>
      </c>
      <c r="L1724" t="n">
        <v>0</v>
      </c>
      <c r="M1724" t="inlineStr">
        <is>
          <t>INR</t>
        </is>
      </c>
      <c r="N1724" t="inlineStr">
        <is>
          <t>2025-02-18 11:02:52</t>
        </is>
      </c>
    </row>
    <row r="1725">
      <c r="A1725" t="inlineStr">
        <is>
          <t>TXN00075508</t>
        </is>
      </c>
      <c r="B1725" t="inlineStr">
        <is>
          <t>MER00662</t>
        </is>
      </c>
      <c r="C1725" s="8" t="n">
        <v>45726</v>
      </c>
      <c r="D1725" t="inlineStr">
        <is>
          <t>ORD00075508</t>
        </is>
      </c>
      <c r="E1725" t="n">
        <v>1279.28</v>
      </c>
      <c r="F1725" t="n">
        <v>1.9</v>
      </c>
      <c r="G1725" t="n">
        <v>24.31</v>
      </c>
      <c r="H1725" t="inlineStr">
        <is>
          <t>UPI</t>
        </is>
      </c>
      <c r="I1725" t="inlineStr">
        <is>
          <t>Success</t>
        </is>
      </c>
      <c r="J1725" t="inlineStr">
        <is>
          <t>Returned</t>
        </is>
      </c>
      <c r="K1725" t="n">
        <v>1279.28</v>
      </c>
      <c r="L1725" t="n">
        <v>124.56</v>
      </c>
      <c r="M1725" t="inlineStr">
        <is>
          <t>INR</t>
        </is>
      </c>
      <c r="N1725" t="inlineStr">
        <is>
          <t>2025-03-10 10:38:19</t>
        </is>
      </c>
    </row>
    <row r="1726">
      <c r="A1726" t="inlineStr">
        <is>
          <t>TXN00075477</t>
        </is>
      </c>
      <c r="B1726" t="inlineStr">
        <is>
          <t>MER00662</t>
        </is>
      </c>
      <c r="C1726" s="8" t="n">
        <v>45726</v>
      </c>
      <c r="D1726" t="inlineStr">
        <is>
          <t>ORD00075477</t>
        </is>
      </c>
      <c r="E1726" t="n">
        <v>1309.52</v>
      </c>
      <c r="F1726" t="n">
        <v>1.9</v>
      </c>
      <c r="G1726" t="n">
        <v>24.88</v>
      </c>
      <c r="H1726" t="inlineStr">
        <is>
          <t>NetBanking</t>
        </is>
      </c>
      <c r="I1726" t="inlineStr">
        <is>
          <t>Success</t>
        </is>
      </c>
      <c r="J1726" t="inlineStr">
        <is>
          <t>Delivered</t>
        </is>
      </c>
      <c r="K1726" t="n">
        <v>0</v>
      </c>
      <c r="L1726" t="n">
        <v>0</v>
      </c>
      <c r="M1726" t="inlineStr">
        <is>
          <t>INR</t>
        </is>
      </c>
      <c r="N1726" t="inlineStr">
        <is>
          <t>2025-03-10 00:03:00</t>
        </is>
      </c>
    </row>
    <row r="1727">
      <c r="A1727" t="inlineStr">
        <is>
          <t>TXN00079549</t>
        </is>
      </c>
      <c r="B1727" t="inlineStr">
        <is>
          <t>MER00662</t>
        </is>
      </c>
      <c r="C1727" s="8" t="n">
        <v>45739</v>
      </c>
      <c r="D1727" t="inlineStr">
        <is>
          <t>ORD00079549</t>
        </is>
      </c>
      <c r="E1727" t="n">
        <v>430.54</v>
      </c>
      <c r="F1727" t="n">
        <v>1.9</v>
      </c>
      <c r="G1727" t="n">
        <v>8.18</v>
      </c>
      <c r="H1727" t="inlineStr">
        <is>
          <t>UPI</t>
        </is>
      </c>
      <c r="I1727" t="inlineStr">
        <is>
          <t>Pending</t>
        </is>
      </c>
      <c r="J1727" t="inlineStr">
        <is>
          <t>Processing</t>
        </is>
      </c>
      <c r="K1727" t="n">
        <v>0</v>
      </c>
      <c r="L1727" t="n">
        <v>0</v>
      </c>
      <c r="M1727" t="inlineStr">
        <is>
          <t>INR</t>
        </is>
      </c>
      <c r="N1727" t="inlineStr">
        <is>
          <t>2025-03-23 08:41:44</t>
        </is>
      </c>
    </row>
    <row r="1728">
      <c r="A1728" t="inlineStr">
        <is>
          <t>TXN00082485</t>
        </is>
      </c>
      <c r="B1728" t="inlineStr">
        <is>
          <t>MER00662</t>
        </is>
      </c>
      <c r="C1728" s="8" t="n">
        <v>45748</v>
      </c>
      <c r="D1728" t="inlineStr">
        <is>
          <t>ORD00082485</t>
        </is>
      </c>
      <c r="E1728" t="n">
        <v>1976.87</v>
      </c>
      <c r="F1728" t="n">
        <v>1.9</v>
      </c>
      <c r="G1728" t="n">
        <v>37.56</v>
      </c>
      <c r="H1728" t="inlineStr">
        <is>
          <t>UPI</t>
        </is>
      </c>
      <c r="I1728" t="inlineStr">
        <is>
          <t>Failed</t>
        </is>
      </c>
      <c r="J1728" t="inlineStr">
        <is>
          <t>Cancelled</t>
        </is>
      </c>
      <c r="K1728" t="n">
        <v>0</v>
      </c>
      <c r="L1728" t="n">
        <v>339.86</v>
      </c>
      <c r="M1728" t="inlineStr">
        <is>
          <t>INR</t>
        </is>
      </c>
      <c r="N1728" t="inlineStr">
        <is>
          <t>2025-04-01 09:39:18</t>
        </is>
      </c>
    </row>
    <row r="1729">
      <c r="A1729" t="inlineStr">
        <is>
          <t>TXN00083883</t>
        </is>
      </c>
      <c r="B1729" t="inlineStr">
        <is>
          <t>MER00662</t>
        </is>
      </c>
      <c r="C1729" s="8" t="n">
        <v>45753</v>
      </c>
      <c r="D1729" t="inlineStr">
        <is>
          <t>ORD00083883</t>
        </is>
      </c>
      <c r="E1729" t="n">
        <v>3544.04</v>
      </c>
      <c r="F1729" t="n">
        <v>1.9</v>
      </c>
      <c r="G1729" t="n">
        <v>67.34</v>
      </c>
      <c r="H1729" t="inlineStr">
        <is>
          <t>UPI</t>
        </is>
      </c>
      <c r="I1729" t="inlineStr">
        <is>
          <t>Success</t>
        </is>
      </c>
      <c r="J1729" t="inlineStr">
        <is>
          <t>Delivered</t>
        </is>
      </c>
      <c r="K1729" t="n">
        <v>0</v>
      </c>
      <c r="L1729" t="n">
        <v>0</v>
      </c>
      <c r="M1729" t="inlineStr">
        <is>
          <t>INR</t>
        </is>
      </c>
      <c r="N1729" t="inlineStr">
        <is>
          <t>2025-04-06 04:11:24</t>
        </is>
      </c>
    </row>
    <row r="1730">
      <c r="A1730" t="inlineStr">
        <is>
          <t>TXN00087647</t>
        </is>
      </c>
      <c r="B1730" t="inlineStr">
        <is>
          <t>MER00662</t>
        </is>
      </c>
      <c r="C1730" s="8" t="n">
        <v>45764</v>
      </c>
      <c r="D1730" t="inlineStr">
        <is>
          <t>ORD00087647</t>
        </is>
      </c>
      <c r="E1730" t="n">
        <v>1161.1</v>
      </c>
      <c r="F1730" t="n">
        <v>1.9</v>
      </c>
      <c r="G1730" t="n">
        <v>22.06</v>
      </c>
      <c r="H1730" t="inlineStr">
        <is>
          <t>UPI</t>
        </is>
      </c>
      <c r="I1730" t="inlineStr">
        <is>
          <t>Success</t>
        </is>
      </c>
      <c r="J1730" t="inlineStr">
        <is>
          <t>Delivered</t>
        </is>
      </c>
      <c r="K1730" t="n">
        <v>0</v>
      </c>
      <c r="L1730" t="n">
        <v>0</v>
      </c>
      <c r="M1730" t="inlineStr">
        <is>
          <t>INR</t>
        </is>
      </c>
      <c r="N1730" t="inlineStr">
        <is>
          <t>2025-04-17 17:14:25</t>
        </is>
      </c>
    </row>
    <row r="1731">
      <c r="A1731" t="inlineStr">
        <is>
          <t>TXN00089773</t>
        </is>
      </c>
      <c r="B1731" t="inlineStr">
        <is>
          <t>MER00662</t>
        </is>
      </c>
      <c r="C1731" s="8" t="n">
        <v>45771</v>
      </c>
      <c r="D1731" t="inlineStr">
        <is>
          <t>ORD00089773</t>
        </is>
      </c>
      <c r="E1731" t="n">
        <v>944.91</v>
      </c>
      <c r="F1731" t="n">
        <v>1.9</v>
      </c>
      <c r="G1731" t="n">
        <v>17.95</v>
      </c>
      <c r="H1731" t="inlineStr">
        <is>
          <t>Card</t>
        </is>
      </c>
      <c r="I1731" t="inlineStr">
        <is>
          <t>Success</t>
        </is>
      </c>
      <c r="J1731" t="inlineStr">
        <is>
          <t>Delivered</t>
        </is>
      </c>
      <c r="K1731" t="n">
        <v>0</v>
      </c>
      <c r="L1731" t="n">
        <v>0</v>
      </c>
      <c r="M1731" t="inlineStr">
        <is>
          <t>INR</t>
        </is>
      </c>
      <c r="N1731" t="inlineStr">
        <is>
          <t>2025-04-24 14:19:25</t>
        </is>
      </c>
    </row>
    <row r="1732">
      <c r="A1732" t="inlineStr">
        <is>
          <t>TXN00091854</t>
        </is>
      </c>
      <c r="B1732" t="inlineStr">
        <is>
          <t>MER00662</t>
        </is>
      </c>
      <c r="C1732" s="8" t="n">
        <v>45777</v>
      </c>
      <c r="D1732" t="inlineStr">
        <is>
          <t>ORD00091854</t>
        </is>
      </c>
      <c r="E1732" t="n">
        <v>732.02</v>
      </c>
      <c r="F1732" t="n">
        <v>1.9</v>
      </c>
      <c r="G1732" t="n">
        <v>13.91</v>
      </c>
      <c r="H1732" t="inlineStr">
        <is>
          <t>UPI</t>
        </is>
      </c>
      <c r="I1732" t="inlineStr">
        <is>
          <t>Success</t>
        </is>
      </c>
      <c r="J1732" t="inlineStr">
        <is>
          <t>Delivered</t>
        </is>
      </c>
      <c r="K1732" t="n">
        <v>0</v>
      </c>
      <c r="L1732" t="n">
        <v>0</v>
      </c>
      <c r="M1732" t="inlineStr">
        <is>
          <t>INR</t>
        </is>
      </c>
      <c r="N1732" t="inlineStr">
        <is>
          <t>2025-04-30 01:09:35</t>
        </is>
      </c>
    </row>
    <row r="1733">
      <c r="A1733" t="inlineStr">
        <is>
          <t>TXN00092221</t>
        </is>
      </c>
      <c r="B1733" t="inlineStr">
        <is>
          <t>MER00662</t>
        </is>
      </c>
      <c r="C1733" s="8" t="n">
        <v>45778</v>
      </c>
      <c r="D1733" t="inlineStr">
        <is>
          <t>ORD00092221</t>
        </is>
      </c>
      <c r="E1733" t="n">
        <v>865.01</v>
      </c>
      <c r="F1733" t="n">
        <v>1.9</v>
      </c>
      <c r="G1733" t="n">
        <v>16.44</v>
      </c>
      <c r="H1733" t="inlineStr">
        <is>
          <t>COD</t>
        </is>
      </c>
      <c r="I1733" t="inlineStr">
        <is>
          <t>Success</t>
        </is>
      </c>
      <c r="J1733" t="inlineStr">
        <is>
          <t>Returned</t>
        </is>
      </c>
      <c r="K1733" t="n">
        <v>865.01</v>
      </c>
      <c r="L1733" t="n">
        <v>0</v>
      </c>
      <c r="M1733" t="inlineStr">
        <is>
          <t>INR</t>
        </is>
      </c>
      <c r="N1733" t="inlineStr">
        <is>
          <t>2025-05-01 12:46:31</t>
        </is>
      </c>
    </row>
    <row r="1734">
      <c r="A1734" t="inlineStr">
        <is>
          <t>TXN00096327</t>
        </is>
      </c>
      <c r="B1734" t="inlineStr">
        <is>
          <t>MER00662</t>
        </is>
      </c>
      <c r="C1734" s="8" t="n">
        <v>45790</v>
      </c>
      <c r="D1734" t="inlineStr">
        <is>
          <t>ORD00096327</t>
        </is>
      </c>
      <c r="E1734" t="n">
        <v>889.05</v>
      </c>
      <c r="F1734" t="n">
        <v>1.9</v>
      </c>
      <c r="G1734" t="n">
        <v>16.89</v>
      </c>
      <c r="H1734" t="inlineStr">
        <is>
          <t>Card</t>
        </is>
      </c>
      <c r="I1734" t="inlineStr">
        <is>
          <t>Success</t>
        </is>
      </c>
      <c r="J1734" t="inlineStr">
        <is>
          <t>Delivered</t>
        </is>
      </c>
      <c r="K1734" t="n">
        <v>0</v>
      </c>
      <c r="L1734" t="n">
        <v>0</v>
      </c>
      <c r="M1734" t="inlineStr">
        <is>
          <t>INR</t>
        </is>
      </c>
      <c r="N1734" t="inlineStr">
        <is>
          <t>2025-05-13 06:34:57</t>
        </is>
      </c>
    </row>
    <row r="1735">
      <c r="A1735" t="inlineStr">
        <is>
          <t>TXN00099622</t>
        </is>
      </c>
      <c r="B1735" t="inlineStr">
        <is>
          <t>MER00662</t>
        </is>
      </c>
      <c r="C1735" s="8" t="n">
        <v>45801</v>
      </c>
      <c r="D1735" t="inlineStr">
        <is>
          <t>ORD00099622</t>
        </is>
      </c>
      <c r="E1735" t="n">
        <v>1192.58</v>
      </c>
      <c r="F1735" t="n">
        <v>1.9</v>
      </c>
      <c r="G1735" t="n">
        <v>22.66</v>
      </c>
      <c r="H1735" t="inlineStr">
        <is>
          <t>UPI</t>
        </is>
      </c>
      <c r="I1735" t="inlineStr">
        <is>
          <t>Pending</t>
        </is>
      </c>
      <c r="J1735" t="inlineStr">
        <is>
          <t>Processing</t>
        </is>
      </c>
      <c r="K1735" t="n">
        <v>0</v>
      </c>
      <c r="L1735" t="n">
        <v>0</v>
      </c>
      <c r="M1735" t="inlineStr">
        <is>
          <t>INR</t>
        </is>
      </c>
      <c r="N1735" t="inlineStr">
        <is>
          <t>2025-05-24 22:10:04</t>
        </is>
      </c>
    </row>
    <row r="1736">
      <c r="A1736" t="inlineStr">
        <is>
          <t>TXN00103101</t>
        </is>
      </c>
      <c r="B1736" t="inlineStr">
        <is>
          <t>MER00662</t>
        </is>
      </c>
      <c r="C1736" s="8" t="n">
        <v>45811</v>
      </c>
      <c r="D1736" t="inlineStr">
        <is>
          <t>ORD00103101</t>
        </is>
      </c>
      <c r="E1736" t="n">
        <v>727.37</v>
      </c>
      <c r="F1736" t="n">
        <v>1.03</v>
      </c>
      <c r="G1736" t="n">
        <v>13.82</v>
      </c>
      <c r="H1736" t="inlineStr">
        <is>
          <t>Card</t>
        </is>
      </c>
      <c r="I1736" t="inlineStr">
        <is>
          <t>Success</t>
        </is>
      </c>
      <c r="J1736" t="inlineStr">
        <is>
          <t>Processing</t>
        </is>
      </c>
      <c r="K1736" t="n">
        <v>0</v>
      </c>
      <c r="L1736" t="n">
        <v>0</v>
      </c>
      <c r="M1736" t="inlineStr">
        <is>
          <t>INR</t>
        </is>
      </c>
      <c r="N1736" t="inlineStr">
        <is>
          <t>2025-06-03 21:37:33</t>
        </is>
      </c>
    </row>
    <row r="1737">
      <c r="A1737" t="inlineStr">
        <is>
          <t>TXN00104332</t>
        </is>
      </c>
      <c r="B1737" t="inlineStr">
        <is>
          <t>MER00662</t>
        </is>
      </c>
      <c r="C1737" s="8" t="n">
        <v>45815</v>
      </c>
      <c r="D1737" t="inlineStr">
        <is>
          <t>ORD00104332</t>
        </is>
      </c>
      <c r="E1737" t="n">
        <v>1509.39</v>
      </c>
      <c r="F1737" t="n">
        <v>1.9</v>
      </c>
      <c r="G1737" t="n">
        <v>28.68</v>
      </c>
      <c r="H1737" t="inlineStr">
        <is>
          <t>Card</t>
        </is>
      </c>
      <c r="I1737" t="inlineStr">
        <is>
          <t>Success</t>
        </is>
      </c>
      <c r="J1737" t="inlineStr">
        <is>
          <t>Delivered</t>
        </is>
      </c>
      <c r="K1737" t="n">
        <v>0</v>
      </c>
      <c r="L1737" t="n">
        <v>0</v>
      </c>
      <c r="M1737" t="inlineStr">
        <is>
          <t>INR</t>
        </is>
      </c>
      <c r="N1737" t="inlineStr">
        <is>
          <t>2025-06-07 04:25:23</t>
        </is>
      </c>
    </row>
    <row r="1738">
      <c r="A1738" t="inlineStr">
        <is>
          <t>TXN00111321</t>
        </is>
      </c>
      <c r="B1738" t="inlineStr">
        <is>
          <t>MER00662</t>
        </is>
      </c>
      <c r="C1738" s="8" t="n">
        <v>45835</v>
      </c>
      <c r="D1738" t="inlineStr">
        <is>
          <t>ORD00111321</t>
        </is>
      </c>
      <c r="E1738" t="n">
        <v>718.58</v>
      </c>
      <c r="F1738" t="n">
        <v>1.9</v>
      </c>
      <c r="G1738" t="n">
        <v>13.65</v>
      </c>
      <c r="H1738" t="inlineStr">
        <is>
          <t>COD</t>
        </is>
      </c>
      <c r="I1738" t="inlineStr">
        <is>
          <t>Success</t>
        </is>
      </c>
      <c r="J1738" t="inlineStr">
        <is>
          <t>Delivered</t>
        </is>
      </c>
      <c r="K1738" t="n">
        <v>0</v>
      </c>
      <c r="L1738" t="n">
        <v>0</v>
      </c>
      <c r="M1738" t="inlineStr">
        <is>
          <t>INR</t>
        </is>
      </c>
      <c r="N1738" t="inlineStr">
        <is>
          <t>2025-06-27 16:28:56</t>
        </is>
      </c>
    </row>
    <row r="1739">
      <c r="A1739" t="inlineStr">
        <is>
          <t>TXN00113513</t>
        </is>
      </c>
      <c r="B1739" t="inlineStr">
        <is>
          <t>MER00662</t>
        </is>
      </c>
      <c r="C1739" s="8" t="n">
        <v>45842</v>
      </c>
      <c r="D1739" t="inlineStr">
        <is>
          <t>ORD00113513</t>
        </is>
      </c>
      <c r="E1739" t="n">
        <v>1745.81</v>
      </c>
      <c r="F1739" t="n">
        <v>1.9</v>
      </c>
      <c r="G1739" t="n">
        <v>33.17</v>
      </c>
      <c r="H1739" t="inlineStr">
        <is>
          <t>Wallet</t>
        </is>
      </c>
      <c r="I1739" t="inlineStr">
        <is>
          <t>Failed</t>
        </is>
      </c>
      <c r="J1739" t="inlineStr">
        <is>
          <t>Processing</t>
        </is>
      </c>
      <c r="K1739" t="n">
        <v>0</v>
      </c>
      <c r="L1739" t="n">
        <v>0</v>
      </c>
      <c r="M1739" t="inlineStr">
        <is>
          <t>INR</t>
        </is>
      </c>
      <c r="N1739" t="inlineStr">
        <is>
          <t>2025-07-04 19:56:43</t>
        </is>
      </c>
    </row>
    <row r="1740">
      <c r="A1740" t="inlineStr">
        <is>
          <t>TXN00113506</t>
        </is>
      </c>
      <c r="B1740" t="inlineStr">
        <is>
          <t>MER00662</t>
        </is>
      </c>
      <c r="C1740" s="8" t="n">
        <v>45842</v>
      </c>
      <c r="D1740" t="inlineStr">
        <is>
          <t>ORD00113506</t>
        </is>
      </c>
      <c r="E1740" t="n">
        <v>1023.08</v>
      </c>
      <c r="F1740" t="n">
        <v>1.9</v>
      </c>
      <c r="G1740" t="n">
        <v>19.44</v>
      </c>
      <c r="H1740" t="inlineStr">
        <is>
          <t>Card</t>
        </is>
      </c>
      <c r="I1740" t="inlineStr">
        <is>
          <t>Success</t>
        </is>
      </c>
      <c r="J1740" t="inlineStr">
        <is>
          <t>Delivered</t>
        </is>
      </c>
      <c r="K1740" t="n">
        <v>0</v>
      </c>
      <c r="L1740" t="n">
        <v>0</v>
      </c>
      <c r="M1740" t="inlineStr">
        <is>
          <t>INR</t>
        </is>
      </c>
      <c r="N1740" t="inlineStr">
        <is>
          <t>2025-07-04 00:38:45</t>
        </is>
      </c>
    </row>
    <row r="1741">
      <c r="A1741" t="inlineStr">
        <is>
          <t>TXN00114214</t>
        </is>
      </c>
      <c r="B1741" t="inlineStr">
        <is>
          <t>MER00662</t>
        </is>
      </c>
      <c r="C1741" s="8" t="n">
        <v>45844</v>
      </c>
      <c r="D1741" t="inlineStr">
        <is>
          <t>ORD00114214</t>
        </is>
      </c>
      <c r="E1741" t="n">
        <v>2994.78</v>
      </c>
      <c r="F1741" t="n">
        <v>1.9</v>
      </c>
      <c r="G1741" t="n">
        <v>56.9</v>
      </c>
      <c r="H1741" t="inlineStr">
        <is>
          <t>Card</t>
        </is>
      </c>
      <c r="I1741" t="inlineStr">
        <is>
          <t>Success</t>
        </is>
      </c>
      <c r="J1741" t="inlineStr">
        <is>
          <t>Delivered</t>
        </is>
      </c>
      <c r="K1741" t="n">
        <v>0</v>
      </c>
      <c r="L1741" t="n">
        <v>474.13</v>
      </c>
      <c r="M1741" t="inlineStr">
        <is>
          <t>INR</t>
        </is>
      </c>
      <c r="N1741" t="inlineStr">
        <is>
          <t>2025-07-06 05:28:45</t>
        </is>
      </c>
    </row>
    <row r="1742">
      <c r="A1742" t="inlineStr">
        <is>
          <t>TXN00116123</t>
        </is>
      </c>
      <c r="B1742" t="inlineStr">
        <is>
          <t>MER00662</t>
        </is>
      </c>
      <c r="C1742" s="8" t="n">
        <v>45850</v>
      </c>
      <c r="D1742" t="inlineStr">
        <is>
          <t>ORD00116123</t>
        </is>
      </c>
      <c r="E1742" t="n">
        <v>883.14</v>
      </c>
      <c r="F1742" t="n">
        <v>1.9</v>
      </c>
      <c r="G1742" t="n">
        <v>16.78</v>
      </c>
      <c r="H1742" t="inlineStr">
        <is>
          <t>UPI</t>
        </is>
      </c>
      <c r="I1742" t="inlineStr">
        <is>
          <t>Success</t>
        </is>
      </c>
      <c r="J1742" t="inlineStr">
        <is>
          <t>Delivered</t>
        </is>
      </c>
      <c r="K1742" t="n">
        <v>0</v>
      </c>
      <c r="L1742" t="n">
        <v>0</v>
      </c>
      <c r="M1742" t="inlineStr">
        <is>
          <t>INR</t>
        </is>
      </c>
      <c r="N1742" t="inlineStr">
        <is>
          <t>2025-07-12 22:11:48</t>
        </is>
      </c>
    </row>
    <row r="1743">
      <c r="A1743" t="inlineStr">
        <is>
          <t>TXN00117981</t>
        </is>
      </c>
      <c r="B1743" t="inlineStr">
        <is>
          <t>MER00662</t>
        </is>
      </c>
      <c r="C1743" s="8" t="n">
        <v>45855</v>
      </c>
      <c r="D1743" t="inlineStr">
        <is>
          <t>ORD00117981</t>
        </is>
      </c>
      <c r="E1743" t="n">
        <v>1143.66</v>
      </c>
      <c r="F1743" t="n">
        <v>1.9</v>
      </c>
      <c r="G1743" t="n">
        <v>21.73</v>
      </c>
      <c r="H1743" t="inlineStr">
        <is>
          <t>Wallet</t>
        </is>
      </c>
      <c r="I1743" t="inlineStr">
        <is>
          <t>Success</t>
        </is>
      </c>
      <c r="J1743" t="inlineStr">
        <is>
          <t>Delivered</t>
        </is>
      </c>
      <c r="K1743" t="n">
        <v>0</v>
      </c>
      <c r="L1743" t="n">
        <v>0</v>
      </c>
      <c r="M1743" t="inlineStr">
        <is>
          <t>INR</t>
        </is>
      </c>
      <c r="N1743" t="inlineStr">
        <is>
          <t>2025-07-17 02:48:58</t>
        </is>
      </c>
    </row>
    <row r="1744">
      <c r="A1744" t="inlineStr">
        <is>
          <t>TXN00118480</t>
        </is>
      </c>
      <c r="B1744" t="inlineStr">
        <is>
          <t>MER00662</t>
        </is>
      </c>
      <c r="C1744" s="8" t="n">
        <v>45857</v>
      </c>
      <c r="D1744" t="inlineStr">
        <is>
          <t>ORD00118480</t>
        </is>
      </c>
      <c r="E1744" t="n">
        <v>2181.34</v>
      </c>
      <c r="F1744" t="n">
        <v>1.9</v>
      </c>
      <c r="G1744" t="n">
        <v>41.45</v>
      </c>
      <c r="H1744" t="inlineStr">
        <is>
          <t>Card</t>
        </is>
      </c>
      <c r="I1744" t="inlineStr">
        <is>
          <t>Success</t>
        </is>
      </c>
      <c r="J1744" t="inlineStr">
        <is>
          <t>Returned</t>
        </is>
      </c>
      <c r="K1744" t="n">
        <v>2181.34</v>
      </c>
      <c r="L1744" t="n">
        <v>0</v>
      </c>
      <c r="M1744" t="inlineStr">
        <is>
          <t>INR</t>
        </is>
      </c>
      <c r="N1744" t="inlineStr">
        <is>
          <t>2025-07-19 01:43:01</t>
        </is>
      </c>
    </row>
    <row r="1745">
      <c r="A1745" t="inlineStr">
        <is>
          <t>TXN00120787</t>
        </is>
      </c>
      <c r="B1745" t="inlineStr">
        <is>
          <t>MER00662</t>
        </is>
      </c>
      <c r="C1745" s="8" t="n">
        <v>45864</v>
      </c>
      <c r="D1745" t="inlineStr">
        <is>
          <t>ORD00120787</t>
        </is>
      </c>
      <c r="E1745" t="n">
        <v>1220.03</v>
      </c>
      <c r="F1745" t="n">
        <v>1.9</v>
      </c>
      <c r="G1745" t="n">
        <v>23.18</v>
      </c>
      <c r="H1745" t="inlineStr">
        <is>
          <t>Wallet</t>
        </is>
      </c>
      <c r="I1745" t="inlineStr">
        <is>
          <t>Success</t>
        </is>
      </c>
      <c r="J1745" t="inlineStr">
        <is>
          <t>Delivered</t>
        </is>
      </c>
      <c r="K1745" t="n">
        <v>0</v>
      </c>
      <c r="L1745" t="n">
        <v>0</v>
      </c>
      <c r="M1745" t="inlineStr">
        <is>
          <t>INR</t>
        </is>
      </c>
      <c r="N1745" t="inlineStr">
        <is>
          <t>2025-07-26 23:21:25</t>
        </is>
      </c>
    </row>
    <row r="1746">
      <c r="A1746" t="inlineStr">
        <is>
          <t>TXN00121877</t>
        </is>
      </c>
      <c r="B1746" t="inlineStr">
        <is>
          <t>MER00662</t>
        </is>
      </c>
      <c r="C1746" s="8" t="n">
        <v>45867</v>
      </c>
      <c r="D1746" t="inlineStr">
        <is>
          <t>ORD00121877</t>
        </is>
      </c>
      <c r="E1746" t="n">
        <v>665.8200000000001</v>
      </c>
      <c r="F1746" t="n">
        <v>1.9</v>
      </c>
      <c r="G1746" t="n">
        <v>12.65</v>
      </c>
      <c r="H1746" t="inlineStr">
        <is>
          <t>UPI</t>
        </is>
      </c>
      <c r="I1746" t="inlineStr">
        <is>
          <t>Success</t>
        </is>
      </c>
      <c r="J1746" t="inlineStr">
        <is>
          <t>Delivered</t>
        </is>
      </c>
      <c r="K1746" t="n">
        <v>0</v>
      </c>
      <c r="L1746" t="n">
        <v>0</v>
      </c>
      <c r="M1746" t="inlineStr">
        <is>
          <t>INR</t>
        </is>
      </c>
      <c r="N1746" t="inlineStr">
        <is>
          <t>2025-07-29 22:42:23</t>
        </is>
      </c>
    </row>
    <row r="1747">
      <c r="A1747" t="inlineStr">
        <is>
          <t>TXN00125224</t>
        </is>
      </c>
      <c r="B1747" t="inlineStr">
        <is>
          <t>MER00662</t>
        </is>
      </c>
      <c r="C1747" s="8" t="n">
        <v>45877</v>
      </c>
      <c r="D1747" t="inlineStr">
        <is>
          <t>ORD00125224</t>
        </is>
      </c>
      <c r="E1747" t="n">
        <v>706.02</v>
      </c>
      <c r="F1747" t="n">
        <v>1.9</v>
      </c>
      <c r="G1747" t="n">
        <v>13.41</v>
      </c>
      <c r="H1747" t="inlineStr">
        <is>
          <t>UPI</t>
        </is>
      </c>
      <c r="I1747" t="inlineStr">
        <is>
          <t>Success</t>
        </is>
      </c>
      <c r="J1747" t="inlineStr">
        <is>
          <t>Delivered</t>
        </is>
      </c>
      <c r="K1747" t="n">
        <v>0</v>
      </c>
      <c r="L1747" t="n">
        <v>0</v>
      </c>
      <c r="M1747" t="inlineStr">
        <is>
          <t>INR</t>
        </is>
      </c>
      <c r="N1747" t="inlineStr">
        <is>
          <t>2025-08-08 01:46:05</t>
        </is>
      </c>
    </row>
    <row r="1748">
      <c r="A1748" t="inlineStr">
        <is>
          <t>TXN00125237</t>
        </is>
      </c>
      <c r="B1748" t="inlineStr">
        <is>
          <t>MER00662</t>
        </is>
      </c>
      <c r="C1748" s="8" t="n">
        <v>45877</v>
      </c>
      <c r="D1748" t="inlineStr">
        <is>
          <t>ORD00125237</t>
        </is>
      </c>
      <c r="E1748" t="n">
        <v>850.29</v>
      </c>
      <c r="F1748" t="n">
        <v>1.9</v>
      </c>
      <c r="G1748" t="n">
        <v>16.16</v>
      </c>
      <c r="H1748" t="inlineStr">
        <is>
          <t>UPI</t>
        </is>
      </c>
      <c r="I1748" t="inlineStr">
        <is>
          <t>Success</t>
        </is>
      </c>
      <c r="J1748" t="inlineStr">
        <is>
          <t>Delivered</t>
        </is>
      </c>
      <c r="K1748" t="n">
        <v>0</v>
      </c>
      <c r="L1748" t="n">
        <v>0</v>
      </c>
      <c r="M1748" t="inlineStr">
        <is>
          <t>INR</t>
        </is>
      </c>
      <c r="N1748" t="inlineStr">
        <is>
          <t>2025-08-08 18:37:59</t>
        </is>
      </c>
    </row>
    <row r="1749">
      <c r="A1749" t="inlineStr">
        <is>
          <t>TXN00129909</t>
        </is>
      </c>
      <c r="B1749" t="inlineStr">
        <is>
          <t>MER00662</t>
        </is>
      </c>
      <c r="C1749" s="8" t="n">
        <v>45891</v>
      </c>
      <c r="D1749" t="inlineStr">
        <is>
          <t>ORD00129909</t>
        </is>
      </c>
      <c r="E1749" t="n">
        <v>2195.72</v>
      </c>
      <c r="F1749" t="n">
        <v>1.9</v>
      </c>
      <c r="G1749" t="n">
        <v>41.72</v>
      </c>
      <c r="H1749" t="inlineStr">
        <is>
          <t>UPI</t>
        </is>
      </c>
      <c r="I1749" t="inlineStr">
        <is>
          <t>Success</t>
        </is>
      </c>
      <c r="J1749" t="inlineStr">
        <is>
          <t>Delivered</t>
        </is>
      </c>
      <c r="K1749" t="n">
        <v>0</v>
      </c>
      <c r="L1749" t="n">
        <v>0</v>
      </c>
      <c r="M1749" t="inlineStr">
        <is>
          <t>INR</t>
        </is>
      </c>
      <c r="N1749" t="inlineStr">
        <is>
          <t>2025-08-22 06:14:26</t>
        </is>
      </c>
    </row>
    <row r="1750">
      <c r="A1750" t="inlineStr">
        <is>
          <t>TXN00130587</t>
        </is>
      </c>
      <c r="B1750" t="inlineStr">
        <is>
          <t>MER00662</t>
        </is>
      </c>
      <c r="C1750" s="8" t="n">
        <v>45893</v>
      </c>
      <c r="D1750" t="inlineStr">
        <is>
          <t>ORD00130587</t>
        </is>
      </c>
      <c r="E1750" t="n">
        <v>2592.59</v>
      </c>
      <c r="F1750" t="n">
        <v>1.9</v>
      </c>
      <c r="G1750" t="n">
        <v>49.26</v>
      </c>
      <c r="H1750" t="inlineStr">
        <is>
          <t>UPI</t>
        </is>
      </c>
      <c r="I1750" t="inlineStr">
        <is>
          <t>Success</t>
        </is>
      </c>
      <c r="J1750" t="inlineStr">
        <is>
          <t>Cancelled</t>
        </is>
      </c>
      <c r="K1750" t="n">
        <v>2256.52</v>
      </c>
      <c r="L1750" t="n">
        <v>0</v>
      </c>
      <c r="M1750" t="inlineStr">
        <is>
          <t>INR</t>
        </is>
      </c>
      <c r="N1750" t="inlineStr">
        <is>
          <t>2025-08-24 05:19:27</t>
        </is>
      </c>
    </row>
    <row r="1751">
      <c r="A1751" t="inlineStr">
        <is>
          <t>TXN00130796</t>
        </is>
      </c>
      <c r="B1751" t="inlineStr">
        <is>
          <t>MER00662</t>
        </is>
      </c>
      <c r="C1751" s="8" t="n">
        <v>45894</v>
      </c>
      <c r="D1751" t="inlineStr">
        <is>
          <t>ORD00130796</t>
        </is>
      </c>
      <c r="E1751" t="n">
        <v>1299.12</v>
      </c>
      <c r="F1751" t="n">
        <v>1.9</v>
      </c>
      <c r="G1751" t="n">
        <v>24.68</v>
      </c>
      <c r="H1751" t="inlineStr">
        <is>
          <t>UPI</t>
        </is>
      </c>
      <c r="I1751" t="inlineStr">
        <is>
          <t>Success</t>
        </is>
      </c>
      <c r="J1751" t="inlineStr">
        <is>
          <t>Delivered</t>
        </is>
      </c>
      <c r="K1751" t="n">
        <v>0</v>
      </c>
      <c r="L1751" t="n">
        <v>111.88</v>
      </c>
      <c r="M1751" t="inlineStr">
        <is>
          <t>INR</t>
        </is>
      </c>
      <c r="N1751" t="inlineStr">
        <is>
          <t>2025-08-25 18:41:28</t>
        </is>
      </c>
    </row>
    <row r="1752">
      <c r="A1752" t="inlineStr">
        <is>
          <t>TXN00132133</t>
        </is>
      </c>
      <c r="B1752" t="inlineStr">
        <is>
          <t>MER00662</t>
        </is>
      </c>
      <c r="C1752" s="8" t="n">
        <v>45898</v>
      </c>
      <c r="D1752" t="inlineStr">
        <is>
          <t>ORD00132133</t>
        </is>
      </c>
      <c r="E1752" t="n">
        <v>2551.31</v>
      </c>
      <c r="F1752" t="n">
        <v>1.9</v>
      </c>
      <c r="G1752" t="n">
        <v>48.47</v>
      </c>
      <c r="H1752" t="inlineStr">
        <is>
          <t>UPI</t>
        </is>
      </c>
      <c r="I1752" t="inlineStr">
        <is>
          <t>Success</t>
        </is>
      </c>
      <c r="J1752" t="inlineStr">
        <is>
          <t>Delivered</t>
        </is>
      </c>
      <c r="K1752" t="n">
        <v>0</v>
      </c>
      <c r="L1752" t="n">
        <v>0</v>
      </c>
      <c r="M1752" t="inlineStr">
        <is>
          <t>INR</t>
        </is>
      </c>
      <c r="N1752" t="inlineStr">
        <is>
          <t>2025-08-29 13:58:48</t>
        </is>
      </c>
    </row>
    <row r="1753">
      <c r="A1753" t="inlineStr">
        <is>
          <t>TXN00132821</t>
        </is>
      </c>
      <c r="B1753" t="inlineStr">
        <is>
          <t>MER00662</t>
        </is>
      </c>
      <c r="C1753" s="8" t="n">
        <v>45900</v>
      </c>
      <c r="D1753" t="inlineStr">
        <is>
          <t>ORD00132821</t>
        </is>
      </c>
      <c r="E1753" t="n">
        <v>512.64</v>
      </c>
      <c r="F1753" t="n">
        <v>1.9</v>
      </c>
      <c r="G1753" t="n">
        <v>9.74</v>
      </c>
      <c r="H1753" t="inlineStr">
        <is>
          <t>UPI</t>
        </is>
      </c>
      <c r="I1753" t="inlineStr">
        <is>
          <t>Success</t>
        </is>
      </c>
      <c r="J1753" t="inlineStr">
        <is>
          <t>Returned</t>
        </is>
      </c>
      <c r="K1753" t="n">
        <v>512.64</v>
      </c>
      <c r="L1753" t="n">
        <v>0</v>
      </c>
      <c r="M1753" t="inlineStr">
        <is>
          <t>INR</t>
        </is>
      </c>
      <c r="N1753" t="inlineStr">
        <is>
          <t>2025-08-31 01:18:23</t>
        </is>
      </c>
    </row>
    <row r="1754">
      <c r="A1754" t="inlineStr">
        <is>
          <t>TXN00135167</t>
        </is>
      </c>
      <c r="B1754" t="inlineStr">
        <is>
          <t>MER00662</t>
        </is>
      </c>
      <c r="C1754" s="8" t="n">
        <v>45907</v>
      </c>
      <c r="D1754" t="inlineStr">
        <is>
          <t>ORD00135167</t>
        </is>
      </c>
      <c r="E1754" t="n">
        <v>2296.55</v>
      </c>
      <c r="F1754" t="n">
        <v>1.9</v>
      </c>
      <c r="G1754" t="n">
        <v>43.63</v>
      </c>
      <c r="H1754" t="inlineStr">
        <is>
          <t>UPI</t>
        </is>
      </c>
      <c r="I1754" t="inlineStr">
        <is>
          <t>Success</t>
        </is>
      </c>
      <c r="J1754" t="inlineStr">
        <is>
          <t>Delivered</t>
        </is>
      </c>
      <c r="K1754" t="n">
        <v>0</v>
      </c>
      <c r="L1754" t="n">
        <v>0</v>
      </c>
      <c r="M1754" t="inlineStr">
        <is>
          <t>INR</t>
        </is>
      </c>
      <c r="N1754" t="inlineStr">
        <is>
          <t>2025-09-07 23:44:11</t>
        </is>
      </c>
    </row>
    <row r="1755">
      <c r="A1755" t="inlineStr">
        <is>
          <t>TXN00139386</t>
        </is>
      </c>
      <c r="B1755" t="inlineStr">
        <is>
          <t>MER00662</t>
        </is>
      </c>
      <c r="C1755" s="8" t="n">
        <v>45919</v>
      </c>
      <c r="D1755" t="inlineStr">
        <is>
          <t>ORD00139386</t>
        </is>
      </c>
      <c r="E1755" t="n">
        <v>3823.63</v>
      </c>
      <c r="F1755" t="n">
        <v>1.9</v>
      </c>
      <c r="G1755" t="n">
        <v>72.65000000000001</v>
      </c>
      <c r="H1755" t="inlineStr">
        <is>
          <t>COD</t>
        </is>
      </c>
      <c r="I1755" t="inlineStr">
        <is>
          <t>Success</t>
        </is>
      </c>
      <c r="J1755" t="inlineStr">
        <is>
          <t>Delivered</t>
        </is>
      </c>
      <c r="K1755" t="n">
        <v>0</v>
      </c>
      <c r="L1755" t="n">
        <v>0</v>
      </c>
      <c r="M1755" t="inlineStr">
        <is>
          <t>INR</t>
        </is>
      </c>
      <c r="N1755" t="inlineStr">
        <is>
          <t>2025-09-19 15:25:38</t>
        </is>
      </c>
    </row>
    <row r="1756">
      <c r="A1756" t="inlineStr">
        <is>
          <t>TXN00141056</t>
        </is>
      </c>
      <c r="B1756" t="inlineStr">
        <is>
          <t>MER00662</t>
        </is>
      </c>
      <c r="C1756" s="8" t="n">
        <v>45923</v>
      </c>
      <c r="D1756" t="inlineStr">
        <is>
          <t>ORD00141056</t>
        </is>
      </c>
      <c r="E1756" t="n">
        <v>1065.28</v>
      </c>
      <c r="F1756" t="n">
        <v>2.33</v>
      </c>
      <c r="G1756" t="n">
        <v>20.24</v>
      </c>
      <c r="H1756" t="inlineStr">
        <is>
          <t>UPI</t>
        </is>
      </c>
      <c r="I1756" t="inlineStr">
        <is>
          <t>Pending</t>
        </is>
      </c>
      <c r="J1756" t="inlineStr">
        <is>
          <t>Processing</t>
        </is>
      </c>
      <c r="K1756" t="n">
        <v>0</v>
      </c>
      <c r="L1756" t="n">
        <v>0</v>
      </c>
      <c r="M1756" t="inlineStr">
        <is>
          <t>INR</t>
        </is>
      </c>
      <c r="N1756" t="inlineStr">
        <is>
          <t>2025-09-23 23:52:44</t>
        </is>
      </c>
    </row>
    <row r="1757">
      <c r="A1757" t="inlineStr">
        <is>
          <t>TXN00145989</t>
        </is>
      </c>
      <c r="B1757" t="inlineStr">
        <is>
          <t>MER00662</t>
        </is>
      </c>
      <c r="C1757" s="8" t="n">
        <v>45936</v>
      </c>
      <c r="D1757" t="inlineStr">
        <is>
          <t>ORD00145989</t>
        </is>
      </c>
      <c r="E1757" t="n">
        <v>1118.73</v>
      </c>
      <c r="F1757" t="n">
        <v>1.9</v>
      </c>
      <c r="G1757" t="n">
        <v>21.26</v>
      </c>
      <c r="H1757" t="inlineStr">
        <is>
          <t>UPI</t>
        </is>
      </c>
      <c r="I1757" t="inlineStr">
        <is>
          <t>Success</t>
        </is>
      </c>
      <c r="J1757" t="inlineStr">
        <is>
          <t>Delivered</t>
        </is>
      </c>
      <c r="K1757" t="n">
        <v>0</v>
      </c>
      <c r="L1757" t="n">
        <v>0</v>
      </c>
      <c r="M1757" t="inlineStr">
        <is>
          <t>INR</t>
        </is>
      </c>
      <c r="N1757" t="inlineStr">
        <is>
          <t>2025-10-06 04:09:29</t>
        </is>
      </c>
    </row>
    <row r="1758">
      <c r="A1758" t="inlineStr">
        <is>
          <t>TXN00149165</t>
        </is>
      </c>
      <c r="B1758" t="inlineStr">
        <is>
          <t>MER00662</t>
        </is>
      </c>
      <c r="C1758" s="8" t="n">
        <v>45943</v>
      </c>
      <c r="D1758" t="inlineStr">
        <is>
          <t>ORD00149165</t>
        </is>
      </c>
      <c r="E1758" t="n">
        <v>2157.43</v>
      </c>
      <c r="F1758" t="n">
        <v>1.9</v>
      </c>
      <c r="G1758" t="n">
        <v>40.99</v>
      </c>
      <c r="H1758" t="inlineStr">
        <is>
          <t>UPI</t>
        </is>
      </c>
      <c r="I1758" t="inlineStr">
        <is>
          <t>Success</t>
        </is>
      </c>
      <c r="J1758" t="inlineStr">
        <is>
          <t>Delivered</t>
        </is>
      </c>
      <c r="K1758" t="n">
        <v>0</v>
      </c>
      <c r="L1758" t="n">
        <v>222.81</v>
      </c>
      <c r="M1758" t="inlineStr">
        <is>
          <t>INR</t>
        </is>
      </c>
      <c r="N1758" t="inlineStr">
        <is>
          <t>2025-10-13 08:46:16</t>
        </is>
      </c>
    </row>
    <row r="1759">
      <c r="A1759" t="inlineStr">
        <is>
          <t>TXN00154024</t>
        </is>
      </c>
      <c r="B1759" t="inlineStr">
        <is>
          <t>MER00662</t>
        </is>
      </c>
      <c r="C1759" s="8" t="n">
        <v>45953</v>
      </c>
      <c r="D1759" t="inlineStr">
        <is>
          <t>ORD00154024</t>
        </is>
      </c>
      <c r="E1759" t="n">
        <v>2380.1</v>
      </c>
      <c r="F1759" t="n">
        <v>1.9</v>
      </c>
      <c r="G1759" t="n">
        <v>45.22</v>
      </c>
      <c r="H1759" t="inlineStr">
        <is>
          <t>UPI</t>
        </is>
      </c>
      <c r="I1759" t="inlineStr">
        <is>
          <t>Success</t>
        </is>
      </c>
      <c r="J1759" t="inlineStr">
        <is>
          <t>Delivered</t>
        </is>
      </c>
      <c r="K1759" t="n">
        <v>0</v>
      </c>
      <c r="L1759" t="n">
        <v>0</v>
      </c>
      <c r="M1759" t="inlineStr">
        <is>
          <t>INR</t>
        </is>
      </c>
      <c r="N1759" t="inlineStr">
        <is>
          <t>2025-10-23 05:00:19</t>
        </is>
      </c>
    </row>
    <row r="1760">
      <c r="A1760" t="inlineStr">
        <is>
          <t>TXN00155616</t>
        </is>
      </c>
      <c r="B1760" t="inlineStr">
        <is>
          <t>MER00662</t>
        </is>
      </c>
      <c r="C1760" s="8" t="n">
        <v>45956</v>
      </c>
      <c r="D1760" t="inlineStr">
        <is>
          <t>ORD00155616</t>
        </is>
      </c>
      <c r="E1760" t="n">
        <v>3491.52</v>
      </c>
      <c r="F1760" t="n">
        <v>1.9</v>
      </c>
      <c r="G1760" t="n">
        <v>66.34</v>
      </c>
      <c r="H1760" t="inlineStr">
        <is>
          <t>COD</t>
        </is>
      </c>
      <c r="I1760" t="inlineStr">
        <is>
          <t>Success</t>
        </is>
      </c>
      <c r="J1760" t="inlineStr">
        <is>
          <t>Delivered</t>
        </is>
      </c>
      <c r="K1760" t="n">
        <v>0</v>
      </c>
      <c r="L1760" t="n">
        <v>0</v>
      </c>
      <c r="M1760" t="inlineStr">
        <is>
          <t>INR</t>
        </is>
      </c>
      <c r="N1760" t="inlineStr">
        <is>
          <t>2025-10-26 13:32:19</t>
        </is>
      </c>
    </row>
    <row r="1761">
      <c r="A1761" t="inlineStr">
        <is>
          <t>TXN00156461</t>
        </is>
      </c>
      <c r="B1761" t="inlineStr">
        <is>
          <t>MER00662</t>
        </is>
      </c>
      <c r="C1761" s="8" t="n">
        <v>45958</v>
      </c>
      <c r="D1761" t="inlineStr">
        <is>
          <t>ORD00156461</t>
        </is>
      </c>
      <c r="E1761" t="n">
        <v>1606.6</v>
      </c>
      <c r="F1761" t="n">
        <v>1.9</v>
      </c>
      <c r="G1761" t="n">
        <v>30.53</v>
      </c>
      <c r="H1761" t="inlineStr">
        <is>
          <t>UPI</t>
        </is>
      </c>
      <c r="I1761" t="inlineStr">
        <is>
          <t>Success</t>
        </is>
      </c>
      <c r="J1761" t="inlineStr">
        <is>
          <t>Returned</t>
        </is>
      </c>
      <c r="K1761" t="n">
        <v>491.73</v>
      </c>
      <c r="L1761" t="n">
        <v>0</v>
      </c>
      <c r="M1761" t="inlineStr">
        <is>
          <t>INR</t>
        </is>
      </c>
      <c r="N1761" t="inlineStr">
        <is>
          <t>2025-10-28 14:04:03</t>
        </is>
      </c>
    </row>
    <row r="1762">
      <c r="A1762" t="inlineStr">
        <is>
          <t>TXN00156462</t>
        </is>
      </c>
      <c r="B1762" t="inlineStr">
        <is>
          <t>MER00662</t>
        </is>
      </c>
      <c r="C1762" s="8" t="n">
        <v>45958</v>
      </c>
      <c r="D1762" t="inlineStr">
        <is>
          <t>ORD00156462</t>
        </is>
      </c>
      <c r="E1762" t="n">
        <v>1444.31</v>
      </c>
      <c r="F1762" t="n">
        <v>1.9</v>
      </c>
      <c r="G1762" t="n">
        <v>27.44</v>
      </c>
      <c r="H1762" t="inlineStr">
        <is>
          <t>Card</t>
        </is>
      </c>
      <c r="I1762" t="inlineStr">
        <is>
          <t>Success</t>
        </is>
      </c>
      <c r="J1762" t="inlineStr">
        <is>
          <t>Returned</t>
        </is>
      </c>
      <c r="K1762" t="n">
        <v>1444.31</v>
      </c>
      <c r="L1762" t="n">
        <v>0</v>
      </c>
      <c r="M1762" t="inlineStr">
        <is>
          <t>INR</t>
        </is>
      </c>
      <c r="N1762" t="inlineStr">
        <is>
          <t>2025-10-28 15:21:21</t>
        </is>
      </c>
    </row>
    <row r="1763">
      <c r="A1763" t="inlineStr">
        <is>
          <t>TXN00157870</t>
        </is>
      </c>
      <c r="B1763" t="inlineStr">
        <is>
          <t>MER00662</t>
        </is>
      </c>
      <c r="C1763" s="8" t="n">
        <v>45961</v>
      </c>
      <c r="D1763" t="inlineStr">
        <is>
          <t>ORD00157870</t>
        </is>
      </c>
      <c r="E1763" t="n">
        <v>1040.2</v>
      </c>
      <c r="F1763" t="n">
        <v>1.9</v>
      </c>
      <c r="G1763" t="n">
        <v>19.76</v>
      </c>
      <c r="H1763" t="inlineStr">
        <is>
          <t>Card</t>
        </is>
      </c>
      <c r="I1763" t="inlineStr">
        <is>
          <t>Success</t>
        </is>
      </c>
      <c r="J1763" t="inlineStr">
        <is>
          <t>Delivered</t>
        </is>
      </c>
      <c r="K1763" t="n">
        <v>0</v>
      </c>
      <c r="L1763" t="n">
        <v>0</v>
      </c>
      <c r="M1763" t="inlineStr">
        <is>
          <t>INR</t>
        </is>
      </c>
      <c r="N1763" t="inlineStr">
        <is>
          <t>2025-10-31 17:55:18</t>
        </is>
      </c>
    </row>
    <row r="1764">
      <c r="A1764" t="inlineStr">
        <is>
          <t>TXN00160648</t>
        </is>
      </c>
      <c r="B1764" t="inlineStr">
        <is>
          <t>MER00662</t>
        </is>
      </c>
      <c r="C1764" s="8" t="n">
        <v>45966</v>
      </c>
      <c r="D1764" t="inlineStr">
        <is>
          <t>ORD00160648</t>
        </is>
      </c>
      <c r="E1764" t="n">
        <v>1992.55</v>
      </c>
      <c r="F1764" t="n">
        <v>1.9</v>
      </c>
      <c r="G1764" t="n">
        <v>37.86</v>
      </c>
      <c r="H1764" t="inlineStr">
        <is>
          <t>UPI</t>
        </is>
      </c>
      <c r="I1764" t="inlineStr">
        <is>
          <t>Success</t>
        </is>
      </c>
      <c r="J1764" t="inlineStr">
        <is>
          <t>Delivered</t>
        </is>
      </c>
      <c r="K1764" t="n">
        <v>0</v>
      </c>
      <c r="L1764" t="n">
        <v>0</v>
      </c>
      <c r="M1764" t="inlineStr">
        <is>
          <t>INR</t>
        </is>
      </c>
      <c r="N1764" t="inlineStr">
        <is>
          <t>2025-11-05 07:00:28</t>
        </is>
      </c>
    </row>
    <row r="1765">
      <c r="A1765" t="inlineStr">
        <is>
          <t>TXN00161476</t>
        </is>
      </c>
      <c r="B1765" t="inlineStr">
        <is>
          <t>MER00662</t>
        </is>
      </c>
      <c r="C1765" s="8" t="n">
        <v>45968</v>
      </c>
      <c r="D1765" t="inlineStr">
        <is>
          <t>ORD00161476</t>
        </is>
      </c>
      <c r="E1765" t="n">
        <v>1445.22</v>
      </c>
      <c r="F1765" t="n">
        <v>1.9</v>
      </c>
      <c r="G1765" t="n">
        <v>27.46</v>
      </c>
      <c r="H1765" t="inlineStr">
        <is>
          <t>Card</t>
        </is>
      </c>
      <c r="I1765" t="inlineStr">
        <is>
          <t>Success</t>
        </is>
      </c>
      <c r="J1765" t="inlineStr">
        <is>
          <t>Delivered</t>
        </is>
      </c>
      <c r="K1765" t="n">
        <v>0</v>
      </c>
      <c r="L1765" t="n">
        <v>0</v>
      </c>
      <c r="M1765" t="inlineStr">
        <is>
          <t>INR</t>
        </is>
      </c>
      <c r="N1765" t="inlineStr">
        <is>
          <t>2025-11-07 11:17:09</t>
        </is>
      </c>
    </row>
    <row r="1766">
      <c r="A1766" t="inlineStr">
        <is>
          <t>TXN00166210</t>
        </is>
      </c>
      <c r="B1766" t="inlineStr">
        <is>
          <t>MER00662</t>
        </is>
      </c>
      <c r="C1766" s="8" t="n">
        <v>45976</v>
      </c>
      <c r="D1766" t="inlineStr">
        <is>
          <t>ORD00166210</t>
        </is>
      </c>
      <c r="E1766" t="n">
        <v>1013.5</v>
      </c>
      <c r="F1766" t="n">
        <v>1.9</v>
      </c>
      <c r="G1766" t="n">
        <v>19.26</v>
      </c>
      <c r="H1766" t="inlineStr">
        <is>
          <t>UPI</t>
        </is>
      </c>
      <c r="I1766" t="inlineStr">
        <is>
          <t>Success</t>
        </is>
      </c>
      <c r="J1766" t="inlineStr">
        <is>
          <t>Delivered</t>
        </is>
      </c>
      <c r="K1766" t="n">
        <v>0</v>
      </c>
      <c r="L1766" t="n">
        <v>0</v>
      </c>
      <c r="M1766" t="inlineStr">
        <is>
          <t>INR</t>
        </is>
      </c>
      <c r="N1766" t="inlineStr">
        <is>
          <t>2025-11-15 15:13:11</t>
        </is>
      </c>
    </row>
    <row r="1767">
      <c r="A1767" t="inlineStr">
        <is>
          <t>TXN00166855</t>
        </is>
      </c>
      <c r="B1767" t="inlineStr">
        <is>
          <t>MER00662</t>
        </is>
      </c>
      <c r="C1767" s="8" t="n">
        <v>45977</v>
      </c>
      <c r="D1767" t="inlineStr">
        <is>
          <t>ORD00166855</t>
        </is>
      </c>
      <c r="E1767" t="n">
        <v>1506.75</v>
      </c>
      <c r="F1767" t="n">
        <v>1.9</v>
      </c>
      <c r="G1767" t="n">
        <v>28.63</v>
      </c>
      <c r="H1767" t="inlineStr">
        <is>
          <t>Card</t>
        </is>
      </c>
      <c r="I1767" t="inlineStr">
        <is>
          <t>Success</t>
        </is>
      </c>
      <c r="J1767" t="inlineStr">
        <is>
          <t>Delivered</t>
        </is>
      </c>
      <c r="K1767" t="n">
        <v>0</v>
      </c>
      <c r="L1767" t="n">
        <v>0</v>
      </c>
      <c r="M1767" t="inlineStr">
        <is>
          <t>INR</t>
        </is>
      </c>
      <c r="N1767" t="inlineStr">
        <is>
          <t>2025-11-16 10:12:03</t>
        </is>
      </c>
    </row>
    <row r="1768">
      <c r="A1768" t="inlineStr">
        <is>
          <t>TXN00167925</t>
        </is>
      </c>
      <c r="B1768" t="inlineStr">
        <is>
          <t>MER00662</t>
        </is>
      </c>
      <c r="C1768" s="8" t="n">
        <v>45979</v>
      </c>
      <c r="D1768" t="inlineStr">
        <is>
          <t>ORD00167925</t>
        </is>
      </c>
      <c r="E1768" t="n">
        <v>327.53</v>
      </c>
      <c r="F1768" t="n">
        <v>1.9</v>
      </c>
      <c r="G1768" t="n">
        <v>6.22</v>
      </c>
      <c r="H1768" t="inlineStr">
        <is>
          <t>UPI</t>
        </is>
      </c>
      <c r="I1768" t="inlineStr">
        <is>
          <t>Success</t>
        </is>
      </c>
      <c r="J1768" t="inlineStr">
        <is>
          <t>Delivered</t>
        </is>
      </c>
      <c r="K1768" t="n">
        <v>0</v>
      </c>
      <c r="L1768" t="n">
        <v>0</v>
      </c>
      <c r="M1768" t="inlineStr">
        <is>
          <t>INR</t>
        </is>
      </c>
      <c r="N1768" t="inlineStr">
        <is>
          <t>2025-11-18 23:08:36</t>
        </is>
      </c>
    </row>
    <row r="1769">
      <c r="A1769" t="inlineStr">
        <is>
          <t>TXN00168627</t>
        </is>
      </c>
      <c r="B1769" t="inlineStr">
        <is>
          <t>MER00662</t>
        </is>
      </c>
      <c r="C1769" s="8" t="n">
        <v>45981</v>
      </c>
      <c r="D1769" t="inlineStr">
        <is>
          <t>ORD00168627</t>
        </is>
      </c>
      <c r="E1769" t="n">
        <v>524.13</v>
      </c>
      <c r="F1769" t="n">
        <v>1.9</v>
      </c>
      <c r="G1769" t="n">
        <v>9.960000000000001</v>
      </c>
      <c r="H1769" t="inlineStr">
        <is>
          <t>NetBanking</t>
        </is>
      </c>
      <c r="I1769" t="inlineStr">
        <is>
          <t>Success</t>
        </is>
      </c>
      <c r="J1769" t="inlineStr">
        <is>
          <t>Delivered</t>
        </is>
      </c>
      <c r="K1769" t="n">
        <v>0</v>
      </c>
      <c r="L1769" t="n">
        <v>0</v>
      </c>
      <c r="M1769" t="inlineStr">
        <is>
          <t>INR</t>
        </is>
      </c>
      <c r="N1769" t="inlineStr">
        <is>
          <t>2025-11-20 10:27:13</t>
        </is>
      </c>
    </row>
    <row r="1770">
      <c r="A1770" t="inlineStr">
        <is>
          <t>TXN00170961</t>
        </is>
      </c>
      <c r="B1770" t="inlineStr">
        <is>
          <t>MER00662</t>
        </is>
      </c>
      <c r="C1770" s="8" t="n">
        <v>45985</v>
      </c>
      <c r="D1770" t="inlineStr">
        <is>
          <t>ORD00170961</t>
        </is>
      </c>
      <c r="E1770" t="n">
        <v>2000.35</v>
      </c>
      <c r="F1770" t="n">
        <v>1.9</v>
      </c>
      <c r="G1770" t="n">
        <v>38.01</v>
      </c>
      <c r="H1770" t="inlineStr">
        <is>
          <t>Card</t>
        </is>
      </c>
      <c r="I1770" t="inlineStr">
        <is>
          <t>Pending</t>
        </is>
      </c>
      <c r="J1770" t="inlineStr">
        <is>
          <t>Processing</t>
        </is>
      </c>
      <c r="K1770" t="n">
        <v>0</v>
      </c>
      <c r="L1770" t="n">
        <v>0</v>
      </c>
      <c r="M1770" t="inlineStr">
        <is>
          <t>INR</t>
        </is>
      </c>
      <c r="N1770" t="inlineStr">
        <is>
          <t>2025-11-24 14:36:05</t>
        </is>
      </c>
    </row>
    <row r="1771">
      <c r="A1771" t="inlineStr">
        <is>
          <t>TXN00172580</t>
        </is>
      </c>
      <c r="B1771" t="inlineStr">
        <is>
          <t>MER00662</t>
        </is>
      </c>
      <c r="C1771" s="8" t="n">
        <v>45988</v>
      </c>
      <c r="D1771" t="inlineStr">
        <is>
          <t>ORD00172580</t>
        </is>
      </c>
      <c r="E1771" t="n">
        <v>1178.81</v>
      </c>
      <c r="F1771" t="n">
        <v>1.9</v>
      </c>
      <c r="G1771" t="n">
        <v>22.4</v>
      </c>
      <c r="H1771" t="inlineStr">
        <is>
          <t>NetBanking</t>
        </is>
      </c>
      <c r="I1771" t="inlineStr">
        <is>
          <t>Success</t>
        </is>
      </c>
      <c r="J1771" t="inlineStr">
        <is>
          <t>Delivered</t>
        </is>
      </c>
      <c r="K1771" t="n">
        <v>0</v>
      </c>
      <c r="L1771" t="n">
        <v>0</v>
      </c>
      <c r="M1771" t="inlineStr">
        <is>
          <t>INR</t>
        </is>
      </c>
      <c r="N1771" t="inlineStr">
        <is>
          <t>2025-11-27 01:55:03</t>
        </is>
      </c>
    </row>
    <row r="1772">
      <c r="A1772" t="inlineStr">
        <is>
          <t>TXN00175427</t>
        </is>
      </c>
      <c r="B1772" t="inlineStr">
        <is>
          <t>MER00662</t>
        </is>
      </c>
      <c r="C1772" s="8" t="n">
        <v>45994</v>
      </c>
      <c r="D1772" t="inlineStr">
        <is>
          <t>ORD00175427</t>
        </is>
      </c>
      <c r="E1772" t="n">
        <v>1338.07</v>
      </c>
      <c r="F1772" t="n">
        <v>1.9</v>
      </c>
      <c r="G1772" t="n">
        <v>25.42</v>
      </c>
      <c r="H1772" t="inlineStr">
        <is>
          <t>Card</t>
        </is>
      </c>
      <c r="I1772" t="inlineStr">
        <is>
          <t>Failed</t>
        </is>
      </c>
      <c r="J1772" t="inlineStr">
        <is>
          <t>Cancelled</t>
        </is>
      </c>
      <c r="K1772" t="n">
        <v>0</v>
      </c>
      <c r="L1772" t="n">
        <v>0</v>
      </c>
      <c r="M1772" t="inlineStr">
        <is>
          <t>INR</t>
        </is>
      </c>
      <c r="N1772" t="inlineStr">
        <is>
          <t>2025-12-03 05:34:22</t>
        </is>
      </c>
    </row>
    <row r="1773">
      <c r="A1773" t="inlineStr">
        <is>
          <t>TXN00179530</t>
        </is>
      </c>
      <c r="B1773" t="inlineStr">
        <is>
          <t>MER00662</t>
        </is>
      </c>
      <c r="C1773" s="8" t="n">
        <v>46005</v>
      </c>
      <c r="D1773" t="inlineStr">
        <is>
          <t>ORD00179530</t>
        </is>
      </c>
      <c r="E1773" t="n">
        <v>991.05</v>
      </c>
      <c r="F1773" t="n">
        <v>1.9</v>
      </c>
      <c r="G1773" t="n">
        <v>18.83</v>
      </c>
      <c r="H1773" t="inlineStr">
        <is>
          <t>NetBanking</t>
        </is>
      </c>
      <c r="I1773" t="inlineStr">
        <is>
          <t>Success</t>
        </is>
      </c>
      <c r="J1773" t="inlineStr">
        <is>
          <t>Delivered</t>
        </is>
      </c>
      <c r="K1773" t="n">
        <v>0</v>
      </c>
      <c r="L1773" t="n">
        <v>102.89</v>
      </c>
      <c r="M1773" t="inlineStr">
        <is>
          <t>INR</t>
        </is>
      </c>
      <c r="N1773" t="inlineStr">
        <is>
          <t>2025-12-14 14:23:58</t>
        </is>
      </c>
    </row>
    <row r="1774">
      <c r="A1774" t="inlineStr">
        <is>
          <t>TXN00179576</t>
        </is>
      </c>
      <c r="B1774" t="inlineStr">
        <is>
          <t>MER00662</t>
        </is>
      </c>
      <c r="C1774" s="8" t="n">
        <v>46005</v>
      </c>
      <c r="D1774" t="inlineStr">
        <is>
          <t>ORD00179576</t>
        </is>
      </c>
      <c r="E1774" t="n">
        <v>1381.99</v>
      </c>
      <c r="F1774" t="n">
        <v>1.9</v>
      </c>
      <c r="G1774" t="n">
        <v>26.26</v>
      </c>
      <c r="H1774" t="inlineStr">
        <is>
          <t>UPI</t>
        </is>
      </c>
      <c r="I1774" t="inlineStr">
        <is>
          <t>Success</t>
        </is>
      </c>
      <c r="J1774" t="inlineStr">
        <is>
          <t>Cancelled</t>
        </is>
      </c>
      <c r="K1774" t="n">
        <v>1348.6</v>
      </c>
      <c r="L1774" t="n">
        <v>0</v>
      </c>
      <c r="M1774" t="inlineStr">
        <is>
          <t>INR</t>
        </is>
      </c>
      <c r="N1774" t="inlineStr">
        <is>
          <t>2025-12-14 23:50:26</t>
        </is>
      </c>
    </row>
    <row r="1775">
      <c r="A1775" t="inlineStr">
        <is>
          <t>TXN00179539</t>
        </is>
      </c>
      <c r="B1775" t="inlineStr">
        <is>
          <t>MER00662</t>
        </is>
      </c>
      <c r="C1775" s="8" t="n">
        <v>46005</v>
      </c>
      <c r="D1775" t="inlineStr">
        <is>
          <t>ORD00179539</t>
        </is>
      </c>
      <c r="E1775" t="n">
        <v>1722.79</v>
      </c>
      <c r="F1775" t="n">
        <v>1.9</v>
      </c>
      <c r="G1775" t="n">
        <v>32.73</v>
      </c>
      <c r="H1775" t="inlineStr">
        <is>
          <t>UPI</t>
        </is>
      </c>
      <c r="I1775" t="inlineStr">
        <is>
          <t>Success</t>
        </is>
      </c>
      <c r="J1775" t="inlineStr">
        <is>
          <t>Delivered</t>
        </is>
      </c>
      <c r="K1775" t="n">
        <v>0</v>
      </c>
      <c r="L1775" t="n">
        <v>0</v>
      </c>
      <c r="M1775" t="inlineStr">
        <is>
          <t>INR</t>
        </is>
      </c>
      <c r="N1775" t="inlineStr">
        <is>
          <t>2025-12-14 12:50:33</t>
        </is>
      </c>
    </row>
    <row r="1776">
      <c r="A1776" t="inlineStr">
        <is>
          <t>TXN00180425</t>
        </is>
      </c>
      <c r="B1776" t="inlineStr">
        <is>
          <t>MER00662</t>
        </is>
      </c>
      <c r="C1776" s="8" t="n">
        <v>46007</v>
      </c>
      <c r="D1776" t="inlineStr">
        <is>
          <t>ORD00180425</t>
        </is>
      </c>
      <c r="E1776" t="n">
        <v>676.4400000000001</v>
      </c>
      <c r="F1776" t="n">
        <v>1.9</v>
      </c>
      <c r="G1776" t="n">
        <v>12.85</v>
      </c>
      <c r="H1776" t="inlineStr">
        <is>
          <t>COD</t>
        </is>
      </c>
      <c r="I1776" t="inlineStr">
        <is>
          <t>Success</t>
        </is>
      </c>
      <c r="J1776" t="inlineStr">
        <is>
          <t>Delivered</t>
        </is>
      </c>
      <c r="K1776" t="n">
        <v>0</v>
      </c>
      <c r="L1776" t="n">
        <v>0</v>
      </c>
      <c r="M1776" t="inlineStr">
        <is>
          <t>INR</t>
        </is>
      </c>
      <c r="N1776" t="inlineStr">
        <is>
          <t>2025-12-16 19:54:26</t>
        </is>
      </c>
    </row>
    <row r="1777">
      <c r="A1777" t="inlineStr">
        <is>
          <t>TXN00180489</t>
        </is>
      </c>
      <c r="B1777" t="inlineStr">
        <is>
          <t>MER00662</t>
        </is>
      </c>
      <c r="C1777" s="8" t="n">
        <v>46007</v>
      </c>
      <c r="D1777" t="inlineStr">
        <is>
          <t>ORD00180489</t>
        </is>
      </c>
      <c r="E1777" t="n">
        <v>1305.13</v>
      </c>
      <c r="F1777" t="n">
        <v>1.9</v>
      </c>
      <c r="G1777" t="n">
        <v>24.8</v>
      </c>
      <c r="H1777" t="inlineStr">
        <is>
          <t>Card</t>
        </is>
      </c>
      <c r="I1777" t="inlineStr">
        <is>
          <t>Success</t>
        </is>
      </c>
      <c r="J1777" t="inlineStr">
        <is>
          <t>Delivered</t>
        </is>
      </c>
      <c r="K1777" t="n">
        <v>0</v>
      </c>
      <c r="L1777" t="n">
        <v>0</v>
      </c>
      <c r="M1777" t="inlineStr">
        <is>
          <t>INR</t>
        </is>
      </c>
      <c r="N1777" t="inlineStr">
        <is>
          <t>2025-12-16 07:46:09</t>
        </is>
      </c>
    </row>
    <row r="1778">
      <c r="A1778" t="inlineStr">
        <is>
          <t>TXN00183627</t>
        </is>
      </c>
      <c r="B1778" t="inlineStr">
        <is>
          <t>MER00662</t>
        </is>
      </c>
      <c r="C1778" s="8" t="n">
        <v>46015</v>
      </c>
      <c r="D1778" t="inlineStr">
        <is>
          <t>ORD00183627</t>
        </is>
      </c>
      <c r="E1778" t="n">
        <v>1429.14</v>
      </c>
      <c r="F1778" t="n">
        <v>1.9</v>
      </c>
      <c r="G1778" t="n">
        <v>27.15</v>
      </c>
      <c r="H1778" t="inlineStr">
        <is>
          <t>UPI</t>
        </is>
      </c>
      <c r="I1778" t="inlineStr">
        <is>
          <t>Success</t>
        </is>
      </c>
      <c r="J1778" t="inlineStr">
        <is>
          <t>Delivered</t>
        </is>
      </c>
      <c r="K1778" t="n">
        <v>0</v>
      </c>
      <c r="L1778" t="n">
        <v>0</v>
      </c>
      <c r="M1778" t="inlineStr">
        <is>
          <t>INR</t>
        </is>
      </c>
      <c r="N1778" t="inlineStr">
        <is>
          <t>2025-12-24 17:29:16</t>
        </is>
      </c>
    </row>
    <row r="1779">
      <c r="A1779" t="inlineStr">
        <is>
          <t>TXN00183748</t>
        </is>
      </c>
      <c r="B1779" t="inlineStr">
        <is>
          <t>MER00662</t>
        </is>
      </c>
      <c r="C1779" s="8" t="n">
        <v>46016</v>
      </c>
      <c r="D1779" t="inlineStr">
        <is>
          <t>ORD00183748</t>
        </is>
      </c>
      <c r="E1779" t="n">
        <v>749.98</v>
      </c>
      <c r="F1779" t="n">
        <v>1.9</v>
      </c>
      <c r="G1779" t="n">
        <v>14.25</v>
      </c>
      <c r="H1779" t="inlineStr">
        <is>
          <t>Card</t>
        </is>
      </c>
      <c r="I1779" t="inlineStr">
        <is>
          <t>Success</t>
        </is>
      </c>
      <c r="J1779" t="inlineStr">
        <is>
          <t>Processing</t>
        </is>
      </c>
      <c r="K1779" t="n">
        <v>0</v>
      </c>
      <c r="L1779" t="n">
        <v>81.33</v>
      </c>
      <c r="M1779" t="inlineStr">
        <is>
          <t>INR</t>
        </is>
      </c>
      <c r="N1779" t="inlineStr">
        <is>
          <t>2025-12-25 02:31:40</t>
        </is>
      </c>
    </row>
    <row r="1780">
      <c r="A1780" t="inlineStr">
        <is>
          <t>TXN00189760</t>
        </is>
      </c>
      <c r="B1780" t="inlineStr">
        <is>
          <t>MER00662</t>
        </is>
      </c>
      <c r="C1780" s="8" t="n">
        <v>46030</v>
      </c>
      <c r="D1780" t="inlineStr">
        <is>
          <t>ORD00189760</t>
        </is>
      </c>
      <c r="E1780" t="n">
        <v>512.72</v>
      </c>
      <c r="F1780" t="n">
        <v>1.9</v>
      </c>
      <c r="G1780" t="n">
        <v>9.74</v>
      </c>
      <c r="H1780" t="inlineStr">
        <is>
          <t>UPI</t>
        </is>
      </c>
      <c r="I1780" t="inlineStr">
        <is>
          <t>Success</t>
        </is>
      </c>
      <c r="J1780" t="inlineStr">
        <is>
          <t>Delivered</t>
        </is>
      </c>
      <c r="K1780" t="n">
        <v>0</v>
      </c>
      <c r="L1780" t="n">
        <v>0</v>
      </c>
      <c r="M1780" t="inlineStr">
        <is>
          <t>INR</t>
        </is>
      </c>
      <c r="N1780" t="inlineStr">
        <is>
          <t>2026-01-08 03:57:45</t>
        </is>
      </c>
    </row>
    <row r="1781">
      <c r="A1781" t="inlineStr">
        <is>
          <t>TXN00193315</t>
        </is>
      </c>
      <c r="B1781" t="inlineStr">
        <is>
          <t>MER00662</t>
        </is>
      </c>
      <c r="C1781" s="8" t="n">
        <v>46038</v>
      </c>
      <c r="D1781" t="inlineStr">
        <is>
          <t>ORD00193315</t>
        </is>
      </c>
      <c r="E1781" t="n">
        <v>4670.31</v>
      </c>
      <c r="F1781" t="n">
        <v>1.14</v>
      </c>
      <c r="G1781" t="n">
        <v>88.73999999999999</v>
      </c>
      <c r="H1781" t="inlineStr">
        <is>
          <t>UPI</t>
        </is>
      </c>
      <c r="I1781" t="inlineStr">
        <is>
          <t>Success</t>
        </is>
      </c>
      <c r="J1781" t="inlineStr">
        <is>
          <t>Delivered</t>
        </is>
      </c>
      <c r="K1781" t="n">
        <v>0</v>
      </c>
      <c r="L1781" t="n">
        <v>0</v>
      </c>
      <c r="M1781" t="inlineStr">
        <is>
          <t>INR</t>
        </is>
      </c>
      <c r="N1781" t="inlineStr">
        <is>
          <t>2026-01-16 01:50:18</t>
        </is>
      </c>
    </row>
    <row r="1782">
      <c r="A1782" t="inlineStr">
        <is>
          <t>TXN00193311</t>
        </is>
      </c>
      <c r="B1782" t="inlineStr">
        <is>
          <t>MER00662</t>
        </is>
      </c>
      <c r="C1782" s="8" t="n">
        <v>46038</v>
      </c>
      <c r="D1782" t="inlineStr">
        <is>
          <t>ORD00193311</t>
        </is>
      </c>
      <c r="E1782" t="n">
        <v>1764.33</v>
      </c>
      <c r="F1782" t="n">
        <v>1.9</v>
      </c>
      <c r="G1782" t="n">
        <v>33.52</v>
      </c>
      <c r="H1782" t="inlineStr">
        <is>
          <t>UPI</t>
        </is>
      </c>
      <c r="I1782" t="inlineStr">
        <is>
          <t>Success</t>
        </is>
      </c>
      <c r="J1782" t="inlineStr">
        <is>
          <t>Returned</t>
        </is>
      </c>
      <c r="K1782" t="n">
        <v>782.89</v>
      </c>
      <c r="L1782" t="n">
        <v>0</v>
      </c>
      <c r="M1782" t="inlineStr">
        <is>
          <t>INR</t>
        </is>
      </c>
      <c r="N1782" t="inlineStr">
        <is>
          <t>2026-01-16 15:05:15</t>
        </is>
      </c>
    </row>
    <row r="1783">
      <c r="A1783" t="inlineStr">
        <is>
          <t>TXN00198444</t>
        </is>
      </c>
      <c r="B1783" t="inlineStr">
        <is>
          <t>MER00662</t>
        </is>
      </c>
      <c r="C1783" s="8" t="n">
        <v>46049</v>
      </c>
      <c r="D1783" t="inlineStr">
        <is>
          <t>ORD00198444</t>
        </is>
      </c>
      <c r="E1783" t="n">
        <v>530.87</v>
      </c>
      <c r="F1783" t="n">
        <v>1.9</v>
      </c>
      <c r="G1783" t="n">
        <v>10.09</v>
      </c>
      <c r="H1783" t="inlineStr">
        <is>
          <t>NetBanking</t>
        </is>
      </c>
      <c r="I1783" t="inlineStr">
        <is>
          <t>Success</t>
        </is>
      </c>
      <c r="J1783" t="inlineStr">
        <is>
          <t>Delivered</t>
        </is>
      </c>
      <c r="K1783" t="n">
        <v>0</v>
      </c>
      <c r="L1783" t="n">
        <v>0</v>
      </c>
      <c r="M1783" t="inlineStr">
        <is>
          <t>INR</t>
        </is>
      </c>
      <c r="N1783" t="inlineStr">
        <is>
          <t>2026-01-27 13:01:28</t>
        </is>
      </c>
    </row>
    <row r="1784">
      <c r="A1784" t="inlineStr">
        <is>
          <t>TXN00198999</t>
        </is>
      </c>
      <c r="B1784" t="inlineStr">
        <is>
          <t>MER00662</t>
        </is>
      </c>
      <c r="C1784" s="8" t="n">
        <v>46051</v>
      </c>
      <c r="D1784" t="inlineStr">
        <is>
          <t>ORD00198999</t>
        </is>
      </c>
      <c r="E1784" t="n">
        <v>796.77</v>
      </c>
      <c r="F1784" t="n">
        <v>1.9</v>
      </c>
      <c r="G1784" t="n">
        <v>15.14</v>
      </c>
      <c r="H1784" t="inlineStr">
        <is>
          <t>UPI</t>
        </is>
      </c>
      <c r="I1784" t="inlineStr">
        <is>
          <t>Success</t>
        </is>
      </c>
      <c r="J1784" t="inlineStr">
        <is>
          <t>Delivered</t>
        </is>
      </c>
      <c r="K1784" t="n">
        <v>0</v>
      </c>
      <c r="L1784" t="n">
        <v>0</v>
      </c>
      <c r="M1784" t="inlineStr">
        <is>
          <t>INR</t>
        </is>
      </c>
      <c r="N1784" t="inlineStr">
        <is>
          <t>2026-01-29 14:11:33</t>
        </is>
      </c>
    </row>
    <row r="1785">
      <c r="A1785" t="inlineStr">
        <is>
          <t>TXN00201196</t>
        </is>
      </c>
      <c r="B1785" t="inlineStr">
        <is>
          <t>MER00662</t>
        </is>
      </c>
      <c r="C1785" s="8" t="n">
        <v>46056</v>
      </c>
      <c r="D1785" t="inlineStr">
        <is>
          <t>ORD00201196</t>
        </is>
      </c>
      <c r="E1785" t="n">
        <v>1801.36</v>
      </c>
      <c r="F1785" t="n">
        <v>1.9</v>
      </c>
      <c r="G1785" t="n">
        <v>34.23</v>
      </c>
      <c r="H1785" t="inlineStr">
        <is>
          <t>UPI</t>
        </is>
      </c>
      <c r="I1785" t="inlineStr">
        <is>
          <t>Success</t>
        </is>
      </c>
      <c r="J1785" t="inlineStr">
        <is>
          <t>Delivered</t>
        </is>
      </c>
      <c r="K1785" t="n">
        <v>0</v>
      </c>
      <c r="L1785" t="n">
        <v>174.64</v>
      </c>
      <c r="M1785" t="inlineStr">
        <is>
          <t>INR</t>
        </is>
      </c>
      <c r="N1785" t="inlineStr">
        <is>
          <t>2026-02-03 06:02:11</t>
        </is>
      </c>
    </row>
    <row r="1786">
      <c r="A1786" t="inlineStr">
        <is>
          <t>TXN00204338</t>
        </is>
      </c>
      <c r="B1786" t="inlineStr">
        <is>
          <t>MER00662</t>
        </is>
      </c>
      <c r="C1786" s="8" t="n">
        <v>46063</v>
      </c>
      <c r="D1786" t="inlineStr">
        <is>
          <t>ORD00204338</t>
        </is>
      </c>
      <c r="E1786" t="n">
        <v>1095.12</v>
      </c>
      <c r="F1786" t="n">
        <v>2.3</v>
      </c>
      <c r="G1786" t="n">
        <v>20.81</v>
      </c>
      <c r="H1786" t="inlineStr">
        <is>
          <t>UPI</t>
        </is>
      </c>
      <c r="I1786" t="inlineStr">
        <is>
          <t>Success</t>
        </is>
      </c>
      <c r="J1786" t="inlineStr">
        <is>
          <t>Delivered</t>
        </is>
      </c>
      <c r="K1786" t="n">
        <v>0</v>
      </c>
      <c r="L1786" t="n">
        <v>0</v>
      </c>
      <c r="M1786" t="inlineStr">
        <is>
          <t>INR</t>
        </is>
      </c>
      <c r="N1786" t="inlineStr">
        <is>
          <t>2026-02-10 15:01:43</t>
        </is>
      </c>
    </row>
    <row r="1787">
      <c r="A1787" t="inlineStr">
        <is>
          <t>TXN00205115</t>
        </is>
      </c>
      <c r="B1787" t="inlineStr">
        <is>
          <t>MER00662</t>
        </is>
      </c>
      <c r="C1787" s="8" t="n">
        <v>46065</v>
      </c>
      <c r="D1787" t="inlineStr">
        <is>
          <t>ORD00205115</t>
        </is>
      </c>
      <c r="E1787" t="n">
        <v>1538.01</v>
      </c>
      <c r="F1787" t="n">
        <v>1.9</v>
      </c>
      <c r="G1787" t="n">
        <v>29.22</v>
      </c>
      <c r="H1787" t="inlineStr">
        <is>
          <t>Wallet</t>
        </is>
      </c>
      <c r="I1787" t="inlineStr">
        <is>
          <t>Success</t>
        </is>
      </c>
      <c r="J1787" t="inlineStr">
        <is>
          <t>Delivered</t>
        </is>
      </c>
      <c r="K1787" t="n">
        <v>0</v>
      </c>
      <c r="L1787" t="n">
        <v>0</v>
      </c>
      <c r="M1787" t="inlineStr">
        <is>
          <t>INR</t>
        </is>
      </c>
      <c r="N1787" t="inlineStr">
        <is>
          <t>2026-02-12 23:06:59</t>
        </is>
      </c>
    </row>
    <row r="1788">
      <c r="A1788" t="inlineStr">
        <is>
          <t>TXN00211367</t>
        </is>
      </c>
      <c r="B1788" t="inlineStr">
        <is>
          <t>MER00662</t>
        </is>
      </c>
      <c r="C1788" s="8" t="n">
        <v>46081</v>
      </c>
      <c r="D1788" t="inlineStr">
        <is>
          <t>ORD00211367</t>
        </is>
      </c>
      <c r="E1788" t="n">
        <v>2615.07</v>
      </c>
      <c r="F1788" t="n">
        <v>1.9</v>
      </c>
      <c r="G1788" t="n">
        <v>49.69</v>
      </c>
      <c r="H1788" t="inlineStr">
        <is>
          <t>Card</t>
        </is>
      </c>
      <c r="I1788" t="inlineStr">
        <is>
          <t>Success</t>
        </is>
      </c>
      <c r="J1788" t="inlineStr">
        <is>
          <t>Delivered</t>
        </is>
      </c>
      <c r="K1788" t="n">
        <v>0</v>
      </c>
      <c r="L1788" t="n">
        <v>0</v>
      </c>
      <c r="M1788" t="inlineStr">
        <is>
          <t>INR</t>
        </is>
      </c>
      <c r="N1788" t="inlineStr">
        <is>
          <t>2026-02-28 11:35:06</t>
        </is>
      </c>
    </row>
    <row r="1789">
      <c r="A1789" t="inlineStr">
        <is>
          <t>TXN00211980</t>
        </is>
      </c>
      <c r="B1789" t="inlineStr">
        <is>
          <t>MER00662</t>
        </is>
      </c>
      <c r="C1789" s="8" t="n">
        <v>46082</v>
      </c>
      <c r="D1789" t="inlineStr">
        <is>
          <t>ORD00211980</t>
        </is>
      </c>
      <c r="E1789" t="n">
        <v>542</v>
      </c>
      <c r="F1789" t="n">
        <v>1.9</v>
      </c>
      <c r="G1789" t="n">
        <v>10.3</v>
      </c>
      <c r="H1789" t="inlineStr">
        <is>
          <t>UPI</t>
        </is>
      </c>
      <c r="I1789" t="inlineStr">
        <is>
          <t>Success</t>
        </is>
      </c>
      <c r="J1789" t="inlineStr">
        <is>
          <t>Delivered</t>
        </is>
      </c>
      <c r="K1789" t="n">
        <v>0</v>
      </c>
      <c r="L1789" t="n">
        <v>0</v>
      </c>
      <c r="M1789" t="inlineStr">
        <is>
          <t>INR</t>
        </is>
      </c>
      <c r="N1789" t="inlineStr">
        <is>
          <t>2026-03-01 11:44:58</t>
        </is>
      </c>
    </row>
    <row r="1790">
      <c r="A1790" t="inlineStr">
        <is>
          <t>TXN00213424</t>
        </is>
      </c>
      <c r="B1790" t="inlineStr">
        <is>
          <t>MER00662</t>
        </is>
      </c>
      <c r="C1790" s="8" t="n">
        <v>46086</v>
      </c>
      <c r="D1790" t="inlineStr">
        <is>
          <t>ORD00213424</t>
        </is>
      </c>
      <c r="E1790" t="n">
        <v>634.65</v>
      </c>
      <c r="F1790" t="n">
        <v>1.9</v>
      </c>
      <c r="G1790" t="n">
        <v>12.06</v>
      </c>
      <c r="H1790" t="inlineStr">
        <is>
          <t>UPI</t>
        </is>
      </c>
      <c r="I1790" t="inlineStr">
        <is>
          <t>Success</t>
        </is>
      </c>
      <c r="J1790" t="inlineStr">
        <is>
          <t>Cancelled</t>
        </is>
      </c>
      <c r="K1790" t="n">
        <v>621.04</v>
      </c>
      <c r="L1790" t="n">
        <v>0</v>
      </c>
      <c r="M1790" t="inlineStr">
        <is>
          <t>INR</t>
        </is>
      </c>
      <c r="N1790" t="inlineStr">
        <is>
          <t>2026-03-05 01:33:53</t>
        </is>
      </c>
    </row>
    <row r="1791">
      <c r="A1791" t="inlineStr">
        <is>
          <t>TXN00215335</t>
        </is>
      </c>
      <c r="B1791" t="inlineStr">
        <is>
          <t>MER00662</t>
        </is>
      </c>
      <c r="C1791" s="8" t="n">
        <v>46091</v>
      </c>
      <c r="D1791" t="inlineStr">
        <is>
          <t>ORD00215335</t>
        </is>
      </c>
      <c r="E1791" t="n">
        <v>587.48</v>
      </c>
      <c r="F1791" t="n">
        <v>1.9</v>
      </c>
      <c r="G1791" t="n">
        <v>11.16</v>
      </c>
      <c r="H1791" t="inlineStr">
        <is>
          <t>Card</t>
        </is>
      </c>
      <c r="I1791" t="inlineStr">
        <is>
          <t>Success</t>
        </is>
      </c>
      <c r="J1791" t="inlineStr">
        <is>
          <t>Delivered</t>
        </is>
      </c>
      <c r="K1791" t="n">
        <v>0</v>
      </c>
      <c r="L1791" t="n">
        <v>75.47</v>
      </c>
      <c r="M1791" t="inlineStr">
        <is>
          <t>INR</t>
        </is>
      </c>
      <c r="N1791" t="inlineStr">
        <is>
          <t>2026-03-10 16:07:46</t>
        </is>
      </c>
    </row>
    <row r="1792">
      <c r="A1792" t="inlineStr">
        <is>
          <t>TXN00221159</t>
        </is>
      </c>
      <c r="B1792" t="inlineStr">
        <is>
          <t>MER00662</t>
        </is>
      </c>
      <c r="C1792" s="8" t="n">
        <v>46107</v>
      </c>
      <c r="D1792" t="inlineStr">
        <is>
          <t>ORD00221159</t>
        </is>
      </c>
      <c r="E1792" t="n">
        <v>2640.23</v>
      </c>
      <c r="F1792" t="n">
        <v>1.9</v>
      </c>
      <c r="G1792" t="n">
        <v>50.16</v>
      </c>
      <c r="H1792" t="inlineStr">
        <is>
          <t>Card</t>
        </is>
      </c>
      <c r="I1792" t="inlineStr">
        <is>
          <t>Success</t>
        </is>
      </c>
      <c r="J1792" t="inlineStr">
        <is>
          <t>Delivered</t>
        </is>
      </c>
      <c r="K1792" t="n">
        <v>0</v>
      </c>
      <c r="L1792" t="n">
        <v>0</v>
      </c>
      <c r="M1792" t="inlineStr">
        <is>
          <t>INR</t>
        </is>
      </c>
      <c r="N1792" t="inlineStr">
        <is>
          <t>2026-03-26 09:08:12</t>
        </is>
      </c>
    </row>
    <row r="1793">
      <c r="A1793" t="inlineStr">
        <is>
          <t>TXN00222835</t>
        </is>
      </c>
      <c r="B1793" t="inlineStr">
        <is>
          <t>MER00662</t>
        </is>
      </c>
      <c r="C1793" s="8" t="n">
        <v>46112</v>
      </c>
      <c r="D1793" t="inlineStr">
        <is>
          <t>ORD00222835</t>
        </is>
      </c>
      <c r="E1793" t="n">
        <v>2037.21</v>
      </c>
      <c r="F1793" t="n">
        <v>1.9</v>
      </c>
      <c r="G1793" t="n">
        <v>38.71</v>
      </c>
      <c r="H1793" t="inlineStr">
        <is>
          <t>Card</t>
        </is>
      </c>
      <c r="I1793" t="inlineStr">
        <is>
          <t>Success</t>
        </is>
      </c>
      <c r="J1793" t="inlineStr">
        <is>
          <t>Delivered</t>
        </is>
      </c>
      <c r="K1793" t="n">
        <v>0</v>
      </c>
      <c r="L1793" t="n">
        <v>0</v>
      </c>
      <c r="M1793" t="inlineStr">
        <is>
          <t>INR</t>
        </is>
      </c>
      <c r="N1793" t="inlineStr">
        <is>
          <t>2026-03-31 16:25:00</t>
        </is>
      </c>
    </row>
    <row r="1794">
      <c r="A1794" t="inlineStr">
        <is>
          <t>TXN00223272</t>
        </is>
      </c>
      <c r="B1794" t="inlineStr">
        <is>
          <t>MER00662</t>
        </is>
      </c>
      <c r="C1794" s="8" t="n">
        <v>46113</v>
      </c>
      <c r="D1794" t="inlineStr">
        <is>
          <t>ORD00223272</t>
        </is>
      </c>
      <c r="E1794" t="n">
        <v>4595.94</v>
      </c>
      <c r="F1794" t="n">
        <v>1.9</v>
      </c>
      <c r="G1794" t="n">
        <v>87.31999999999999</v>
      </c>
      <c r="H1794" t="inlineStr">
        <is>
          <t>NetBanking</t>
        </is>
      </c>
      <c r="I1794" t="inlineStr">
        <is>
          <t>Success</t>
        </is>
      </c>
      <c r="J1794" t="inlineStr">
        <is>
          <t>Delivered</t>
        </is>
      </c>
      <c r="K1794" t="n">
        <v>0</v>
      </c>
      <c r="L1794" t="n">
        <v>0</v>
      </c>
      <c r="M1794" t="inlineStr">
        <is>
          <t>INR</t>
        </is>
      </c>
      <c r="N1794" t="inlineStr">
        <is>
          <t>2026-04-01 20:28:47</t>
        </is>
      </c>
    </row>
    <row r="1795">
      <c r="A1795" t="inlineStr">
        <is>
          <t>TXN00224191</t>
        </is>
      </c>
      <c r="B1795" t="inlineStr">
        <is>
          <t>MER00662</t>
        </is>
      </c>
      <c r="C1795" s="8" t="n">
        <v>46115</v>
      </c>
      <c r="D1795" t="inlineStr">
        <is>
          <t>ORD00224191</t>
        </is>
      </c>
      <c r="E1795" t="n">
        <v>2338.69</v>
      </c>
      <c r="F1795" t="n">
        <v>1.9</v>
      </c>
      <c r="G1795" t="n">
        <v>44.44</v>
      </c>
      <c r="H1795" t="inlineStr">
        <is>
          <t>UPI</t>
        </is>
      </c>
      <c r="I1795" t="inlineStr">
        <is>
          <t>Success</t>
        </is>
      </c>
      <c r="J1795" t="inlineStr">
        <is>
          <t>Delivered</t>
        </is>
      </c>
      <c r="K1795" t="n">
        <v>0</v>
      </c>
      <c r="L1795" t="n">
        <v>0</v>
      </c>
      <c r="M1795" t="inlineStr">
        <is>
          <t>INR</t>
        </is>
      </c>
      <c r="N1795" t="inlineStr">
        <is>
          <t>2026-04-03 14:23:32</t>
        </is>
      </c>
    </row>
    <row r="1796">
      <c r="A1796" t="inlineStr">
        <is>
          <t>TXN00225379</t>
        </is>
      </c>
      <c r="B1796" t="inlineStr">
        <is>
          <t>MER00662</t>
        </is>
      </c>
      <c r="C1796" s="8" t="n">
        <v>46119</v>
      </c>
      <c r="D1796" t="inlineStr">
        <is>
          <t>ORD00225379</t>
        </is>
      </c>
      <c r="E1796" t="n">
        <v>2702.59</v>
      </c>
      <c r="F1796" t="n">
        <v>1.22</v>
      </c>
      <c r="G1796" t="n">
        <v>51.35</v>
      </c>
      <c r="H1796" t="inlineStr">
        <is>
          <t>UPI</t>
        </is>
      </c>
      <c r="I1796" t="inlineStr">
        <is>
          <t>Success</t>
        </is>
      </c>
      <c r="J1796" t="inlineStr">
        <is>
          <t>Processing</t>
        </is>
      </c>
      <c r="K1796" t="n">
        <v>0</v>
      </c>
      <c r="L1796" t="n">
        <v>361.61</v>
      </c>
      <c r="M1796" t="inlineStr">
        <is>
          <t>INR</t>
        </is>
      </c>
      <c r="N1796" t="inlineStr">
        <is>
          <t>2026-04-07 07:10:49</t>
        </is>
      </c>
    </row>
    <row r="1797">
      <c r="A1797" t="inlineStr">
        <is>
          <t>TXN00225938</t>
        </is>
      </c>
      <c r="B1797" t="inlineStr">
        <is>
          <t>MER00662</t>
        </is>
      </c>
      <c r="C1797" s="8" t="n">
        <v>46120</v>
      </c>
      <c r="D1797" t="inlineStr">
        <is>
          <t>ORD00225938</t>
        </is>
      </c>
      <c r="E1797" t="n">
        <v>1427.58</v>
      </c>
      <c r="F1797" t="n">
        <v>1.9</v>
      </c>
      <c r="G1797" t="n">
        <v>27.12</v>
      </c>
      <c r="H1797" t="inlineStr">
        <is>
          <t>Card</t>
        </is>
      </c>
      <c r="I1797" t="inlineStr">
        <is>
          <t>Success</t>
        </is>
      </c>
      <c r="J1797" t="inlineStr">
        <is>
          <t>Delivered</t>
        </is>
      </c>
      <c r="K1797" t="n">
        <v>0</v>
      </c>
      <c r="L1797" t="n">
        <v>0</v>
      </c>
      <c r="M1797" t="inlineStr">
        <is>
          <t>INR</t>
        </is>
      </c>
      <c r="N1797" t="inlineStr">
        <is>
          <t>2026-04-08 04:39:04</t>
        </is>
      </c>
    </row>
    <row r="1798">
      <c r="A1798" t="inlineStr">
        <is>
          <t>TXN00226859</t>
        </is>
      </c>
      <c r="B1798" t="inlineStr">
        <is>
          <t>MER00662</t>
        </is>
      </c>
      <c r="C1798" s="8" t="n">
        <v>46122</v>
      </c>
      <c r="D1798" t="inlineStr">
        <is>
          <t>ORD00226859</t>
        </is>
      </c>
      <c r="E1798" t="n">
        <v>2047.84</v>
      </c>
      <c r="F1798" t="n">
        <v>1.9</v>
      </c>
      <c r="G1798" t="n">
        <v>38.91</v>
      </c>
      <c r="H1798" t="inlineStr">
        <is>
          <t>UPI</t>
        </is>
      </c>
      <c r="I1798" t="inlineStr">
        <is>
          <t>Success</t>
        </is>
      </c>
      <c r="J1798" t="inlineStr">
        <is>
          <t>Delivered</t>
        </is>
      </c>
      <c r="K1798" t="n">
        <v>0</v>
      </c>
      <c r="L1798" t="n">
        <v>0</v>
      </c>
      <c r="M1798" t="inlineStr">
        <is>
          <t>INR</t>
        </is>
      </c>
      <c r="N1798" t="inlineStr">
        <is>
          <t>2026-04-10 00:07:47</t>
        </is>
      </c>
    </row>
    <row r="1799">
      <c r="A1799" t="inlineStr">
        <is>
          <t>TXN00229063</t>
        </is>
      </c>
      <c r="B1799" t="inlineStr">
        <is>
          <t>MER00662</t>
        </is>
      </c>
      <c r="C1799" s="8" t="n">
        <v>46128</v>
      </c>
      <c r="D1799" t="inlineStr">
        <is>
          <t>ORD00229063</t>
        </is>
      </c>
      <c r="E1799" t="n">
        <v>490.48</v>
      </c>
      <c r="F1799" t="n">
        <v>1.9</v>
      </c>
      <c r="G1799" t="n">
        <v>9.32</v>
      </c>
      <c r="H1799" t="inlineStr">
        <is>
          <t>COD</t>
        </is>
      </c>
      <c r="I1799" t="inlineStr">
        <is>
          <t>Success</t>
        </is>
      </c>
      <c r="J1799" t="inlineStr">
        <is>
          <t>Returned</t>
        </is>
      </c>
      <c r="K1799" t="n">
        <v>490.48</v>
      </c>
      <c r="L1799" t="n">
        <v>82.48999999999999</v>
      </c>
      <c r="M1799" t="inlineStr">
        <is>
          <t>INR</t>
        </is>
      </c>
      <c r="N1799" t="inlineStr">
        <is>
          <t>2026-04-16 13:40:38</t>
        </is>
      </c>
    </row>
    <row r="1800">
      <c r="A1800" t="inlineStr">
        <is>
          <t>TXN00234248</t>
        </is>
      </c>
      <c r="B1800" t="inlineStr">
        <is>
          <t>MER00662</t>
        </is>
      </c>
      <c r="C1800" s="8" t="n">
        <v>46142</v>
      </c>
      <c r="D1800" t="inlineStr">
        <is>
          <t>ORD00234248</t>
        </is>
      </c>
      <c r="E1800" t="n">
        <v>1597.3</v>
      </c>
      <c r="F1800" t="n">
        <v>1.9</v>
      </c>
      <c r="G1800" t="n">
        <v>30.35</v>
      </c>
      <c r="H1800" t="inlineStr">
        <is>
          <t>Card</t>
        </is>
      </c>
      <c r="I1800" t="inlineStr">
        <is>
          <t>Success</t>
        </is>
      </c>
      <c r="J1800" t="inlineStr">
        <is>
          <t>Delivered</t>
        </is>
      </c>
      <c r="K1800" t="n">
        <v>0</v>
      </c>
      <c r="L1800" t="n">
        <v>0</v>
      </c>
      <c r="M1800" t="inlineStr">
        <is>
          <t>INR</t>
        </is>
      </c>
      <c r="N1800" t="inlineStr">
        <is>
          <t>2026-04-30 04:25:02</t>
        </is>
      </c>
    </row>
    <row r="1801">
      <c r="A1801" t="inlineStr">
        <is>
          <t>TXN00235932</t>
        </is>
      </c>
      <c r="B1801" t="inlineStr">
        <is>
          <t>MER00662</t>
        </is>
      </c>
      <c r="C1801" s="8" t="n">
        <v>46146</v>
      </c>
      <c r="D1801" t="inlineStr">
        <is>
          <t>ORD00235932</t>
        </is>
      </c>
      <c r="E1801" t="n">
        <v>2087.77</v>
      </c>
      <c r="F1801" t="n">
        <v>1.9</v>
      </c>
      <c r="G1801" t="n">
        <v>39.67</v>
      </c>
      <c r="H1801" t="inlineStr">
        <is>
          <t>Wallet</t>
        </is>
      </c>
      <c r="I1801" t="inlineStr">
        <is>
          <t>Success</t>
        </is>
      </c>
      <c r="J1801" t="inlineStr">
        <is>
          <t>Delivered</t>
        </is>
      </c>
      <c r="K1801" t="n">
        <v>0</v>
      </c>
      <c r="L1801" t="n">
        <v>0</v>
      </c>
      <c r="M1801" t="inlineStr">
        <is>
          <t>INR</t>
        </is>
      </c>
      <c r="N1801" t="inlineStr">
        <is>
          <t>2026-05-04 22:52:57</t>
        </is>
      </c>
    </row>
    <row r="1802">
      <c r="A1802" t="inlineStr">
        <is>
          <t>TXN00239292</t>
        </is>
      </c>
      <c r="B1802" t="inlineStr">
        <is>
          <t>MER00662</t>
        </is>
      </c>
      <c r="C1802" s="8" t="n">
        <v>46155</v>
      </c>
      <c r="D1802" t="inlineStr">
        <is>
          <t>ORD00239292</t>
        </is>
      </c>
      <c r="E1802" t="n">
        <v>1203.63</v>
      </c>
      <c r="F1802" t="n">
        <v>1.9</v>
      </c>
      <c r="G1802" t="n">
        <v>22.87</v>
      </c>
      <c r="H1802" t="inlineStr">
        <is>
          <t>UPI</t>
        </is>
      </c>
      <c r="I1802" t="inlineStr">
        <is>
          <t>Success</t>
        </is>
      </c>
      <c r="J1802" t="inlineStr">
        <is>
          <t>Delivered</t>
        </is>
      </c>
      <c r="K1802" t="n">
        <v>0</v>
      </c>
      <c r="L1802" t="n">
        <v>0</v>
      </c>
      <c r="M1802" t="inlineStr">
        <is>
          <t>INR</t>
        </is>
      </c>
      <c r="N1802" t="inlineStr">
        <is>
          <t>2026-05-13 22:47:08</t>
        </is>
      </c>
    </row>
    <row r="1803">
      <c r="A1803" t="inlineStr">
        <is>
          <t>TXN00239970</t>
        </is>
      </c>
      <c r="B1803" t="inlineStr">
        <is>
          <t>MER00662</t>
        </is>
      </c>
      <c r="C1803" s="8" t="n">
        <v>46157</v>
      </c>
      <c r="D1803" t="inlineStr">
        <is>
          <t>ORD00239970</t>
        </is>
      </c>
      <c r="E1803" t="n">
        <v>807.97</v>
      </c>
      <c r="F1803" t="n">
        <v>1.9</v>
      </c>
      <c r="G1803" t="n">
        <v>15.35</v>
      </c>
      <c r="H1803" t="inlineStr">
        <is>
          <t>Wallet</t>
        </is>
      </c>
      <c r="I1803" t="inlineStr">
        <is>
          <t>Success</t>
        </is>
      </c>
      <c r="J1803" t="inlineStr">
        <is>
          <t>Delivered</t>
        </is>
      </c>
      <c r="K1803" t="n">
        <v>0</v>
      </c>
      <c r="L1803" t="n">
        <v>87.29000000000001</v>
      </c>
      <c r="M1803" t="inlineStr">
        <is>
          <t>INR</t>
        </is>
      </c>
      <c r="N1803" t="inlineStr">
        <is>
          <t>2026-05-15 21:36:14</t>
        </is>
      </c>
    </row>
    <row r="1804">
      <c r="A1804" t="inlineStr">
        <is>
          <t>TXN00241981</t>
        </is>
      </c>
      <c r="B1804" t="inlineStr">
        <is>
          <t>MER00662</t>
        </is>
      </c>
      <c r="C1804" s="8" t="n">
        <v>46162</v>
      </c>
      <c r="D1804" t="inlineStr">
        <is>
          <t>ORD00241981</t>
        </is>
      </c>
      <c r="E1804" t="n">
        <v>1590.25</v>
      </c>
      <c r="F1804" t="n">
        <v>1.9</v>
      </c>
      <c r="G1804" t="n">
        <v>30.21</v>
      </c>
      <c r="H1804" t="inlineStr">
        <is>
          <t>UPI</t>
        </is>
      </c>
      <c r="I1804" t="inlineStr">
        <is>
          <t>Success</t>
        </is>
      </c>
      <c r="J1804" t="inlineStr">
        <is>
          <t>Delivered</t>
        </is>
      </c>
      <c r="K1804" t="n">
        <v>0</v>
      </c>
      <c r="L1804" t="n">
        <v>0</v>
      </c>
      <c r="M1804" t="inlineStr">
        <is>
          <t>INR</t>
        </is>
      </c>
      <c r="N1804" t="inlineStr">
        <is>
          <t>2026-05-20 18:37:04</t>
        </is>
      </c>
    </row>
    <row r="1805">
      <c r="A1805" t="inlineStr">
        <is>
          <t>TXN00243335</t>
        </is>
      </c>
      <c r="B1805" t="inlineStr">
        <is>
          <t>MER00662</t>
        </is>
      </c>
      <c r="C1805" s="8" t="n">
        <v>46166</v>
      </c>
      <c r="D1805" t="inlineStr">
        <is>
          <t>ORD00243335</t>
        </is>
      </c>
      <c r="E1805" t="n">
        <v>2981.44</v>
      </c>
      <c r="F1805" t="n">
        <v>1.9</v>
      </c>
      <c r="G1805" t="n">
        <v>56.65</v>
      </c>
      <c r="H1805" t="inlineStr">
        <is>
          <t>UPI</t>
        </is>
      </c>
      <c r="I1805" t="inlineStr">
        <is>
          <t>Success</t>
        </is>
      </c>
      <c r="J1805" t="inlineStr">
        <is>
          <t>Delivered</t>
        </is>
      </c>
      <c r="K1805" t="n">
        <v>0</v>
      </c>
      <c r="L1805" t="n">
        <v>0</v>
      </c>
      <c r="M1805" t="inlineStr">
        <is>
          <t>INR</t>
        </is>
      </c>
      <c r="N1805" t="inlineStr">
        <is>
          <t>2026-05-24 23:22:35</t>
        </is>
      </c>
    </row>
    <row r="1806">
      <c r="A1806" t="inlineStr">
        <is>
          <t>TXN00252119</t>
        </is>
      </c>
      <c r="B1806" t="inlineStr">
        <is>
          <t>MER00662</t>
        </is>
      </c>
      <c r="C1806" s="8" t="n">
        <v>46188</v>
      </c>
      <c r="D1806" t="inlineStr">
        <is>
          <t>ORD00252119</t>
        </is>
      </c>
      <c r="E1806" t="n">
        <v>2056.63</v>
      </c>
      <c r="F1806" t="n">
        <v>1.9</v>
      </c>
      <c r="G1806" t="n">
        <v>39.08</v>
      </c>
      <c r="H1806" t="inlineStr">
        <is>
          <t>UPI</t>
        </is>
      </c>
      <c r="I1806" t="inlineStr">
        <is>
          <t>Success</t>
        </is>
      </c>
      <c r="J1806" t="inlineStr">
        <is>
          <t>Delivered</t>
        </is>
      </c>
      <c r="K1806" t="n">
        <v>0</v>
      </c>
      <c r="L1806" t="n">
        <v>0</v>
      </c>
      <c r="M1806" t="inlineStr">
        <is>
          <t>INR</t>
        </is>
      </c>
      <c r="N1806" t="inlineStr">
        <is>
          <t>2026-06-15 07:32:47</t>
        </is>
      </c>
    </row>
    <row r="1807">
      <c r="A1807" t="inlineStr">
        <is>
          <t>TXN00253450</t>
        </is>
      </c>
      <c r="B1807" t="inlineStr">
        <is>
          <t>MER00662</t>
        </is>
      </c>
      <c r="C1807" s="8" t="n">
        <v>46191</v>
      </c>
      <c r="D1807" t="inlineStr">
        <is>
          <t>ORD00253450</t>
        </is>
      </c>
      <c r="E1807" t="n">
        <v>1389.77</v>
      </c>
      <c r="F1807" t="n">
        <v>1.9</v>
      </c>
      <c r="G1807" t="n">
        <v>26.41</v>
      </c>
      <c r="H1807" t="inlineStr">
        <is>
          <t>Card</t>
        </is>
      </c>
      <c r="I1807" t="inlineStr">
        <is>
          <t>Success</t>
        </is>
      </c>
      <c r="J1807" t="inlineStr">
        <is>
          <t>Returned</t>
        </is>
      </c>
      <c r="K1807" t="n">
        <v>1389.77</v>
      </c>
      <c r="L1807" t="n">
        <v>0</v>
      </c>
      <c r="M1807" t="inlineStr">
        <is>
          <t>INR</t>
        </is>
      </c>
      <c r="N1807" t="inlineStr">
        <is>
          <t>2026-06-18 05:01:18</t>
        </is>
      </c>
    </row>
    <row r="1808">
      <c r="A1808" t="inlineStr">
        <is>
          <t>TXN00254697</t>
        </is>
      </c>
      <c r="B1808" t="inlineStr">
        <is>
          <t>MER00662</t>
        </is>
      </c>
      <c r="C1808" s="8" t="n">
        <v>46194</v>
      </c>
      <c r="D1808" t="inlineStr">
        <is>
          <t>ORD00254697</t>
        </is>
      </c>
      <c r="E1808" t="n">
        <v>681.99</v>
      </c>
      <c r="F1808" t="n">
        <v>1.9</v>
      </c>
      <c r="G1808" t="n">
        <v>12.96</v>
      </c>
      <c r="H1808" t="inlineStr">
        <is>
          <t>UPI</t>
        </is>
      </c>
      <c r="I1808" t="inlineStr">
        <is>
          <t>Success</t>
        </is>
      </c>
      <c r="J1808" t="inlineStr">
        <is>
          <t>Delivered</t>
        </is>
      </c>
      <c r="K1808" t="n">
        <v>0</v>
      </c>
      <c r="L1808" t="n">
        <v>0</v>
      </c>
      <c r="M1808" t="inlineStr">
        <is>
          <t>INR</t>
        </is>
      </c>
      <c r="N1808" t="inlineStr">
        <is>
          <t>2026-06-21 04:47:19</t>
        </is>
      </c>
    </row>
    <row r="1809">
      <c r="A1809" t="inlineStr">
        <is>
          <t>TXN00255580</t>
        </is>
      </c>
      <c r="B1809" t="inlineStr">
        <is>
          <t>MER00662</t>
        </is>
      </c>
      <c r="C1809" s="8" t="n">
        <v>46197</v>
      </c>
      <c r="D1809" t="inlineStr">
        <is>
          <t>ORD00255580</t>
        </is>
      </c>
      <c r="E1809" t="n">
        <v>1185.5</v>
      </c>
      <c r="F1809" t="n">
        <v>1.9</v>
      </c>
      <c r="G1809" t="n">
        <v>22.52</v>
      </c>
      <c r="H1809" t="inlineStr">
        <is>
          <t>COD</t>
        </is>
      </c>
      <c r="I1809" t="inlineStr">
        <is>
          <t>Success</t>
        </is>
      </c>
      <c r="J1809" t="inlineStr">
        <is>
          <t>Returned</t>
        </is>
      </c>
      <c r="K1809" t="n">
        <v>1185.5</v>
      </c>
      <c r="L1809" t="n">
        <v>0</v>
      </c>
      <c r="M1809" t="inlineStr">
        <is>
          <t>INR</t>
        </is>
      </c>
      <c r="N1809" t="inlineStr">
        <is>
          <t>2026-06-24 15:24:54</t>
        </is>
      </c>
    </row>
    <row r="1810">
      <c r="A1810" t="inlineStr">
        <is>
          <t>TXN00256232</t>
        </is>
      </c>
      <c r="B1810" t="inlineStr">
        <is>
          <t>MER00662</t>
        </is>
      </c>
      <c r="C1810" s="8" t="n">
        <v>46198</v>
      </c>
      <c r="D1810" t="inlineStr">
        <is>
          <t>ORD00256232</t>
        </is>
      </c>
      <c r="E1810" t="n">
        <v>791.1799999999999</v>
      </c>
      <c r="F1810" t="n">
        <v>1.9</v>
      </c>
      <c r="G1810" t="n">
        <v>15.03</v>
      </c>
      <c r="H1810" t="inlineStr">
        <is>
          <t>UPI</t>
        </is>
      </c>
      <c r="I1810" t="inlineStr">
        <is>
          <t>Success</t>
        </is>
      </c>
      <c r="J1810" t="inlineStr">
        <is>
          <t>Delivered</t>
        </is>
      </c>
      <c r="K1810" t="n">
        <v>0</v>
      </c>
      <c r="L1810" t="n">
        <v>0</v>
      </c>
      <c r="M1810" t="inlineStr">
        <is>
          <t>INR</t>
        </is>
      </c>
      <c r="N1810" t="inlineStr">
        <is>
          <t>2026-06-25 06:34:06</t>
        </is>
      </c>
    </row>
    <row r="1811">
      <c r="A1811" t="inlineStr">
        <is>
          <t>TXN00258299</t>
        </is>
      </c>
      <c r="B1811" t="inlineStr">
        <is>
          <t>MER00662</t>
        </is>
      </c>
      <c r="C1811" s="8" t="n">
        <v>46203</v>
      </c>
      <c r="D1811" t="inlineStr">
        <is>
          <t>ORD00258299</t>
        </is>
      </c>
      <c r="E1811" t="n">
        <v>1025.79</v>
      </c>
      <c r="F1811" t="n">
        <v>1.9</v>
      </c>
      <c r="G1811" t="n">
        <v>19.49</v>
      </c>
      <c r="H1811" t="inlineStr">
        <is>
          <t>Wallet</t>
        </is>
      </c>
      <c r="I1811" t="inlineStr">
        <is>
          <t>Success</t>
        </is>
      </c>
      <c r="J1811" t="inlineStr">
        <is>
          <t>Delivered</t>
        </is>
      </c>
      <c r="K1811" t="n">
        <v>0</v>
      </c>
      <c r="L1811" t="n">
        <v>0</v>
      </c>
      <c r="M1811" t="inlineStr">
        <is>
          <t>INR</t>
        </is>
      </c>
      <c r="N1811" t="inlineStr">
        <is>
          <t>2026-06-30 22:51:56</t>
        </is>
      </c>
    </row>
    <row r="1812">
      <c r="A1812" t="inlineStr">
        <is>
          <t>TXN00258468</t>
        </is>
      </c>
      <c r="B1812" t="inlineStr">
        <is>
          <t>MER00662</t>
        </is>
      </c>
      <c r="C1812" s="8" t="n">
        <v>46204</v>
      </c>
      <c r="D1812" t="inlineStr">
        <is>
          <t>ORD00258468</t>
        </is>
      </c>
      <c r="E1812" t="n">
        <v>498.8</v>
      </c>
      <c r="F1812" t="n">
        <v>1.9</v>
      </c>
      <c r="G1812" t="n">
        <v>9.48</v>
      </c>
      <c r="H1812" t="inlineStr">
        <is>
          <t>UPI</t>
        </is>
      </c>
      <c r="I1812" t="inlineStr">
        <is>
          <t>Success</t>
        </is>
      </c>
      <c r="J1812" t="inlineStr">
        <is>
          <t>Delivered</t>
        </is>
      </c>
      <c r="K1812" t="n">
        <v>0</v>
      </c>
      <c r="L1812" t="n">
        <v>0</v>
      </c>
      <c r="M1812" t="inlineStr">
        <is>
          <t>INR</t>
        </is>
      </c>
      <c r="N1812" t="inlineStr">
        <is>
          <t>2026-07-01 18:01:45</t>
        </is>
      </c>
    </row>
    <row r="1813">
      <c r="A1813" t="inlineStr">
        <is>
          <t>TXN00259460</t>
        </is>
      </c>
      <c r="B1813" t="inlineStr">
        <is>
          <t>MER00662</t>
        </is>
      </c>
      <c r="C1813" s="8" t="n">
        <v>46206</v>
      </c>
      <c r="D1813" t="inlineStr">
        <is>
          <t>ORD00259460</t>
        </is>
      </c>
      <c r="E1813" t="n">
        <v>1441.04</v>
      </c>
      <c r="F1813" t="n">
        <v>1.9</v>
      </c>
      <c r="G1813" t="n">
        <v>27.38</v>
      </c>
      <c r="H1813" t="inlineStr">
        <is>
          <t>UPI</t>
        </is>
      </c>
      <c r="I1813" t="inlineStr">
        <is>
          <t>Success</t>
        </is>
      </c>
      <c r="J1813" t="inlineStr">
        <is>
          <t>Delivered</t>
        </is>
      </c>
      <c r="K1813" t="n">
        <v>0</v>
      </c>
      <c r="L1813" t="n">
        <v>0</v>
      </c>
      <c r="M1813" t="inlineStr">
        <is>
          <t>INR</t>
        </is>
      </c>
      <c r="N1813" t="inlineStr">
        <is>
          <t>2026-07-03 16:32:32</t>
        </is>
      </c>
    </row>
    <row r="1814">
      <c r="A1814" t="inlineStr">
        <is>
          <t>TXN00262708</t>
        </is>
      </c>
      <c r="B1814" t="inlineStr">
        <is>
          <t>MER00662</t>
        </is>
      </c>
      <c r="C1814" s="8" t="n">
        <v>46215</v>
      </c>
      <c r="D1814" t="inlineStr">
        <is>
          <t>ORD00262708</t>
        </is>
      </c>
      <c r="E1814" t="n">
        <v>1472.45</v>
      </c>
      <c r="F1814" t="n">
        <v>1.9</v>
      </c>
      <c r="G1814" t="n">
        <v>27.98</v>
      </c>
      <c r="H1814" t="inlineStr">
        <is>
          <t>UPI</t>
        </is>
      </c>
      <c r="I1814" t="inlineStr">
        <is>
          <t>Success</t>
        </is>
      </c>
      <c r="J1814" t="inlineStr">
        <is>
          <t>Delivered</t>
        </is>
      </c>
      <c r="K1814" t="n">
        <v>0</v>
      </c>
      <c r="L1814" t="n">
        <v>0</v>
      </c>
      <c r="M1814" t="inlineStr">
        <is>
          <t>INR</t>
        </is>
      </c>
      <c r="N1814" t="inlineStr">
        <is>
          <t>2026-07-12 04:41:22</t>
        </is>
      </c>
    </row>
    <row r="1815">
      <c r="A1815" t="inlineStr">
        <is>
          <t>TXN00262696</t>
        </is>
      </c>
      <c r="B1815" t="inlineStr">
        <is>
          <t>MER00662</t>
        </is>
      </c>
      <c r="C1815" s="8" t="n">
        <v>46215</v>
      </c>
      <c r="D1815" t="inlineStr">
        <is>
          <t>ORD00262696</t>
        </is>
      </c>
      <c r="E1815" t="n">
        <v>743.48</v>
      </c>
      <c r="F1815" t="n">
        <v>1.9</v>
      </c>
      <c r="G1815" t="n">
        <v>14.13</v>
      </c>
      <c r="H1815" t="inlineStr">
        <is>
          <t>UPI</t>
        </is>
      </c>
      <c r="I1815" t="inlineStr">
        <is>
          <t>Success</t>
        </is>
      </c>
      <c r="J1815" t="inlineStr">
        <is>
          <t>Returned</t>
        </is>
      </c>
      <c r="K1815" t="n">
        <v>270.37</v>
      </c>
      <c r="L1815" t="n">
        <v>0</v>
      </c>
      <c r="M1815" t="inlineStr">
        <is>
          <t>INR</t>
        </is>
      </c>
      <c r="N1815" t="inlineStr">
        <is>
          <t>2026-07-12 19:36:58</t>
        </is>
      </c>
    </row>
    <row r="1816">
      <c r="A1816" t="inlineStr">
        <is>
          <t>TXN00269660</t>
        </is>
      </c>
      <c r="B1816" t="inlineStr">
        <is>
          <t>MER00662</t>
        </is>
      </c>
      <c r="C1816" s="8" t="n">
        <v>46232</v>
      </c>
      <c r="D1816" t="inlineStr">
        <is>
          <t>ORD00269660</t>
        </is>
      </c>
      <c r="E1816" t="n">
        <v>1003.27</v>
      </c>
      <c r="F1816" t="n">
        <v>2.49</v>
      </c>
      <c r="G1816" t="n">
        <v>19.06</v>
      </c>
      <c r="H1816" t="inlineStr">
        <is>
          <t>Card</t>
        </is>
      </c>
      <c r="I1816" t="inlineStr">
        <is>
          <t>Success</t>
        </is>
      </c>
      <c r="J1816" t="inlineStr">
        <is>
          <t>Returned</t>
        </is>
      </c>
      <c r="K1816" t="n">
        <v>1003.27</v>
      </c>
      <c r="L1816" t="n">
        <v>0</v>
      </c>
      <c r="M1816" t="inlineStr">
        <is>
          <t>INR</t>
        </is>
      </c>
      <c r="N1816" t="inlineStr">
        <is>
          <t>2026-07-29 20:37:59</t>
        </is>
      </c>
    </row>
    <row r="1817">
      <c r="A1817" t="inlineStr">
        <is>
          <t>TXN00270247</t>
        </is>
      </c>
      <c r="B1817" t="inlineStr">
        <is>
          <t>MER00662</t>
        </is>
      </c>
      <c r="C1817" s="8" t="n">
        <v>46234</v>
      </c>
      <c r="D1817" t="inlineStr">
        <is>
          <t>ORD00270247</t>
        </is>
      </c>
      <c r="E1817" t="n">
        <v>1843.11</v>
      </c>
      <c r="F1817" t="n">
        <v>1.9</v>
      </c>
      <c r="G1817" t="n">
        <v>35.02</v>
      </c>
      <c r="H1817" t="inlineStr">
        <is>
          <t>UPI</t>
        </is>
      </c>
      <c r="I1817" t="inlineStr">
        <is>
          <t>Success</t>
        </is>
      </c>
      <c r="J1817" t="inlineStr">
        <is>
          <t>Processing</t>
        </is>
      </c>
      <c r="K1817" t="n">
        <v>0</v>
      </c>
      <c r="L1817" t="n">
        <v>0</v>
      </c>
      <c r="M1817" t="inlineStr">
        <is>
          <t>INR</t>
        </is>
      </c>
      <c r="N1817" t="inlineStr">
        <is>
          <t>2026-07-31 15:26:29</t>
        </is>
      </c>
    </row>
    <row r="1818">
      <c r="A1818" t="inlineStr">
        <is>
          <t>TXN00008462</t>
        </is>
      </c>
      <c r="B1818" t="inlineStr">
        <is>
          <t>MER00707</t>
        </is>
      </c>
      <c r="C1818" s="8" t="n">
        <v>45539</v>
      </c>
      <c r="D1818" t="inlineStr">
        <is>
          <t>ORD00008462</t>
        </is>
      </c>
      <c r="E1818" t="n">
        <v>3527.64</v>
      </c>
      <c r="F1818" t="n">
        <v>2.23</v>
      </c>
      <c r="G1818" t="n">
        <v>78.67</v>
      </c>
      <c r="H1818" t="inlineStr">
        <is>
          <t>UPI</t>
        </is>
      </c>
      <c r="I1818" t="inlineStr">
        <is>
          <t>Success</t>
        </is>
      </c>
      <c r="J1818" t="inlineStr">
        <is>
          <t>Delivered</t>
        </is>
      </c>
      <c r="K1818" t="n">
        <v>0</v>
      </c>
      <c r="L1818" t="n">
        <v>0</v>
      </c>
      <c r="M1818" t="inlineStr">
        <is>
          <t>INR</t>
        </is>
      </c>
      <c r="N1818" t="inlineStr">
        <is>
          <t>2024-09-04 02:34:39</t>
        </is>
      </c>
    </row>
    <row r="1819">
      <c r="A1819" t="inlineStr">
        <is>
          <t>TXN00009864</t>
        </is>
      </c>
      <c r="B1819" t="inlineStr">
        <is>
          <t>MER00707</t>
        </is>
      </c>
      <c r="C1819" s="8" t="n">
        <v>45544</v>
      </c>
      <c r="D1819" t="inlineStr">
        <is>
          <t>ORD00009864</t>
        </is>
      </c>
      <c r="E1819" t="n">
        <v>3446.09</v>
      </c>
      <c r="F1819" t="n">
        <v>2.23</v>
      </c>
      <c r="G1819" t="n">
        <v>76.84999999999999</v>
      </c>
      <c r="H1819" t="inlineStr">
        <is>
          <t>UPI</t>
        </is>
      </c>
      <c r="I1819" t="inlineStr">
        <is>
          <t>Success</t>
        </is>
      </c>
      <c r="J1819" t="inlineStr">
        <is>
          <t>Cancelled</t>
        </is>
      </c>
      <c r="K1819" t="n">
        <v>3359.93</v>
      </c>
      <c r="L1819" t="n">
        <v>0</v>
      </c>
      <c r="M1819" t="inlineStr">
        <is>
          <t>INR</t>
        </is>
      </c>
      <c r="N1819" t="inlineStr">
        <is>
          <t>2024-09-09 20:36:13</t>
        </is>
      </c>
    </row>
    <row r="1820">
      <c r="A1820" t="inlineStr">
        <is>
          <t>TXN00020824</t>
        </is>
      </c>
      <c r="B1820" t="inlineStr">
        <is>
          <t>MER00707</t>
        </is>
      </c>
      <c r="C1820" s="8" t="n">
        <v>45578</v>
      </c>
      <c r="D1820" t="inlineStr">
        <is>
          <t>ORD00020824</t>
        </is>
      </c>
      <c r="E1820" t="n">
        <v>2693.37</v>
      </c>
      <c r="F1820" t="n">
        <v>2.23</v>
      </c>
      <c r="G1820" t="n">
        <v>60.06</v>
      </c>
      <c r="H1820" t="inlineStr">
        <is>
          <t>NetBanking</t>
        </is>
      </c>
      <c r="I1820" t="inlineStr">
        <is>
          <t>Success</t>
        </is>
      </c>
      <c r="J1820" t="inlineStr">
        <is>
          <t>Delivered</t>
        </is>
      </c>
      <c r="K1820" t="n">
        <v>0</v>
      </c>
      <c r="L1820" t="n">
        <v>0</v>
      </c>
      <c r="M1820" t="inlineStr">
        <is>
          <t>INR</t>
        </is>
      </c>
      <c r="N1820" t="inlineStr">
        <is>
          <t>2024-10-13 13:49:49</t>
        </is>
      </c>
    </row>
    <row r="1821">
      <c r="A1821" t="inlineStr">
        <is>
          <t>TXN00026376</t>
        </is>
      </c>
      <c r="B1821" t="inlineStr">
        <is>
          <t>MER00707</t>
        </is>
      </c>
      <c r="C1821" s="8" t="n">
        <v>45592</v>
      </c>
      <c r="D1821" t="inlineStr">
        <is>
          <t>ORD00026376</t>
        </is>
      </c>
      <c r="E1821" t="n">
        <v>2623.91</v>
      </c>
      <c r="F1821" t="n">
        <v>2.23</v>
      </c>
      <c r="G1821" t="n">
        <v>58.51</v>
      </c>
      <c r="H1821" t="inlineStr">
        <is>
          <t>UPI</t>
        </is>
      </c>
      <c r="I1821" t="inlineStr">
        <is>
          <t>Success</t>
        </is>
      </c>
      <c r="J1821" t="inlineStr">
        <is>
          <t>Delivered</t>
        </is>
      </c>
      <c r="K1821" t="n">
        <v>0</v>
      </c>
      <c r="L1821" t="n">
        <v>0</v>
      </c>
      <c r="M1821" t="inlineStr">
        <is>
          <t>INR</t>
        </is>
      </c>
      <c r="N1821" t="inlineStr">
        <is>
          <t>2024-10-27 10:25:45</t>
        </is>
      </c>
    </row>
    <row r="1822">
      <c r="A1822" t="inlineStr">
        <is>
          <t>TXN00032770</t>
        </is>
      </c>
      <c r="B1822" t="inlineStr">
        <is>
          <t>MER00707</t>
        </is>
      </c>
      <c r="C1822" s="8" t="n">
        <v>45607</v>
      </c>
      <c r="D1822" t="inlineStr">
        <is>
          <t>ORD00032770</t>
        </is>
      </c>
      <c r="E1822" t="n">
        <v>4725.67</v>
      </c>
      <c r="F1822" t="n">
        <v>2.23</v>
      </c>
      <c r="G1822" t="n">
        <v>105.38</v>
      </c>
      <c r="H1822" t="inlineStr">
        <is>
          <t>NetBanking</t>
        </is>
      </c>
      <c r="I1822" t="inlineStr">
        <is>
          <t>Success</t>
        </is>
      </c>
      <c r="J1822" t="inlineStr">
        <is>
          <t>Delivered</t>
        </is>
      </c>
      <c r="K1822" t="n">
        <v>0</v>
      </c>
      <c r="L1822" t="n">
        <v>0</v>
      </c>
      <c r="M1822" t="inlineStr">
        <is>
          <t>INR</t>
        </is>
      </c>
      <c r="N1822" t="inlineStr">
        <is>
          <t>2024-11-11 16:53:39</t>
        </is>
      </c>
    </row>
    <row r="1823">
      <c r="A1823" t="inlineStr">
        <is>
          <t>TXN00065442</t>
        </is>
      </c>
      <c r="B1823" t="inlineStr">
        <is>
          <t>MER00707</t>
        </is>
      </c>
      <c r="C1823" s="8" t="n">
        <v>45696</v>
      </c>
      <c r="D1823" t="inlineStr">
        <is>
          <t>ORD00065442</t>
        </is>
      </c>
      <c r="E1823" t="n">
        <v>4788.25</v>
      </c>
      <c r="F1823" t="n">
        <v>2.14</v>
      </c>
      <c r="G1823" t="n">
        <v>102.47</v>
      </c>
      <c r="H1823" t="inlineStr">
        <is>
          <t>Wallet</t>
        </is>
      </c>
      <c r="I1823" t="inlineStr">
        <is>
          <t>Success</t>
        </is>
      </c>
      <c r="J1823" t="inlineStr">
        <is>
          <t>Delivered</t>
        </is>
      </c>
      <c r="K1823" t="n">
        <v>0</v>
      </c>
      <c r="L1823" t="n">
        <v>0</v>
      </c>
      <c r="M1823" t="inlineStr">
        <is>
          <t>INR</t>
        </is>
      </c>
      <c r="N1823" t="inlineStr">
        <is>
          <t>2025-02-08 19:46:35</t>
        </is>
      </c>
    </row>
    <row r="1824">
      <c r="A1824" t="inlineStr">
        <is>
          <t>TXN00073075</t>
        </is>
      </c>
      <c r="B1824" t="inlineStr">
        <is>
          <t>MER00707</t>
        </is>
      </c>
      <c r="C1824" s="8" t="n">
        <v>45719</v>
      </c>
      <c r="D1824" t="inlineStr">
        <is>
          <t>ORD00073075</t>
        </is>
      </c>
      <c r="E1824" t="n">
        <v>4631.87</v>
      </c>
      <c r="F1824" t="n">
        <v>2.14</v>
      </c>
      <c r="G1824" t="n">
        <v>99.12</v>
      </c>
      <c r="H1824" t="inlineStr">
        <is>
          <t>NetBanking</t>
        </is>
      </c>
      <c r="I1824" t="inlineStr">
        <is>
          <t>Success</t>
        </is>
      </c>
      <c r="J1824" t="inlineStr">
        <is>
          <t>Delivered</t>
        </is>
      </c>
      <c r="K1824" t="n">
        <v>0</v>
      </c>
      <c r="L1824" t="n">
        <v>0</v>
      </c>
      <c r="M1824" t="inlineStr">
        <is>
          <t>INR</t>
        </is>
      </c>
      <c r="N1824" t="inlineStr">
        <is>
          <t>2025-03-03 22:45:40</t>
        </is>
      </c>
    </row>
    <row r="1825">
      <c r="A1825" t="inlineStr">
        <is>
          <t>TXN00076454</t>
        </is>
      </c>
      <c r="B1825" t="inlineStr">
        <is>
          <t>MER00707</t>
        </is>
      </c>
      <c r="C1825" s="8" t="n">
        <v>45730</v>
      </c>
      <c r="D1825" t="inlineStr">
        <is>
          <t>ORD00076454</t>
        </is>
      </c>
      <c r="E1825" t="n">
        <v>9897.27</v>
      </c>
      <c r="F1825" t="n">
        <v>2.14</v>
      </c>
      <c r="G1825" t="n">
        <v>211.8</v>
      </c>
      <c r="H1825" t="inlineStr">
        <is>
          <t>UPI</t>
        </is>
      </c>
      <c r="I1825" t="inlineStr">
        <is>
          <t>Success</t>
        </is>
      </c>
      <c r="J1825" t="inlineStr">
        <is>
          <t>Delivered</t>
        </is>
      </c>
      <c r="K1825" t="n">
        <v>0</v>
      </c>
      <c r="L1825" t="n">
        <v>1321.82</v>
      </c>
      <c r="M1825" t="inlineStr">
        <is>
          <t>INR</t>
        </is>
      </c>
      <c r="N1825" t="inlineStr">
        <is>
          <t>2025-03-14 08:05:23</t>
        </is>
      </c>
    </row>
    <row r="1826">
      <c r="A1826" t="inlineStr">
        <is>
          <t>TXN00081964</t>
        </is>
      </c>
      <c r="B1826" t="inlineStr">
        <is>
          <t>MER00707</t>
        </is>
      </c>
      <c r="C1826" s="8" t="n">
        <v>45747</v>
      </c>
      <c r="D1826" t="inlineStr">
        <is>
          <t>ORD00081964</t>
        </is>
      </c>
      <c r="E1826" t="n">
        <v>4443.72</v>
      </c>
      <c r="F1826" t="n">
        <v>2.14</v>
      </c>
      <c r="G1826" t="n">
        <v>95.09999999999999</v>
      </c>
      <c r="H1826" t="inlineStr">
        <is>
          <t>Card</t>
        </is>
      </c>
      <c r="I1826" t="inlineStr">
        <is>
          <t>Success</t>
        </is>
      </c>
      <c r="J1826" t="inlineStr">
        <is>
          <t>Returned</t>
        </is>
      </c>
      <c r="K1826" t="n">
        <v>4443.72</v>
      </c>
      <c r="L1826" t="n">
        <v>0</v>
      </c>
      <c r="M1826" t="inlineStr">
        <is>
          <t>INR</t>
        </is>
      </c>
      <c r="N1826" t="inlineStr">
        <is>
          <t>2025-03-31 03:01:52</t>
        </is>
      </c>
    </row>
    <row r="1827">
      <c r="A1827" t="inlineStr">
        <is>
          <t>TXN00089880</t>
        </is>
      </c>
      <c r="B1827" t="inlineStr">
        <is>
          <t>MER00707</t>
        </is>
      </c>
      <c r="C1827" s="8" t="n">
        <v>45771</v>
      </c>
      <c r="D1827" t="inlineStr">
        <is>
          <t>ORD00089880</t>
        </is>
      </c>
      <c r="E1827" t="n">
        <v>6076.7</v>
      </c>
      <c r="F1827" t="n">
        <v>2.14</v>
      </c>
      <c r="G1827" t="n">
        <v>130.04</v>
      </c>
      <c r="H1827" t="inlineStr">
        <is>
          <t>UPI</t>
        </is>
      </c>
      <c r="I1827" t="inlineStr">
        <is>
          <t>Success</t>
        </is>
      </c>
      <c r="J1827" t="inlineStr">
        <is>
          <t>Returned</t>
        </is>
      </c>
      <c r="K1827" t="n">
        <v>4179.21</v>
      </c>
      <c r="L1827" t="n">
        <v>0</v>
      </c>
      <c r="M1827" t="inlineStr">
        <is>
          <t>INR</t>
        </is>
      </c>
      <c r="N1827" t="inlineStr">
        <is>
          <t>2025-04-24 04:58:02</t>
        </is>
      </c>
    </row>
    <row r="1828">
      <c r="A1828" t="inlineStr">
        <is>
          <t>TXN00097429</t>
        </is>
      </c>
      <c r="B1828" t="inlineStr">
        <is>
          <t>MER00707</t>
        </is>
      </c>
      <c r="C1828" s="8" t="n">
        <v>45794</v>
      </c>
      <c r="D1828" t="inlineStr">
        <is>
          <t>ORD00097429</t>
        </is>
      </c>
      <c r="E1828" t="n">
        <v>2394.28</v>
      </c>
      <c r="F1828" t="n">
        <v>2.14</v>
      </c>
      <c r="G1828" t="n">
        <v>51.24</v>
      </c>
      <c r="H1828" t="inlineStr">
        <is>
          <t>NetBanking</t>
        </is>
      </c>
      <c r="I1828" t="inlineStr">
        <is>
          <t>Success</t>
        </is>
      </c>
      <c r="J1828" t="inlineStr">
        <is>
          <t>Delivered</t>
        </is>
      </c>
      <c r="K1828" t="n">
        <v>0</v>
      </c>
      <c r="L1828" t="n">
        <v>0</v>
      </c>
      <c r="M1828" t="inlineStr">
        <is>
          <t>INR</t>
        </is>
      </c>
      <c r="N1828" t="inlineStr">
        <is>
          <t>2025-05-17 01:33:03</t>
        </is>
      </c>
    </row>
    <row r="1829">
      <c r="A1829" t="inlineStr">
        <is>
          <t>TXN00110000</t>
        </is>
      </c>
      <c r="B1829" t="inlineStr">
        <is>
          <t>MER00707</t>
        </is>
      </c>
      <c r="C1829" s="8" t="n">
        <v>45831</v>
      </c>
      <c r="D1829" t="inlineStr">
        <is>
          <t>ORD00110000</t>
        </is>
      </c>
      <c r="E1829" t="n">
        <v>2182.31</v>
      </c>
      <c r="F1829" t="n">
        <v>2.14</v>
      </c>
      <c r="G1829" t="n">
        <v>46.7</v>
      </c>
      <c r="H1829" t="inlineStr">
        <is>
          <t>Card</t>
        </is>
      </c>
      <c r="I1829" t="inlineStr">
        <is>
          <t>Unknown</t>
        </is>
      </c>
      <c r="J1829" t="inlineStr">
        <is>
          <t>Delivered</t>
        </is>
      </c>
      <c r="K1829" t="n">
        <v>0</v>
      </c>
      <c r="L1829" t="n">
        <v>0</v>
      </c>
      <c r="M1829" t="inlineStr">
        <is>
          <t>INR</t>
        </is>
      </c>
      <c r="N1829" t="inlineStr">
        <is>
          <t>2025-06-23 02:14:46</t>
        </is>
      </c>
    </row>
    <row r="1830">
      <c r="A1830" t="inlineStr">
        <is>
          <t>TXN00112215</t>
        </is>
      </c>
      <c r="B1830" t="inlineStr">
        <is>
          <t>MER00707</t>
        </is>
      </c>
      <c r="C1830" s="8" t="n">
        <v>45838</v>
      </c>
      <c r="D1830" t="inlineStr">
        <is>
          <t>ORD00112215</t>
        </is>
      </c>
      <c r="E1830" t="n">
        <v>8319.83</v>
      </c>
      <c r="F1830" t="n">
        <v>2.14</v>
      </c>
      <c r="G1830" t="n">
        <v>178.04</v>
      </c>
      <c r="H1830" t="inlineStr">
        <is>
          <t>Card</t>
        </is>
      </c>
      <c r="I1830" t="inlineStr">
        <is>
          <t>Pending</t>
        </is>
      </c>
      <c r="J1830" t="inlineStr">
        <is>
          <t>Processing</t>
        </is>
      </c>
      <c r="K1830" t="n">
        <v>0</v>
      </c>
      <c r="L1830" t="n">
        <v>0</v>
      </c>
      <c r="M1830" t="inlineStr">
        <is>
          <t>INR</t>
        </is>
      </c>
      <c r="N1830" t="inlineStr">
        <is>
          <t>2025-06-30 03:01:15</t>
        </is>
      </c>
    </row>
    <row r="1831">
      <c r="A1831" t="inlineStr">
        <is>
          <t>TXN00120353</t>
        </is>
      </c>
      <c r="B1831" t="inlineStr">
        <is>
          <t>MER00707</t>
        </is>
      </c>
      <c r="C1831" s="8" t="n">
        <v>45863</v>
      </c>
      <c r="D1831" t="inlineStr">
        <is>
          <t>ORD00120353</t>
        </is>
      </c>
      <c r="E1831" t="n">
        <v>14788.7</v>
      </c>
      <c r="F1831" t="n">
        <v>2.14</v>
      </c>
      <c r="G1831" t="n">
        <v>316.48</v>
      </c>
      <c r="H1831" t="inlineStr">
        <is>
          <t>UPI</t>
        </is>
      </c>
      <c r="I1831" t="inlineStr">
        <is>
          <t>Success</t>
        </is>
      </c>
      <c r="J1831" t="inlineStr">
        <is>
          <t>Delivered</t>
        </is>
      </c>
      <c r="K1831" t="n">
        <v>0</v>
      </c>
      <c r="L1831" t="n">
        <v>0</v>
      </c>
      <c r="M1831" t="inlineStr">
        <is>
          <t>INR</t>
        </is>
      </c>
      <c r="N1831" t="inlineStr">
        <is>
          <t>2025-07-25 16:44:50</t>
        </is>
      </c>
    </row>
    <row r="1832">
      <c r="A1832" t="inlineStr">
        <is>
          <t>TXN00126715</t>
        </is>
      </c>
      <c r="B1832" t="inlineStr">
        <is>
          <t>MER00707</t>
        </is>
      </c>
      <c r="C1832" s="8" t="n">
        <v>45882</v>
      </c>
      <c r="D1832" t="inlineStr">
        <is>
          <t>ORD00126715</t>
        </is>
      </c>
      <c r="E1832" t="n">
        <v>5628.25</v>
      </c>
      <c r="F1832" t="n">
        <v>2.14</v>
      </c>
      <c r="G1832" t="n">
        <v>120.44</v>
      </c>
      <c r="H1832" t="inlineStr">
        <is>
          <t>Wallet</t>
        </is>
      </c>
      <c r="I1832" t="inlineStr">
        <is>
          <t>Success</t>
        </is>
      </c>
      <c r="J1832" t="inlineStr">
        <is>
          <t>Delivered</t>
        </is>
      </c>
      <c r="K1832" t="n">
        <v>0</v>
      </c>
      <c r="L1832" t="n">
        <v>0</v>
      </c>
      <c r="M1832" t="inlineStr">
        <is>
          <t>INR</t>
        </is>
      </c>
      <c r="N1832" t="inlineStr">
        <is>
          <t>2025-08-13 23:31:56</t>
        </is>
      </c>
    </row>
    <row r="1833">
      <c r="A1833" t="inlineStr">
        <is>
          <t>TXN00140468</t>
        </is>
      </c>
      <c r="B1833" t="inlineStr">
        <is>
          <t>MER00707</t>
        </is>
      </c>
      <c r="C1833" s="8" t="n">
        <v>45922</v>
      </c>
      <c r="D1833" t="inlineStr">
        <is>
          <t>ORD00140468</t>
        </is>
      </c>
      <c r="E1833" t="n">
        <v>2997.07</v>
      </c>
      <c r="F1833" t="n">
        <v>2.14</v>
      </c>
      <c r="G1833" t="n">
        <v>64.14</v>
      </c>
      <c r="H1833" t="inlineStr">
        <is>
          <t>UPI</t>
        </is>
      </c>
      <c r="I1833" t="inlineStr">
        <is>
          <t>Success</t>
        </is>
      </c>
      <c r="J1833" t="inlineStr">
        <is>
          <t>Processing</t>
        </is>
      </c>
      <c r="K1833" t="n">
        <v>0</v>
      </c>
      <c r="L1833" t="n">
        <v>0</v>
      </c>
      <c r="M1833" t="inlineStr">
        <is>
          <t>INR</t>
        </is>
      </c>
      <c r="N1833" t="inlineStr">
        <is>
          <t>2025-09-22 21:14:39</t>
        </is>
      </c>
    </row>
    <row r="1834">
      <c r="A1834" t="inlineStr">
        <is>
          <t>TXN00142227</t>
        </is>
      </c>
      <c r="B1834" t="inlineStr">
        <is>
          <t>MER00707</t>
        </is>
      </c>
      <c r="C1834" s="8" t="n">
        <v>45927</v>
      </c>
      <c r="D1834" t="inlineStr">
        <is>
          <t>ORD00142227</t>
        </is>
      </c>
      <c r="E1834" t="n">
        <v>5798.58</v>
      </c>
      <c r="F1834" t="n">
        <v>2.14</v>
      </c>
      <c r="G1834" t="n">
        <v>124.09</v>
      </c>
      <c r="H1834" t="inlineStr">
        <is>
          <t>UPI</t>
        </is>
      </c>
      <c r="I1834" t="inlineStr">
        <is>
          <t>Success</t>
        </is>
      </c>
      <c r="J1834" t="inlineStr">
        <is>
          <t>Returned</t>
        </is>
      </c>
      <c r="K1834" t="n">
        <v>2750.53</v>
      </c>
      <c r="L1834" t="n">
        <v>946.62</v>
      </c>
      <c r="M1834" t="inlineStr">
        <is>
          <t>INR</t>
        </is>
      </c>
      <c r="N1834" t="inlineStr">
        <is>
          <t>2025-09-27 17:54:48</t>
        </is>
      </c>
    </row>
    <row r="1835">
      <c r="A1835" t="inlineStr">
        <is>
          <t>TXN00143239</t>
        </is>
      </c>
      <c r="B1835" t="inlineStr">
        <is>
          <t>MER00707</t>
        </is>
      </c>
      <c r="C1835" s="8" t="n">
        <v>45930</v>
      </c>
      <c r="D1835" t="inlineStr">
        <is>
          <t>ORD00143239</t>
        </is>
      </c>
      <c r="E1835" t="n">
        <v>5256.04</v>
      </c>
      <c r="F1835" t="n">
        <v>2.14</v>
      </c>
      <c r="G1835" t="n">
        <v>112.48</v>
      </c>
      <c r="H1835" t="inlineStr">
        <is>
          <t>Wallet</t>
        </is>
      </c>
      <c r="I1835" t="inlineStr">
        <is>
          <t>Success</t>
        </is>
      </c>
      <c r="J1835" t="inlineStr">
        <is>
          <t>Delivered</t>
        </is>
      </c>
      <c r="K1835" t="n">
        <v>0</v>
      </c>
      <c r="L1835" t="n">
        <v>0</v>
      </c>
      <c r="M1835" t="inlineStr">
        <is>
          <t>INR</t>
        </is>
      </c>
      <c r="N1835" t="inlineStr">
        <is>
          <t>2025-09-30 15:05:17</t>
        </is>
      </c>
    </row>
    <row r="1836">
      <c r="A1836" t="inlineStr">
        <is>
          <t>TXN00178854</t>
        </is>
      </c>
      <c r="B1836" t="inlineStr">
        <is>
          <t>MER00707</t>
        </is>
      </c>
      <c r="C1836" s="8" t="n">
        <v>46003</v>
      </c>
      <c r="D1836" t="inlineStr">
        <is>
          <t>ORD00178854</t>
        </is>
      </c>
      <c r="E1836" t="n">
        <v>6376.14</v>
      </c>
      <c r="F1836" t="n">
        <v>2.14</v>
      </c>
      <c r="G1836" t="n">
        <v>136.45</v>
      </c>
      <c r="H1836" t="inlineStr">
        <is>
          <t>NetBanking</t>
        </is>
      </c>
      <c r="I1836" t="inlineStr">
        <is>
          <t>Success</t>
        </is>
      </c>
      <c r="J1836" t="inlineStr">
        <is>
          <t>Delivered</t>
        </is>
      </c>
      <c r="K1836" t="n">
        <v>0</v>
      </c>
      <c r="L1836" t="n">
        <v>1232.03</v>
      </c>
      <c r="M1836" t="inlineStr">
        <is>
          <t>INR</t>
        </is>
      </c>
      <c r="N1836" t="inlineStr">
        <is>
          <t>2025-12-12 09:03:22</t>
        </is>
      </c>
    </row>
    <row r="1837">
      <c r="A1837" t="inlineStr">
        <is>
          <t>TXN00205573</t>
        </is>
      </c>
      <c r="B1837" t="inlineStr">
        <is>
          <t>MER00707</t>
        </is>
      </c>
      <c r="C1837" s="8" t="n">
        <v>46066</v>
      </c>
      <c r="D1837" t="inlineStr">
        <is>
          <t>ORD00205573</t>
        </is>
      </c>
      <c r="E1837" t="n">
        <v>4533.77</v>
      </c>
      <c r="F1837" t="n">
        <v>2.14</v>
      </c>
      <c r="G1837" t="n">
        <v>97.02</v>
      </c>
      <c r="H1837" t="inlineStr">
        <is>
          <t>Card</t>
        </is>
      </c>
      <c r="I1837" t="inlineStr">
        <is>
          <t>Success</t>
        </is>
      </c>
      <c r="J1837" t="inlineStr">
        <is>
          <t>Processing</t>
        </is>
      </c>
      <c r="K1837" t="n">
        <v>0</v>
      </c>
      <c r="L1837" t="n">
        <v>0</v>
      </c>
      <c r="M1837" t="inlineStr">
        <is>
          <t>INR</t>
        </is>
      </c>
      <c r="N1837" t="inlineStr">
        <is>
          <t>2026-02-13 15:28:57</t>
        </is>
      </c>
    </row>
    <row r="1838">
      <c r="A1838" t="inlineStr">
        <is>
          <t>TXN00215840</t>
        </is>
      </c>
      <c r="B1838" t="inlineStr">
        <is>
          <t>MER00707</t>
        </is>
      </c>
      <c r="C1838" s="8" t="n">
        <v>46093</v>
      </c>
      <c r="D1838" t="inlineStr">
        <is>
          <t>ORD00215840</t>
        </is>
      </c>
      <c r="E1838" t="n">
        <v>4181.33</v>
      </c>
      <c r="F1838" t="n">
        <v>2.14</v>
      </c>
      <c r="G1838" t="n">
        <v>89.48</v>
      </c>
      <c r="H1838" t="inlineStr">
        <is>
          <t>Card</t>
        </is>
      </c>
      <c r="I1838" t="inlineStr">
        <is>
          <t>Success</t>
        </is>
      </c>
      <c r="J1838" t="inlineStr">
        <is>
          <t>Delivered</t>
        </is>
      </c>
      <c r="K1838" t="n">
        <v>0</v>
      </c>
      <c r="L1838" t="n">
        <v>0</v>
      </c>
      <c r="M1838" t="inlineStr">
        <is>
          <t>INR</t>
        </is>
      </c>
      <c r="N1838" t="inlineStr">
        <is>
          <t>2026-03-12 21:26:12</t>
        </is>
      </c>
    </row>
    <row r="1839">
      <c r="A1839" t="inlineStr">
        <is>
          <t>TXN00259146</t>
        </is>
      </c>
      <c r="B1839" t="inlineStr">
        <is>
          <t>MER00707</t>
        </is>
      </c>
      <c r="C1839" s="8" t="n">
        <v>46205</v>
      </c>
      <c r="D1839" t="inlineStr">
        <is>
          <t>ORD00259146</t>
        </is>
      </c>
      <c r="E1839" t="n">
        <v>5559.49</v>
      </c>
      <c r="F1839" t="n">
        <v>2.14</v>
      </c>
      <c r="G1839" t="n">
        <v>118.97</v>
      </c>
      <c r="H1839" t="inlineStr">
        <is>
          <t>UPI</t>
        </is>
      </c>
      <c r="I1839" t="inlineStr">
        <is>
          <t>Success</t>
        </is>
      </c>
      <c r="J1839" t="inlineStr">
        <is>
          <t>Delivered</t>
        </is>
      </c>
      <c r="K1839" t="n">
        <v>0</v>
      </c>
      <c r="L1839" t="n">
        <v>667.77</v>
      </c>
      <c r="M1839" t="inlineStr">
        <is>
          <t>INR</t>
        </is>
      </c>
      <c r="N1839" t="inlineStr">
        <is>
          <t>2026-07-02 06:43:48</t>
        </is>
      </c>
    </row>
    <row r="1840">
      <c r="A1840" t="inlineStr">
        <is>
          <t>TXN00263717</t>
        </is>
      </c>
      <c r="B1840" t="inlineStr">
        <is>
          <t>MER00707</t>
        </is>
      </c>
      <c r="C1840" s="8" t="n">
        <v>46217</v>
      </c>
      <c r="D1840" t="inlineStr">
        <is>
          <t>ORD00263717</t>
        </is>
      </c>
      <c r="E1840" t="n">
        <v>8054.12</v>
      </c>
      <c r="F1840" t="n">
        <v>2.14</v>
      </c>
      <c r="G1840" t="n">
        <v>172.36</v>
      </c>
      <c r="H1840" t="inlineStr">
        <is>
          <t>UPI</t>
        </is>
      </c>
      <c r="I1840" t="inlineStr">
        <is>
          <t>Success</t>
        </is>
      </c>
      <c r="J1840" t="inlineStr">
        <is>
          <t>Delivered</t>
        </is>
      </c>
      <c r="K1840" t="n">
        <v>0</v>
      </c>
      <c r="L1840" t="n">
        <v>0</v>
      </c>
      <c r="M1840" t="inlineStr">
        <is>
          <t>INR</t>
        </is>
      </c>
      <c r="N1840" t="inlineStr">
        <is>
          <t>2026-07-14 04:19:44</t>
        </is>
      </c>
    </row>
    <row r="1841">
      <c r="A1841" t="inlineStr">
        <is>
          <t>TXN00022835</t>
        </is>
      </c>
      <c r="B1841" t="inlineStr">
        <is>
          <t>MER00708</t>
        </is>
      </c>
      <c r="C1841" s="8" t="n">
        <v>45583</v>
      </c>
      <c r="D1841" t="inlineStr">
        <is>
          <t>ORD00022835</t>
        </is>
      </c>
      <c r="E1841" t="n">
        <v>1420.72</v>
      </c>
      <c r="F1841" t="n">
        <v>3.23</v>
      </c>
      <c r="G1841" t="n">
        <v>45.89</v>
      </c>
      <c r="H1841" t="inlineStr">
        <is>
          <t>UPI</t>
        </is>
      </c>
      <c r="I1841" t="inlineStr">
        <is>
          <t>Pending</t>
        </is>
      </c>
      <c r="J1841" t="inlineStr">
        <is>
          <t>Processing</t>
        </is>
      </c>
      <c r="K1841" t="n">
        <v>0</v>
      </c>
      <c r="L1841" t="n">
        <v>0</v>
      </c>
      <c r="M1841" t="inlineStr">
        <is>
          <t>INR</t>
        </is>
      </c>
      <c r="N1841" t="inlineStr">
        <is>
          <t>2024-10-18 23:31:38</t>
        </is>
      </c>
    </row>
    <row r="1842">
      <c r="A1842" t="inlineStr">
        <is>
          <t>TXN00024773</t>
        </is>
      </c>
      <c r="B1842" t="inlineStr">
        <is>
          <t>MER00708</t>
        </is>
      </c>
      <c r="C1842" s="8" t="n">
        <v>45588</v>
      </c>
      <c r="D1842" t="inlineStr">
        <is>
          <t>ORD00024773</t>
        </is>
      </c>
      <c r="E1842" t="n">
        <v>959.72</v>
      </c>
      <c r="F1842" t="n">
        <v>3.23</v>
      </c>
      <c r="G1842" t="n">
        <v>31</v>
      </c>
      <c r="H1842" t="inlineStr">
        <is>
          <t>UPI</t>
        </is>
      </c>
      <c r="I1842" t="inlineStr">
        <is>
          <t>Success</t>
        </is>
      </c>
      <c r="J1842" t="inlineStr">
        <is>
          <t>Delivered</t>
        </is>
      </c>
      <c r="K1842" t="n">
        <v>0</v>
      </c>
      <c r="L1842" t="n">
        <v>0</v>
      </c>
      <c r="M1842" t="inlineStr">
        <is>
          <t>INR</t>
        </is>
      </c>
      <c r="N1842" t="inlineStr">
        <is>
          <t>2024-10-23 23:31:52</t>
        </is>
      </c>
    </row>
    <row r="1843">
      <c r="A1843" t="inlineStr">
        <is>
          <t>TXN00032779</t>
        </is>
      </c>
      <c r="B1843" t="inlineStr">
        <is>
          <t>MER00708</t>
        </is>
      </c>
      <c r="C1843" s="8" t="n">
        <v>45607</v>
      </c>
      <c r="D1843" t="inlineStr">
        <is>
          <t>ORD00032779</t>
        </is>
      </c>
      <c r="E1843" t="n">
        <v>444.79</v>
      </c>
      <c r="F1843" t="n">
        <v>3.23</v>
      </c>
      <c r="G1843" t="n">
        <v>14.37</v>
      </c>
      <c r="H1843" t="inlineStr">
        <is>
          <t>Card</t>
        </is>
      </c>
      <c r="I1843" t="inlineStr">
        <is>
          <t>Success</t>
        </is>
      </c>
      <c r="J1843" t="inlineStr">
        <is>
          <t>Delivered</t>
        </is>
      </c>
      <c r="K1843" t="n">
        <v>0</v>
      </c>
      <c r="L1843" t="n">
        <v>0</v>
      </c>
      <c r="M1843" t="inlineStr">
        <is>
          <t>INR</t>
        </is>
      </c>
      <c r="N1843" t="inlineStr">
        <is>
          <t>2024-11-11 05:50:11</t>
        </is>
      </c>
    </row>
    <row r="1844">
      <c r="A1844" t="inlineStr">
        <is>
          <t>TXN00048524</t>
        </is>
      </c>
      <c r="B1844" t="inlineStr">
        <is>
          <t>MER00708</t>
        </is>
      </c>
      <c r="C1844" s="8" t="n">
        <v>45649</v>
      </c>
      <c r="D1844" t="inlineStr">
        <is>
          <t>ORD00048524</t>
        </is>
      </c>
      <c r="E1844" t="n">
        <v>210.06</v>
      </c>
      <c r="F1844" t="n">
        <v>3.23</v>
      </c>
      <c r="G1844" t="n">
        <v>6.78</v>
      </c>
      <c r="H1844" t="inlineStr">
        <is>
          <t>UPI</t>
        </is>
      </c>
      <c r="I1844" t="inlineStr">
        <is>
          <t>Success</t>
        </is>
      </c>
      <c r="J1844" t="inlineStr">
        <is>
          <t>Delivered</t>
        </is>
      </c>
      <c r="K1844" t="n">
        <v>0</v>
      </c>
      <c r="L1844" t="n">
        <v>0</v>
      </c>
      <c r="M1844" t="inlineStr">
        <is>
          <t>INR</t>
        </is>
      </c>
      <c r="N1844" t="inlineStr">
        <is>
          <t>2024-12-23 03:02:25</t>
        </is>
      </c>
    </row>
    <row r="1845">
      <c r="A1845" t="inlineStr">
        <is>
          <t>TXN00070606</t>
        </is>
      </c>
      <c r="B1845" t="inlineStr">
        <is>
          <t>MER00708</t>
        </is>
      </c>
      <c r="C1845" s="8" t="n">
        <v>45711</v>
      </c>
      <c r="D1845" t="inlineStr">
        <is>
          <t>ORD00070606</t>
        </is>
      </c>
      <c r="E1845" t="n">
        <v>1293.89</v>
      </c>
      <c r="F1845" t="n">
        <v>3.23</v>
      </c>
      <c r="G1845" t="n">
        <v>41.79</v>
      </c>
      <c r="H1845" t="inlineStr">
        <is>
          <t>UPI</t>
        </is>
      </c>
      <c r="I1845" t="inlineStr">
        <is>
          <t>Success</t>
        </is>
      </c>
      <c r="J1845" t="inlineStr">
        <is>
          <t>Cancelled</t>
        </is>
      </c>
      <c r="K1845" t="n">
        <v>1219.15</v>
      </c>
      <c r="L1845" t="n">
        <v>0</v>
      </c>
      <c r="M1845" t="inlineStr">
        <is>
          <t>INR</t>
        </is>
      </c>
      <c r="N1845" t="inlineStr">
        <is>
          <t>2025-02-23 18:49:22</t>
        </is>
      </c>
    </row>
    <row r="1846">
      <c r="A1846" t="inlineStr">
        <is>
          <t>TXN00072366</t>
        </is>
      </c>
      <c r="B1846" t="inlineStr">
        <is>
          <t>MER00708</t>
        </is>
      </c>
      <c r="C1846" s="8" t="n">
        <v>45716</v>
      </c>
      <c r="D1846" t="inlineStr">
        <is>
          <t>ORD00072366</t>
        </is>
      </c>
      <c r="E1846" t="n">
        <v>517.04</v>
      </c>
      <c r="F1846" t="n">
        <v>3.23</v>
      </c>
      <c r="G1846" t="n">
        <v>16.7</v>
      </c>
      <c r="H1846" t="inlineStr">
        <is>
          <t>UPI</t>
        </is>
      </c>
      <c r="I1846" t="inlineStr">
        <is>
          <t>Success</t>
        </is>
      </c>
      <c r="J1846" t="inlineStr">
        <is>
          <t>Delivered</t>
        </is>
      </c>
      <c r="K1846" t="n">
        <v>0</v>
      </c>
      <c r="L1846" t="n">
        <v>0</v>
      </c>
      <c r="M1846" t="inlineStr">
        <is>
          <t>INR</t>
        </is>
      </c>
      <c r="N1846" t="inlineStr">
        <is>
          <t>2025-02-28 03:48:33</t>
        </is>
      </c>
    </row>
    <row r="1847">
      <c r="A1847" t="inlineStr">
        <is>
          <t>TXN00086547</t>
        </is>
      </c>
      <c r="B1847" t="inlineStr">
        <is>
          <t>MER00708</t>
        </is>
      </c>
      <c r="C1847" s="8" t="n">
        <v>45761</v>
      </c>
      <c r="D1847" t="inlineStr">
        <is>
          <t>ORD00086547</t>
        </is>
      </c>
      <c r="E1847" t="n">
        <v>610.12</v>
      </c>
      <c r="F1847" t="n">
        <v>3.23</v>
      </c>
      <c r="G1847" t="n">
        <v>19.71</v>
      </c>
      <c r="H1847" t="inlineStr">
        <is>
          <t>UPI</t>
        </is>
      </c>
      <c r="I1847" t="inlineStr">
        <is>
          <t>Success</t>
        </is>
      </c>
      <c r="J1847" t="inlineStr">
        <is>
          <t>Delivered</t>
        </is>
      </c>
      <c r="K1847" t="n">
        <v>0</v>
      </c>
      <c r="L1847" t="n">
        <v>0</v>
      </c>
      <c r="M1847" t="inlineStr">
        <is>
          <t>INR</t>
        </is>
      </c>
      <c r="N1847" t="inlineStr">
        <is>
          <t>2025-04-14 04:48:05</t>
        </is>
      </c>
    </row>
    <row r="1848">
      <c r="A1848" t="inlineStr">
        <is>
          <t>TXN00102725</t>
        </is>
      </c>
      <c r="B1848" t="inlineStr">
        <is>
          <t>MER00708</t>
        </is>
      </c>
      <c r="C1848" s="8" t="n">
        <v>45810</v>
      </c>
      <c r="D1848" t="inlineStr">
        <is>
          <t>ORD00102725</t>
        </is>
      </c>
      <c r="E1848" t="n">
        <v>200</v>
      </c>
      <c r="F1848" t="n">
        <v>4.19</v>
      </c>
      <c r="G1848" t="n">
        <v>6.46</v>
      </c>
      <c r="H1848" t="inlineStr">
        <is>
          <t>Card</t>
        </is>
      </c>
      <c r="I1848" t="inlineStr">
        <is>
          <t>Success</t>
        </is>
      </c>
      <c r="J1848" t="inlineStr">
        <is>
          <t>Delivered</t>
        </is>
      </c>
      <c r="K1848" t="n">
        <v>0</v>
      </c>
      <c r="L1848" t="n">
        <v>0</v>
      </c>
      <c r="M1848" t="inlineStr">
        <is>
          <t>INR</t>
        </is>
      </c>
      <c r="N1848" t="inlineStr">
        <is>
          <t>2025-06-02 15:49:13</t>
        </is>
      </c>
    </row>
    <row r="1849">
      <c r="A1849" t="inlineStr">
        <is>
          <t>TXN00118818</t>
        </is>
      </c>
      <c r="B1849" t="inlineStr">
        <is>
          <t>MER00708</t>
        </is>
      </c>
      <c r="C1849" s="8" t="n">
        <v>45858</v>
      </c>
      <c r="D1849" t="inlineStr">
        <is>
          <t>ORD00118818</t>
        </is>
      </c>
      <c r="E1849" t="n">
        <v>565.71</v>
      </c>
      <c r="F1849" t="n">
        <v>3.23</v>
      </c>
      <c r="G1849" t="n">
        <v>18.27</v>
      </c>
      <c r="H1849" t="inlineStr">
        <is>
          <t>UPI</t>
        </is>
      </c>
      <c r="I1849" t="inlineStr">
        <is>
          <t>Success</t>
        </is>
      </c>
      <c r="J1849" t="inlineStr">
        <is>
          <t>Delivered</t>
        </is>
      </c>
      <c r="K1849" t="n">
        <v>0</v>
      </c>
      <c r="L1849" t="n">
        <v>0</v>
      </c>
      <c r="M1849" t="inlineStr">
        <is>
          <t>INR</t>
        </is>
      </c>
      <c r="N1849" t="inlineStr">
        <is>
          <t>2025-07-20 01:36:52</t>
        </is>
      </c>
    </row>
    <row r="1850">
      <c r="A1850" t="inlineStr">
        <is>
          <t>TXN00134727</t>
        </is>
      </c>
      <c r="B1850" t="inlineStr">
        <is>
          <t>MER00708</t>
        </is>
      </c>
      <c r="C1850" s="8" t="n">
        <v>45905</v>
      </c>
      <c r="D1850" t="inlineStr">
        <is>
          <t>ORD00134727</t>
        </is>
      </c>
      <c r="E1850" t="n">
        <v>536.03</v>
      </c>
      <c r="F1850" t="n">
        <v>3.23</v>
      </c>
      <c r="G1850" t="n">
        <v>17.31</v>
      </c>
      <c r="H1850" t="inlineStr">
        <is>
          <t>UPI</t>
        </is>
      </c>
      <c r="I1850" t="inlineStr">
        <is>
          <t>Failed</t>
        </is>
      </c>
      <c r="J1850" t="inlineStr">
        <is>
          <t>Cancelled</t>
        </is>
      </c>
      <c r="K1850" t="n">
        <v>0</v>
      </c>
      <c r="L1850" t="n">
        <v>0</v>
      </c>
      <c r="M1850" t="inlineStr">
        <is>
          <t>INR</t>
        </is>
      </c>
      <c r="N1850" t="inlineStr">
        <is>
          <t>2025-09-05 22:39:01</t>
        </is>
      </c>
    </row>
    <row r="1851">
      <c r="A1851" t="inlineStr">
        <is>
          <t>TXN00140119</t>
        </is>
      </c>
      <c r="B1851" t="inlineStr">
        <is>
          <t>MER00708</t>
        </is>
      </c>
      <c r="C1851" s="8" t="n">
        <v>45921</v>
      </c>
      <c r="D1851" t="inlineStr">
        <is>
          <t>ORD00140119</t>
        </is>
      </c>
      <c r="E1851" t="n">
        <v>1073.08</v>
      </c>
      <c r="F1851" t="n">
        <v>3.23</v>
      </c>
      <c r="G1851" t="n">
        <v>34.66</v>
      </c>
      <c r="H1851" t="inlineStr">
        <is>
          <t>Card</t>
        </is>
      </c>
      <c r="I1851" t="inlineStr">
        <is>
          <t>Pending</t>
        </is>
      </c>
      <c r="J1851" t="inlineStr">
        <is>
          <t>Processing</t>
        </is>
      </c>
      <c r="K1851" t="n">
        <v>0</v>
      </c>
      <c r="L1851" t="n">
        <v>0</v>
      </c>
      <c r="M1851" t="inlineStr">
        <is>
          <t>INR</t>
        </is>
      </c>
      <c r="N1851" t="inlineStr">
        <is>
          <t>2025-09-21 14:25:11</t>
        </is>
      </c>
    </row>
    <row r="1852">
      <c r="A1852" t="inlineStr">
        <is>
          <t>TXN00174275</t>
        </is>
      </c>
      <c r="B1852" t="inlineStr">
        <is>
          <t>MER00708</t>
        </is>
      </c>
      <c r="C1852" s="8" t="n">
        <v>45991</v>
      </c>
      <c r="D1852" t="inlineStr">
        <is>
          <t>ORD00174275</t>
        </is>
      </c>
      <c r="E1852" t="n">
        <v>7073.03</v>
      </c>
      <c r="F1852" t="n">
        <v>4.2</v>
      </c>
      <c r="G1852" t="n">
        <v>228.46</v>
      </c>
      <c r="H1852" t="inlineStr">
        <is>
          <t>UPI</t>
        </is>
      </c>
      <c r="I1852" t="inlineStr">
        <is>
          <t>Success</t>
        </is>
      </c>
      <c r="J1852" t="inlineStr">
        <is>
          <t>Delivered</t>
        </is>
      </c>
      <c r="K1852" t="n">
        <v>0</v>
      </c>
      <c r="L1852" t="n">
        <v>0</v>
      </c>
      <c r="M1852" t="inlineStr">
        <is>
          <t>INR</t>
        </is>
      </c>
      <c r="N1852" t="inlineStr">
        <is>
          <t>2025-11-30 21:59:34</t>
        </is>
      </c>
    </row>
    <row r="1853">
      <c r="A1853" t="inlineStr">
        <is>
          <t>TXN00191850</t>
        </is>
      </c>
      <c r="B1853" t="inlineStr">
        <is>
          <t>MER00708</t>
        </is>
      </c>
      <c r="C1853" s="8" t="n">
        <v>46035</v>
      </c>
      <c r="D1853" t="inlineStr">
        <is>
          <t>ORD00191850</t>
        </is>
      </c>
      <c r="E1853" t="n">
        <v>413.83</v>
      </c>
      <c r="F1853" t="n">
        <v>3.23</v>
      </c>
      <c r="G1853" t="n">
        <v>13.37</v>
      </c>
      <c r="H1853" t="inlineStr">
        <is>
          <t>UPI</t>
        </is>
      </c>
      <c r="I1853" t="inlineStr">
        <is>
          <t>Success</t>
        </is>
      </c>
      <c r="J1853" t="inlineStr">
        <is>
          <t>Cancelled</t>
        </is>
      </c>
      <c r="K1853" t="n">
        <v>379.69</v>
      </c>
      <c r="L1853" t="n">
        <v>23.17</v>
      </c>
      <c r="M1853" t="inlineStr">
        <is>
          <t>INR</t>
        </is>
      </c>
      <c r="N1853" t="inlineStr">
        <is>
          <t>2026-01-13 01:31:22</t>
        </is>
      </c>
    </row>
    <row r="1854">
      <c r="A1854" t="inlineStr">
        <is>
          <t>TXN00213866</t>
        </is>
      </c>
      <c r="B1854" t="inlineStr">
        <is>
          <t>MER00708</t>
        </is>
      </c>
      <c r="C1854" s="8" t="n">
        <v>46088</v>
      </c>
      <c r="D1854" t="inlineStr">
        <is>
          <t>ORD00213866</t>
        </is>
      </c>
      <c r="E1854" t="n">
        <v>358.56</v>
      </c>
      <c r="F1854" t="n">
        <v>3.23</v>
      </c>
      <c r="G1854" t="n">
        <v>11.58</v>
      </c>
      <c r="H1854" t="inlineStr">
        <is>
          <t>Card</t>
        </is>
      </c>
      <c r="I1854" t="inlineStr">
        <is>
          <t>Failed</t>
        </is>
      </c>
      <c r="J1854" t="inlineStr">
        <is>
          <t>Processing</t>
        </is>
      </c>
      <c r="K1854" t="n">
        <v>0</v>
      </c>
      <c r="L1854" t="n">
        <v>0</v>
      </c>
      <c r="M1854" t="inlineStr">
        <is>
          <t>INR</t>
        </is>
      </c>
      <c r="N1854" t="inlineStr">
        <is>
          <t>2026-03-07 20:59:08</t>
        </is>
      </c>
    </row>
    <row r="1855">
      <c r="A1855" t="inlineStr">
        <is>
          <t>TXN00229825</t>
        </is>
      </c>
      <c r="B1855" t="inlineStr">
        <is>
          <t>MER00708</t>
        </is>
      </c>
      <c r="C1855" s="8" t="n">
        <v>46130</v>
      </c>
      <c r="D1855" t="inlineStr">
        <is>
          <t>ORD00229825</t>
        </is>
      </c>
      <c r="E1855" t="n">
        <v>273.14</v>
      </c>
      <c r="F1855" t="n">
        <v>3.23</v>
      </c>
      <c r="G1855" t="n">
        <v>8.82</v>
      </c>
      <c r="H1855" t="inlineStr">
        <is>
          <t>UPI</t>
        </is>
      </c>
      <c r="I1855" t="inlineStr">
        <is>
          <t>Unknown</t>
        </is>
      </c>
      <c r="J1855" t="inlineStr">
        <is>
          <t>Delivered</t>
        </is>
      </c>
      <c r="K1855" t="n">
        <v>0</v>
      </c>
      <c r="L1855" t="n">
        <v>0</v>
      </c>
      <c r="M1855" t="inlineStr">
        <is>
          <t>INR</t>
        </is>
      </c>
      <c r="N1855" t="inlineStr">
        <is>
          <t>2026-04-18 15:16:28</t>
        </is>
      </c>
    </row>
    <row r="1856">
      <c r="A1856" t="inlineStr">
        <is>
          <t>TXN00246675</t>
        </is>
      </c>
      <c r="B1856" t="inlineStr">
        <is>
          <t>MER00708</t>
        </is>
      </c>
      <c r="C1856" s="8" t="n">
        <v>46174</v>
      </c>
      <c r="D1856" t="inlineStr">
        <is>
          <t>ORD00246675</t>
        </is>
      </c>
      <c r="E1856" t="n">
        <v>393.74</v>
      </c>
      <c r="F1856" t="n">
        <v>3.23</v>
      </c>
      <c r="G1856" t="n">
        <v>12.72</v>
      </c>
      <c r="H1856" t="inlineStr">
        <is>
          <t>NetBanking</t>
        </is>
      </c>
      <c r="I1856" t="inlineStr">
        <is>
          <t>Success</t>
        </is>
      </c>
      <c r="J1856" t="inlineStr">
        <is>
          <t>Delivered</t>
        </is>
      </c>
      <c r="K1856" t="n">
        <v>0</v>
      </c>
      <c r="L1856" t="n">
        <v>0</v>
      </c>
      <c r="M1856" t="inlineStr">
        <is>
          <t>INR</t>
        </is>
      </c>
      <c r="N1856" t="inlineStr">
        <is>
          <t>2026-06-01 04:57:01</t>
        </is>
      </c>
    </row>
    <row r="1857">
      <c r="A1857" t="inlineStr">
        <is>
          <t>TXN00248046</t>
        </is>
      </c>
      <c r="B1857" t="inlineStr">
        <is>
          <t>MER00708</t>
        </is>
      </c>
      <c r="C1857" s="8" t="n">
        <v>46178</v>
      </c>
      <c r="D1857" t="inlineStr">
        <is>
          <t>ORD00248046</t>
        </is>
      </c>
      <c r="E1857" t="n">
        <v>647.72</v>
      </c>
      <c r="F1857" t="n">
        <v>3.23</v>
      </c>
      <c r="G1857" t="n">
        <v>20.92</v>
      </c>
      <c r="H1857" t="inlineStr">
        <is>
          <t>NetBanking</t>
        </is>
      </c>
      <c r="I1857" t="inlineStr">
        <is>
          <t>Success</t>
        </is>
      </c>
      <c r="J1857" t="inlineStr">
        <is>
          <t>Delivered</t>
        </is>
      </c>
      <c r="K1857" t="n">
        <v>0</v>
      </c>
      <c r="L1857" t="n">
        <v>0</v>
      </c>
      <c r="M1857" t="inlineStr">
        <is>
          <t>INR</t>
        </is>
      </c>
      <c r="N1857" t="inlineStr">
        <is>
          <t>2026-06-05 14:33:45</t>
        </is>
      </c>
    </row>
    <row r="1858">
      <c r="A1858" t="inlineStr">
        <is>
          <t>TXN00257440</t>
        </is>
      </c>
      <c r="B1858" t="inlineStr">
        <is>
          <t>MER00708</t>
        </is>
      </c>
      <c r="C1858" s="8" t="n">
        <v>46201</v>
      </c>
      <c r="D1858" t="inlineStr">
        <is>
          <t>ORD00257440</t>
        </is>
      </c>
      <c r="E1858" t="n">
        <v>616.21</v>
      </c>
      <c r="F1858" t="n">
        <v>3.23</v>
      </c>
      <c r="G1858" t="n">
        <v>19.9</v>
      </c>
      <c r="H1858" t="inlineStr">
        <is>
          <t>NetBanking</t>
        </is>
      </c>
      <c r="I1858" t="inlineStr">
        <is>
          <t>Success</t>
        </is>
      </c>
      <c r="J1858" t="inlineStr">
        <is>
          <t>Delivered</t>
        </is>
      </c>
      <c r="K1858" t="n">
        <v>0</v>
      </c>
      <c r="L1858" t="n">
        <v>0</v>
      </c>
      <c r="M1858" t="inlineStr">
        <is>
          <t>INR</t>
        </is>
      </c>
      <c r="N1858" t="inlineStr">
        <is>
          <t>2026-06-28 14:28:00</t>
        </is>
      </c>
    </row>
    <row r="1859">
      <c r="A1859" t="inlineStr">
        <is>
          <t>TXN00267051</t>
        </is>
      </c>
      <c r="B1859" t="inlineStr">
        <is>
          <t>MER00708</t>
        </is>
      </c>
      <c r="C1859" s="8" t="n">
        <v>46226</v>
      </c>
      <c r="D1859" t="inlineStr">
        <is>
          <t>ORD00267051</t>
        </is>
      </c>
      <c r="E1859" t="n">
        <v>702.86</v>
      </c>
      <c r="F1859" t="n">
        <v>3.23</v>
      </c>
      <c r="G1859" t="n">
        <v>22.7</v>
      </c>
      <c r="H1859" t="inlineStr">
        <is>
          <t>UPI</t>
        </is>
      </c>
      <c r="I1859" t="inlineStr">
        <is>
          <t>Success</t>
        </is>
      </c>
      <c r="J1859" t="inlineStr">
        <is>
          <t>Delivered</t>
        </is>
      </c>
      <c r="K1859" t="n">
        <v>0</v>
      </c>
      <c r="L1859" t="n">
        <v>0</v>
      </c>
      <c r="M1859" t="inlineStr">
        <is>
          <t>INR</t>
        </is>
      </c>
      <c r="N1859" t="inlineStr">
        <is>
          <t>2026-07-23 06:18:13</t>
        </is>
      </c>
    </row>
    <row r="1860">
      <c r="A1860" t="inlineStr">
        <is>
          <t>TXN00053786</t>
        </is>
      </c>
      <c r="B1860" t="inlineStr">
        <is>
          <t>MER00709</t>
        </is>
      </c>
      <c r="C1860" s="8" t="n">
        <v>45664</v>
      </c>
      <c r="D1860" t="inlineStr">
        <is>
          <t>ORD00053786</t>
        </is>
      </c>
      <c r="E1860" t="n">
        <v>482.03</v>
      </c>
      <c r="F1860" t="n">
        <v>3.5</v>
      </c>
      <c r="G1860" t="n">
        <v>16.87</v>
      </c>
      <c r="H1860" t="inlineStr">
        <is>
          <t>UPI</t>
        </is>
      </c>
      <c r="I1860" t="inlineStr">
        <is>
          <t>Success</t>
        </is>
      </c>
      <c r="J1860" t="inlineStr">
        <is>
          <t>Delivered</t>
        </is>
      </c>
      <c r="K1860" t="n">
        <v>0</v>
      </c>
      <c r="L1860" t="n">
        <v>43.4</v>
      </c>
      <c r="M1860" t="inlineStr">
        <is>
          <t>INR</t>
        </is>
      </c>
      <c r="N1860" t="inlineStr">
        <is>
          <t>2025-01-07 14:23:44</t>
        </is>
      </c>
    </row>
    <row r="1861">
      <c r="A1861" t="inlineStr">
        <is>
          <t>TXN00061454</t>
        </is>
      </c>
      <c r="B1861" t="inlineStr">
        <is>
          <t>MER00709</t>
        </is>
      </c>
      <c r="C1861" s="8" t="n">
        <v>45685</v>
      </c>
      <c r="D1861" t="inlineStr">
        <is>
          <t>ORD00061454</t>
        </is>
      </c>
      <c r="E1861" t="n">
        <v>2160.15</v>
      </c>
      <c r="F1861" t="n">
        <v>3.5</v>
      </c>
      <c r="G1861" t="n">
        <v>75.61</v>
      </c>
      <c r="H1861" t="inlineStr">
        <is>
          <t>UPI</t>
        </is>
      </c>
      <c r="I1861" t="inlineStr">
        <is>
          <t>Success</t>
        </is>
      </c>
      <c r="J1861" t="inlineStr">
        <is>
          <t>Delivered</t>
        </is>
      </c>
      <c r="K1861" t="n">
        <v>0</v>
      </c>
      <c r="L1861" t="n">
        <v>0</v>
      </c>
      <c r="M1861" t="inlineStr">
        <is>
          <t>INR</t>
        </is>
      </c>
      <c r="N1861" t="inlineStr">
        <is>
          <t>2025-01-28 14:21:27</t>
        </is>
      </c>
    </row>
    <row r="1862">
      <c r="A1862" t="inlineStr">
        <is>
          <t>TXN00069033</t>
        </is>
      </c>
      <c r="B1862" t="inlineStr">
        <is>
          <t>MER00709</t>
        </is>
      </c>
      <c r="C1862" s="8" t="n">
        <v>45707</v>
      </c>
      <c r="D1862" t="inlineStr">
        <is>
          <t>ORD00069033</t>
        </is>
      </c>
      <c r="E1862" t="n">
        <v>1203.87</v>
      </c>
      <c r="F1862" t="n">
        <v>3.5</v>
      </c>
      <c r="G1862" t="n">
        <v>42.14</v>
      </c>
      <c r="H1862" t="inlineStr">
        <is>
          <t>Card</t>
        </is>
      </c>
      <c r="I1862" t="inlineStr">
        <is>
          <t>Success</t>
        </is>
      </c>
      <c r="J1862" t="inlineStr">
        <is>
          <t>Delivered</t>
        </is>
      </c>
      <c r="K1862" t="n">
        <v>0</v>
      </c>
      <c r="L1862" t="n">
        <v>0</v>
      </c>
      <c r="M1862" t="inlineStr">
        <is>
          <t>INR</t>
        </is>
      </c>
      <c r="N1862" t="inlineStr">
        <is>
          <t>2025-02-19 13:01:37</t>
        </is>
      </c>
    </row>
    <row r="1863">
      <c r="A1863" t="inlineStr">
        <is>
          <t>TXN00078890</t>
        </is>
      </c>
      <c r="B1863" t="inlineStr">
        <is>
          <t>MER00709</t>
        </is>
      </c>
      <c r="C1863" s="8" t="n">
        <v>45737</v>
      </c>
      <c r="D1863" t="inlineStr">
        <is>
          <t>ORD00078890</t>
        </is>
      </c>
      <c r="E1863" t="n">
        <v>467.1</v>
      </c>
      <c r="F1863" t="n">
        <v>3.98</v>
      </c>
      <c r="G1863" t="n">
        <v>16.35</v>
      </c>
      <c r="H1863" t="inlineStr">
        <is>
          <t>COD</t>
        </is>
      </c>
      <c r="I1863" t="inlineStr">
        <is>
          <t>Success</t>
        </is>
      </c>
      <c r="J1863" t="inlineStr">
        <is>
          <t>Returned</t>
        </is>
      </c>
      <c r="K1863" t="n">
        <v>467.1</v>
      </c>
      <c r="L1863" t="n">
        <v>0</v>
      </c>
      <c r="M1863" t="inlineStr">
        <is>
          <t>INR</t>
        </is>
      </c>
      <c r="N1863" t="inlineStr">
        <is>
          <t>2025-03-21 20:15:45</t>
        </is>
      </c>
    </row>
    <row r="1864">
      <c r="A1864" t="inlineStr">
        <is>
          <t>TXN00082689</t>
        </is>
      </c>
      <c r="B1864" t="inlineStr">
        <is>
          <t>MER00709</t>
        </is>
      </c>
      <c r="C1864" s="8" t="n">
        <v>45749</v>
      </c>
      <c r="D1864" t="inlineStr">
        <is>
          <t>ORD00082689</t>
        </is>
      </c>
      <c r="E1864" t="n">
        <v>1838.2</v>
      </c>
      <c r="F1864" t="n">
        <v>3.5</v>
      </c>
      <c r="G1864" t="n">
        <v>64.34</v>
      </c>
      <c r="H1864" t="inlineStr">
        <is>
          <t>UPI</t>
        </is>
      </c>
      <c r="I1864" t="inlineStr">
        <is>
          <t>Success</t>
        </is>
      </c>
      <c r="J1864" t="inlineStr">
        <is>
          <t>Delivered</t>
        </is>
      </c>
      <c r="K1864" t="n">
        <v>0</v>
      </c>
      <c r="L1864" t="n">
        <v>113.28</v>
      </c>
      <c r="M1864" t="inlineStr">
        <is>
          <t>INR</t>
        </is>
      </c>
      <c r="N1864" t="inlineStr">
        <is>
          <t>2025-04-02 21:40:49</t>
        </is>
      </c>
    </row>
    <row r="1865">
      <c r="A1865" t="inlineStr">
        <is>
          <t>TXN00088043</t>
        </is>
      </c>
      <c r="B1865" t="inlineStr">
        <is>
          <t>MER00709</t>
        </is>
      </c>
      <c r="C1865" s="8" t="n">
        <v>45765</v>
      </c>
      <c r="D1865" t="inlineStr">
        <is>
          <t>ORD00088043</t>
        </is>
      </c>
      <c r="E1865" t="n">
        <v>1608.78</v>
      </c>
      <c r="F1865" t="n">
        <v>3.5</v>
      </c>
      <c r="G1865" t="n">
        <v>56.31</v>
      </c>
      <c r="H1865" t="inlineStr">
        <is>
          <t>COD</t>
        </is>
      </c>
      <c r="I1865" t="inlineStr">
        <is>
          <t>Success</t>
        </is>
      </c>
      <c r="J1865" t="inlineStr">
        <is>
          <t>Delivered</t>
        </is>
      </c>
      <c r="K1865" t="n">
        <v>0</v>
      </c>
      <c r="L1865" t="n">
        <v>0</v>
      </c>
      <c r="M1865" t="inlineStr">
        <is>
          <t>INR</t>
        </is>
      </c>
      <c r="N1865" t="inlineStr">
        <is>
          <t>2025-04-18 16:04:11</t>
        </is>
      </c>
    </row>
    <row r="1866">
      <c r="A1866" t="inlineStr">
        <is>
          <t>TXN00094399</t>
        </is>
      </c>
      <c r="B1866" t="inlineStr">
        <is>
          <t>MER00709</t>
        </is>
      </c>
      <c r="C1866" s="8" t="n">
        <v>45784</v>
      </c>
      <c r="D1866" t="inlineStr">
        <is>
          <t>ORD00094399</t>
        </is>
      </c>
      <c r="E1866" t="n">
        <v>965.66</v>
      </c>
      <c r="F1866" t="n">
        <v>3.5</v>
      </c>
      <c r="G1866" t="n">
        <v>33.8</v>
      </c>
      <c r="H1866" t="inlineStr">
        <is>
          <t>Wallet</t>
        </is>
      </c>
      <c r="I1866" t="inlineStr">
        <is>
          <t>Success</t>
        </is>
      </c>
      <c r="J1866" t="inlineStr">
        <is>
          <t>Delivered</t>
        </is>
      </c>
      <c r="K1866" t="n">
        <v>0</v>
      </c>
      <c r="L1866" t="n">
        <v>0</v>
      </c>
      <c r="M1866" t="inlineStr">
        <is>
          <t>INR</t>
        </is>
      </c>
      <c r="N1866" t="inlineStr">
        <is>
          <t>2025-05-07 19:51:57</t>
        </is>
      </c>
    </row>
    <row r="1867">
      <c r="A1867" t="inlineStr">
        <is>
          <t>TXN00130262</t>
        </is>
      </c>
      <c r="B1867" t="inlineStr">
        <is>
          <t>MER00709</t>
        </is>
      </c>
      <c r="C1867" s="8" t="n">
        <v>45892</v>
      </c>
      <c r="D1867" t="inlineStr">
        <is>
          <t>ORD00130262</t>
        </is>
      </c>
      <c r="E1867" t="n">
        <v>1087.1</v>
      </c>
      <c r="F1867" t="n">
        <v>2.67</v>
      </c>
      <c r="G1867" t="n">
        <v>38.05</v>
      </c>
      <c r="H1867" t="inlineStr">
        <is>
          <t>UPI</t>
        </is>
      </c>
      <c r="I1867" t="inlineStr">
        <is>
          <t>Success</t>
        </is>
      </c>
      <c r="J1867" t="inlineStr">
        <is>
          <t>Returned</t>
        </is>
      </c>
      <c r="K1867" t="n">
        <v>1087.1</v>
      </c>
      <c r="L1867" t="n">
        <v>217.21</v>
      </c>
      <c r="M1867" t="inlineStr">
        <is>
          <t>INR</t>
        </is>
      </c>
      <c r="N1867" t="inlineStr">
        <is>
          <t>2025-08-23 10:41:02</t>
        </is>
      </c>
    </row>
    <row r="1868">
      <c r="A1868" t="inlineStr">
        <is>
          <t>TXN00134670</t>
        </is>
      </c>
      <c r="B1868" t="inlineStr">
        <is>
          <t>MER00709</t>
        </is>
      </c>
      <c r="C1868" s="8" t="n">
        <v>45905</v>
      </c>
      <c r="D1868" t="inlineStr">
        <is>
          <t>ORD00134670</t>
        </is>
      </c>
      <c r="E1868" t="n">
        <v>200</v>
      </c>
      <c r="F1868" t="n">
        <v>3.5</v>
      </c>
      <c r="G1868" t="n">
        <v>7</v>
      </c>
      <c r="H1868" t="inlineStr">
        <is>
          <t>COD</t>
        </is>
      </c>
      <c r="I1868" t="inlineStr">
        <is>
          <t>Success</t>
        </is>
      </c>
      <c r="J1868" t="inlineStr">
        <is>
          <t>Delivered</t>
        </is>
      </c>
      <c r="K1868" t="n">
        <v>0</v>
      </c>
      <c r="L1868" t="n">
        <v>13.07</v>
      </c>
      <c r="M1868" t="inlineStr">
        <is>
          <t>INR</t>
        </is>
      </c>
      <c r="N1868" t="inlineStr">
        <is>
          <t>2025-09-05 04:41:17</t>
        </is>
      </c>
    </row>
    <row r="1869">
      <c r="A1869" t="inlineStr">
        <is>
          <t>TXN00142805</t>
        </is>
      </c>
      <c r="B1869" t="inlineStr">
        <is>
          <t>MER00709</t>
        </is>
      </c>
      <c r="C1869" s="8" t="n">
        <v>45928</v>
      </c>
      <c r="D1869" t="inlineStr">
        <is>
          <t>ORD00142805</t>
        </is>
      </c>
      <c r="E1869" t="n">
        <v>2899.12</v>
      </c>
      <c r="F1869" t="n">
        <v>3.5</v>
      </c>
      <c r="G1869" t="n">
        <v>101.47</v>
      </c>
      <c r="H1869" t="inlineStr">
        <is>
          <t>NetBanking</t>
        </is>
      </c>
      <c r="I1869" t="inlineStr">
        <is>
          <t>Success</t>
        </is>
      </c>
      <c r="J1869" t="inlineStr">
        <is>
          <t>Delivered</t>
        </is>
      </c>
      <c r="K1869" t="n">
        <v>0</v>
      </c>
      <c r="L1869" t="n">
        <v>0</v>
      </c>
      <c r="M1869" t="inlineStr">
        <is>
          <t>INR</t>
        </is>
      </c>
      <c r="N1869" t="inlineStr">
        <is>
          <t>2025-09-28 12:56:39</t>
        </is>
      </c>
    </row>
    <row r="1870">
      <c r="A1870" t="inlineStr">
        <is>
          <t>TXN00144907</t>
        </is>
      </c>
      <c r="B1870" t="inlineStr">
        <is>
          <t>MER00709</t>
        </is>
      </c>
      <c r="C1870" s="8" t="n">
        <v>45933</v>
      </c>
      <c r="D1870" t="inlineStr">
        <is>
          <t>ORD00144907</t>
        </is>
      </c>
      <c r="E1870" t="n">
        <v>830.1900000000001</v>
      </c>
      <c r="F1870" t="n">
        <v>3.5</v>
      </c>
      <c r="G1870" t="n">
        <v>29.06</v>
      </c>
      <c r="H1870" t="inlineStr">
        <is>
          <t>NetBanking</t>
        </is>
      </c>
      <c r="I1870" t="inlineStr">
        <is>
          <t>Success</t>
        </is>
      </c>
      <c r="J1870" t="inlineStr">
        <is>
          <t>Delivered</t>
        </is>
      </c>
      <c r="K1870" t="n">
        <v>0</v>
      </c>
      <c r="L1870" t="n">
        <v>0</v>
      </c>
      <c r="M1870" t="inlineStr">
        <is>
          <t>INR</t>
        </is>
      </c>
      <c r="N1870" t="inlineStr">
        <is>
          <t>2025-10-03 06:20:01</t>
        </is>
      </c>
    </row>
    <row r="1871">
      <c r="A1871" t="inlineStr">
        <is>
          <t>TXN00149140</t>
        </is>
      </c>
      <c r="B1871" t="inlineStr">
        <is>
          <t>MER00709</t>
        </is>
      </c>
      <c r="C1871" s="8" t="n">
        <v>45943</v>
      </c>
      <c r="D1871" t="inlineStr">
        <is>
          <t>ORD00149140</t>
        </is>
      </c>
      <c r="E1871" t="n">
        <v>919.65</v>
      </c>
      <c r="F1871" t="n">
        <v>3.5</v>
      </c>
      <c r="G1871" t="n">
        <v>32.19</v>
      </c>
      <c r="H1871" t="inlineStr">
        <is>
          <t>UPI</t>
        </is>
      </c>
      <c r="I1871" t="inlineStr">
        <is>
          <t>Success</t>
        </is>
      </c>
      <c r="J1871" t="inlineStr">
        <is>
          <t>Processing</t>
        </is>
      </c>
      <c r="K1871" t="n">
        <v>0</v>
      </c>
      <c r="L1871" t="n">
        <v>0</v>
      </c>
      <c r="M1871" t="inlineStr">
        <is>
          <t>INR</t>
        </is>
      </c>
      <c r="N1871" t="inlineStr">
        <is>
          <t>2025-10-13 00:53:53</t>
        </is>
      </c>
    </row>
    <row r="1872">
      <c r="A1872" t="inlineStr">
        <is>
          <t>TXN00161499</t>
        </is>
      </c>
      <c r="B1872" t="inlineStr">
        <is>
          <t>MER00709</t>
        </is>
      </c>
      <c r="C1872" s="8" t="n">
        <v>45968</v>
      </c>
      <c r="D1872" t="inlineStr">
        <is>
          <t>ORD00161499</t>
        </is>
      </c>
      <c r="E1872" t="n">
        <v>1048.24</v>
      </c>
      <c r="F1872" t="n">
        <v>3.5</v>
      </c>
      <c r="G1872" t="n">
        <v>36.69</v>
      </c>
      <c r="H1872" t="inlineStr">
        <is>
          <t>UPI</t>
        </is>
      </c>
      <c r="I1872" t="inlineStr">
        <is>
          <t>Failed</t>
        </is>
      </c>
      <c r="J1872" t="inlineStr">
        <is>
          <t>Cancelled</t>
        </is>
      </c>
      <c r="K1872" t="n">
        <v>0</v>
      </c>
      <c r="L1872" t="n">
        <v>83.36</v>
      </c>
      <c r="M1872" t="inlineStr">
        <is>
          <t>INR</t>
        </is>
      </c>
      <c r="N1872" t="inlineStr">
        <is>
          <t>2025-11-07 04:52:43</t>
        </is>
      </c>
    </row>
    <row r="1873">
      <c r="A1873" t="inlineStr">
        <is>
          <t>TXN00177276</t>
        </is>
      </c>
      <c r="B1873" t="inlineStr">
        <is>
          <t>MER00709</t>
        </is>
      </c>
      <c r="C1873" s="8" t="n">
        <v>45998</v>
      </c>
      <c r="D1873" t="inlineStr">
        <is>
          <t>ORD00177276</t>
        </is>
      </c>
      <c r="E1873" t="n">
        <v>2308.99</v>
      </c>
      <c r="F1873" t="n">
        <v>3.5</v>
      </c>
      <c r="G1873" t="n">
        <v>80.81</v>
      </c>
      <c r="H1873" t="inlineStr">
        <is>
          <t>Card</t>
        </is>
      </c>
      <c r="I1873" t="inlineStr">
        <is>
          <t>Success</t>
        </is>
      </c>
      <c r="J1873" t="inlineStr">
        <is>
          <t>Delivered</t>
        </is>
      </c>
      <c r="K1873" t="n">
        <v>0</v>
      </c>
      <c r="L1873" t="n">
        <v>437.95</v>
      </c>
      <c r="M1873" t="inlineStr">
        <is>
          <t>INR</t>
        </is>
      </c>
      <c r="N1873" t="inlineStr">
        <is>
          <t>2025-12-07 07:59:39</t>
        </is>
      </c>
    </row>
    <row r="1874">
      <c r="A1874" t="inlineStr">
        <is>
          <t>TXN00186540</t>
        </is>
      </c>
      <c r="B1874" t="inlineStr">
        <is>
          <t>MER00709</t>
        </is>
      </c>
      <c r="C1874" s="8" t="n">
        <v>46023</v>
      </c>
      <c r="D1874" t="inlineStr">
        <is>
          <t>ORD00186540</t>
        </is>
      </c>
      <c r="E1874" t="n">
        <v>1182.46</v>
      </c>
      <c r="F1874" t="n">
        <v>3.5</v>
      </c>
      <c r="G1874" t="n">
        <v>41.39</v>
      </c>
      <c r="H1874" t="inlineStr">
        <is>
          <t>UPI</t>
        </is>
      </c>
      <c r="I1874" t="inlineStr">
        <is>
          <t>Success</t>
        </is>
      </c>
      <c r="J1874" t="inlineStr">
        <is>
          <t>Processing</t>
        </is>
      </c>
      <c r="K1874" t="n">
        <v>0</v>
      </c>
      <c r="L1874" t="n">
        <v>0</v>
      </c>
      <c r="M1874" t="inlineStr">
        <is>
          <t>INR</t>
        </is>
      </c>
      <c r="N1874" t="inlineStr">
        <is>
          <t>2026-01-01 11:08:07</t>
        </is>
      </c>
    </row>
    <row r="1875">
      <c r="A1875" t="inlineStr">
        <is>
          <t>TXN00228054</t>
        </is>
      </c>
      <c r="B1875" t="inlineStr">
        <is>
          <t>MER00709</t>
        </is>
      </c>
      <c r="C1875" s="8" t="n">
        <v>46125</v>
      </c>
      <c r="D1875" t="inlineStr">
        <is>
          <t>ORD00228054</t>
        </is>
      </c>
      <c r="E1875" t="n">
        <v>2539.58</v>
      </c>
      <c r="F1875" t="n">
        <v>3.5</v>
      </c>
      <c r="G1875" t="n">
        <v>88.89</v>
      </c>
      <c r="H1875" t="inlineStr">
        <is>
          <t>Card</t>
        </is>
      </c>
      <c r="I1875" t="inlineStr">
        <is>
          <t>Success</t>
        </is>
      </c>
      <c r="J1875" t="inlineStr">
        <is>
          <t>Delivered</t>
        </is>
      </c>
      <c r="K1875" t="n">
        <v>0</v>
      </c>
      <c r="L1875" t="n">
        <v>0</v>
      </c>
      <c r="M1875" t="inlineStr">
        <is>
          <t>INR</t>
        </is>
      </c>
      <c r="N1875" t="inlineStr">
        <is>
          <t>2026-04-13 11:33:05</t>
        </is>
      </c>
    </row>
    <row r="1876">
      <c r="A1876" t="inlineStr">
        <is>
          <t>TXN00241309</t>
        </is>
      </c>
      <c r="B1876" t="inlineStr">
        <is>
          <t>MER00709</t>
        </is>
      </c>
      <c r="C1876" s="8" t="n">
        <v>46160</v>
      </c>
      <c r="D1876" t="inlineStr">
        <is>
          <t>ORD00241309</t>
        </is>
      </c>
      <c r="E1876" t="n">
        <v>918.15</v>
      </c>
      <c r="F1876" t="n">
        <v>3.5</v>
      </c>
      <c r="G1876" t="n">
        <v>32.14</v>
      </c>
      <c r="H1876" t="inlineStr">
        <is>
          <t>UPI</t>
        </is>
      </c>
      <c r="I1876" t="inlineStr">
        <is>
          <t>Success</t>
        </is>
      </c>
      <c r="J1876" t="inlineStr">
        <is>
          <t>Returned</t>
        </is>
      </c>
      <c r="K1876" t="n">
        <v>918.15</v>
      </c>
      <c r="L1876" t="n">
        <v>0</v>
      </c>
      <c r="M1876" t="inlineStr">
        <is>
          <t>INR</t>
        </is>
      </c>
      <c r="N1876" t="inlineStr">
        <is>
          <t>2026-05-18 11:29:25</t>
        </is>
      </c>
    </row>
    <row r="1877">
      <c r="A1877" t="inlineStr">
        <is>
          <t>TXN00244389</t>
        </is>
      </c>
      <c r="B1877" t="inlineStr">
        <is>
          <t>MER00709</t>
        </is>
      </c>
      <c r="C1877" s="8" t="n">
        <v>46168</v>
      </c>
      <c r="D1877" t="inlineStr">
        <is>
          <t>ORD00244389</t>
        </is>
      </c>
      <c r="E1877" t="n">
        <v>704.4299999999999</v>
      </c>
      <c r="F1877" t="n">
        <v>3.5</v>
      </c>
      <c r="G1877" t="n">
        <v>24.66</v>
      </c>
      <c r="H1877" t="inlineStr">
        <is>
          <t>UPI</t>
        </is>
      </c>
      <c r="I1877" t="inlineStr">
        <is>
          <t>Success</t>
        </is>
      </c>
      <c r="J1877" t="inlineStr">
        <is>
          <t>Delivered</t>
        </is>
      </c>
      <c r="K1877" t="n">
        <v>0</v>
      </c>
      <c r="L1877" t="n">
        <v>88.61</v>
      </c>
      <c r="M1877" t="inlineStr">
        <is>
          <t>INR</t>
        </is>
      </c>
      <c r="N1877" t="inlineStr">
        <is>
          <t>2026-05-26 12:42:16</t>
        </is>
      </c>
    </row>
    <row r="1878">
      <c r="A1878" t="inlineStr">
        <is>
          <t>TXN00264665</t>
        </is>
      </c>
      <c r="B1878" t="inlineStr">
        <is>
          <t>MER00709</t>
        </is>
      </c>
      <c r="C1878" s="8" t="n">
        <v>46220</v>
      </c>
      <c r="D1878" t="inlineStr">
        <is>
          <t>ORD00264665</t>
        </is>
      </c>
      <c r="E1878" t="n">
        <v>1475.5</v>
      </c>
      <c r="F1878" t="n">
        <v>3.5</v>
      </c>
      <c r="G1878" t="n">
        <v>51.64</v>
      </c>
      <c r="H1878" t="inlineStr">
        <is>
          <t>UPI</t>
        </is>
      </c>
      <c r="I1878" t="inlineStr">
        <is>
          <t>Success</t>
        </is>
      </c>
      <c r="J1878" t="inlineStr">
        <is>
          <t>Delivered</t>
        </is>
      </c>
      <c r="K1878" t="n">
        <v>0</v>
      </c>
      <c r="L1878" t="n">
        <v>0</v>
      </c>
      <c r="M1878" t="inlineStr">
        <is>
          <t>INR</t>
        </is>
      </c>
      <c r="N1878" t="inlineStr">
        <is>
          <t>2026-07-17 00:05:32</t>
        </is>
      </c>
    </row>
    <row r="1879">
      <c r="A1879" t="inlineStr">
        <is>
          <t>TXN00000191</t>
        </is>
      </c>
      <c r="B1879" t="inlineStr">
        <is>
          <t>MER00711</t>
        </is>
      </c>
      <c r="C1879" s="8" t="n">
        <v>45505</v>
      </c>
      <c r="D1879" t="inlineStr">
        <is>
          <t>ORD00000191</t>
        </is>
      </c>
      <c r="E1879" t="n">
        <v>2428.73</v>
      </c>
      <c r="F1879" t="n">
        <v>2.5</v>
      </c>
      <c r="G1879" t="n">
        <v>60.72</v>
      </c>
      <c r="H1879" t="inlineStr">
        <is>
          <t>Card</t>
        </is>
      </c>
      <c r="I1879" t="inlineStr">
        <is>
          <t>Success</t>
        </is>
      </c>
      <c r="J1879" t="inlineStr">
        <is>
          <t>Delivered</t>
        </is>
      </c>
      <c r="K1879" t="n">
        <v>0</v>
      </c>
      <c r="L1879" t="n">
        <v>0</v>
      </c>
      <c r="M1879" t="inlineStr">
        <is>
          <t>INR</t>
        </is>
      </c>
      <c r="N1879" t="inlineStr">
        <is>
          <t>2024-08-01 09:23:08</t>
        </is>
      </c>
    </row>
    <row r="1880">
      <c r="A1880" t="inlineStr">
        <is>
          <t>TXN00000632</t>
        </is>
      </c>
      <c r="B1880" t="inlineStr">
        <is>
          <t>MER00711</t>
        </is>
      </c>
      <c r="C1880" s="8" t="n">
        <v>45507</v>
      </c>
      <c r="D1880" t="inlineStr">
        <is>
          <t>ORD00000632</t>
        </is>
      </c>
      <c r="E1880" t="n">
        <v>2942.85</v>
      </c>
      <c r="F1880" t="n">
        <v>2.5</v>
      </c>
      <c r="G1880" t="n">
        <v>73.56999999999999</v>
      </c>
      <c r="H1880" t="inlineStr">
        <is>
          <t>UPI</t>
        </is>
      </c>
      <c r="I1880" t="inlineStr">
        <is>
          <t>Success</t>
        </is>
      </c>
      <c r="J1880" t="inlineStr">
        <is>
          <t>Delivered</t>
        </is>
      </c>
      <c r="K1880" t="n">
        <v>0</v>
      </c>
      <c r="L1880" t="n">
        <v>0</v>
      </c>
      <c r="M1880" t="inlineStr">
        <is>
          <t>INR</t>
        </is>
      </c>
      <c r="N1880" t="inlineStr">
        <is>
          <t>2024-08-03 11:33:35</t>
        </is>
      </c>
    </row>
    <row r="1881">
      <c r="A1881" t="inlineStr">
        <is>
          <t>TXN00000647</t>
        </is>
      </c>
      <c r="B1881" t="inlineStr">
        <is>
          <t>MER00711</t>
        </is>
      </c>
      <c r="C1881" s="8" t="n">
        <v>45507</v>
      </c>
      <c r="D1881" t="inlineStr">
        <is>
          <t>ORD00000647</t>
        </is>
      </c>
      <c r="E1881" t="n">
        <v>2836.78</v>
      </c>
      <c r="F1881" t="n">
        <v>2.5</v>
      </c>
      <c r="G1881" t="n">
        <v>70.92</v>
      </c>
      <c r="H1881" t="inlineStr">
        <is>
          <t>UPI</t>
        </is>
      </c>
      <c r="I1881" t="inlineStr">
        <is>
          <t>Success</t>
        </is>
      </c>
      <c r="J1881" t="inlineStr">
        <is>
          <t>Returned</t>
        </is>
      </c>
      <c r="K1881" t="n">
        <v>2178.22</v>
      </c>
      <c r="L1881" t="n">
        <v>445.93</v>
      </c>
      <c r="M1881" t="inlineStr">
        <is>
          <t>INR</t>
        </is>
      </c>
      <c r="N1881" t="inlineStr">
        <is>
          <t>2024-08-03 14:55:11</t>
        </is>
      </c>
    </row>
    <row r="1882">
      <c r="A1882" t="inlineStr">
        <is>
          <t>TXN00000727</t>
        </is>
      </c>
      <c r="B1882" t="inlineStr">
        <is>
          <t>MER00711</t>
        </is>
      </c>
      <c r="C1882" s="8" t="n">
        <v>45508</v>
      </c>
      <c r="D1882" t="inlineStr">
        <is>
          <t>ORD00000727</t>
        </is>
      </c>
      <c r="E1882" t="n">
        <v>1079.52</v>
      </c>
      <c r="F1882" t="n">
        <v>2.5</v>
      </c>
      <c r="G1882" t="n">
        <v>26.99</v>
      </c>
      <c r="H1882" t="inlineStr">
        <is>
          <t>NetBanking</t>
        </is>
      </c>
      <c r="I1882" t="inlineStr">
        <is>
          <t>Success</t>
        </is>
      </c>
      <c r="J1882" t="inlineStr">
        <is>
          <t>Cancelled</t>
        </is>
      </c>
      <c r="K1882" t="n">
        <v>992.38</v>
      </c>
      <c r="L1882" t="n">
        <v>0</v>
      </c>
      <c r="M1882" t="inlineStr">
        <is>
          <t>INR</t>
        </is>
      </c>
      <c r="N1882" t="inlineStr">
        <is>
          <t>2024-08-04 02:29:00</t>
        </is>
      </c>
    </row>
    <row r="1883">
      <c r="A1883" t="inlineStr">
        <is>
          <t>TXN00001368</t>
        </is>
      </c>
      <c r="B1883" t="inlineStr">
        <is>
          <t>MER00711</t>
        </is>
      </c>
      <c r="C1883" s="8" t="n">
        <v>45510</v>
      </c>
      <c r="D1883" t="inlineStr">
        <is>
          <t>ORD00001368</t>
        </is>
      </c>
      <c r="E1883" t="n">
        <v>6644.61</v>
      </c>
      <c r="F1883" t="n">
        <v>2.5</v>
      </c>
      <c r="G1883" t="n">
        <v>166.12</v>
      </c>
      <c r="H1883" t="inlineStr">
        <is>
          <t>UPI</t>
        </is>
      </c>
      <c r="I1883" t="inlineStr">
        <is>
          <t>Success</t>
        </is>
      </c>
      <c r="J1883" t="inlineStr">
        <is>
          <t>Delivered</t>
        </is>
      </c>
      <c r="K1883" t="n">
        <v>0</v>
      </c>
      <c r="L1883" t="n">
        <v>0</v>
      </c>
      <c r="M1883" t="inlineStr">
        <is>
          <t>INR</t>
        </is>
      </c>
      <c r="N1883" t="inlineStr">
        <is>
          <t>2024-08-06 11:16:03</t>
        </is>
      </c>
    </row>
    <row r="1884">
      <c r="A1884" t="inlineStr">
        <is>
          <t>TXN00001450</t>
        </is>
      </c>
      <c r="B1884" t="inlineStr">
        <is>
          <t>MER00711</t>
        </is>
      </c>
      <c r="C1884" s="8" t="n">
        <v>45511</v>
      </c>
      <c r="D1884" t="inlineStr">
        <is>
          <t>ORD00001450</t>
        </is>
      </c>
      <c r="E1884" t="n">
        <v>2609.66</v>
      </c>
      <c r="F1884" t="n">
        <v>2.5</v>
      </c>
      <c r="G1884" t="n">
        <v>65.23999999999999</v>
      </c>
      <c r="H1884" t="inlineStr">
        <is>
          <t>Card</t>
        </is>
      </c>
      <c r="I1884" t="inlineStr">
        <is>
          <t>Success</t>
        </is>
      </c>
      <c r="J1884" t="inlineStr">
        <is>
          <t>Delivered</t>
        </is>
      </c>
      <c r="K1884" t="n">
        <v>0</v>
      </c>
      <c r="L1884" t="n">
        <v>0</v>
      </c>
      <c r="M1884" t="inlineStr">
        <is>
          <t>INR</t>
        </is>
      </c>
      <c r="N1884" t="inlineStr">
        <is>
          <t>2024-08-07 08:43:08</t>
        </is>
      </c>
    </row>
    <row r="1885">
      <c r="A1885" t="inlineStr">
        <is>
          <t>TXN00002889</t>
        </is>
      </c>
      <c r="B1885" t="inlineStr">
        <is>
          <t>MER00711</t>
        </is>
      </c>
      <c r="C1885" s="8" t="n">
        <v>45516</v>
      </c>
      <c r="D1885" t="inlineStr">
        <is>
          <t>ORD00002889</t>
        </is>
      </c>
      <c r="E1885" t="n">
        <v>4509.78</v>
      </c>
      <c r="F1885" t="n">
        <v>1.93</v>
      </c>
      <c r="G1885" t="n">
        <v>87.04000000000001</v>
      </c>
      <c r="H1885" t="inlineStr">
        <is>
          <t>UPI</t>
        </is>
      </c>
      <c r="I1885" t="inlineStr">
        <is>
          <t>Failed</t>
        </is>
      </c>
      <c r="J1885" t="inlineStr">
        <is>
          <t>Cancelled</t>
        </is>
      </c>
      <c r="K1885" t="n">
        <v>0</v>
      </c>
      <c r="L1885" t="n">
        <v>0</v>
      </c>
      <c r="M1885" t="inlineStr">
        <is>
          <t>INR</t>
        </is>
      </c>
      <c r="N1885" t="inlineStr">
        <is>
          <t>2024-08-12 11:23:31</t>
        </is>
      </c>
    </row>
    <row r="1886">
      <c r="A1886" t="inlineStr">
        <is>
          <t>TXN00003502</t>
        </is>
      </c>
      <c r="B1886" t="inlineStr">
        <is>
          <t>MER00711</t>
        </is>
      </c>
      <c r="C1886" s="8" t="n">
        <v>45519</v>
      </c>
      <c r="D1886" t="inlineStr">
        <is>
          <t>ORD00003502</t>
        </is>
      </c>
      <c r="E1886" t="n">
        <v>4598.38</v>
      </c>
      <c r="F1886" t="n">
        <v>1.93</v>
      </c>
      <c r="G1886" t="n">
        <v>88.75</v>
      </c>
      <c r="H1886" t="inlineStr">
        <is>
          <t>UPI</t>
        </is>
      </c>
      <c r="I1886" t="inlineStr">
        <is>
          <t>Success</t>
        </is>
      </c>
      <c r="J1886" t="inlineStr">
        <is>
          <t>Delivered</t>
        </is>
      </c>
      <c r="K1886" t="n">
        <v>0</v>
      </c>
      <c r="L1886" t="n">
        <v>0</v>
      </c>
      <c r="M1886" t="inlineStr">
        <is>
          <t>INR</t>
        </is>
      </c>
      <c r="N1886" t="inlineStr">
        <is>
          <t>2024-08-15 19:32:59</t>
        </is>
      </c>
    </row>
    <row r="1887">
      <c r="A1887" t="inlineStr">
        <is>
          <t>TXN00003921</t>
        </is>
      </c>
      <c r="B1887" t="inlineStr">
        <is>
          <t>MER00711</t>
        </is>
      </c>
      <c r="C1887" s="8" t="n">
        <v>45521</v>
      </c>
      <c r="D1887" t="inlineStr">
        <is>
          <t>ORD00003921</t>
        </is>
      </c>
      <c r="E1887" t="n">
        <v>8017.79</v>
      </c>
      <c r="F1887" t="n">
        <v>1.93</v>
      </c>
      <c r="G1887" t="n">
        <v>154.74</v>
      </c>
      <c r="H1887" t="inlineStr">
        <is>
          <t>Card</t>
        </is>
      </c>
      <c r="I1887" t="inlineStr">
        <is>
          <t>Success</t>
        </is>
      </c>
      <c r="J1887" t="inlineStr">
        <is>
          <t>Delivered</t>
        </is>
      </c>
      <c r="K1887" t="n">
        <v>0</v>
      </c>
      <c r="L1887" t="n">
        <v>0</v>
      </c>
      <c r="M1887" t="inlineStr">
        <is>
          <t>INR</t>
        </is>
      </c>
      <c r="N1887" t="inlineStr">
        <is>
          <t>2024-08-17 19:26:34</t>
        </is>
      </c>
    </row>
    <row r="1888">
      <c r="A1888" t="inlineStr">
        <is>
          <t>TXN00004153</t>
        </is>
      </c>
      <c r="B1888" t="inlineStr">
        <is>
          <t>MER00711</t>
        </is>
      </c>
      <c r="C1888" s="8" t="n">
        <v>45522</v>
      </c>
      <c r="D1888" t="inlineStr">
        <is>
          <t>ORD00004153</t>
        </is>
      </c>
      <c r="E1888" t="n">
        <v>6003.51</v>
      </c>
      <c r="F1888" t="n">
        <v>1.93</v>
      </c>
      <c r="G1888" t="n">
        <v>115.87</v>
      </c>
      <c r="H1888" t="inlineStr">
        <is>
          <t>Wallet</t>
        </is>
      </c>
      <c r="I1888" t="inlineStr">
        <is>
          <t>Success</t>
        </is>
      </c>
      <c r="J1888" t="inlineStr">
        <is>
          <t>Returned</t>
        </is>
      </c>
      <c r="K1888" t="n">
        <v>2541.23</v>
      </c>
      <c r="L1888" t="n">
        <v>0</v>
      </c>
      <c r="M1888" t="inlineStr">
        <is>
          <t>INR</t>
        </is>
      </c>
      <c r="N1888" t="inlineStr">
        <is>
          <t>2024-08-18 12:34:28</t>
        </is>
      </c>
    </row>
    <row r="1889">
      <c r="A1889" t="inlineStr">
        <is>
          <t>TXN00005727</t>
        </is>
      </c>
      <c r="B1889" t="inlineStr">
        <is>
          <t>MER00711</t>
        </is>
      </c>
      <c r="C1889" s="8" t="n">
        <v>45528</v>
      </c>
      <c r="D1889" t="inlineStr">
        <is>
          <t>ORD00005727</t>
        </is>
      </c>
      <c r="E1889" t="n">
        <v>794.27</v>
      </c>
      <c r="F1889" t="n">
        <v>1.93</v>
      </c>
      <c r="G1889" t="n">
        <v>15.33</v>
      </c>
      <c r="H1889" t="inlineStr">
        <is>
          <t>UPI</t>
        </is>
      </c>
      <c r="I1889" t="inlineStr">
        <is>
          <t>Success</t>
        </is>
      </c>
      <c r="J1889" t="inlineStr">
        <is>
          <t>Cancelled</t>
        </is>
      </c>
      <c r="K1889" t="n">
        <v>764.3099999999999</v>
      </c>
      <c r="L1889" t="n">
        <v>0</v>
      </c>
      <c r="M1889" t="inlineStr">
        <is>
          <t>INR</t>
        </is>
      </c>
      <c r="N1889" t="inlineStr">
        <is>
          <t>2024-08-24 15:27:53</t>
        </is>
      </c>
    </row>
    <row r="1890">
      <c r="A1890" t="inlineStr">
        <is>
          <t>TXN00005813</t>
        </is>
      </c>
      <c r="B1890" t="inlineStr">
        <is>
          <t>MER00711</t>
        </is>
      </c>
      <c r="C1890" s="8" t="n">
        <v>45529</v>
      </c>
      <c r="D1890" t="inlineStr">
        <is>
          <t>ORD00005813</t>
        </is>
      </c>
      <c r="E1890" t="n">
        <v>4117.48</v>
      </c>
      <c r="F1890" t="n">
        <v>1.93</v>
      </c>
      <c r="G1890" t="n">
        <v>79.47</v>
      </c>
      <c r="H1890" t="inlineStr">
        <is>
          <t>UPI</t>
        </is>
      </c>
      <c r="I1890" t="inlineStr">
        <is>
          <t>Success</t>
        </is>
      </c>
      <c r="J1890" t="inlineStr">
        <is>
          <t>Delivered</t>
        </is>
      </c>
      <c r="K1890" t="n">
        <v>0</v>
      </c>
      <c r="L1890" t="n">
        <v>0</v>
      </c>
      <c r="M1890" t="inlineStr">
        <is>
          <t>INR</t>
        </is>
      </c>
      <c r="N1890" t="inlineStr">
        <is>
          <t>2024-08-25 08:15:48</t>
        </is>
      </c>
    </row>
    <row r="1891">
      <c r="A1891" t="inlineStr">
        <is>
          <t>TXN00006998</t>
        </is>
      </c>
      <c r="B1891" t="inlineStr">
        <is>
          <t>MER00711</t>
        </is>
      </c>
      <c r="C1891" s="8" t="n">
        <v>45534</v>
      </c>
      <c r="D1891" t="inlineStr">
        <is>
          <t>ORD00006998</t>
        </is>
      </c>
      <c r="E1891" t="n">
        <v>2486.79</v>
      </c>
      <c r="F1891" t="n">
        <v>1.93</v>
      </c>
      <c r="G1891" t="n">
        <v>48</v>
      </c>
      <c r="H1891" t="inlineStr">
        <is>
          <t>UPI</t>
        </is>
      </c>
      <c r="I1891" t="inlineStr">
        <is>
          <t>Success</t>
        </is>
      </c>
      <c r="J1891" t="inlineStr">
        <is>
          <t>Delivered</t>
        </is>
      </c>
      <c r="K1891" t="n">
        <v>0</v>
      </c>
      <c r="L1891" t="n">
        <v>0</v>
      </c>
      <c r="M1891" t="inlineStr">
        <is>
          <t>INR</t>
        </is>
      </c>
      <c r="N1891" t="inlineStr">
        <is>
          <t>2024-08-30 22:16:50</t>
        </is>
      </c>
    </row>
    <row r="1892">
      <c r="A1892" t="inlineStr">
        <is>
          <t>TXN00007340</t>
        </is>
      </c>
      <c r="B1892" t="inlineStr">
        <is>
          <t>MER00711</t>
        </is>
      </c>
      <c r="C1892" s="8" t="n">
        <v>45535</v>
      </c>
      <c r="D1892" t="inlineStr">
        <is>
          <t>ORD00007340</t>
        </is>
      </c>
      <c r="E1892" t="n">
        <v>8764.719999999999</v>
      </c>
      <c r="F1892" t="n">
        <v>1.93</v>
      </c>
      <c r="G1892" t="n">
        <v>169.16</v>
      </c>
      <c r="H1892" t="inlineStr">
        <is>
          <t>UPI</t>
        </is>
      </c>
      <c r="I1892" t="inlineStr">
        <is>
          <t>Success</t>
        </is>
      </c>
      <c r="J1892" t="inlineStr">
        <is>
          <t>Delivered</t>
        </is>
      </c>
      <c r="K1892" t="n">
        <v>0</v>
      </c>
      <c r="L1892" t="n">
        <v>0</v>
      </c>
      <c r="M1892" t="inlineStr">
        <is>
          <t>INR</t>
        </is>
      </c>
      <c r="N1892" t="inlineStr">
        <is>
          <t>2024-08-31 06:48:00</t>
        </is>
      </c>
    </row>
    <row r="1893">
      <c r="A1893" t="inlineStr">
        <is>
          <t>TXN00008340</t>
        </is>
      </c>
      <c r="B1893" t="inlineStr">
        <is>
          <t>MER00711</t>
        </is>
      </c>
      <c r="C1893" s="8" t="n">
        <v>45538</v>
      </c>
      <c r="D1893" t="inlineStr">
        <is>
          <t>ORD00008340</t>
        </is>
      </c>
      <c r="E1893" t="n">
        <v>2807.37</v>
      </c>
      <c r="F1893" t="n">
        <v>2.29</v>
      </c>
      <c r="G1893" t="n">
        <v>54.18</v>
      </c>
      <c r="H1893" t="inlineStr">
        <is>
          <t>Wallet</t>
        </is>
      </c>
      <c r="I1893" t="inlineStr">
        <is>
          <t>Success</t>
        </is>
      </c>
      <c r="J1893" t="inlineStr">
        <is>
          <t>Delivered</t>
        </is>
      </c>
      <c r="K1893" t="n">
        <v>0</v>
      </c>
      <c r="L1893" t="n">
        <v>0</v>
      </c>
      <c r="M1893" t="inlineStr">
        <is>
          <t>INR</t>
        </is>
      </c>
      <c r="N1893" t="inlineStr">
        <is>
          <t>2024-09-03 03:14:08</t>
        </is>
      </c>
    </row>
    <row r="1894">
      <c r="A1894" t="inlineStr">
        <is>
          <t>TXN00008223</t>
        </is>
      </c>
      <c r="B1894" t="inlineStr">
        <is>
          <t>MER00711</t>
        </is>
      </c>
      <c r="C1894" s="8" t="n">
        <v>45538</v>
      </c>
      <c r="D1894" t="inlineStr">
        <is>
          <t>ORD00008223</t>
        </is>
      </c>
      <c r="E1894" t="n">
        <v>2761.52</v>
      </c>
      <c r="F1894" t="n">
        <v>1.93</v>
      </c>
      <c r="G1894" t="n">
        <v>53.3</v>
      </c>
      <c r="H1894" t="inlineStr">
        <is>
          <t>UPI</t>
        </is>
      </c>
      <c r="I1894" t="inlineStr">
        <is>
          <t>Success</t>
        </is>
      </c>
      <c r="J1894" t="inlineStr">
        <is>
          <t>Delivered</t>
        </is>
      </c>
      <c r="K1894" t="n">
        <v>0</v>
      </c>
      <c r="L1894" t="n">
        <v>0</v>
      </c>
      <c r="M1894" t="inlineStr">
        <is>
          <t>INR</t>
        </is>
      </c>
      <c r="N1894" t="inlineStr">
        <is>
          <t>2024-09-03 23:43:21</t>
        </is>
      </c>
    </row>
    <row r="1895">
      <c r="A1895" t="inlineStr">
        <is>
          <t>TXN00012510</t>
        </is>
      </c>
      <c r="B1895" t="inlineStr">
        <is>
          <t>MER00711</t>
        </is>
      </c>
      <c r="C1895" s="8" t="n">
        <v>45553</v>
      </c>
      <c r="D1895" t="inlineStr">
        <is>
          <t>ORD00012510</t>
        </is>
      </c>
      <c r="E1895" t="n">
        <v>4769.38</v>
      </c>
      <c r="F1895" t="n">
        <v>1.93</v>
      </c>
      <c r="G1895" t="n">
        <v>92.05</v>
      </c>
      <c r="H1895" t="inlineStr">
        <is>
          <t>COD</t>
        </is>
      </c>
      <c r="I1895" t="inlineStr">
        <is>
          <t>Success</t>
        </is>
      </c>
      <c r="J1895" t="inlineStr">
        <is>
          <t>Delivered</t>
        </is>
      </c>
      <c r="K1895" t="n">
        <v>0</v>
      </c>
      <c r="L1895" t="n">
        <v>0</v>
      </c>
      <c r="M1895" t="inlineStr">
        <is>
          <t>INR</t>
        </is>
      </c>
      <c r="N1895" t="inlineStr">
        <is>
          <t>2024-09-18 14:14:19</t>
        </is>
      </c>
    </row>
    <row r="1896">
      <c r="A1896" t="inlineStr">
        <is>
          <t>TXN00013271</t>
        </is>
      </c>
      <c r="B1896" t="inlineStr">
        <is>
          <t>MER00711</t>
        </is>
      </c>
      <c r="C1896" s="8" t="n">
        <v>45556</v>
      </c>
      <c r="D1896" t="inlineStr">
        <is>
          <t>ORD00013271</t>
        </is>
      </c>
      <c r="E1896" t="n">
        <v>6009.7</v>
      </c>
      <c r="F1896" t="n">
        <v>1.93</v>
      </c>
      <c r="G1896" t="n">
        <v>115.99</v>
      </c>
      <c r="H1896" t="inlineStr">
        <is>
          <t>NetBanking</t>
        </is>
      </c>
      <c r="I1896" t="inlineStr">
        <is>
          <t>Success</t>
        </is>
      </c>
      <c r="J1896" t="inlineStr">
        <is>
          <t>Delivered</t>
        </is>
      </c>
      <c r="K1896" t="n">
        <v>0</v>
      </c>
      <c r="L1896" t="n">
        <v>0</v>
      </c>
      <c r="M1896" t="inlineStr">
        <is>
          <t>INR</t>
        </is>
      </c>
      <c r="N1896" t="inlineStr">
        <is>
          <t>2024-09-21 00:44:54</t>
        </is>
      </c>
    </row>
    <row r="1897">
      <c r="A1897" t="inlineStr">
        <is>
          <t>TXN00016644</t>
        </is>
      </c>
      <c r="B1897" t="inlineStr">
        <is>
          <t>MER00711</t>
        </is>
      </c>
      <c r="C1897" s="8" t="n">
        <v>45567</v>
      </c>
      <c r="D1897" t="inlineStr">
        <is>
          <t>ORD00016644</t>
        </is>
      </c>
      <c r="E1897" t="n">
        <v>5310.39</v>
      </c>
      <c r="F1897" t="n">
        <v>2.45</v>
      </c>
      <c r="G1897" t="n">
        <v>102.49</v>
      </c>
      <c r="H1897" t="inlineStr">
        <is>
          <t>UPI</t>
        </is>
      </c>
      <c r="I1897" t="inlineStr">
        <is>
          <t>Failed</t>
        </is>
      </c>
      <c r="J1897" t="inlineStr">
        <is>
          <t>Cancelled</t>
        </is>
      </c>
      <c r="K1897" t="n">
        <v>0</v>
      </c>
      <c r="L1897" t="n">
        <v>0</v>
      </c>
      <c r="M1897" t="inlineStr">
        <is>
          <t>INR</t>
        </is>
      </c>
      <c r="N1897" t="inlineStr">
        <is>
          <t>2024-10-02 02:45:03</t>
        </is>
      </c>
    </row>
    <row r="1898">
      <c r="A1898" t="inlineStr">
        <is>
          <t>TXN00017848</t>
        </is>
      </c>
      <c r="B1898" t="inlineStr">
        <is>
          <t>MER00711</t>
        </is>
      </c>
      <c r="C1898" s="8" t="n">
        <v>45570</v>
      </c>
      <c r="D1898" t="inlineStr">
        <is>
          <t>ORD00017848</t>
        </is>
      </c>
      <c r="E1898" t="n">
        <v>2270.59</v>
      </c>
      <c r="F1898" t="n">
        <v>1.93</v>
      </c>
      <c r="G1898" t="n">
        <v>43.82</v>
      </c>
      <c r="H1898" t="inlineStr">
        <is>
          <t>Wallet</t>
        </is>
      </c>
      <c r="I1898" t="inlineStr">
        <is>
          <t>Success</t>
        </is>
      </c>
      <c r="J1898" t="inlineStr">
        <is>
          <t>Delivered</t>
        </is>
      </c>
      <c r="K1898" t="n">
        <v>0</v>
      </c>
      <c r="L1898" t="n">
        <v>0</v>
      </c>
      <c r="M1898" t="inlineStr">
        <is>
          <t>INR</t>
        </is>
      </c>
      <c r="N1898" t="inlineStr">
        <is>
          <t>2024-10-05 19:19:44</t>
        </is>
      </c>
    </row>
    <row r="1899">
      <c r="A1899" t="inlineStr">
        <is>
          <t>TXN00021958</t>
        </is>
      </c>
      <c r="B1899" t="inlineStr">
        <is>
          <t>MER00711</t>
        </is>
      </c>
      <c r="C1899" s="8" t="n">
        <v>45581</v>
      </c>
      <c r="D1899" t="inlineStr">
        <is>
          <t>ORD00021958</t>
        </is>
      </c>
      <c r="E1899" t="n">
        <v>3620.64</v>
      </c>
      <c r="F1899" t="n">
        <v>1.93</v>
      </c>
      <c r="G1899" t="n">
        <v>69.88</v>
      </c>
      <c r="H1899" t="inlineStr">
        <is>
          <t>UPI</t>
        </is>
      </c>
      <c r="I1899" t="inlineStr">
        <is>
          <t>Success</t>
        </is>
      </c>
      <c r="J1899" t="inlineStr">
        <is>
          <t>Delivered</t>
        </is>
      </c>
      <c r="K1899" t="n">
        <v>0</v>
      </c>
      <c r="L1899" t="n">
        <v>541.28</v>
      </c>
      <c r="M1899" t="inlineStr">
        <is>
          <t>INR</t>
        </is>
      </c>
      <c r="N1899" t="inlineStr">
        <is>
          <t>2024-10-16 23:02:52</t>
        </is>
      </c>
    </row>
    <row r="1900">
      <c r="A1900" t="inlineStr">
        <is>
          <t>TXN00023140</t>
        </is>
      </c>
      <c r="B1900" t="inlineStr">
        <is>
          <t>MER00711</t>
        </is>
      </c>
      <c r="C1900" s="8" t="n">
        <v>45584</v>
      </c>
      <c r="D1900" t="inlineStr">
        <is>
          <t>ORD00023140</t>
        </is>
      </c>
      <c r="E1900" t="n">
        <v>6432.11</v>
      </c>
      <c r="F1900" t="n">
        <v>1.93</v>
      </c>
      <c r="G1900" t="n">
        <v>124.14</v>
      </c>
      <c r="H1900" t="inlineStr">
        <is>
          <t>Card</t>
        </is>
      </c>
      <c r="I1900" t="inlineStr">
        <is>
          <t>Success</t>
        </is>
      </c>
      <c r="J1900" t="inlineStr">
        <is>
          <t>Delivered</t>
        </is>
      </c>
      <c r="K1900" t="n">
        <v>0</v>
      </c>
      <c r="L1900" t="n">
        <v>0</v>
      </c>
      <c r="M1900" t="inlineStr">
        <is>
          <t>INR</t>
        </is>
      </c>
      <c r="N1900" t="inlineStr">
        <is>
          <t>2024-10-19 11:09:46</t>
        </is>
      </c>
    </row>
    <row r="1901">
      <c r="A1901" t="inlineStr">
        <is>
          <t>TXN00023801</t>
        </is>
      </c>
      <c r="B1901" t="inlineStr">
        <is>
          <t>MER00711</t>
        </is>
      </c>
      <c r="C1901" s="8" t="n">
        <v>45585</v>
      </c>
      <c r="D1901" t="inlineStr">
        <is>
          <t>ORD00023801</t>
        </is>
      </c>
      <c r="E1901" t="n">
        <v>2667.94</v>
      </c>
      <c r="F1901" t="n">
        <v>1.93</v>
      </c>
      <c r="G1901" t="n">
        <v>51.49</v>
      </c>
      <c r="H1901" t="inlineStr">
        <is>
          <t>Card</t>
        </is>
      </c>
      <c r="I1901" t="inlineStr">
        <is>
          <t>Success</t>
        </is>
      </c>
      <c r="J1901" t="inlineStr">
        <is>
          <t>Returned</t>
        </is>
      </c>
      <c r="K1901" t="n">
        <v>1739.14</v>
      </c>
      <c r="L1901" t="n">
        <v>0</v>
      </c>
      <c r="M1901" t="inlineStr">
        <is>
          <t>INR</t>
        </is>
      </c>
      <c r="N1901" t="inlineStr">
        <is>
          <t>2024-10-20 15:25:29</t>
        </is>
      </c>
    </row>
    <row r="1902">
      <c r="A1902" t="inlineStr">
        <is>
          <t>TXN00024055</t>
        </is>
      </c>
      <c r="B1902" t="inlineStr">
        <is>
          <t>MER00711</t>
        </is>
      </c>
      <c r="C1902" s="8" t="n">
        <v>45586</v>
      </c>
      <c r="D1902" t="inlineStr">
        <is>
          <t>ORD00024055</t>
        </is>
      </c>
      <c r="E1902" t="n">
        <v>6869.34</v>
      </c>
      <c r="F1902" t="n">
        <v>1.93</v>
      </c>
      <c r="G1902" t="n">
        <v>132.58</v>
      </c>
      <c r="H1902" t="inlineStr">
        <is>
          <t>Card</t>
        </is>
      </c>
      <c r="I1902" t="inlineStr">
        <is>
          <t>Success</t>
        </is>
      </c>
      <c r="J1902" t="inlineStr">
        <is>
          <t>Delivered</t>
        </is>
      </c>
      <c r="K1902" t="n">
        <v>0</v>
      </c>
      <c r="L1902" t="n">
        <v>463.93</v>
      </c>
      <c r="M1902" t="inlineStr">
        <is>
          <t>INR</t>
        </is>
      </c>
      <c r="N1902" t="inlineStr">
        <is>
          <t>2024-10-21 00:14:17</t>
        </is>
      </c>
    </row>
    <row r="1903">
      <c r="A1903" t="inlineStr">
        <is>
          <t>TXN00026424</t>
        </is>
      </c>
      <c r="B1903" t="inlineStr">
        <is>
          <t>MER00711</t>
        </is>
      </c>
      <c r="C1903" s="8" t="n">
        <v>45592</v>
      </c>
      <c r="D1903" t="inlineStr">
        <is>
          <t>ORD00026424</t>
        </is>
      </c>
      <c r="E1903" t="n">
        <v>4238.06</v>
      </c>
      <c r="F1903" t="n">
        <v>1.93</v>
      </c>
      <c r="G1903" t="n">
        <v>81.79000000000001</v>
      </c>
      <c r="H1903" t="inlineStr">
        <is>
          <t>UPI</t>
        </is>
      </c>
      <c r="I1903" t="inlineStr">
        <is>
          <t>Success</t>
        </is>
      </c>
      <c r="J1903" t="inlineStr">
        <is>
          <t>Delivered</t>
        </is>
      </c>
      <c r="K1903" t="n">
        <v>0</v>
      </c>
      <c r="L1903" t="n">
        <v>0</v>
      </c>
      <c r="M1903" t="inlineStr">
        <is>
          <t>INR</t>
        </is>
      </c>
      <c r="N1903" t="inlineStr">
        <is>
          <t>2024-10-27 02:54:04</t>
        </is>
      </c>
    </row>
    <row r="1904">
      <c r="A1904" t="inlineStr">
        <is>
          <t>TXN00027797</t>
        </is>
      </c>
      <c r="B1904" t="inlineStr">
        <is>
          <t>MER00711</t>
        </is>
      </c>
      <c r="C1904" s="8" t="n">
        <v>45596</v>
      </c>
      <c r="D1904" t="inlineStr">
        <is>
          <t>ORD00027797</t>
        </is>
      </c>
      <c r="E1904" t="n">
        <v>4943.34</v>
      </c>
      <c r="F1904" t="n">
        <v>1.93</v>
      </c>
      <c r="G1904" t="n">
        <v>95.41</v>
      </c>
      <c r="H1904" t="inlineStr">
        <is>
          <t>Wallet</t>
        </is>
      </c>
      <c r="I1904" t="inlineStr">
        <is>
          <t>Success</t>
        </is>
      </c>
      <c r="J1904" t="inlineStr">
        <is>
          <t>Delivered</t>
        </is>
      </c>
      <c r="K1904" t="n">
        <v>0</v>
      </c>
      <c r="L1904" t="n">
        <v>390.29</v>
      </c>
      <c r="M1904" t="inlineStr">
        <is>
          <t>INR</t>
        </is>
      </c>
      <c r="N1904" t="inlineStr">
        <is>
          <t>2024-10-31 17:20:02</t>
        </is>
      </c>
    </row>
    <row r="1905">
      <c r="A1905" t="inlineStr">
        <is>
          <t>TXN00028638</t>
        </is>
      </c>
      <c r="B1905" t="inlineStr">
        <is>
          <t>MER00711</t>
        </is>
      </c>
      <c r="C1905" s="8" t="n">
        <v>45598</v>
      </c>
      <c r="D1905" t="inlineStr">
        <is>
          <t>ORD00028638</t>
        </is>
      </c>
      <c r="E1905" t="n">
        <v>3883.25</v>
      </c>
      <c r="F1905" t="n">
        <v>1.93</v>
      </c>
      <c r="G1905" t="n">
        <v>74.95</v>
      </c>
      <c r="H1905" t="inlineStr">
        <is>
          <t>Wallet</t>
        </is>
      </c>
      <c r="I1905" t="inlineStr">
        <is>
          <t>Success</t>
        </is>
      </c>
      <c r="J1905" t="inlineStr">
        <is>
          <t>Delivered</t>
        </is>
      </c>
      <c r="K1905" t="n">
        <v>0</v>
      </c>
      <c r="L1905" t="n">
        <v>595.73</v>
      </c>
      <c r="M1905" t="inlineStr">
        <is>
          <t>INR</t>
        </is>
      </c>
      <c r="N1905" t="inlineStr">
        <is>
          <t>2024-11-02 13:26:54</t>
        </is>
      </c>
    </row>
    <row r="1906">
      <c r="A1906" t="inlineStr">
        <is>
          <t>TXN00029104</t>
        </is>
      </c>
      <c r="B1906" t="inlineStr">
        <is>
          <t>MER00711</t>
        </is>
      </c>
      <c r="C1906" s="8" t="n">
        <v>45599</v>
      </c>
      <c r="D1906" t="inlineStr">
        <is>
          <t>ORD00029104</t>
        </is>
      </c>
      <c r="E1906" t="n">
        <v>14730.23</v>
      </c>
      <c r="F1906" t="n">
        <v>1.93</v>
      </c>
      <c r="G1906" t="n">
        <v>284.29</v>
      </c>
      <c r="H1906" t="inlineStr">
        <is>
          <t>UPI</t>
        </is>
      </c>
      <c r="I1906" t="inlineStr">
        <is>
          <t>Success</t>
        </is>
      </c>
      <c r="J1906" t="inlineStr">
        <is>
          <t>Delivered</t>
        </is>
      </c>
      <c r="K1906" t="n">
        <v>0</v>
      </c>
      <c r="L1906" t="n">
        <v>0</v>
      </c>
      <c r="M1906" t="inlineStr">
        <is>
          <t>INR</t>
        </is>
      </c>
      <c r="N1906" t="inlineStr">
        <is>
          <t>2024-11-03 08:16:15</t>
        </is>
      </c>
    </row>
    <row r="1907">
      <c r="A1907" t="inlineStr">
        <is>
          <t>TXN00030501</t>
        </is>
      </c>
      <c r="B1907" t="inlineStr">
        <is>
          <t>MER00711</t>
        </is>
      </c>
      <c r="C1907" s="8" t="n">
        <v>45602</v>
      </c>
      <c r="D1907" t="inlineStr">
        <is>
          <t>ORD00030501</t>
        </is>
      </c>
      <c r="E1907" t="n">
        <v>5242.53</v>
      </c>
      <c r="F1907" t="n">
        <v>1.93</v>
      </c>
      <c r="G1907" t="n">
        <v>101.18</v>
      </c>
      <c r="H1907" t="inlineStr">
        <is>
          <t>Card</t>
        </is>
      </c>
      <c r="I1907" t="inlineStr">
        <is>
          <t>Success</t>
        </is>
      </c>
      <c r="J1907" t="inlineStr">
        <is>
          <t>Returned</t>
        </is>
      </c>
      <c r="K1907" t="n">
        <v>5242.53</v>
      </c>
      <c r="L1907" t="n">
        <v>0</v>
      </c>
      <c r="M1907" t="inlineStr">
        <is>
          <t>INR</t>
        </is>
      </c>
      <c r="N1907" t="inlineStr">
        <is>
          <t>2024-11-06 09:42:19</t>
        </is>
      </c>
    </row>
    <row r="1908">
      <c r="A1908" t="inlineStr">
        <is>
          <t>TXN00031525</t>
        </is>
      </c>
      <c r="B1908" t="inlineStr">
        <is>
          <t>MER00711</t>
        </is>
      </c>
      <c r="C1908" s="8" t="n">
        <v>45604</v>
      </c>
      <c r="D1908" t="inlineStr">
        <is>
          <t>ORD00031525</t>
        </is>
      </c>
      <c r="E1908" t="n">
        <v>2625.35</v>
      </c>
      <c r="F1908" t="n">
        <v>1.93</v>
      </c>
      <c r="G1908" t="n">
        <v>50.67</v>
      </c>
      <c r="H1908" t="inlineStr">
        <is>
          <t>UPI</t>
        </is>
      </c>
      <c r="I1908" t="inlineStr">
        <is>
          <t>Success</t>
        </is>
      </c>
      <c r="J1908" t="inlineStr">
        <is>
          <t>Delivered</t>
        </is>
      </c>
      <c r="K1908" t="n">
        <v>0</v>
      </c>
      <c r="L1908" t="n">
        <v>0</v>
      </c>
      <c r="M1908" t="inlineStr">
        <is>
          <t>INR</t>
        </is>
      </c>
      <c r="N1908" t="inlineStr">
        <is>
          <t>2024-11-08 21:26:52</t>
        </is>
      </c>
    </row>
    <row r="1909">
      <c r="A1909" t="inlineStr">
        <is>
          <t>TXN00031953</t>
        </is>
      </c>
      <c r="B1909" t="inlineStr">
        <is>
          <t>MER00711</t>
        </is>
      </c>
      <c r="C1909" s="8" t="n">
        <v>45605</v>
      </c>
      <c r="D1909" t="inlineStr">
        <is>
          <t>ORD00031953</t>
        </is>
      </c>
      <c r="E1909" t="n">
        <v>2693.59</v>
      </c>
      <c r="F1909" t="n">
        <v>1.93</v>
      </c>
      <c r="G1909" t="n">
        <v>51.99</v>
      </c>
      <c r="H1909" t="inlineStr">
        <is>
          <t>UPI</t>
        </is>
      </c>
      <c r="I1909" t="inlineStr">
        <is>
          <t>Success</t>
        </is>
      </c>
      <c r="J1909" t="inlineStr">
        <is>
          <t>Delivered</t>
        </is>
      </c>
      <c r="K1909" t="n">
        <v>0</v>
      </c>
      <c r="L1909" t="n">
        <v>0</v>
      </c>
      <c r="M1909" t="inlineStr">
        <is>
          <t>INR</t>
        </is>
      </c>
      <c r="N1909" t="inlineStr">
        <is>
          <t>2024-11-09 15:26:39</t>
        </is>
      </c>
    </row>
    <row r="1910">
      <c r="A1910" t="inlineStr">
        <is>
          <t>TXN00031952</t>
        </is>
      </c>
      <c r="B1910" t="inlineStr">
        <is>
          <t>MER00711</t>
        </is>
      </c>
      <c r="C1910" s="8" t="n">
        <v>45605</v>
      </c>
      <c r="D1910" t="inlineStr">
        <is>
          <t>ORD00031952</t>
        </is>
      </c>
      <c r="E1910" t="n">
        <v>6387.91</v>
      </c>
      <c r="F1910" t="n">
        <v>1.93</v>
      </c>
      <c r="G1910" t="n">
        <v>123.29</v>
      </c>
      <c r="H1910" t="inlineStr">
        <is>
          <t>Card</t>
        </is>
      </c>
      <c r="I1910" t="inlineStr">
        <is>
          <t>Success</t>
        </is>
      </c>
      <c r="J1910" t="inlineStr">
        <is>
          <t>Delivered</t>
        </is>
      </c>
      <c r="K1910" t="n">
        <v>0</v>
      </c>
      <c r="L1910" t="n">
        <v>1224.02</v>
      </c>
      <c r="M1910" t="inlineStr">
        <is>
          <t>INR</t>
        </is>
      </c>
      <c r="N1910" t="inlineStr">
        <is>
          <t>2024-11-09 08:17:24</t>
        </is>
      </c>
    </row>
    <row r="1911">
      <c r="A1911" t="inlineStr">
        <is>
          <t>TXN00034170</t>
        </is>
      </c>
      <c r="B1911" t="inlineStr">
        <is>
          <t>MER00711</t>
        </is>
      </c>
      <c r="C1911" s="8" t="n">
        <v>45610</v>
      </c>
      <c r="D1911" t="inlineStr">
        <is>
          <t>ORD00034170</t>
        </is>
      </c>
      <c r="E1911" t="n">
        <v>5581.95</v>
      </c>
      <c r="F1911" t="n">
        <v>1.93</v>
      </c>
      <c r="G1911" t="n">
        <v>107.73</v>
      </c>
      <c r="H1911" t="inlineStr">
        <is>
          <t>UPI</t>
        </is>
      </c>
      <c r="I1911" t="inlineStr">
        <is>
          <t>Success</t>
        </is>
      </c>
      <c r="J1911" t="inlineStr">
        <is>
          <t>Delivered</t>
        </is>
      </c>
      <c r="K1911" t="n">
        <v>0</v>
      </c>
      <c r="L1911" t="n">
        <v>0</v>
      </c>
      <c r="M1911" t="inlineStr">
        <is>
          <t>INR</t>
        </is>
      </c>
      <c r="N1911" t="inlineStr">
        <is>
          <t>2024-11-14 20:16:42</t>
        </is>
      </c>
    </row>
    <row r="1912">
      <c r="A1912" t="inlineStr">
        <is>
          <t>TXN00036799</t>
        </is>
      </c>
      <c r="B1912" t="inlineStr">
        <is>
          <t>MER00711</t>
        </is>
      </c>
      <c r="C1912" s="8" t="n">
        <v>45616</v>
      </c>
      <c r="D1912" t="inlineStr">
        <is>
          <t>ORD00036799</t>
        </is>
      </c>
      <c r="E1912" t="n">
        <v>8023.82</v>
      </c>
      <c r="F1912" t="n">
        <v>1.93</v>
      </c>
      <c r="G1912" t="n">
        <v>154.86</v>
      </c>
      <c r="H1912" t="inlineStr">
        <is>
          <t>NetBanking</t>
        </is>
      </c>
      <c r="I1912" t="inlineStr">
        <is>
          <t>Success</t>
        </is>
      </c>
      <c r="J1912" t="inlineStr">
        <is>
          <t>Delivered</t>
        </is>
      </c>
      <c r="K1912" t="n">
        <v>0</v>
      </c>
      <c r="L1912" t="n">
        <v>0</v>
      </c>
      <c r="M1912" t="inlineStr">
        <is>
          <t>INR</t>
        </is>
      </c>
      <c r="N1912" t="inlineStr">
        <is>
          <t>2024-11-20 09:40:43</t>
        </is>
      </c>
    </row>
    <row r="1913">
      <c r="A1913" t="inlineStr">
        <is>
          <t>TXN00037368</t>
        </is>
      </c>
      <c r="B1913" t="inlineStr">
        <is>
          <t>MER00711</t>
        </is>
      </c>
      <c r="C1913" s="8" t="n">
        <v>45617</v>
      </c>
      <c r="D1913" t="inlineStr">
        <is>
          <t>ORD00037368</t>
        </is>
      </c>
      <c r="E1913" t="n">
        <v>7209.86</v>
      </c>
      <c r="F1913" t="n">
        <v>1.93</v>
      </c>
      <c r="G1913" t="n">
        <v>139.15</v>
      </c>
      <c r="H1913" t="inlineStr">
        <is>
          <t>UPI</t>
        </is>
      </c>
      <c r="I1913" t="inlineStr">
        <is>
          <t>Success</t>
        </is>
      </c>
      <c r="J1913" t="inlineStr">
        <is>
          <t>Delivered</t>
        </is>
      </c>
      <c r="K1913" t="n">
        <v>0</v>
      </c>
      <c r="L1913" t="n">
        <v>0</v>
      </c>
      <c r="M1913" t="inlineStr">
        <is>
          <t>INR</t>
        </is>
      </c>
      <c r="N1913" t="inlineStr">
        <is>
          <t>2024-11-21 14:53:43</t>
        </is>
      </c>
    </row>
    <row r="1914">
      <c r="A1914" t="inlineStr">
        <is>
          <t>TXN00038233</t>
        </is>
      </c>
      <c r="B1914" t="inlineStr">
        <is>
          <t>MER00711</t>
        </is>
      </c>
      <c r="C1914" s="8" t="n">
        <v>45619</v>
      </c>
      <c r="D1914" t="inlineStr">
        <is>
          <t>ORD00038233</t>
        </is>
      </c>
      <c r="E1914" t="n">
        <v>4502.81</v>
      </c>
      <c r="F1914" t="n">
        <v>1.93</v>
      </c>
      <c r="G1914" t="n">
        <v>86.90000000000001</v>
      </c>
      <c r="H1914" t="inlineStr">
        <is>
          <t>Card</t>
        </is>
      </c>
      <c r="I1914" t="inlineStr">
        <is>
          <t>Success</t>
        </is>
      </c>
      <c r="J1914" t="inlineStr">
        <is>
          <t>Delivered</t>
        </is>
      </c>
      <c r="K1914" t="n">
        <v>0</v>
      </c>
      <c r="L1914" t="n">
        <v>0</v>
      </c>
      <c r="M1914" t="inlineStr">
        <is>
          <t>INR</t>
        </is>
      </c>
      <c r="N1914" t="inlineStr">
        <is>
          <t>2024-11-23 17:25:23</t>
        </is>
      </c>
    </row>
    <row r="1915">
      <c r="A1915" t="inlineStr">
        <is>
          <t>TXN00043179</t>
        </is>
      </c>
      <c r="B1915" t="inlineStr">
        <is>
          <t>MER00711</t>
        </is>
      </c>
      <c r="C1915" s="8" t="n">
        <v>45631</v>
      </c>
      <c r="D1915" t="inlineStr">
        <is>
          <t>ORD00043179</t>
        </is>
      </c>
      <c r="E1915" t="n">
        <v>4200.56</v>
      </c>
      <c r="F1915" t="n">
        <v>1.93</v>
      </c>
      <c r="G1915" t="n">
        <v>81.06999999999999</v>
      </c>
      <c r="H1915" t="inlineStr">
        <is>
          <t>UPI</t>
        </is>
      </c>
      <c r="I1915" t="inlineStr">
        <is>
          <t>Success</t>
        </is>
      </c>
      <c r="J1915" t="inlineStr">
        <is>
          <t>Delivered</t>
        </is>
      </c>
      <c r="K1915" t="n">
        <v>0</v>
      </c>
      <c r="L1915" t="n">
        <v>726.05</v>
      </c>
      <c r="M1915" t="inlineStr">
        <is>
          <t>INR</t>
        </is>
      </c>
      <c r="N1915" t="inlineStr">
        <is>
          <t>2024-12-05 13:03:01</t>
        </is>
      </c>
    </row>
    <row r="1916">
      <c r="A1916" t="inlineStr">
        <is>
          <t>TXN00044629</t>
        </is>
      </c>
      <c r="B1916" t="inlineStr">
        <is>
          <t>MER00711</t>
        </is>
      </c>
      <c r="C1916" s="8" t="n">
        <v>45636</v>
      </c>
      <c r="D1916" t="inlineStr">
        <is>
          <t>ORD00044629</t>
        </is>
      </c>
      <c r="E1916" t="n">
        <v>2626.21</v>
      </c>
      <c r="F1916" t="n">
        <v>1.93</v>
      </c>
      <c r="G1916" t="n">
        <v>50.69</v>
      </c>
      <c r="H1916" t="inlineStr">
        <is>
          <t>COD</t>
        </is>
      </c>
      <c r="I1916" t="inlineStr">
        <is>
          <t>Success</t>
        </is>
      </c>
      <c r="J1916" t="inlineStr">
        <is>
          <t>Delivered</t>
        </is>
      </c>
      <c r="K1916" t="n">
        <v>0</v>
      </c>
      <c r="L1916" t="n">
        <v>491.07</v>
      </c>
      <c r="M1916" t="inlineStr">
        <is>
          <t>INR</t>
        </is>
      </c>
      <c r="N1916" t="inlineStr">
        <is>
          <t>2024-12-10 03:30:32</t>
        </is>
      </c>
    </row>
    <row r="1917">
      <c r="A1917" t="inlineStr">
        <is>
          <t>TXN00046066</t>
        </is>
      </c>
      <c r="B1917" t="inlineStr">
        <is>
          <t>MER00711</t>
        </is>
      </c>
      <c r="C1917" s="8" t="n">
        <v>45641</v>
      </c>
      <c r="D1917" t="inlineStr">
        <is>
          <t>ORD00046066</t>
        </is>
      </c>
      <c r="E1917" t="n">
        <v>9668.540000000001</v>
      </c>
      <c r="F1917" t="n">
        <v>1.93</v>
      </c>
      <c r="G1917" t="n">
        <v>186.6</v>
      </c>
      <c r="H1917" t="inlineStr">
        <is>
          <t>COD</t>
        </is>
      </c>
      <c r="I1917" t="inlineStr">
        <is>
          <t>Success</t>
        </is>
      </c>
      <c r="J1917" t="inlineStr">
        <is>
          <t>Delivered</t>
        </is>
      </c>
      <c r="K1917" t="n">
        <v>0</v>
      </c>
      <c r="L1917" t="n">
        <v>0</v>
      </c>
      <c r="M1917" t="inlineStr">
        <is>
          <t>INR</t>
        </is>
      </c>
      <c r="N1917" t="inlineStr">
        <is>
          <t>2024-12-15 21:49:21</t>
        </is>
      </c>
    </row>
    <row r="1918">
      <c r="A1918" t="inlineStr">
        <is>
          <t>TXN00050537</t>
        </is>
      </c>
      <c r="B1918" t="inlineStr">
        <is>
          <t>MER00711</t>
        </is>
      </c>
      <c r="C1918" s="8" t="n">
        <v>45655</v>
      </c>
      <c r="D1918" t="inlineStr">
        <is>
          <t>ORD00050537</t>
        </is>
      </c>
      <c r="E1918" t="n">
        <v>4936.84</v>
      </c>
      <c r="F1918" t="n">
        <v>1.93</v>
      </c>
      <c r="G1918" t="n">
        <v>95.28</v>
      </c>
      <c r="H1918" t="inlineStr">
        <is>
          <t>UPI</t>
        </is>
      </c>
      <c r="I1918" t="inlineStr">
        <is>
          <t>Success</t>
        </is>
      </c>
      <c r="J1918" t="inlineStr">
        <is>
          <t>Cancelled</t>
        </is>
      </c>
      <c r="K1918" t="n">
        <v>4520.03</v>
      </c>
      <c r="L1918" t="n">
        <v>0</v>
      </c>
      <c r="M1918" t="inlineStr">
        <is>
          <t>INR</t>
        </is>
      </c>
      <c r="N1918" t="inlineStr">
        <is>
          <t>2024-12-29 08:34:48</t>
        </is>
      </c>
    </row>
    <row r="1919">
      <c r="A1919" t="inlineStr">
        <is>
          <t>TXN00054978</t>
        </is>
      </c>
      <c r="B1919" t="inlineStr">
        <is>
          <t>MER00711</t>
        </is>
      </c>
      <c r="C1919" s="8" t="n">
        <v>45667</v>
      </c>
      <c r="D1919" t="inlineStr">
        <is>
          <t>ORD00054978</t>
        </is>
      </c>
      <c r="E1919" t="n">
        <v>8347.01</v>
      </c>
      <c r="F1919" t="n">
        <v>1.93</v>
      </c>
      <c r="G1919" t="n">
        <v>161.1</v>
      </c>
      <c r="H1919" t="inlineStr">
        <is>
          <t>Card</t>
        </is>
      </c>
      <c r="I1919" t="inlineStr">
        <is>
          <t>Success</t>
        </is>
      </c>
      <c r="J1919" t="inlineStr">
        <is>
          <t>Returned</t>
        </is>
      </c>
      <c r="K1919" t="n">
        <v>4059.86</v>
      </c>
      <c r="L1919" t="n">
        <v>0</v>
      </c>
      <c r="M1919" t="inlineStr">
        <is>
          <t>INR</t>
        </is>
      </c>
      <c r="N1919" t="inlineStr">
        <is>
          <t>2025-01-10 21:20:37</t>
        </is>
      </c>
    </row>
    <row r="1920">
      <c r="A1920" t="inlineStr">
        <is>
          <t>TXN00055074</t>
        </is>
      </c>
      <c r="B1920" t="inlineStr">
        <is>
          <t>MER00711</t>
        </is>
      </c>
      <c r="C1920" s="8" t="n">
        <v>45668</v>
      </c>
      <c r="D1920" t="inlineStr">
        <is>
          <t>ORD00055074</t>
        </is>
      </c>
      <c r="E1920" t="n">
        <v>8135.38</v>
      </c>
      <c r="F1920" t="n">
        <v>1.93</v>
      </c>
      <c r="G1920" t="n">
        <v>157.01</v>
      </c>
      <c r="H1920" t="inlineStr">
        <is>
          <t>Card</t>
        </is>
      </c>
      <c r="I1920" t="inlineStr">
        <is>
          <t>Success</t>
        </is>
      </c>
      <c r="J1920" t="inlineStr">
        <is>
          <t>Delivered</t>
        </is>
      </c>
      <c r="K1920" t="n">
        <v>0</v>
      </c>
      <c r="L1920" t="n">
        <v>0</v>
      </c>
      <c r="M1920" t="inlineStr">
        <is>
          <t>INR</t>
        </is>
      </c>
      <c r="N1920" t="inlineStr">
        <is>
          <t>2025-01-11 20:02:58</t>
        </is>
      </c>
    </row>
    <row r="1921">
      <c r="A1921" t="inlineStr">
        <is>
          <t>TXN00056328</t>
        </is>
      </c>
      <c r="B1921" t="inlineStr">
        <is>
          <t>MER00711</t>
        </is>
      </c>
      <c r="C1921" s="8" t="n">
        <v>45671</v>
      </c>
      <c r="D1921" t="inlineStr">
        <is>
          <t>ORD00056328</t>
        </is>
      </c>
      <c r="E1921" t="n">
        <v>3770.44</v>
      </c>
      <c r="F1921" t="n">
        <v>1.93</v>
      </c>
      <c r="G1921" t="n">
        <v>72.77</v>
      </c>
      <c r="H1921" t="inlineStr">
        <is>
          <t>NetBanking</t>
        </is>
      </c>
      <c r="I1921" t="inlineStr">
        <is>
          <t>Success</t>
        </is>
      </c>
      <c r="J1921" t="inlineStr">
        <is>
          <t>Delivered</t>
        </is>
      </c>
      <c r="K1921" t="n">
        <v>0</v>
      </c>
      <c r="L1921" t="n">
        <v>0</v>
      </c>
      <c r="M1921" t="inlineStr">
        <is>
          <t>INR</t>
        </is>
      </c>
      <c r="N1921" t="inlineStr">
        <is>
          <t>2025-01-14 12:06:29</t>
        </is>
      </c>
    </row>
    <row r="1922">
      <c r="A1922" t="inlineStr">
        <is>
          <t>TXN00056584</t>
        </is>
      </c>
      <c r="B1922" t="inlineStr">
        <is>
          <t>MER00711</t>
        </is>
      </c>
      <c r="C1922" s="8" t="n">
        <v>45672</v>
      </c>
      <c r="D1922" t="inlineStr">
        <is>
          <t>ORD00056584</t>
        </is>
      </c>
      <c r="E1922" t="n">
        <v>4582.07</v>
      </c>
      <c r="F1922" t="n">
        <v>1.93</v>
      </c>
      <c r="G1922" t="n">
        <v>88.43000000000001</v>
      </c>
      <c r="H1922" t="inlineStr">
        <is>
          <t>UPI</t>
        </is>
      </c>
      <c r="I1922" t="inlineStr">
        <is>
          <t>Success</t>
        </is>
      </c>
      <c r="J1922" t="inlineStr">
        <is>
          <t>Delivered</t>
        </is>
      </c>
      <c r="K1922" t="n">
        <v>0</v>
      </c>
      <c r="L1922" t="n">
        <v>727.8099999999999</v>
      </c>
      <c r="M1922" t="inlineStr">
        <is>
          <t>INR</t>
        </is>
      </c>
      <c r="N1922" t="inlineStr">
        <is>
          <t>2025-01-15 16:03:09</t>
        </is>
      </c>
    </row>
    <row r="1923">
      <c r="A1923" t="inlineStr">
        <is>
          <t>TXN00057108</t>
        </is>
      </c>
      <c r="B1923" t="inlineStr">
        <is>
          <t>MER00711</t>
        </is>
      </c>
      <c r="C1923" s="8" t="n">
        <v>45673</v>
      </c>
      <c r="D1923" t="inlineStr">
        <is>
          <t>ORD00057108</t>
        </is>
      </c>
      <c r="E1923" t="n">
        <v>4703.61</v>
      </c>
      <c r="F1923" t="n">
        <v>1.93</v>
      </c>
      <c r="G1923" t="n">
        <v>90.78</v>
      </c>
      <c r="H1923" t="inlineStr">
        <is>
          <t>UPI</t>
        </is>
      </c>
      <c r="I1923" t="inlineStr">
        <is>
          <t>Success</t>
        </is>
      </c>
      <c r="J1923" t="inlineStr">
        <is>
          <t>Returned</t>
        </is>
      </c>
      <c r="K1923" t="n">
        <v>4703.61</v>
      </c>
      <c r="L1923" t="n">
        <v>0</v>
      </c>
      <c r="M1923" t="inlineStr">
        <is>
          <t>INR</t>
        </is>
      </c>
      <c r="N1923" t="inlineStr">
        <is>
          <t>2025-01-16 06:14:30</t>
        </is>
      </c>
    </row>
    <row r="1924">
      <c r="A1924" t="inlineStr">
        <is>
          <t>TXN00059098</t>
        </is>
      </c>
      <c r="B1924" t="inlineStr">
        <is>
          <t>MER00711</t>
        </is>
      </c>
      <c r="C1924" s="8" t="n">
        <v>45678</v>
      </c>
      <c r="D1924" t="inlineStr">
        <is>
          <t>ORD00059098</t>
        </is>
      </c>
      <c r="E1924" t="n">
        <v>4670.67</v>
      </c>
      <c r="F1924" t="n">
        <v>1.93</v>
      </c>
      <c r="G1924" t="n">
        <v>90.14</v>
      </c>
      <c r="H1924" t="inlineStr">
        <is>
          <t>Card</t>
        </is>
      </c>
      <c r="I1924" t="inlineStr">
        <is>
          <t>Success</t>
        </is>
      </c>
      <c r="J1924" t="inlineStr">
        <is>
          <t>Delivered</t>
        </is>
      </c>
      <c r="K1924" t="n">
        <v>0</v>
      </c>
      <c r="L1924" t="n">
        <v>0</v>
      </c>
      <c r="M1924" t="inlineStr">
        <is>
          <t>INR</t>
        </is>
      </c>
      <c r="N1924" t="inlineStr">
        <is>
          <t>2025-01-21 20:50:20</t>
        </is>
      </c>
    </row>
    <row r="1925">
      <c r="A1925" t="inlineStr">
        <is>
          <t>TXN00059140</t>
        </is>
      </c>
      <c r="B1925" t="inlineStr">
        <is>
          <t>MER00711</t>
        </is>
      </c>
      <c r="C1925" s="8" t="n">
        <v>45679</v>
      </c>
      <c r="D1925" t="inlineStr">
        <is>
          <t>ORD00059140</t>
        </is>
      </c>
      <c r="E1925" t="n">
        <v>1811.42</v>
      </c>
      <c r="F1925" t="n">
        <v>1.93</v>
      </c>
      <c r="G1925" t="n">
        <v>34.96</v>
      </c>
      <c r="H1925" t="inlineStr">
        <is>
          <t>UPI</t>
        </is>
      </c>
      <c r="I1925" t="inlineStr">
        <is>
          <t>Success</t>
        </is>
      </c>
      <c r="J1925" t="inlineStr">
        <is>
          <t>Processing</t>
        </is>
      </c>
      <c r="K1925" t="n">
        <v>0</v>
      </c>
      <c r="L1925" t="n">
        <v>0</v>
      </c>
      <c r="M1925" t="inlineStr">
        <is>
          <t>INR</t>
        </is>
      </c>
      <c r="N1925" t="inlineStr">
        <is>
          <t>2025-01-22 00:44:17</t>
        </is>
      </c>
    </row>
    <row r="1926">
      <c r="A1926" t="inlineStr">
        <is>
          <t>TXN00059120</t>
        </is>
      </c>
      <c r="B1926" t="inlineStr">
        <is>
          <t>MER00711</t>
        </is>
      </c>
      <c r="C1926" s="8" t="n">
        <v>45679</v>
      </c>
      <c r="D1926" t="inlineStr">
        <is>
          <t>ORD00059120</t>
        </is>
      </c>
      <c r="E1926" t="n">
        <v>8489.299999999999</v>
      </c>
      <c r="F1926" t="n">
        <v>1.93</v>
      </c>
      <c r="G1926" t="n">
        <v>163.84</v>
      </c>
      <c r="H1926" t="inlineStr">
        <is>
          <t>UPI</t>
        </is>
      </c>
      <c r="I1926" t="inlineStr">
        <is>
          <t>Success</t>
        </is>
      </c>
      <c r="J1926" t="inlineStr">
        <is>
          <t>Delivered</t>
        </is>
      </c>
      <c r="K1926" t="n">
        <v>0</v>
      </c>
      <c r="L1926" t="n">
        <v>0</v>
      </c>
      <c r="M1926" t="inlineStr">
        <is>
          <t>INR</t>
        </is>
      </c>
      <c r="N1926" t="inlineStr">
        <is>
          <t>2025-01-22 02:15:40</t>
        </is>
      </c>
    </row>
    <row r="1927">
      <c r="A1927" t="inlineStr">
        <is>
          <t>TXN00059713</t>
        </is>
      </c>
      <c r="B1927" t="inlineStr">
        <is>
          <t>MER00711</t>
        </is>
      </c>
      <c r="C1927" s="8" t="n">
        <v>45680</v>
      </c>
      <c r="D1927" t="inlineStr">
        <is>
          <t>ORD00059713</t>
        </is>
      </c>
      <c r="E1927" t="n">
        <v>2137.74</v>
      </c>
      <c r="F1927" t="n">
        <v>1.93</v>
      </c>
      <c r="G1927" t="n">
        <v>41.26</v>
      </c>
      <c r="H1927" t="inlineStr">
        <is>
          <t>UPI</t>
        </is>
      </c>
      <c r="I1927" t="inlineStr">
        <is>
          <t>Success</t>
        </is>
      </c>
      <c r="J1927" t="inlineStr">
        <is>
          <t>Delivered</t>
        </is>
      </c>
      <c r="K1927" t="n">
        <v>0</v>
      </c>
      <c r="L1927" t="n">
        <v>0</v>
      </c>
      <c r="M1927" t="inlineStr">
        <is>
          <t>INR</t>
        </is>
      </c>
      <c r="N1927" t="inlineStr">
        <is>
          <t>2025-01-23 16:11:39</t>
        </is>
      </c>
    </row>
    <row r="1928">
      <c r="A1928" t="inlineStr">
        <is>
          <t>TXN00061048</t>
        </is>
      </c>
      <c r="B1928" t="inlineStr">
        <is>
          <t>MER00711</t>
        </is>
      </c>
      <c r="C1928" s="8" t="n">
        <v>45684</v>
      </c>
      <c r="D1928" t="inlineStr">
        <is>
          <t>ORD00061048</t>
        </is>
      </c>
      <c r="E1928" t="n">
        <v>4111.48</v>
      </c>
      <c r="F1928" t="n">
        <v>1.93</v>
      </c>
      <c r="G1928" t="n">
        <v>79.34999999999999</v>
      </c>
      <c r="H1928" t="inlineStr">
        <is>
          <t>UPI</t>
        </is>
      </c>
      <c r="I1928" t="inlineStr">
        <is>
          <t>Success</t>
        </is>
      </c>
      <c r="J1928" t="inlineStr">
        <is>
          <t>Delivered</t>
        </is>
      </c>
      <c r="K1928" t="n">
        <v>0</v>
      </c>
      <c r="L1928" t="n">
        <v>0</v>
      </c>
      <c r="M1928" t="inlineStr">
        <is>
          <t>INR</t>
        </is>
      </c>
      <c r="N1928" t="inlineStr">
        <is>
          <t>2025-01-27 12:08:01</t>
        </is>
      </c>
    </row>
    <row r="1929">
      <c r="A1929" t="inlineStr">
        <is>
          <t>TXN00066543</t>
        </is>
      </c>
      <c r="B1929" t="inlineStr">
        <is>
          <t>MER00711</t>
        </is>
      </c>
      <c r="C1929" s="8" t="n">
        <v>45699</v>
      </c>
      <c r="D1929" t="inlineStr">
        <is>
          <t>ORD00066543</t>
        </is>
      </c>
      <c r="E1929" t="n">
        <v>4963.74</v>
      </c>
      <c r="F1929" t="n">
        <v>1.93</v>
      </c>
      <c r="G1929" t="n">
        <v>95.8</v>
      </c>
      <c r="H1929" t="inlineStr">
        <is>
          <t>NetBanking</t>
        </is>
      </c>
      <c r="I1929" t="inlineStr">
        <is>
          <t>Pending</t>
        </is>
      </c>
      <c r="J1929" t="inlineStr">
        <is>
          <t>Processing</t>
        </is>
      </c>
      <c r="K1929" t="n">
        <v>0</v>
      </c>
      <c r="L1929" t="n">
        <v>334.16</v>
      </c>
      <c r="M1929" t="inlineStr">
        <is>
          <t>INR</t>
        </is>
      </c>
      <c r="N1929" t="inlineStr">
        <is>
          <t>2025-02-11 02:22:13</t>
        </is>
      </c>
    </row>
    <row r="1930">
      <c r="A1930" t="inlineStr">
        <is>
          <t>TXN00066786</t>
        </is>
      </c>
      <c r="B1930" t="inlineStr">
        <is>
          <t>MER00711</t>
        </is>
      </c>
      <c r="C1930" s="8" t="n">
        <v>45700</v>
      </c>
      <c r="D1930" t="inlineStr">
        <is>
          <t>ORD00066786</t>
        </is>
      </c>
      <c r="E1930" t="n">
        <v>7143.66</v>
      </c>
      <c r="F1930" t="n">
        <v>1.93</v>
      </c>
      <c r="G1930" t="n">
        <v>137.87</v>
      </c>
      <c r="H1930" t="inlineStr">
        <is>
          <t>UPI</t>
        </is>
      </c>
      <c r="I1930" t="inlineStr">
        <is>
          <t>Success</t>
        </is>
      </c>
      <c r="J1930" t="inlineStr">
        <is>
          <t>Delivered</t>
        </is>
      </c>
      <c r="K1930" t="n">
        <v>0</v>
      </c>
      <c r="L1930" t="n">
        <v>0</v>
      </c>
      <c r="M1930" t="inlineStr">
        <is>
          <t>INR</t>
        </is>
      </c>
      <c r="N1930" t="inlineStr">
        <is>
          <t>2025-02-12 04:03:07</t>
        </is>
      </c>
    </row>
    <row r="1931">
      <c r="A1931" t="inlineStr">
        <is>
          <t>TXN00067463</t>
        </is>
      </c>
      <c r="B1931" t="inlineStr">
        <is>
          <t>MER00711</t>
        </is>
      </c>
      <c r="C1931" s="8" t="n">
        <v>45702</v>
      </c>
      <c r="D1931" t="inlineStr">
        <is>
          <t>ORD00067463</t>
        </is>
      </c>
      <c r="E1931" t="n">
        <v>2299.47</v>
      </c>
      <c r="F1931" t="n">
        <v>2.83</v>
      </c>
      <c r="G1931" t="n">
        <v>44.38</v>
      </c>
      <c r="H1931" t="inlineStr">
        <is>
          <t>UPI</t>
        </is>
      </c>
      <c r="I1931" t="inlineStr">
        <is>
          <t>Failed</t>
        </is>
      </c>
      <c r="J1931" t="inlineStr">
        <is>
          <t>Processing</t>
        </is>
      </c>
      <c r="K1931" t="n">
        <v>0</v>
      </c>
      <c r="L1931" t="n">
        <v>0</v>
      </c>
      <c r="M1931" t="inlineStr">
        <is>
          <t>INR</t>
        </is>
      </c>
      <c r="N1931" t="inlineStr">
        <is>
          <t>2025-02-14 23:46:31</t>
        </is>
      </c>
    </row>
    <row r="1932">
      <c r="A1932" t="inlineStr">
        <is>
          <t>TXN00068656</t>
        </is>
      </c>
      <c r="B1932" t="inlineStr">
        <is>
          <t>MER00711</t>
        </is>
      </c>
      <c r="C1932" s="8" t="n">
        <v>45706</v>
      </c>
      <c r="D1932" t="inlineStr">
        <is>
          <t>ORD00068656</t>
        </is>
      </c>
      <c r="E1932" t="n">
        <v>4995.13</v>
      </c>
      <c r="F1932" t="n">
        <v>1.93</v>
      </c>
      <c r="G1932" t="n">
        <v>96.41</v>
      </c>
      <c r="H1932" t="inlineStr">
        <is>
          <t>UPI</t>
        </is>
      </c>
      <c r="I1932" t="inlineStr">
        <is>
          <t>Success</t>
        </is>
      </c>
      <c r="J1932" t="inlineStr">
        <is>
          <t>Cancelled</t>
        </is>
      </c>
      <c r="K1932" t="n">
        <v>4548.76</v>
      </c>
      <c r="L1932" t="n">
        <v>360.81</v>
      </c>
      <c r="M1932" t="inlineStr">
        <is>
          <t>INR</t>
        </is>
      </c>
      <c r="N1932" t="inlineStr">
        <is>
          <t>2025-02-18 23:52:49</t>
        </is>
      </c>
    </row>
    <row r="1933">
      <c r="A1933" t="inlineStr">
        <is>
          <t>TXN00074336</t>
        </is>
      </c>
      <c r="B1933" t="inlineStr">
        <is>
          <t>MER00711</t>
        </is>
      </c>
      <c r="C1933" s="8" t="n">
        <v>45723</v>
      </c>
      <c r="D1933" t="inlineStr">
        <is>
          <t>ORD00074336</t>
        </is>
      </c>
      <c r="E1933" t="n">
        <v>3556.55</v>
      </c>
      <c r="F1933" t="n">
        <v>1.93</v>
      </c>
      <c r="G1933" t="n">
        <v>68.64</v>
      </c>
      <c r="H1933" t="inlineStr">
        <is>
          <t>UPI</t>
        </is>
      </c>
      <c r="I1933" t="inlineStr">
        <is>
          <t>Success</t>
        </is>
      </c>
      <c r="J1933" t="inlineStr">
        <is>
          <t>Delivered</t>
        </is>
      </c>
      <c r="K1933" t="n">
        <v>0</v>
      </c>
      <c r="L1933" t="n">
        <v>0</v>
      </c>
      <c r="M1933" t="inlineStr">
        <is>
          <t>INR</t>
        </is>
      </c>
      <c r="N1933" t="inlineStr">
        <is>
          <t>2025-03-07 03:58:08</t>
        </is>
      </c>
    </row>
    <row r="1934">
      <c r="A1934" t="inlineStr">
        <is>
          <t>TXN00075657</t>
        </is>
      </c>
      <c r="B1934" t="inlineStr">
        <is>
          <t>MER00711</t>
        </is>
      </c>
      <c r="C1934" s="8" t="n">
        <v>45727</v>
      </c>
      <c r="D1934" t="inlineStr">
        <is>
          <t>ORD00075657</t>
        </is>
      </c>
      <c r="E1934" t="n">
        <v>4258.49</v>
      </c>
      <c r="F1934" t="n">
        <v>1.93</v>
      </c>
      <c r="G1934" t="n">
        <v>82.19</v>
      </c>
      <c r="H1934" t="inlineStr">
        <is>
          <t>UPI</t>
        </is>
      </c>
      <c r="I1934" t="inlineStr">
        <is>
          <t>Success</t>
        </is>
      </c>
      <c r="J1934" t="inlineStr">
        <is>
          <t>Delivered</t>
        </is>
      </c>
      <c r="K1934" t="n">
        <v>0</v>
      </c>
      <c r="L1934" t="n">
        <v>0</v>
      </c>
      <c r="M1934" t="inlineStr">
        <is>
          <t>INR</t>
        </is>
      </c>
      <c r="N1934" t="inlineStr">
        <is>
          <t>2025-03-11 15:54:50</t>
        </is>
      </c>
    </row>
    <row r="1935">
      <c r="A1935" t="inlineStr">
        <is>
          <t>TXN00075767</t>
        </is>
      </c>
      <c r="B1935" t="inlineStr">
        <is>
          <t>MER00711</t>
        </is>
      </c>
      <c r="C1935" s="8" t="n">
        <v>45727</v>
      </c>
      <c r="D1935" t="inlineStr">
        <is>
          <t>ORD00075767</t>
        </is>
      </c>
      <c r="E1935" t="n">
        <v>4154.5</v>
      </c>
      <c r="F1935" t="n">
        <v>1.93</v>
      </c>
      <c r="G1935" t="n">
        <v>80.18000000000001</v>
      </c>
      <c r="H1935" t="inlineStr">
        <is>
          <t>Card</t>
        </is>
      </c>
      <c r="I1935" t="inlineStr">
        <is>
          <t>Success</t>
        </is>
      </c>
      <c r="J1935" t="inlineStr">
        <is>
          <t>Delivered</t>
        </is>
      </c>
      <c r="K1935" t="n">
        <v>0</v>
      </c>
      <c r="L1935" t="n">
        <v>0</v>
      </c>
      <c r="M1935" t="inlineStr">
        <is>
          <t>INR</t>
        </is>
      </c>
      <c r="N1935" t="inlineStr">
        <is>
          <t>2025-03-11 23:31:52</t>
        </is>
      </c>
    </row>
    <row r="1936">
      <c r="A1936" t="inlineStr">
        <is>
          <t>TXN00077586</t>
        </is>
      </c>
      <c r="B1936" t="inlineStr">
        <is>
          <t>MER00711</t>
        </is>
      </c>
      <c r="C1936" s="8" t="n">
        <v>45733</v>
      </c>
      <c r="D1936" t="inlineStr">
        <is>
          <t>ORD00077586</t>
        </is>
      </c>
      <c r="E1936" t="n">
        <v>3351.97</v>
      </c>
      <c r="F1936" t="n">
        <v>1.93</v>
      </c>
      <c r="G1936" t="n">
        <v>64.69</v>
      </c>
      <c r="H1936" t="inlineStr">
        <is>
          <t>UPI</t>
        </is>
      </c>
      <c r="I1936" t="inlineStr">
        <is>
          <t>Failed</t>
        </is>
      </c>
      <c r="J1936" t="inlineStr">
        <is>
          <t>Cancelled</t>
        </is>
      </c>
      <c r="K1936" t="n">
        <v>0</v>
      </c>
      <c r="L1936" t="n">
        <v>0</v>
      </c>
      <c r="M1936" t="inlineStr">
        <is>
          <t>INR</t>
        </is>
      </c>
      <c r="N1936" t="inlineStr">
        <is>
          <t>2025-03-17 06:36:17</t>
        </is>
      </c>
    </row>
    <row r="1937">
      <c r="A1937" t="inlineStr">
        <is>
          <t>TXN00077659</t>
        </is>
      </c>
      <c r="B1937" t="inlineStr">
        <is>
          <t>MER00711</t>
        </is>
      </c>
      <c r="C1937" s="8" t="n">
        <v>45733</v>
      </c>
      <c r="D1937" t="inlineStr">
        <is>
          <t>ORD00077659</t>
        </is>
      </c>
      <c r="E1937" t="n">
        <v>4294.38</v>
      </c>
      <c r="F1937" t="n">
        <v>1.93</v>
      </c>
      <c r="G1937" t="n">
        <v>82.88</v>
      </c>
      <c r="H1937" t="inlineStr">
        <is>
          <t>UPI</t>
        </is>
      </c>
      <c r="I1937" t="inlineStr">
        <is>
          <t>Failed</t>
        </is>
      </c>
      <c r="J1937" t="inlineStr">
        <is>
          <t>Cancelled</t>
        </is>
      </c>
      <c r="K1937" t="n">
        <v>0</v>
      </c>
      <c r="L1937" t="n">
        <v>0</v>
      </c>
      <c r="M1937" t="inlineStr">
        <is>
          <t>INR</t>
        </is>
      </c>
      <c r="N1937" t="inlineStr">
        <is>
          <t>2025-03-17 06:51:01</t>
        </is>
      </c>
    </row>
    <row r="1938">
      <c r="A1938" t="inlineStr">
        <is>
          <t>TXN00077985</t>
        </is>
      </c>
      <c r="B1938" t="inlineStr">
        <is>
          <t>MER00711</t>
        </is>
      </c>
      <c r="C1938" s="8" t="n">
        <v>45734</v>
      </c>
      <c r="D1938" t="inlineStr">
        <is>
          <t>ORD00077985</t>
        </is>
      </c>
      <c r="E1938" t="n">
        <v>1157.64</v>
      </c>
      <c r="F1938" t="n">
        <v>1.93</v>
      </c>
      <c r="G1938" t="n">
        <v>22.34</v>
      </c>
      <c r="H1938" t="inlineStr">
        <is>
          <t>Wallet</t>
        </is>
      </c>
      <c r="I1938" t="inlineStr">
        <is>
          <t>Success</t>
        </is>
      </c>
      <c r="J1938" t="inlineStr">
        <is>
          <t>Delivered</t>
        </is>
      </c>
      <c r="K1938" t="n">
        <v>0</v>
      </c>
      <c r="L1938" t="n">
        <v>0</v>
      </c>
      <c r="M1938" t="inlineStr">
        <is>
          <t>INR</t>
        </is>
      </c>
      <c r="N1938" t="inlineStr">
        <is>
          <t>2025-03-18 17:52:04</t>
        </is>
      </c>
    </row>
    <row r="1939">
      <c r="A1939" t="inlineStr">
        <is>
          <t>TXN00078726</t>
        </is>
      </c>
      <c r="B1939" t="inlineStr">
        <is>
          <t>MER00711</t>
        </is>
      </c>
      <c r="C1939" s="8" t="n">
        <v>45737</v>
      </c>
      <c r="D1939" t="inlineStr">
        <is>
          <t>ORD00078726</t>
        </is>
      </c>
      <c r="E1939" t="n">
        <v>5627.35</v>
      </c>
      <c r="F1939" t="n">
        <v>1.93</v>
      </c>
      <c r="G1939" t="n">
        <v>108.61</v>
      </c>
      <c r="H1939" t="inlineStr">
        <is>
          <t>UPI</t>
        </is>
      </c>
      <c r="I1939" t="inlineStr">
        <is>
          <t>Success</t>
        </is>
      </c>
      <c r="J1939" t="inlineStr">
        <is>
          <t>Delivered</t>
        </is>
      </c>
      <c r="K1939" t="n">
        <v>0</v>
      </c>
      <c r="L1939" t="n">
        <v>0</v>
      </c>
      <c r="M1939" t="inlineStr">
        <is>
          <t>INR</t>
        </is>
      </c>
      <c r="N1939" t="inlineStr">
        <is>
          <t>2025-03-21 16:54:14</t>
        </is>
      </c>
    </row>
    <row r="1940">
      <c r="A1940" t="inlineStr">
        <is>
          <t>TXN00079669</t>
        </is>
      </c>
      <c r="B1940" t="inlineStr">
        <is>
          <t>MER00711</t>
        </is>
      </c>
      <c r="C1940" s="8" t="n">
        <v>45740</v>
      </c>
      <c r="D1940" t="inlineStr">
        <is>
          <t>ORD00079669</t>
        </is>
      </c>
      <c r="E1940" t="n">
        <v>11398.92</v>
      </c>
      <c r="F1940" t="n">
        <v>1.93</v>
      </c>
      <c r="G1940" t="n">
        <v>220</v>
      </c>
      <c r="H1940" t="inlineStr">
        <is>
          <t>Card</t>
        </is>
      </c>
      <c r="I1940" t="inlineStr">
        <is>
          <t>Success</t>
        </is>
      </c>
      <c r="J1940" t="inlineStr">
        <is>
          <t>Delivered</t>
        </is>
      </c>
      <c r="K1940" t="n">
        <v>0</v>
      </c>
      <c r="L1940" t="n">
        <v>1221.04</v>
      </c>
      <c r="M1940" t="inlineStr">
        <is>
          <t>INR</t>
        </is>
      </c>
      <c r="N1940" t="inlineStr">
        <is>
          <t>2025-03-24 11:50:20</t>
        </is>
      </c>
    </row>
    <row r="1941">
      <c r="A1941" t="inlineStr">
        <is>
          <t>TXN00079682</t>
        </is>
      </c>
      <c r="B1941" t="inlineStr">
        <is>
          <t>MER00711</t>
        </is>
      </c>
      <c r="C1941" s="8" t="n">
        <v>45740</v>
      </c>
      <c r="D1941" t="inlineStr">
        <is>
          <t>ORD00079682</t>
        </is>
      </c>
      <c r="E1941" t="n">
        <v>2664.2</v>
      </c>
      <c r="F1941" t="n">
        <v>1.93</v>
      </c>
      <c r="G1941" t="n">
        <v>51.42</v>
      </c>
      <c r="H1941" t="inlineStr">
        <is>
          <t>UPI</t>
        </is>
      </c>
      <c r="I1941" t="inlineStr">
        <is>
          <t>Success</t>
        </is>
      </c>
      <c r="J1941" t="inlineStr">
        <is>
          <t>Delivered</t>
        </is>
      </c>
      <c r="K1941" t="n">
        <v>0</v>
      </c>
      <c r="L1941" t="n">
        <v>0</v>
      </c>
      <c r="M1941" t="inlineStr">
        <is>
          <t>INR</t>
        </is>
      </c>
      <c r="N1941" t="inlineStr">
        <is>
          <t>2025-03-24 14:17:45</t>
        </is>
      </c>
    </row>
    <row r="1942">
      <c r="A1942" t="inlineStr">
        <is>
          <t>TXN00084843</t>
        </is>
      </c>
      <c r="B1942" t="inlineStr">
        <is>
          <t>MER00711</t>
        </is>
      </c>
      <c r="C1942" s="8" t="n">
        <v>45756</v>
      </c>
      <c r="D1942" t="inlineStr">
        <is>
          <t>ORD00084843</t>
        </is>
      </c>
      <c r="E1942" t="n">
        <v>1851.72</v>
      </c>
      <c r="F1942" t="n">
        <v>1.93</v>
      </c>
      <c r="G1942" t="n">
        <v>35.74</v>
      </c>
      <c r="H1942" t="inlineStr">
        <is>
          <t>Wallet</t>
        </is>
      </c>
      <c r="I1942" t="inlineStr">
        <is>
          <t>Success</t>
        </is>
      </c>
      <c r="J1942" t="inlineStr">
        <is>
          <t>Delivered</t>
        </is>
      </c>
      <c r="K1942" t="n">
        <v>0</v>
      </c>
      <c r="L1942" t="n">
        <v>0</v>
      </c>
      <c r="M1942" t="inlineStr">
        <is>
          <t>INR</t>
        </is>
      </c>
      <c r="N1942" t="inlineStr">
        <is>
          <t>2025-04-09 09:23:38</t>
        </is>
      </c>
    </row>
    <row r="1943">
      <c r="A1943" t="inlineStr">
        <is>
          <t>TXN00086733</t>
        </is>
      </c>
      <c r="B1943" t="inlineStr">
        <is>
          <t>MER00711</t>
        </is>
      </c>
      <c r="C1943" s="8" t="n">
        <v>45761</v>
      </c>
      <c r="D1943" t="inlineStr">
        <is>
          <t>ORD00086733</t>
        </is>
      </c>
      <c r="E1943" t="n">
        <v>1520.31</v>
      </c>
      <c r="F1943" t="n">
        <v>1.93</v>
      </c>
      <c r="G1943" t="n">
        <v>29.34</v>
      </c>
      <c r="H1943" t="inlineStr">
        <is>
          <t>Card</t>
        </is>
      </c>
      <c r="I1943" t="inlineStr">
        <is>
          <t>Success</t>
        </is>
      </c>
      <c r="J1943" t="inlineStr">
        <is>
          <t>Delivered</t>
        </is>
      </c>
      <c r="K1943" t="n">
        <v>0</v>
      </c>
      <c r="L1943" t="n">
        <v>132.01</v>
      </c>
      <c r="M1943" t="inlineStr">
        <is>
          <t>INR</t>
        </is>
      </c>
      <c r="N1943" t="inlineStr">
        <is>
          <t>2025-04-14 07:09:39</t>
        </is>
      </c>
    </row>
    <row r="1944">
      <c r="A1944" t="inlineStr">
        <is>
          <t>TXN00086913</t>
        </is>
      </c>
      <c r="B1944" t="inlineStr">
        <is>
          <t>MER00711</t>
        </is>
      </c>
      <c r="C1944" s="8" t="n">
        <v>45762</v>
      </c>
      <c r="D1944" t="inlineStr">
        <is>
          <t>ORD00086913</t>
        </is>
      </c>
      <c r="E1944" t="n">
        <v>7663.67</v>
      </c>
      <c r="F1944" t="n">
        <v>1.93</v>
      </c>
      <c r="G1944" t="n">
        <v>147.91</v>
      </c>
      <c r="H1944" t="inlineStr">
        <is>
          <t>UPI</t>
        </is>
      </c>
      <c r="I1944" t="inlineStr">
        <is>
          <t>Success</t>
        </is>
      </c>
      <c r="J1944" t="inlineStr">
        <is>
          <t>Delivered</t>
        </is>
      </c>
      <c r="K1944" t="n">
        <v>0</v>
      </c>
      <c r="L1944" t="n">
        <v>0</v>
      </c>
      <c r="M1944" t="inlineStr">
        <is>
          <t>INR</t>
        </is>
      </c>
      <c r="N1944" t="inlineStr">
        <is>
          <t>2025-04-15 22:46:16</t>
        </is>
      </c>
    </row>
    <row r="1945">
      <c r="A1945" t="inlineStr">
        <is>
          <t>TXN00091287</t>
        </is>
      </c>
      <c r="B1945" t="inlineStr">
        <is>
          <t>MER00711</t>
        </is>
      </c>
      <c r="C1945" s="8" t="n">
        <v>45775</v>
      </c>
      <c r="D1945" t="inlineStr">
        <is>
          <t>ORD00091287</t>
        </is>
      </c>
      <c r="E1945" t="n">
        <v>872.8099999999999</v>
      </c>
      <c r="F1945" t="n">
        <v>1.93</v>
      </c>
      <c r="G1945" t="n">
        <v>16.85</v>
      </c>
      <c r="H1945" t="inlineStr">
        <is>
          <t>Card</t>
        </is>
      </c>
      <c r="I1945" t="inlineStr">
        <is>
          <t>Success</t>
        </is>
      </c>
      <c r="J1945" t="inlineStr">
        <is>
          <t>Delivered</t>
        </is>
      </c>
      <c r="K1945" t="n">
        <v>0</v>
      </c>
      <c r="L1945" t="n">
        <v>99.51000000000001</v>
      </c>
      <c r="M1945" t="inlineStr">
        <is>
          <t>INR</t>
        </is>
      </c>
      <c r="N1945" t="inlineStr">
        <is>
          <t>2025-04-28 03:53:00</t>
        </is>
      </c>
    </row>
    <row r="1946">
      <c r="A1946" t="inlineStr">
        <is>
          <t>TXN00092447</t>
        </is>
      </c>
      <c r="B1946" t="inlineStr">
        <is>
          <t>MER00711</t>
        </is>
      </c>
      <c r="C1946" s="8" t="n">
        <v>45779</v>
      </c>
      <c r="D1946" t="inlineStr">
        <is>
          <t>ORD00092447</t>
        </is>
      </c>
      <c r="E1946" t="n">
        <v>4370.89</v>
      </c>
      <c r="F1946" t="n">
        <v>1.93</v>
      </c>
      <c r="G1946" t="n">
        <v>84.36</v>
      </c>
      <c r="H1946" t="inlineStr">
        <is>
          <t>UPI</t>
        </is>
      </c>
      <c r="I1946" t="inlineStr">
        <is>
          <t>Success</t>
        </is>
      </c>
      <c r="J1946" t="inlineStr">
        <is>
          <t>Returned</t>
        </is>
      </c>
      <c r="K1946" t="n">
        <v>4370.89</v>
      </c>
      <c r="L1946" t="n">
        <v>0</v>
      </c>
      <c r="M1946" t="inlineStr">
        <is>
          <t>INR</t>
        </is>
      </c>
      <c r="N1946" t="inlineStr">
        <is>
          <t>2025-05-02 02:16:36</t>
        </is>
      </c>
    </row>
    <row r="1947">
      <c r="A1947" t="inlineStr">
        <is>
          <t>TXN00092504</t>
        </is>
      </c>
      <c r="B1947" t="inlineStr">
        <is>
          <t>MER00711</t>
        </is>
      </c>
      <c r="C1947" s="8" t="n">
        <v>45779</v>
      </c>
      <c r="D1947" t="inlineStr">
        <is>
          <t>ORD00092504</t>
        </is>
      </c>
      <c r="E1947" t="n">
        <v>10212.84</v>
      </c>
      <c r="F1947" t="n">
        <v>1.93</v>
      </c>
      <c r="G1947" t="n">
        <v>197.11</v>
      </c>
      <c r="H1947" t="inlineStr">
        <is>
          <t>UPI</t>
        </is>
      </c>
      <c r="I1947" t="inlineStr">
        <is>
          <t>Success</t>
        </is>
      </c>
      <c r="J1947" t="inlineStr">
        <is>
          <t>Cancelled</t>
        </is>
      </c>
      <c r="K1947" t="n">
        <v>9174.379999999999</v>
      </c>
      <c r="L1947" t="n">
        <v>0</v>
      </c>
      <c r="M1947" t="inlineStr">
        <is>
          <t>INR</t>
        </is>
      </c>
      <c r="N1947" t="inlineStr">
        <is>
          <t>2025-05-02 01:12:09</t>
        </is>
      </c>
    </row>
    <row r="1948">
      <c r="A1948" t="inlineStr">
        <is>
          <t>TXN00096164</t>
        </is>
      </c>
      <c r="B1948" t="inlineStr">
        <is>
          <t>MER00711</t>
        </is>
      </c>
      <c r="C1948" s="8" t="n">
        <v>45790</v>
      </c>
      <c r="D1948" t="inlineStr">
        <is>
          <t>ORD00096164</t>
        </is>
      </c>
      <c r="E1948" t="n">
        <v>4059.85</v>
      </c>
      <c r="F1948" t="n">
        <v>1.93</v>
      </c>
      <c r="G1948" t="n">
        <v>78.36</v>
      </c>
      <c r="H1948" t="inlineStr">
        <is>
          <t>UPI</t>
        </is>
      </c>
      <c r="I1948" t="inlineStr">
        <is>
          <t>Success</t>
        </is>
      </c>
      <c r="J1948" t="inlineStr">
        <is>
          <t>Delivered</t>
        </is>
      </c>
      <c r="K1948" t="n">
        <v>0</v>
      </c>
      <c r="L1948" t="n">
        <v>0</v>
      </c>
      <c r="M1948" t="inlineStr">
        <is>
          <t>INR</t>
        </is>
      </c>
      <c r="N1948" t="inlineStr">
        <is>
          <t>2025-05-13 12:07:30</t>
        </is>
      </c>
    </row>
    <row r="1949">
      <c r="A1949" t="inlineStr">
        <is>
          <t>TXN00096514</t>
        </is>
      </c>
      <c r="B1949" t="inlineStr">
        <is>
          <t>MER00711</t>
        </is>
      </c>
      <c r="C1949" s="8" t="n">
        <v>45791</v>
      </c>
      <c r="D1949" t="inlineStr">
        <is>
          <t>ORD00096514</t>
        </is>
      </c>
      <c r="E1949" t="n">
        <v>5452.74</v>
      </c>
      <c r="F1949" t="n">
        <v>1.93</v>
      </c>
      <c r="G1949" t="n">
        <v>105.24</v>
      </c>
      <c r="H1949" t="inlineStr">
        <is>
          <t>Card</t>
        </is>
      </c>
      <c r="I1949" t="inlineStr">
        <is>
          <t>Success</t>
        </is>
      </c>
      <c r="J1949" t="inlineStr">
        <is>
          <t>Delivered</t>
        </is>
      </c>
      <c r="K1949" t="n">
        <v>0</v>
      </c>
      <c r="L1949" t="n">
        <v>0</v>
      </c>
      <c r="M1949" t="inlineStr">
        <is>
          <t>INR</t>
        </is>
      </c>
      <c r="N1949" t="inlineStr">
        <is>
          <t>2025-05-14 23:14:30</t>
        </is>
      </c>
    </row>
    <row r="1950">
      <c r="A1950" t="inlineStr">
        <is>
          <t>TXN00097292</t>
        </is>
      </c>
      <c r="B1950" t="inlineStr">
        <is>
          <t>MER00711</t>
        </is>
      </c>
      <c r="C1950" s="8" t="n">
        <v>45793</v>
      </c>
      <c r="D1950" t="inlineStr">
        <is>
          <t>ORD00097292</t>
        </is>
      </c>
      <c r="E1950" t="n">
        <v>6954.34</v>
      </c>
      <c r="F1950" t="n">
        <v>1.93</v>
      </c>
      <c r="G1950" t="n">
        <v>134.22</v>
      </c>
      <c r="H1950" t="inlineStr">
        <is>
          <t>Wallet</t>
        </is>
      </c>
      <c r="I1950" t="inlineStr">
        <is>
          <t>Success</t>
        </is>
      </c>
      <c r="J1950" t="inlineStr">
        <is>
          <t>Delivered</t>
        </is>
      </c>
      <c r="K1950" t="n">
        <v>0</v>
      </c>
      <c r="L1950" t="n">
        <v>0</v>
      </c>
      <c r="M1950" t="inlineStr">
        <is>
          <t>INR</t>
        </is>
      </c>
      <c r="N1950" t="inlineStr">
        <is>
          <t>2025-05-16 00:39:22</t>
        </is>
      </c>
    </row>
    <row r="1951">
      <c r="A1951" t="inlineStr">
        <is>
          <t>TXN00099207</t>
        </is>
      </c>
      <c r="B1951" t="inlineStr">
        <is>
          <t>MER00711</t>
        </is>
      </c>
      <c r="C1951" s="8" t="n">
        <v>45799</v>
      </c>
      <c r="D1951" t="inlineStr">
        <is>
          <t>ORD00099207</t>
        </is>
      </c>
      <c r="E1951" t="n">
        <v>2626.77</v>
      </c>
      <c r="F1951" t="n">
        <v>1.93</v>
      </c>
      <c r="G1951" t="n">
        <v>50.7</v>
      </c>
      <c r="H1951" t="inlineStr">
        <is>
          <t>UPI</t>
        </is>
      </c>
      <c r="I1951" t="inlineStr">
        <is>
          <t>Success</t>
        </is>
      </c>
      <c r="J1951" t="inlineStr">
        <is>
          <t>Delivered</t>
        </is>
      </c>
      <c r="K1951" t="n">
        <v>0</v>
      </c>
      <c r="L1951" t="n">
        <v>0</v>
      </c>
      <c r="M1951" t="inlineStr">
        <is>
          <t>INR</t>
        </is>
      </c>
      <c r="N1951" t="inlineStr">
        <is>
          <t>2025-05-22 13:07:47</t>
        </is>
      </c>
    </row>
    <row r="1952">
      <c r="A1952" t="inlineStr">
        <is>
          <t>TXN00099712</t>
        </is>
      </c>
      <c r="B1952" t="inlineStr">
        <is>
          <t>MER00711</t>
        </is>
      </c>
      <c r="C1952" s="8" t="n">
        <v>45801</v>
      </c>
      <c r="D1952" t="inlineStr">
        <is>
          <t>ORD00099712</t>
        </is>
      </c>
      <c r="E1952" t="n">
        <v>3947.25</v>
      </c>
      <c r="F1952" t="n">
        <v>1.93</v>
      </c>
      <c r="G1952" t="n">
        <v>76.18000000000001</v>
      </c>
      <c r="H1952" t="inlineStr">
        <is>
          <t>Wallet</t>
        </is>
      </c>
      <c r="I1952" t="inlineStr">
        <is>
          <t>Success</t>
        </is>
      </c>
      <c r="J1952" t="inlineStr">
        <is>
          <t>Delivered</t>
        </is>
      </c>
      <c r="K1952" t="n">
        <v>0</v>
      </c>
      <c r="L1952" t="n">
        <v>0</v>
      </c>
      <c r="M1952" t="inlineStr">
        <is>
          <t>INR</t>
        </is>
      </c>
      <c r="N1952" t="inlineStr">
        <is>
          <t>2025-05-24 21:23:50</t>
        </is>
      </c>
    </row>
    <row r="1953">
      <c r="A1953" t="inlineStr">
        <is>
          <t>TXN00101120</t>
        </is>
      </c>
      <c r="B1953" t="inlineStr">
        <is>
          <t>MER00711</t>
        </is>
      </c>
      <c r="C1953" s="8" t="n">
        <v>45805</v>
      </c>
      <c r="D1953" t="inlineStr">
        <is>
          <t>ORD00101120</t>
        </is>
      </c>
      <c r="E1953" t="n">
        <v>3800.12</v>
      </c>
      <c r="F1953" t="n">
        <v>1.93</v>
      </c>
      <c r="G1953" t="n">
        <v>73.34</v>
      </c>
      <c r="H1953" t="inlineStr">
        <is>
          <t>Card</t>
        </is>
      </c>
      <c r="I1953" t="inlineStr">
        <is>
          <t>Success</t>
        </is>
      </c>
      <c r="J1953" t="inlineStr">
        <is>
          <t>Delivered</t>
        </is>
      </c>
      <c r="K1953" t="n">
        <v>0</v>
      </c>
      <c r="L1953" t="n">
        <v>0</v>
      </c>
      <c r="M1953" t="inlineStr">
        <is>
          <t>INR</t>
        </is>
      </c>
      <c r="N1953" t="inlineStr">
        <is>
          <t>2025-05-28 04:25:53</t>
        </is>
      </c>
    </row>
    <row r="1954">
      <c r="A1954" t="inlineStr">
        <is>
          <t>TXN00101739</t>
        </is>
      </c>
      <c r="B1954" t="inlineStr">
        <is>
          <t>MER00711</t>
        </is>
      </c>
      <c r="C1954" s="8" t="n">
        <v>45807</v>
      </c>
      <c r="D1954" t="inlineStr">
        <is>
          <t>ORD00101739</t>
        </is>
      </c>
      <c r="E1954" t="n">
        <v>8477.25</v>
      </c>
      <c r="F1954" t="n">
        <v>1.93</v>
      </c>
      <c r="G1954" t="n">
        <v>163.61</v>
      </c>
      <c r="H1954" t="inlineStr">
        <is>
          <t>UPI</t>
        </is>
      </c>
      <c r="I1954" t="inlineStr">
        <is>
          <t>Success</t>
        </is>
      </c>
      <c r="J1954" t="inlineStr">
        <is>
          <t>Delivered</t>
        </is>
      </c>
      <c r="K1954" t="n">
        <v>0</v>
      </c>
      <c r="L1954" t="n">
        <v>0</v>
      </c>
      <c r="M1954" t="inlineStr">
        <is>
          <t>INR</t>
        </is>
      </c>
      <c r="N1954" t="inlineStr">
        <is>
          <t>2025-05-30 07:13:47</t>
        </is>
      </c>
    </row>
    <row r="1955">
      <c r="A1955" t="inlineStr">
        <is>
          <t>TXN00102015</t>
        </is>
      </c>
      <c r="B1955" t="inlineStr">
        <is>
          <t>MER00711</t>
        </is>
      </c>
      <c r="C1955" s="8" t="n">
        <v>45808</v>
      </c>
      <c r="D1955" t="inlineStr">
        <is>
          <t>ORD00102015</t>
        </is>
      </c>
      <c r="E1955" t="n">
        <v>2078.47</v>
      </c>
      <c r="F1955" t="n">
        <v>1.93</v>
      </c>
      <c r="G1955" t="n">
        <v>40.11</v>
      </c>
      <c r="H1955" t="inlineStr">
        <is>
          <t>Wallet</t>
        </is>
      </c>
      <c r="I1955" t="inlineStr">
        <is>
          <t>Success</t>
        </is>
      </c>
      <c r="J1955" t="inlineStr">
        <is>
          <t>Delivered</t>
        </is>
      </c>
      <c r="K1955" t="n">
        <v>0</v>
      </c>
      <c r="L1955" t="n">
        <v>0</v>
      </c>
      <c r="M1955" t="inlineStr">
        <is>
          <t>INR</t>
        </is>
      </c>
      <c r="N1955" t="inlineStr">
        <is>
          <t>2025-05-31 21:53:41</t>
        </is>
      </c>
    </row>
    <row r="1956">
      <c r="A1956" t="inlineStr">
        <is>
          <t>TXN00108950</t>
        </is>
      </c>
      <c r="B1956" t="inlineStr">
        <is>
          <t>MER00711</t>
        </is>
      </c>
      <c r="C1956" s="8" t="n">
        <v>45828</v>
      </c>
      <c r="D1956" t="inlineStr">
        <is>
          <t>ORD00108950</t>
        </is>
      </c>
      <c r="E1956" t="n">
        <v>8407.77</v>
      </c>
      <c r="F1956" t="n">
        <v>1.93</v>
      </c>
      <c r="G1956" t="n">
        <v>162.27</v>
      </c>
      <c r="H1956" t="inlineStr">
        <is>
          <t>UPI</t>
        </is>
      </c>
      <c r="I1956" t="inlineStr">
        <is>
          <t>Unknown</t>
        </is>
      </c>
      <c r="J1956" t="inlineStr">
        <is>
          <t>Delivered</t>
        </is>
      </c>
      <c r="K1956" t="n">
        <v>0</v>
      </c>
      <c r="L1956" t="n">
        <v>0</v>
      </c>
      <c r="M1956" t="inlineStr">
        <is>
          <t>INR</t>
        </is>
      </c>
      <c r="N1956" t="inlineStr">
        <is>
          <t>2025-06-20 11:14:17</t>
        </is>
      </c>
    </row>
    <row r="1957">
      <c r="A1957" t="inlineStr">
        <is>
          <t>TXN00108935</t>
        </is>
      </c>
      <c r="B1957" t="inlineStr">
        <is>
          <t>MER00711</t>
        </is>
      </c>
      <c r="C1957" s="8" t="n">
        <v>45828</v>
      </c>
      <c r="D1957" t="inlineStr">
        <is>
          <t>ORD00108935</t>
        </is>
      </c>
      <c r="E1957" t="n">
        <v>7532.77</v>
      </c>
      <c r="F1957" t="n">
        <v>1.93</v>
      </c>
      <c r="G1957" t="n">
        <v>145.38</v>
      </c>
      <c r="H1957" t="inlineStr">
        <is>
          <t>UPI</t>
        </is>
      </c>
      <c r="I1957" t="inlineStr">
        <is>
          <t>Success</t>
        </is>
      </c>
      <c r="J1957" t="inlineStr">
        <is>
          <t>Delivered</t>
        </is>
      </c>
      <c r="K1957" t="n">
        <v>0</v>
      </c>
      <c r="L1957" t="n">
        <v>0</v>
      </c>
      <c r="M1957" t="inlineStr">
        <is>
          <t>INR</t>
        </is>
      </c>
      <c r="N1957" t="inlineStr">
        <is>
          <t>2025-06-20 10:22:12</t>
        </is>
      </c>
    </row>
    <row r="1958">
      <c r="A1958" t="inlineStr">
        <is>
          <t>TXN00109303</t>
        </is>
      </c>
      <c r="B1958" t="inlineStr">
        <is>
          <t>MER00711</t>
        </is>
      </c>
      <c r="C1958" s="8" t="n">
        <v>45829</v>
      </c>
      <c r="D1958" t="inlineStr">
        <is>
          <t>ORD00109303</t>
        </is>
      </c>
      <c r="E1958" t="n">
        <v>4974.81</v>
      </c>
      <c r="F1958" t="n">
        <v>1.93</v>
      </c>
      <c r="G1958" t="n">
        <v>96.01000000000001</v>
      </c>
      <c r="H1958" t="inlineStr">
        <is>
          <t>UPI</t>
        </is>
      </c>
      <c r="I1958" t="inlineStr">
        <is>
          <t>Success</t>
        </is>
      </c>
      <c r="J1958" t="inlineStr">
        <is>
          <t>Delivered</t>
        </is>
      </c>
      <c r="K1958" t="n">
        <v>0</v>
      </c>
      <c r="L1958" t="n">
        <v>0</v>
      </c>
      <c r="M1958" t="inlineStr">
        <is>
          <t>INR</t>
        </is>
      </c>
      <c r="N1958" t="inlineStr">
        <is>
          <t>2025-06-21 05:15:16</t>
        </is>
      </c>
    </row>
    <row r="1959">
      <c r="A1959" t="inlineStr">
        <is>
          <t>TXN00110929</t>
        </is>
      </c>
      <c r="B1959" t="inlineStr">
        <is>
          <t>MER00711</t>
        </is>
      </c>
      <c r="C1959" s="8" t="n">
        <v>45834</v>
      </c>
      <c r="D1959" t="inlineStr">
        <is>
          <t>ORD00110929</t>
        </is>
      </c>
      <c r="E1959" t="n">
        <v>3095.7</v>
      </c>
      <c r="F1959" t="n">
        <v>1.93</v>
      </c>
      <c r="G1959" t="n">
        <v>59.75</v>
      </c>
      <c r="H1959" t="inlineStr">
        <is>
          <t>Card</t>
        </is>
      </c>
      <c r="I1959" t="inlineStr">
        <is>
          <t>Success</t>
        </is>
      </c>
      <c r="J1959" t="inlineStr">
        <is>
          <t>Delivered</t>
        </is>
      </c>
      <c r="K1959" t="n">
        <v>0</v>
      </c>
      <c r="L1959" t="n">
        <v>0</v>
      </c>
      <c r="M1959" t="inlineStr">
        <is>
          <t>INR</t>
        </is>
      </c>
      <c r="N1959" t="inlineStr">
        <is>
          <t>2025-06-26 17:41:59</t>
        </is>
      </c>
    </row>
    <row r="1960">
      <c r="A1960" t="inlineStr">
        <is>
          <t>TXN00112623</t>
        </is>
      </c>
      <c r="B1960" t="inlineStr">
        <is>
          <t>MER00711</t>
        </is>
      </c>
      <c r="C1960" s="8" t="n">
        <v>45839</v>
      </c>
      <c r="D1960" t="inlineStr">
        <is>
          <t>ORD00112623</t>
        </is>
      </c>
      <c r="E1960" t="n">
        <v>3086.41</v>
      </c>
      <c r="F1960" t="n">
        <v>1.93</v>
      </c>
      <c r="G1960" t="n">
        <v>59.57</v>
      </c>
      <c r="H1960" t="inlineStr">
        <is>
          <t>UPI</t>
        </is>
      </c>
      <c r="I1960" t="inlineStr">
        <is>
          <t>Unknown</t>
        </is>
      </c>
      <c r="J1960" t="inlineStr">
        <is>
          <t>Returned</t>
        </is>
      </c>
      <c r="K1960" t="n">
        <v>2715.14</v>
      </c>
      <c r="L1960" t="n">
        <v>0</v>
      </c>
      <c r="M1960" t="inlineStr">
        <is>
          <t>INR</t>
        </is>
      </c>
      <c r="N1960" t="inlineStr">
        <is>
          <t>2025-07-01 09:47:32</t>
        </is>
      </c>
    </row>
    <row r="1961">
      <c r="A1961" t="inlineStr">
        <is>
          <t>TXN00112894</t>
        </is>
      </c>
      <c r="B1961" t="inlineStr">
        <is>
          <t>MER00711</t>
        </is>
      </c>
      <c r="C1961" s="8" t="n">
        <v>45840</v>
      </c>
      <c r="D1961" t="inlineStr">
        <is>
          <t>ORD00112894</t>
        </is>
      </c>
      <c r="E1961" t="n">
        <v>3827.29</v>
      </c>
      <c r="F1961" t="n">
        <v>1.93</v>
      </c>
      <c r="G1961" t="n">
        <v>73.87</v>
      </c>
      <c r="H1961" t="inlineStr">
        <is>
          <t>UPI</t>
        </is>
      </c>
      <c r="I1961" t="inlineStr">
        <is>
          <t>Success</t>
        </is>
      </c>
      <c r="J1961" t="inlineStr">
        <is>
          <t>Delivered</t>
        </is>
      </c>
      <c r="K1961" t="n">
        <v>0</v>
      </c>
      <c r="L1961" t="n">
        <v>0</v>
      </c>
      <c r="M1961" t="inlineStr">
        <is>
          <t>INR</t>
        </is>
      </c>
      <c r="N1961" t="inlineStr">
        <is>
          <t>2025-07-02 18:57:56</t>
        </is>
      </c>
    </row>
    <row r="1962">
      <c r="A1962" t="inlineStr">
        <is>
          <t>TXN00114706</t>
        </is>
      </c>
      <c r="B1962" t="inlineStr">
        <is>
          <t>MER00711</t>
        </is>
      </c>
      <c r="C1962" s="8" t="n">
        <v>45846</v>
      </c>
      <c r="D1962" t="inlineStr">
        <is>
          <t>ORD00114706</t>
        </is>
      </c>
      <c r="E1962" t="n">
        <v>2833.85</v>
      </c>
      <c r="F1962" t="n">
        <v>1.93</v>
      </c>
      <c r="G1962" t="n">
        <v>54.69</v>
      </c>
      <c r="H1962" t="inlineStr">
        <is>
          <t>UPI</t>
        </is>
      </c>
      <c r="I1962" t="inlineStr">
        <is>
          <t>Success</t>
        </is>
      </c>
      <c r="J1962" t="inlineStr">
        <is>
          <t>Delivered</t>
        </is>
      </c>
      <c r="K1962" t="n">
        <v>0</v>
      </c>
      <c r="L1962" t="n">
        <v>0</v>
      </c>
      <c r="M1962" t="inlineStr">
        <is>
          <t>INR</t>
        </is>
      </c>
      <c r="N1962" t="inlineStr">
        <is>
          <t>2025-07-08 06:07:17</t>
        </is>
      </c>
    </row>
    <row r="1963">
      <c r="A1963" t="inlineStr">
        <is>
          <t>TXN00122810</t>
        </is>
      </c>
      <c r="B1963" t="inlineStr">
        <is>
          <t>MER00711</t>
        </is>
      </c>
      <c r="C1963" s="8" t="n">
        <v>45870</v>
      </c>
      <c r="D1963" t="inlineStr">
        <is>
          <t>ORD00122810</t>
        </is>
      </c>
      <c r="E1963" t="n">
        <v>2779.89</v>
      </c>
      <c r="F1963" t="n">
        <v>1.33</v>
      </c>
      <c r="G1963" t="n">
        <v>53.65</v>
      </c>
      <c r="H1963" t="inlineStr">
        <is>
          <t>NetBanking</t>
        </is>
      </c>
      <c r="I1963" t="inlineStr">
        <is>
          <t>Success</t>
        </is>
      </c>
      <c r="J1963" t="inlineStr">
        <is>
          <t>Delivered</t>
        </is>
      </c>
      <c r="K1963" t="n">
        <v>0</v>
      </c>
      <c r="L1963" t="n">
        <v>446.95</v>
      </c>
      <c r="M1963" t="inlineStr">
        <is>
          <t>INR</t>
        </is>
      </c>
      <c r="N1963" t="inlineStr">
        <is>
          <t>2025-08-01 01:11:43</t>
        </is>
      </c>
    </row>
    <row r="1964">
      <c r="A1964" t="inlineStr">
        <is>
          <t>TXN00123274</t>
        </is>
      </c>
      <c r="B1964" t="inlineStr">
        <is>
          <t>MER00711</t>
        </is>
      </c>
      <c r="C1964" s="8" t="n">
        <v>45871</v>
      </c>
      <c r="D1964" t="inlineStr">
        <is>
          <t>ORD00123274</t>
        </is>
      </c>
      <c r="E1964" t="n">
        <v>9373.190000000001</v>
      </c>
      <c r="F1964" t="n">
        <v>1.93</v>
      </c>
      <c r="G1964" t="n">
        <v>180.9</v>
      </c>
      <c r="H1964" t="inlineStr">
        <is>
          <t>UPI</t>
        </is>
      </c>
      <c r="I1964" t="inlineStr">
        <is>
          <t>Success</t>
        </is>
      </c>
      <c r="J1964" t="inlineStr">
        <is>
          <t>Delivered</t>
        </is>
      </c>
      <c r="K1964" t="n">
        <v>0</v>
      </c>
      <c r="L1964" t="n">
        <v>0</v>
      </c>
      <c r="M1964" t="inlineStr">
        <is>
          <t>INR</t>
        </is>
      </c>
      <c r="N1964" t="inlineStr">
        <is>
          <t>2025-08-02 14:36:43</t>
        </is>
      </c>
    </row>
    <row r="1965">
      <c r="A1965" t="inlineStr">
        <is>
          <t>TXN00123253</t>
        </is>
      </c>
      <c r="B1965" t="inlineStr">
        <is>
          <t>MER00711</t>
        </is>
      </c>
      <c r="C1965" s="8" t="n">
        <v>45871</v>
      </c>
      <c r="D1965" t="inlineStr">
        <is>
          <t>ORD00123253</t>
        </is>
      </c>
      <c r="E1965" t="n">
        <v>7837.08</v>
      </c>
      <c r="F1965" t="n">
        <v>1.93</v>
      </c>
      <c r="G1965" t="n">
        <v>151.26</v>
      </c>
      <c r="H1965" t="inlineStr">
        <is>
          <t>UPI</t>
        </is>
      </c>
      <c r="I1965" t="inlineStr">
        <is>
          <t>Success</t>
        </is>
      </c>
      <c r="J1965" t="inlineStr">
        <is>
          <t>Delivered</t>
        </is>
      </c>
      <c r="K1965" t="n">
        <v>0</v>
      </c>
      <c r="L1965" t="n">
        <v>0</v>
      </c>
      <c r="M1965" t="inlineStr">
        <is>
          <t>INR</t>
        </is>
      </c>
      <c r="N1965" t="inlineStr">
        <is>
          <t>2025-08-02 11:23:35</t>
        </is>
      </c>
    </row>
    <row r="1966">
      <c r="A1966" t="inlineStr">
        <is>
          <t>TXN00128678</t>
        </is>
      </c>
      <c r="B1966" t="inlineStr">
        <is>
          <t>MER00711</t>
        </is>
      </c>
      <c r="C1966" s="8" t="n">
        <v>45887</v>
      </c>
      <c r="D1966" t="inlineStr">
        <is>
          <t>ORD00128678</t>
        </is>
      </c>
      <c r="E1966" t="n">
        <v>3535.59</v>
      </c>
      <c r="F1966" t="n">
        <v>1.93</v>
      </c>
      <c r="G1966" t="n">
        <v>68.23999999999999</v>
      </c>
      <c r="H1966" t="inlineStr">
        <is>
          <t>UPI</t>
        </is>
      </c>
      <c r="I1966" t="inlineStr">
        <is>
          <t>Success</t>
        </is>
      </c>
      <c r="J1966" t="inlineStr">
        <is>
          <t>Delivered</t>
        </is>
      </c>
      <c r="K1966" t="n">
        <v>0</v>
      </c>
      <c r="L1966" t="n">
        <v>0</v>
      </c>
      <c r="M1966" t="inlineStr">
        <is>
          <t>INR</t>
        </is>
      </c>
      <c r="N1966" t="inlineStr">
        <is>
          <t>2025-08-18 11:36:21</t>
        </is>
      </c>
    </row>
    <row r="1967">
      <c r="A1967" t="inlineStr">
        <is>
          <t>TXN00129101</t>
        </is>
      </c>
      <c r="B1967" t="inlineStr">
        <is>
          <t>MER00711</t>
        </is>
      </c>
      <c r="C1967" s="8" t="n">
        <v>45889</v>
      </c>
      <c r="D1967" t="inlineStr">
        <is>
          <t>ORD00129101</t>
        </is>
      </c>
      <c r="E1967" t="n">
        <v>4865.72</v>
      </c>
      <c r="F1967" t="n">
        <v>1.93</v>
      </c>
      <c r="G1967" t="n">
        <v>93.91</v>
      </c>
      <c r="H1967" t="inlineStr">
        <is>
          <t>Card</t>
        </is>
      </c>
      <c r="I1967" t="inlineStr">
        <is>
          <t>Success</t>
        </is>
      </c>
      <c r="J1967" t="inlineStr">
        <is>
          <t>Delivered</t>
        </is>
      </c>
      <c r="K1967" t="n">
        <v>0</v>
      </c>
      <c r="L1967" t="n">
        <v>0</v>
      </c>
      <c r="M1967" t="inlineStr">
        <is>
          <t>INR</t>
        </is>
      </c>
      <c r="N1967" t="inlineStr">
        <is>
          <t>2025-08-20 18:15:35</t>
        </is>
      </c>
    </row>
    <row r="1968">
      <c r="A1968" t="inlineStr">
        <is>
          <t>TXN00131790</t>
        </is>
      </c>
      <c r="B1968" t="inlineStr">
        <is>
          <t>MER00711</t>
        </is>
      </c>
      <c r="C1968" s="8" t="n">
        <v>45897</v>
      </c>
      <c r="D1968" t="inlineStr">
        <is>
          <t>ORD00131790</t>
        </is>
      </c>
      <c r="E1968" t="n">
        <v>5101.6</v>
      </c>
      <c r="F1968" t="n">
        <v>1.93</v>
      </c>
      <c r="G1968" t="n">
        <v>98.45999999999999</v>
      </c>
      <c r="H1968" t="inlineStr">
        <is>
          <t>NetBanking</t>
        </is>
      </c>
      <c r="I1968" t="inlineStr">
        <is>
          <t>Success</t>
        </is>
      </c>
      <c r="J1968" t="inlineStr">
        <is>
          <t>Delivered</t>
        </is>
      </c>
      <c r="K1968" t="n">
        <v>0</v>
      </c>
      <c r="L1968" t="n">
        <v>0</v>
      </c>
      <c r="M1968" t="inlineStr">
        <is>
          <t>INR</t>
        </is>
      </c>
      <c r="N1968" t="inlineStr">
        <is>
          <t>2025-08-28 12:26:58</t>
        </is>
      </c>
    </row>
    <row r="1969">
      <c r="A1969" t="inlineStr">
        <is>
          <t>TXN00132796</t>
        </is>
      </c>
      <c r="B1969" t="inlineStr">
        <is>
          <t>MER00711</t>
        </is>
      </c>
      <c r="C1969" s="8" t="n">
        <v>45900</v>
      </c>
      <c r="D1969" t="inlineStr">
        <is>
          <t>ORD00132796</t>
        </is>
      </c>
      <c r="E1969" t="n">
        <v>1546</v>
      </c>
      <c r="F1969" t="n">
        <v>1.93</v>
      </c>
      <c r="G1969" t="n">
        <v>29.84</v>
      </c>
      <c r="H1969" t="inlineStr">
        <is>
          <t>UPI</t>
        </is>
      </c>
      <c r="I1969" t="inlineStr">
        <is>
          <t>Success</t>
        </is>
      </c>
      <c r="J1969" t="inlineStr">
        <is>
          <t>Delivered</t>
        </is>
      </c>
      <c r="K1969" t="n">
        <v>0</v>
      </c>
      <c r="L1969" t="n">
        <v>0</v>
      </c>
      <c r="M1969" t="inlineStr">
        <is>
          <t>INR</t>
        </is>
      </c>
      <c r="N1969" t="inlineStr">
        <is>
          <t>2025-08-31 11:51:09</t>
        </is>
      </c>
    </row>
    <row r="1970">
      <c r="A1970" t="inlineStr">
        <is>
          <t>TXN00133748</t>
        </is>
      </c>
      <c r="B1970" t="inlineStr">
        <is>
          <t>MER00711</t>
        </is>
      </c>
      <c r="C1970" s="8" t="n">
        <v>45903</v>
      </c>
      <c r="D1970" t="inlineStr">
        <is>
          <t>ORD00133748</t>
        </is>
      </c>
      <c r="E1970" t="n">
        <v>11381.28</v>
      </c>
      <c r="F1970" t="n">
        <v>1.93</v>
      </c>
      <c r="G1970" t="n">
        <v>219.66</v>
      </c>
      <c r="H1970" t="inlineStr">
        <is>
          <t>Card</t>
        </is>
      </c>
      <c r="I1970" t="inlineStr">
        <is>
          <t>Success</t>
        </is>
      </c>
      <c r="J1970" t="inlineStr">
        <is>
          <t>Delivered</t>
        </is>
      </c>
      <c r="K1970" t="n">
        <v>0</v>
      </c>
      <c r="L1970" t="n">
        <v>0</v>
      </c>
      <c r="M1970" t="inlineStr">
        <is>
          <t>INR</t>
        </is>
      </c>
      <c r="N1970" t="inlineStr">
        <is>
          <t>2025-09-03 23:43:45</t>
        </is>
      </c>
    </row>
    <row r="1971">
      <c r="A1971" t="inlineStr">
        <is>
          <t>TXN00136786</t>
        </is>
      </c>
      <c r="B1971" t="inlineStr">
        <is>
          <t>MER00711</t>
        </is>
      </c>
      <c r="C1971" s="8" t="n">
        <v>45911</v>
      </c>
      <c r="D1971" t="inlineStr">
        <is>
          <t>ORD00136786</t>
        </is>
      </c>
      <c r="E1971" t="n">
        <v>7780.43</v>
      </c>
      <c r="F1971" t="n">
        <v>1.93</v>
      </c>
      <c r="G1971" t="n">
        <v>150.16</v>
      </c>
      <c r="H1971" t="inlineStr">
        <is>
          <t>UPI</t>
        </is>
      </c>
      <c r="I1971" t="inlineStr">
        <is>
          <t>Success</t>
        </is>
      </c>
      <c r="J1971" t="inlineStr">
        <is>
          <t>Delivered</t>
        </is>
      </c>
      <c r="K1971" t="n">
        <v>0</v>
      </c>
      <c r="L1971" t="n">
        <v>0</v>
      </c>
      <c r="M1971" t="inlineStr">
        <is>
          <t>INR</t>
        </is>
      </c>
      <c r="N1971" t="inlineStr">
        <is>
          <t>2025-09-11 00:31:05</t>
        </is>
      </c>
    </row>
    <row r="1972">
      <c r="A1972" t="inlineStr">
        <is>
          <t>TXN00137724</t>
        </is>
      </c>
      <c r="B1972" t="inlineStr">
        <is>
          <t>MER00711</t>
        </is>
      </c>
      <c r="C1972" s="8" t="n">
        <v>45914</v>
      </c>
      <c r="D1972" t="inlineStr">
        <is>
          <t>ORD00137724</t>
        </is>
      </c>
      <c r="E1972" t="n">
        <v>2216.2</v>
      </c>
      <c r="F1972" t="n">
        <v>1.93</v>
      </c>
      <c r="G1972" t="n">
        <v>42.77</v>
      </c>
      <c r="H1972" t="inlineStr">
        <is>
          <t>UPI</t>
        </is>
      </c>
      <c r="I1972" t="inlineStr">
        <is>
          <t>Success</t>
        </is>
      </c>
      <c r="J1972" t="inlineStr">
        <is>
          <t>Returned</t>
        </is>
      </c>
      <c r="K1972" t="n">
        <v>2216.2</v>
      </c>
      <c r="L1972" t="n">
        <v>0</v>
      </c>
      <c r="M1972" t="inlineStr">
        <is>
          <t>INR</t>
        </is>
      </c>
      <c r="N1972" t="inlineStr">
        <is>
          <t>2025-09-14 16:02:49</t>
        </is>
      </c>
    </row>
    <row r="1973">
      <c r="A1973" t="inlineStr">
        <is>
          <t>TXN00139449</t>
        </is>
      </c>
      <c r="B1973" t="inlineStr">
        <is>
          <t>MER00711</t>
        </is>
      </c>
      <c r="C1973" s="8" t="n">
        <v>45919</v>
      </c>
      <c r="D1973" t="inlineStr">
        <is>
          <t>ORD00139449</t>
        </is>
      </c>
      <c r="E1973" t="n">
        <v>1980.54</v>
      </c>
      <c r="F1973" t="n">
        <v>1.93</v>
      </c>
      <c r="G1973" t="n">
        <v>38.22</v>
      </c>
      <c r="H1973" t="inlineStr">
        <is>
          <t>UPI</t>
        </is>
      </c>
      <c r="I1973" t="inlineStr">
        <is>
          <t>Failed</t>
        </is>
      </c>
      <c r="J1973" t="inlineStr">
        <is>
          <t>Cancelled</t>
        </is>
      </c>
      <c r="K1973" t="n">
        <v>0</v>
      </c>
      <c r="L1973" t="n">
        <v>0</v>
      </c>
      <c r="M1973" t="inlineStr">
        <is>
          <t>INR</t>
        </is>
      </c>
      <c r="N1973" t="inlineStr">
        <is>
          <t>2025-09-19 20:33:54</t>
        </is>
      </c>
    </row>
    <row r="1974">
      <c r="A1974" t="inlineStr">
        <is>
          <t>TXN00139811</t>
        </is>
      </c>
      <c r="B1974" t="inlineStr">
        <is>
          <t>MER00711</t>
        </is>
      </c>
      <c r="C1974" s="8" t="n">
        <v>45920</v>
      </c>
      <c r="D1974" t="inlineStr">
        <is>
          <t>ORD00139811</t>
        </is>
      </c>
      <c r="E1974" t="n">
        <v>3541.74</v>
      </c>
      <c r="F1974" t="n">
        <v>1.93</v>
      </c>
      <c r="G1974" t="n">
        <v>68.36</v>
      </c>
      <c r="H1974" t="inlineStr">
        <is>
          <t>UPI</t>
        </is>
      </c>
      <c r="I1974" t="inlineStr">
        <is>
          <t>Success</t>
        </is>
      </c>
      <c r="J1974" t="inlineStr">
        <is>
          <t>Delivered</t>
        </is>
      </c>
      <c r="K1974" t="n">
        <v>0</v>
      </c>
      <c r="L1974" t="n">
        <v>0</v>
      </c>
      <c r="M1974" t="inlineStr">
        <is>
          <t>INR</t>
        </is>
      </c>
      <c r="N1974" t="inlineStr">
        <is>
          <t>2025-09-20 05:07:06</t>
        </is>
      </c>
    </row>
    <row r="1975">
      <c r="A1975" t="inlineStr">
        <is>
          <t>TXN00140315</t>
        </is>
      </c>
      <c r="B1975" t="inlineStr">
        <is>
          <t>MER00711</t>
        </is>
      </c>
      <c r="C1975" s="8" t="n">
        <v>45921</v>
      </c>
      <c r="D1975" t="inlineStr">
        <is>
          <t>ORD00140315</t>
        </is>
      </c>
      <c r="E1975" t="n">
        <v>2720.85</v>
      </c>
      <c r="F1975" t="n">
        <v>1.93</v>
      </c>
      <c r="G1975" t="n">
        <v>52.51</v>
      </c>
      <c r="H1975" t="inlineStr">
        <is>
          <t>Card</t>
        </is>
      </c>
      <c r="I1975" t="inlineStr">
        <is>
          <t>Success</t>
        </is>
      </c>
      <c r="J1975" t="inlineStr">
        <is>
          <t>Delivered</t>
        </is>
      </c>
      <c r="K1975" t="n">
        <v>0</v>
      </c>
      <c r="L1975" t="n">
        <v>0</v>
      </c>
      <c r="M1975" t="inlineStr">
        <is>
          <t>INR</t>
        </is>
      </c>
      <c r="N1975" t="inlineStr">
        <is>
          <t>2025-09-21 13:41:48</t>
        </is>
      </c>
    </row>
    <row r="1976">
      <c r="A1976" t="inlineStr">
        <is>
          <t>TXN00142602</t>
        </is>
      </c>
      <c r="B1976" t="inlineStr">
        <is>
          <t>MER00711</t>
        </is>
      </c>
      <c r="C1976" s="8" t="n">
        <v>45928</v>
      </c>
      <c r="D1976" t="inlineStr">
        <is>
          <t>ORD00142602</t>
        </is>
      </c>
      <c r="E1976" t="n">
        <v>1625.28</v>
      </c>
      <c r="F1976" t="n">
        <v>1.93</v>
      </c>
      <c r="G1976" t="n">
        <v>31.37</v>
      </c>
      <c r="H1976" t="inlineStr">
        <is>
          <t>Card</t>
        </is>
      </c>
      <c r="I1976" t="inlineStr">
        <is>
          <t>Success</t>
        </is>
      </c>
      <c r="J1976" t="inlineStr">
        <is>
          <t>Delivered</t>
        </is>
      </c>
      <c r="K1976" t="n">
        <v>0</v>
      </c>
      <c r="L1976" t="n">
        <v>0</v>
      </c>
      <c r="M1976" t="inlineStr">
        <is>
          <t>INR</t>
        </is>
      </c>
      <c r="N1976" t="inlineStr">
        <is>
          <t>2025-09-28 01:54:08</t>
        </is>
      </c>
    </row>
    <row r="1977">
      <c r="A1977" t="inlineStr">
        <is>
          <t>TXN00142655</t>
        </is>
      </c>
      <c r="B1977" t="inlineStr">
        <is>
          <t>MER00711</t>
        </is>
      </c>
      <c r="C1977" s="8" t="n">
        <v>45928</v>
      </c>
      <c r="D1977" t="inlineStr">
        <is>
          <t>ORD00142655</t>
        </is>
      </c>
      <c r="E1977" t="n">
        <v>5751.03</v>
      </c>
      <c r="F1977" t="n">
        <v>1.93</v>
      </c>
      <c r="G1977" t="n">
        <v>110.99</v>
      </c>
      <c r="H1977" t="inlineStr">
        <is>
          <t>UPI</t>
        </is>
      </c>
      <c r="I1977" t="inlineStr">
        <is>
          <t>Success</t>
        </is>
      </c>
      <c r="J1977" t="inlineStr">
        <is>
          <t>Delivered</t>
        </is>
      </c>
      <c r="K1977" t="n">
        <v>0</v>
      </c>
      <c r="L1977" t="n">
        <v>0</v>
      </c>
      <c r="M1977" t="inlineStr">
        <is>
          <t>INR</t>
        </is>
      </c>
      <c r="N1977" t="inlineStr">
        <is>
          <t>2025-09-28 05:10:25</t>
        </is>
      </c>
    </row>
    <row r="1978">
      <c r="A1978" t="inlineStr">
        <is>
          <t>TXN00144230</t>
        </is>
      </c>
      <c r="B1978" t="inlineStr">
        <is>
          <t>MER00711</t>
        </is>
      </c>
      <c r="C1978" s="8" t="n">
        <v>45932</v>
      </c>
      <c r="D1978" t="inlineStr">
        <is>
          <t>ORD00144230</t>
        </is>
      </c>
      <c r="E1978" t="n">
        <v>5329.98</v>
      </c>
      <c r="F1978" t="n">
        <v>1.93</v>
      </c>
      <c r="G1978" t="n">
        <v>102.87</v>
      </c>
      <c r="H1978" t="inlineStr">
        <is>
          <t>UPI</t>
        </is>
      </c>
      <c r="I1978" t="inlineStr">
        <is>
          <t>Success</t>
        </is>
      </c>
      <c r="J1978" t="inlineStr">
        <is>
          <t>Delivered</t>
        </is>
      </c>
      <c r="K1978" t="n">
        <v>0</v>
      </c>
      <c r="L1978" t="n">
        <v>0</v>
      </c>
      <c r="M1978" t="inlineStr">
        <is>
          <t>INR</t>
        </is>
      </c>
      <c r="N1978" t="inlineStr">
        <is>
          <t>2025-10-02 20:32:47</t>
        </is>
      </c>
    </row>
    <row r="1979">
      <c r="A1979" t="inlineStr">
        <is>
          <t>TXN00151347</t>
        </is>
      </c>
      <c r="B1979" t="inlineStr">
        <is>
          <t>MER00711</t>
        </is>
      </c>
      <c r="C1979" s="8" t="n">
        <v>45947</v>
      </c>
      <c r="D1979" t="inlineStr">
        <is>
          <t>ORD00151347</t>
        </is>
      </c>
      <c r="E1979" t="n">
        <v>3598.65</v>
      </c>
      <c r="F1979" t="n">
        <v>1.93</v>
      </c>
      <c r="G1979" t="n">
        <v>69.45</v>
      </c>
      <c r="H1979" t="inlineStr">
        <is>
          <t>UPI</t>
        </is>
      </c>
      <c r="I1979" t="inlineStr">
        <is>
          <t>Success</t>
        </is>
      </c>
      <c r="J1979" t="inlineStr">
        <is>
          <t>Delivered</t>
        </is>
      </c>
      <c r="K1979" t="n">
        <v>0</v>
      </c>
      <c r="L1979" t="n">
        <v>0</v>
      </c>
      <c r="M1979" t="inlineStr">
        <is>
          <t>INR</t>
        </is>
      </c>
      <c r="N1979" t="inlineStr">
        <is>
          <t>2025-10-17 05:03:47</t>
        </is>
      </c>
    </row>
    <row r="1980">
      <c r="A1980" t="inlineStr">
        <is>
          <t>TXN00151508</t>
        </is>
      </c>
      <c r="B1980" t="inlineStr">
        <is>
          <t>MER00711</t>
        </is>
      </c>
      <c r="C1980" s="8" t="n">
        <v>45948</v>
      </c>
      <c r="D1980" t="inlineStr">
        <is>
          <t>ORD00151508</t>
        </is>
      </c>
      <c r="E1980" t="n">
        <v>3421.45</v>
      </c>
      <c r="F1980" t="n">
        <v>1.93</v>
      </c>
      <c r="G1980" t="n">
        <v>66.03</v>
      </c>
      <c r="H1980" t="inlineStr">
        <is>
          <t>Card</t>
        </is>
      </c>
      <c r="I1980" t="inlineStr">
        <is>
          <t>Success</t>
        </is>
      </c>
      <c r="J1980" t="inlineStr">
        <is>
          <t>Delivered</t>
        </is>
      </c>
      <c r="K1980" t="n">
        <v>0</v>
      </c>
      <c r="L1980" t="n">
        <v>0</v>
      </c>
      <c r="M1980" t="inlineStr">
        <is>
          <t>INR</t>
        </is>
      </c>
      <c r="N1980" t="inlineStr">
        <is>
          <t>2025-10-18 14:38:46</t>
        </is>
      </c>
    </row>
    <row r="1981">
      <c r="A1981" t="inlineStr">
        <is>
          <t>TXN00152659</t>
        </is>
      </c>
      <c r="B1981" t="inlineStr">
        <is>
          <t>MER00711</t>
        </is>
      </c>
      <c r="C1981" s="8" t="n">
        <v>45950</v>
      </c>
      <c r="D1981" t="inlineStr">
        <is>
          <t>ORD00152659</t>
        </is>
      </c>
      <c r="E1981" t="n">
        <v>3911.42</v>
      </c>
      <c r="F1981" t="n">
        <v>1.93</v>
      </c>
      <c r="G1981" t="n">
        <v>75.48999999999999</v>
      </c>
      <c r="H1981" t="inlineStr">
        <is>
          <t>COD</t>
        </is>
      </c>
      <c r="I1981" t="inlineStr">
        <is>
          <t>Success</t>
        </is>
      </c>
      <c r="J1981" t="inlineStr">
        <is>
          <t>Delivered</t>
        </is>
      </c>
      <c r="K1981" t="n">
        <v>0</v>
      </c>
      <c r="L1981" t="n">
        <v>0</v>
      </c>
      <c r="M1981" t="inlineStr">
        <is>
          <t>INR</t>
        </is>
      </c>
      <c r="N1981" t="inlineStr">
        <is>
          <t>2025-10-20 05:28:26</t>
        </is>
      </c>
    </row>
    <row r="1982">
      <c r="A1982" t="inlineStr">
        <is>
          <t>TXN00153547</t>
        </is>
      </c>
      <c r="B1982" t="inlineStr">
        <is>
          <t>MER00711</t>
        </is>
      </c>
      <c r="C1982" s="8" t="n">
        <v>45952</v>
      </c>
      <c r="D1982" t="inlineStr">
        <is>
          <t>ORD00153547</t>
        </is>
      </c>
      <c r="E1982" t="n">
        <v>5040.29</v>
      </c>
      <c r="F1982" t="n">
        <v>1.93</v>
      </c>
      <c r="G1982" t="n">
        <v>97.28</v>
      </c>
      <c r="H1982" t="inlineStr">
        <is>
          <t>UPI</t>
        </is>
      </c>
      <c r="I1982" t="inlineStr">
        <is>
          <t>Success</t>
        </is>
      </c>
      <c r="J1982" t="inlineStr">
        <is>
          <t>Processing</t>
        </is>
      </c>
      <c r="K1982" t="n">
        <v>0</v>
      </c>
      <c r="L1982" t="n">
        <v>0</v>
      </c>
      <c r="M1982" t="inlineStr">
        <is>
          <t>INR</t>
        </is>
      </c>
      <c r="N1982" t="inlineStr">
        <is>
          <t>2025-10-22 13:23:15</t>
        </is>
      </c>
    </row>
    <row r="1983">
      <c r="A1983" t="inlineStr">
        <is>
          <t>TXN00153536</t>
        </is>
      </c>
      <c r="B1983" t="inlineStr">
        <is>
          <t>MER00711</t>
        </is>
      </c>
      <c r="C1983" s="8" t="n">
        <v>45952</v>
      </c>
      <c r="D1983" t="inlineStr">
        <is>
          <t>ORD00153536</t>
        </is>
      </c>
      <c r="E1983" t="n">
        <v>2501.5</v>
      </c>
      <c r="F1983" t="n">
        <v>1.93</v>
      </c>
      <c r="G1983" t="n">
        <v>48.28</v>
      </c>
      <c r="H1983" t="inlineStr">
        <is>
          <t>Card</t>
        </is>
      </c>
      <c r="I1983" t="inlineStr">
        <is>
          <t>Success</t>
        </is>
      </c>
      <c r="J1983" t="inlineStr">
        <is>
          <t>Delivered</t>
        </is>
      </c>
      <c r="K1983" t="n">
        <v>0</v>
      </c>
      <c r="L1983" t="n">
        <v>0</v>
      </c>
      <c r="M1983" t="inlineStr">
        <is>
          <t>INR</t>
        </is>
      </c>
      <c r="N1983" t="inlineStr">
        <is>
          <t>2025-10-22 10:33:42</t>
        </is>
      </c>
    </row>
    <row r="1984">
      <c r="A1984" t="inlineStr">
        <is>
          <t>TXN00153911</t>
        </is>
      </c>
      <c r="B1984" t="inlineStr">
        <is>
          <t>MER00711</t>
        </is>
      </c>
      <c r="C1984" s="8" t="n">
        <v>45953</v>
      </c>
      <c r="D1984" t="inlineStr">
        <is>
          <t>ORD00153911</t>
        </is>
      </c>
      <c r="E1984" t="n">
        <v>5926.41</v>
      </c>
      <c r="F1984" t="n">
        <v>1.93</v>
      </c>
      <c r="G1984" t="n">
        <v>114.38</v>
      </c>
      <c r="H1984" t="inlineStr">
        <is>
          <t>UPI</t>
        </is>
      </c>
      <c r="I1984" t="inlineStr">
        <is>
          <t>Success</t>
        </is>
      </c>
      <c r="J1984" t="inlineStr">
        <is>
          <t>Returned</t>
        </is>
      </c>
      <c r="K1984" t="n">
        <v>5926.41</v>
      </c>
      <c r="L1984" t="n">
        <v>0</v>
      </c>
      <c r="M1984" t="inlineStr">
        <is>
          <t>INR</t>
        </is>
      </c>
      <c r="N1984" t="inlineStr">
        <is>
          <t>2025-10-23 16:15:42</t>
        </is>
      </c>
    </row>
    <row r="1985">
      <c r="A1985" t="inlineStr">
        <is>
          <t>TXN00154838</t>
        </is>
      </c>
      <c r="B1985" t="inlineStr">
        <is>
          <t>MER00711</t>
        </is>
      </c>
      <c r="C1985" s="8" t="n">
        <v>45955</v>
      </c>
      <c r="D1985" t="inlineStr">
        <is>
          <t>ORD00154838</t>
        </is>
      </c>
      <c r="E1985" t="n">
        <v>10535.12</v>
      </c>
      <c r="F1985" t="n">
        <v>1.93</v>
      </c>
      <c r="G1985" t="n">
        <v>203.33</v>
      </c>
      <c r="H1985" t="inlineStr">
        <is>
          <t>Card</t>
        </is>
      </c>
      <c r="I1985" t="inlineStr">
        <is>
          <t>Success</t>
        </is>
      </c>
      <c r="J1985" t="inlineStr">
        <is>
          <t>Delivered</t>
        </is>
      </c>
      <c r="K1985" t="n">
        <v>0</v>
      </c>
      <c r="L1985" t="n">
        <v>0</v>
      </c>
      <c r="M1985" t="inlineStr">
        <is>
          <t>INR</t>
        </is>
      </c>
      <c r="N1985" t="inlineStr">
        <is>
          <t>2025-10-25 03:22:29</t>
        </is>
      </c>
    </row>
    <row r="1986">
      <c r="A1986" t="inlineStr">
        <is>
          <t>TXN00156226</t>
        </is>
      </c>
      <c r="B1986" t="inlineStr">
        <is>
          <t>MER00711</t>
        </is>
      </c>
      <c r="C1986" s="8" t="n">
        <v>45958</v>
      </c>
      <c r="D1986" t="inlineStr">
        <is>
          <t>ORD00156226</t>
        </is>
      </c>
      <c r="E1986" t="n">
        <v>6014.48</v>
      </c>
      <c r="F1986" t="n">
        <v>1.93</v>
      </c>
      <c r="G1986" t="n">
        <v>116.08</v>
      </c>
      <c r="H1986" t="inlineStr">
        <is>
          <t>Card</t>
        </is>
      </c>
      <c r="I1986" t="inlineStr">
        <is>
          <t>Success</t>
        </is>
      </c>
      <c r="J1986" t="inlineStr">
        <is>
          <t>Delivered</t>
        </is>
      </c>
      <c r="K1986" t="n">
        <v>0</v>
      </c>
      <c r="L1986" t="n">
        <v>0</v>
      </c>
      <c r="M1986" t="inlineStr">
        <is>
          <t>INR</t>
        </is>
      </c>
      <c r="N1986" t="inlineStr">
        <is>
          <t>2025-10-28 14:55:16</t>
        </is>
      </c>
    </row>
    <row r="1987">
      <c r="A1987" t="inlineStr">
        <is>
          <t>TXN00157349</t>
        </is>
      </c>
      <c r="B1987" t="inlineStr">
        <is>
          <t>MER00711</t>
        </is>
      </c>
      <c r="C1987" s="8" t="n">
        <v>45960</v>
      </c>
      <c r="D1987" t="inlineStr">
        <is>
          <t>ORD00157349</t>
        </is>
      </c>
      <c r="E1987" t="n">
        <v>16275.72</v>
      </c>
      <c r="F1987" t="n">
        <v>1.93</v>
      </c>
      <c r="G1987" t="n">
        <v>314.12</v>
      </c>
      <c r="H1987" t="inlineStr">
        <is>
          <t>UPI</t>
        </is>
      </c>
      <c r="I1987" t="inlineStr">
        <is>
          <t>Success</t>
        </is>
      </c>
      <c r="J1987" t="inlineStr">
        <is>
          <t>Delivered</t>
        </is>
      </c>
      <c r="K1987" t="n">
        <v>0</v>
      </c>
      <c r="L1987" t="n">
        <v>0</v>
      </c>
      <c r="M1987" t="inlineStr">
        <is>
          <t>INR</t>
        </is>
      </c>
      <c r="N1987" t="inlineStr">
        <is>
          <t>2025-10-30 00:31:14</t>
        </is>
      </c>
    </row>
    <row r="1988">
      <c r="A1988" t="inlineStr">
        <is>
          <t>TXN00159404</t>
        </is>
      </c>
      <c r="B1988" t="inlineStr">
        <is>
          <t>MER00711</t>
        </is>
      </c>
      <c r="C1988" s="8" t="n">
        <v>45964</v>
      </c>
      <c r="D1988" t="inlineStr">
        <is>
          <t>ORD00159404</t>
        </is>
      </c>
      <c r="E1988" t="n">
        <v>1046.8</v>
      </c>
      <c r="F1988" t="n">
        <v>1.93</v>
      </c>
      <c r="G1988" t="n">
        <v>20.2</v>
      </c>
      <c r="H1988" t="inlineStr">
        <is>
          <t>UPI</t>
        </is>
      </c>
      <c r="I1988" t="inlineStr">
        <is>
          <t>Success</t>
        </is>
      </c>
      <c r="J1988" t="inlineStr">
        <is>
          <t>Delivered</t>
        </is>
      </c>
      <c r="K1988" t="n">
        <v>0</v>
      </c>
      <c r="L1988" t="n">
        <v>0</v>
      </c>
      <c r="M1988" t="inlineStr">
        <is>
          <t>INR</t>
        </is>
      </c>
      <c r="N1988" t="inlineStr">
        <is>
          <t>2025-11-03 03:40:56</t>
        </is>
      </c>
    </row>
    <row r="1989">
      <c r="A1989" t="inlineStr">
        <is>
          <t>TXN00161406</t>
        </is>
      </c>
      <c r="B1989" t="inlineStr">
        <is>
          <t>MER00711</t>
        </is>
      </c>
      <c r="C1989" s="8" t="n">
        <v>45968</v>
      </c>
      <c r="D1989" t="inlineStr">
        <is>
          <t>ORD00161406</t>
        </is>
      </c>
      <c r="E1989" t="n">
        <v>7982.59</v>
      </c>
      <c r="F1989" t="n">
        <v>1.93</v>
      </c>
      <c r="G1989" t="n">
        <v>154.06</v>
      </c>
      <c r="H1989" t="inlineStr">
        <is>
          <t>Wallet</t>
        </is>
      </c>
      <c r="I1989" t="inlineStr">
        <is>
          <t>Success</t>
        </is>
      </c>
      <c r="J1989" t="inlineStr">
        <is>
          <t>Delivered</t>
        </is>
      </c>
      <c r="K1989" t="n">
        <v>0</v>
      </c>
      <c r="L1989" t="n">
        <v>595.26</v>
      </c>
      <c r="M1989" t="inlineStr">
        <is>
          <t>INR</t>
        </is>
      </c>
      <c r="N1989" t="inlineStr">
        <is>
          <t>2025-11-07 02:29:00</t>
        </is>
      </c>
    </row>
    <row r="1990">
      <c r="A1990" t="inlineStr">
        <is>
          <t>TXN00163451</t>
        </is>
      </c>
      <c r="B1990" t="inlineStr">
        <is>
          <t>MER00711</t>
        </is>
      </c>
      <c r="C1990" s="8" t="n">
        <v>45971</v>
      </c>
      <c r="D1990" t="inlineStr">
        <is>
          <t>ORD00163451</t>
        </is>
      </c>
      <c r="E1990" t="n">
        <v>4589.03</v>
      </c>
      <c r="F1990" t="n">
        <v>1.93</v>
      </c>
      <c r="G1990" t="n">
        <v>88.56999999999999</v>
      </c>
      <c r="H1990" t="inlineStr">
        <is>
          <t>COD</t>
        </is>
      </c>
      <c r="I1990" t="inlineStr">
        <is>
          <t>Success</t>
        </is>
      </c>
      <c r="J1990" t="inlineStr">
        <is>
          <t>Delivered</t>
        </is>
      </c>
      <c r="K1990" t="n">
        <v>0</v>
      </c>
      <c r="L1990" t="n">
        <v>0</v>
      </c>
      <c r="M1990" t="inlineStr">
        <is>
          <t>INR</t>
        </is>
      </c>
      <c r="N1990" t="inlineStr">
        <is>
          <t>2025-11-10 23:25:21</t>
        </is>
      </c>
    </row>
    <row r="1991">
      <c r="A1991" t="inlineStr">
        <is>
          <t>TXN00165487</t>
        </is>
      </c>
      <c r="B1991" t="inlineStr">
        <is>
          <t>MER00711</t>
        </is>
      </c>
      <c r="C1991" s="8" t="n">
        <v>45975</v>
      </c>
      <c r="D1991" t="inlineStr">
        <is>
          <t>ORD00165487</t>
        </is>
      </c>
      <c r="E1991" t="n">
        <v>2905.39</v>
      </c>
      <c r="F1991" t="n">
        <v>1.93</v>
      </c>
      <c r="G1991" t="n">
        <v>56.07</v>
      </c>
      <c r="H1991" t="inlineStr">
        <is>
          <t>COD</t>
        </is>
      </c>
      <c r="I1991" t="inlineStr">
        <is>
          <t>Success</t>
        </is>
      </c>
      <c r="J1991" t="inlineStr">
        <is>
          <t>Delivered</t>
        </is>
      </c>
      <c r="K1991" t="n">
        <v>0</v>
      </c>
      <c r="L1991" t="n">
        <v>0</v>
      </c>
      <c r="M1991" t="inlineStr">
        <is>
          <t>INR</t>
        </is>
      </c>
      <c r="N1991" t="inlineStr">
        <is>
          <t>2025-11-14 01:16:05</t>
        </is>
      </c>
    </row>
    <row r="1992">
      <c r="A1992" t="inlineStr">
        <is>
          <t>TXN00168157</t>
        </is>
      </c>
      <c r="B1992" t="inlineStr">
        <is>
          <t>MER00711</t>
        </is>
      </c>
      <c r="C1992" s="8" t="n">
        <v>45980</v>
      </c>
      <c r="D1992" t="inlineStr">
        <is>
          <t>ORD00168157</t>
        </is>
      </c>
      <c r="E1992" t="n">
        <v>2264.14</v>
      </c>
      <c r="F1992" t="n">
        <v>1.93</v>
      </c>
      <c r="G1992" t="n">
        <v>43.7</v>
      </c>
      <c r="H1992" t="inlineStr">
        <is>
          <t>Card</t>
        </is>
      </c>
      <c r="I1992" t="inlineStr">
        <is>
          <t>Success</t>
        </is>
      </c>
      <c r="J1992" t="inlineStr">
        <is>
          <t>Delivered</t>
        </is>
      </c>
      <c r="K1992" t="n">
        <v>0</v>
      </c>
      <c r="L1992" t="n">
        <v>0</v>
      </c>
      <c r="M1992" t="inlineStr">
        <is>
          <t>INR</t>
        </is>
      </c>
      <c r="N1992" t="inlineStr">
        <is>
          <t>2025-11-19 06:49:41</t>
        </is>
      </c>
    </row>
    <row r="1993">
      <c r="A1993" t="inlineStr">
        <is>
          <t>TXN00168176</t>
        </is>
      </c>
      <c r="B1993" t="inlineStr">
        <is>
          <t>MER00711</t>
        </is>
      </c>
      <c r="C1993" s="8" t="n">
        <v>45980</v>
      </c>
      <c r="D1993" t="inlineStr">
        <is>
          <t>ORD00168176</t>
        </is>
      </c>
      <c r="E1993" t="n">
        <v>4257.93</v>
      </c>
      <c r="F1993" t="n">
        <v>1.93</v>
      </c>
      <c r="G1993" t="n">
        <v>82.18000000000001</v>
      </c>
      <c r="H1993" t="inlineStr">
        <is>
          <t>Card</t>
        </is>
      </c>
      <c r="I1993" t="inlineStr">
        <is>
          <t>Success</t>
        </is>
      </c>
      <c r="J1993" t="inlineStr">
        <is>
          <t>Delivered</t>
        </is>
      </c>
      <c r="K1993" t="n">
        <v>0</v>
      </c>
      <c r="L1993" t="n">
        <v>0</v>
      </c>
      <c r="M1993" t="inlineStr">
        <is>
          <t>INR</t>
        </is>
      </c>
      <c r="N1993" t="inlineStr">
        <is>
          <t>2025-11-19 15:18:45</t>
        </is>
      </c>
    </row>
    <row r="1994">
      <c r="A1994" t="inlineStr">
        <is>
          <t>TXN00170868</t>
        </is>
      </c>
      <c r="B1994" t="inlineStr">
        <is>
          <t>MER00711</t>
        </is>
      </c>
      <c r="C1994" s="8" t="n">
        <v>45985</v>
      </c>
      <c r="D1994" t="inlineStr">
        <is>
          <t>ORD00170868</t>
        </is>
      </c>
      <c r="E1994" t="n">
        <v>7148.91</v>
      </c>
      <c r="F1994" t="n">
        <v>1.93</v>
      </c>
      <c r="G1994" t="n">
        <v>137.97</v>
      </c>
      <c r="H1994" t="inlineStr">
        <is>
          <t>UPI</t>
        </is>
      </c>
      <c r="I1994" t="inlineStr">
        <is>
          <t>Unknown</t>
        </is>
      </c>
      <c r="J1994" t="inlineStr">
        <is>
          <t>Processing</t>
        </is>
      </c>
      <c r="K1994" t="n">
        <v>0</v>
      </c>
      <c r="L1994" t="n">
        <v>575.84</v>
      </c>
      <c r="M1994" t="inlineStr">
        <is>
          <t>INR</t>
        </is>
      </c>
      <c r="N1994" t="inlineStr">
        <is>
          <t>2025-11-24 10:07:25</t>
        </is>
      </c>
    </row>
    <row r="1995">
      <c r="A1995" t="inlineStr">
        <is>
          <t>TXN00172244</t>
        </is>
      </c>
      <c r="B1995" t="inlineStr">
        <is>
          <t>MER00711</t>
        </is>
      </c>
      <c r="C1995" s="8" t="n">
        <v>45987</v>
      </c>
      <c r="D1995" t="inlineStr">
        <is>
          <t>ORD00172244</t>
        </is>
      </c>
      <c r="E1995" t="n">
        <v>3176.21</v>
      </c>
      <c r="F1995" t="n">
        <v>1.93</v>
      </c>
      <c r="G1995" t="n">
        <v>61.3</v>
      </c>
      <c r="H1995" t="inlineStr">
        <is>
          <t>UPI</t>
        </is>
      </c>
      <c r="I1995" t="inlineStr">
        <is>
          <t>Pending</t>
        </is>
      </c>
      <c r="J1995" t="inlineStr">
        <is>
          <t>Processing</t>
        </is>
      </c>
      <c r="K1995" t="n">
        <v>0</v>
      </c>
      <c r="L1995" t="n">
        <v>0</v>
      </c>
      <c r="M1995" t="inlineStr">
        <is>
          <t>INR</t>
        </is>
      </c>
      <c r="N1995" t="inlineStr">
        <is>
          <t>2025-11-26 18:13:09</t>
        </is>
      </c>
    </row>
    <row r="1996">
      <c r="A1996" t="inlineStr">
        <is>
          <t>TXN00177136</t>
        </is>
      </c>
      <c r="B1996" t="inlineStr">
        <is>
          <t>MER00711</t>
        </is>
      </c>
      <c r="C1996" s="8" t="n">
        <v>45998</v>
      </c>
      <c r="D1996" t="inlineStr">
        <is>
          <t>ORD00177136</t>
        </is>
      </c>
      <c r="E1996" t="n">
        <v>7690.79</v>
      </c>
      <c r="F1996" t="n">
        <v>1.93</v>
      </c>
      <c r="G1996" t="n">
        <v>148.43</v>
      </c>
      <c r="H1996" t="inlineStr">
        <is>
          <t>UPI</t>
        </is>
      </c>
      <c r="I1996" t="inlineStr">
        <is>
          <t>Success</t>
        </is>
      </c>
      <c r="J1996" t="inlineStr">
        <is>
          <t>Delivered</t>
        </is>
      </c>
      <c r="K1996" t="n">
        <v>0</v>
      </c>
      <c r="L1996" t="n">
        <v>0</v>
      </c>
      <c r="M1996" t="inlineStr">
        <is>
          <t>INR</t>
        </is>
      </c>
      <c r="N1996" t="inlineStr">
        <is>
          <t>2025-12-07 13:14:39</t>
        </is>
      </c>
    </row>
    <row r="1997">
      <c r="A1997" t="inlineStr">
        <is>
          <t>TXN00179915</t>
        </is>
      </c>
      <c r="B1997" t="inlineStr">
        <is>
          <t>MER00711</t>
        </is>
      </c>
      <c r="C1997" s="8" t="n">
        <v>46005</v>
      </c>
      <c r="D1997" t="inlineStr">
        <is>
          <t>ORD00179915</t>
        </is>
      </c>
      <c r="E1997" t="n">
        <v>2809.61</v>
      </c>
      <c r="F1997" t="n">
        <v>1.93</v>
      </c>
      <c r="G1997" t="n">
        <v>54.23</v>
      </c>
      <c r="H1997" t="inlineStr">
        <is>
          <t>UPI</t>
        </is>
      </c>
      <c r="I1997" t="inlineStr">
        <is>
          <t>Success</t>
        </is>
      </c>
      <c r="J1997" t="inlineStr">
        <is>
          <t>Delivered</t>
        </is>
      </c>
      <c r="K1997" t="n">
        <v>0</v>
      </c>
      <c r="L1997" t="n">
        <v>0</v>
      </c>
      <c r="M1997" t="inlineStr">
        <is>
          <t>INR</t>
        </is>
      </c>
      <c r="N1997" t="inlineStr">
        <is>
          <t>2025-12-14 02:29:11</t>
        </is>
      </c>
    </row>
    <row r="1998">
      <c r="A1998" t="inlineStr">
        <is>
          <t>TXN00182846</t>
        </is>
      </c>
      <c r="B1998" t="inlineStr">
        <is>
          <t>MER00711</t>
        </is>
      </c>
      <c r="C1998" s="8" t="n">
        <v>46013</v>
      </c>
      <c r="D1998" t="inlineStr">
        <is>
          <t>ORD00182846</t>
        </is>
      </c>
      <c r="E1998" t="n">
        <v>2935.34</v>
      </c>
      <c r="F1998" t="n">
        <v>1.93</v>
      </c>
      <c r="G1998" t="n">
        <v>56.65</v>
      </c>
      <c r="H1998" t="inlineStr">
        <is>
          <t>Card</t>
        </is>
      </c>
      <c r="I1998" t="inlineStr">
        <is>
          <t>Success</t>
        </is>
      </c>
      <c r="J1998" t="inlineStr">
        <is>
          <t>Delivered</t>
        </is>
      </c>
      <c r="K1998" t="n">
        <v>0</v>
      </c>
      <c r="L1998" t="n">
        <v>567.4</v>
      </c>
      <c r="M1998" t="inlineStr">
        <is>
          <t>INR</t>
        </is>
      </c>
      <c r="N1998" t="inlineStr">
        <is>
          <t>2025-12-22 13:10:32</t>
        </is>
      </c>
    </row>
    <row r="1999">
      <c r="A1999" t="inlineStr">
        <is>
          <t>TXN00184121</t>
        </is>
      </c>
      <c r="B1999" t="inlineStr">
        <is>
          <t>MER00711</t>
        </is>
      </c>
      <c r="C1999" s="8" t="n">
        <v>46017</v>
      </c>
      <c r="D1999" t="inlineStr">
        <is>
          <t>ORD00184121</t>
        </is>
      </c>
      <c r="E1999" t="n">
        <v>4159.78</v>
      </c>
      <c r="F1999" t="n">
        <v>1.93</v>
      </c>
      <c r="G1999" t="n">
        <v>80.28</v>
      </c>
      <c r="H1999" t="inlineStr">
        <is>
          <t>UPI</t>
        </is>
      </c>
      <c r="I1999" t="inlineStr">
        <is>
          <t>Success</t>
        </is>
      </c>
      <c r="J1999" t="inlineStr">
        <is>
          <t>Delivered</t>
        </is>
      </c>
      <c r="K1999" t="n">
        <v>0</v>
      </c>
      <c r="L1999" t="n">
        <v>0</v>
      </c>
      <c r="M1999" t="inlineStr">
        <is>
          <t>INR</t>
        </is>
      </c>
      <c r="N1999" t="inlineStr">
        <is>
          <t>2025-12-26 12:35:42</t>
        </is>
      </c>
    </row>
    <row r="2000">
      <c r="A2000" t="inlineStr">
        <is>
          <t>TXN00188088</t>
        </is>
      </c>
      <c r="B2000" t="inlineStr">
        <is>
          <t>MER00711</t>
        </is>
      </c>
      <c r="C2000" s="8" t="n">
        <v>46026</v>
      </c>
      <c r="D2000" t="inlineStr">
        <is>
          <t>ORD00188088</t>
        </is>
      </c>
      <c r="E2000" t="n">
        <v>5110.74</v>
      </c>
      <c r="F2000" t="n">
        <v>1.93</v>
      </c>
      <c r="G2000" t="n">
        <v>98.64</v>
      </c>
      <c r="H2000" t="inlineStr">
        <is>
          <t>UPI</t>
        </is>
      </c>
      <c r="I2000" t="inlineStr">
        <is>
          <t>Success</t>
        </is>
      </c>
      <c r="J2000" t="inlineStr">
        <is>
          <t>Returned</t>
        </is>
      </c>
      <c r="K2000" t="n">
        <v>3813.12</v>
      </c>
      <c r="L2000" t="n">
        <v>812.6900000000001</v>
      </c>
      <c r="M2000" t="inlineStr">
        <is>
          <t>INR</t>
        </is>
      </c>
      <c r="N2000" t="inlineStr">
        <is>
          <t>2026-01-04 12:52:45</t>
        </is>
      </c>
    </row>
    <row r="2001">
      <c r="A2001" t="inlineStr">
        <is>
          <t>TXN00188329</t>
        </is>
      </c>
      <c r="B2001" t="inlineStr">
        <is>
          <t>MER00711</t>
        </is>
      </c>
      <c r="C2001" s="8" t="n">
        <v>46027</v>
      </c>
      <c r="D2001" t="inlineStr">
        <is>
          <t>ORD00188329</t>
        </is>
      </c>
      <c r="E2001" t="n">
        <v>10531.74</v>
      </c>
      <c r="F2001" t="n">
        <v>1.93</v>
      </c>
      <c r="G2001" t="n">
        <v>203.26</v>
      </c>
      <c r="H2001" t="inlineStr">
        <is>
          <t>Card</t>
        </is>
      </c>
      <c r="I2001" t="inlineStr">
        <is>
          <t>Success</t>
        </is>
      </c>
      <c r="J2001" t="inlineStr">
        <is>
          <t>Delivered</t>
        </is>
      </c>
      <c r="K2001" t="n">
        <v>0</v>
      </c>
      <c r="L2001" t="n">
        <v>0</v>
      </c>
      <c r="M2001" t="inlineStr">
        <is>
          <t>INR</t>
        </is>
      </c>
      <c r="N2001" t="inlineStr">
        <is>
          <t>2026-01-05 05:46:52</t>
        </is>
      </c>
    </row>
    <row r="2002">
      <c r="A2002" t="inlineStr">
        <is>
          <t>TXN00189315</t>
        </is>
      </c>
      <c r="B2002" t="inlineStr">
        <is>
          <t>MER00711</t>
        </is>
      </c>
      <c r="C2002" s="8" t="n">
        <v>46029</v>
      </c>
      <c r="D2002" t="inlineStr">
        <is>
          <t>ORD00189315</t>
        </is>
      </c>
      <c r="E2002" t="n">
        <v>5741.59</v>
      </c>
      <c r="F2002" t="n">
        <v>1.93</v>
      </c>
      <c r="G2002" t="n">
        <v>110.81</v>
      </c>
      <c r="H2002" t="inlineStr">
        <is>
          <t>Card</t>
        </is>
      </c>
      <c r="I2002" t="inlineStr">
        <is>
          <t>Success</t>
        </is>
      </c>
      <c r="J2002" t="inlineStr">
        <is>
          <t>Delivered</t>
        </is>
      </c>
      <c r="K2002" t="n">
        <v>0</v>
      </c>
      <c r="L2002" t="n">
        <v>0</v>
      </c>
      <c r="M2002" t="inlineStr">
        <is>
          <t>INR</t>
        </is>
      </c>
      <c r="N2002" t="inlineStr">
        <is>
          <t>2026-01-07 13:21:05</t>
        </is>
      </c>
    </row>
    <row r="2003">
      <c r="A2003" t="inlineStr">
        <is>
          <t>TXN00193786</t>
        </is>
      </c>
      <c r="B2003" t="inlineStr">
        <is>
          <t>MER00711</t>
        </is>
      </c>
      <c r="C2003" s="8" t="n">
        <v>46039</v>
      </c>
      <c r="D2003" t="inlineStr">
        <is>
          <t>ORD00193786</t>
        </is>
      </c>
      <c r="E2003" t="n">
        <v>2721.29</v>
      </c>
      <c r="F2003" t="n">
        <v>1.93</v>
      </c>
      <c r="G2003" t="n">
        <v>52.52</v>
      </c>
      <c r="H2003" t="inlineStr">
        <is>
          <t>UPI</t>
        </is>
      </c>
      <c r="I2003" t="inlineStr">
        <is>
          <t>Success</t>
        </is>
      </c>
      <c r="J2003" t="inlineStr">
        <is>
          <t>Delivered</t>
        </is>
      </c>
      <c r="K2003" t="n">
        <v>0</v>
      </c>
      <c r="L2003" t="n">
        <v>0</v>
      </c>
      <c r="M2003" t="inlineStr">
        <is>
          <t>INR</t>
        </is>
      </c>
      <c r="N2003" t="inlineStr">
        <is>
          <t>2026-01-17 13:18:22</t>
        </is>
      </c>
    </row>
    <row r="2004">
      <c r="A2004" t="inlineStr">
        <is>
          <t>TXN00194949</t>
        </is>
      </c>
      <c r="B2004" t="inlineStr">
        <is>
          <t>MER00711</t>
        </is>
      </c>
      <c r="C2004" s="8" t="n">
        <v>46042</v>
      </c>
      <c r="D2004" t="inlineStr">
        <is>
          <t>ORD00194949</t>
        </is>
      </c>
      <c r="E2004" t="n">
        <v>1632.6</v>
      </c>
      <c r="F2004" t="n">
        <v>1.93</v>
      </c>
      <c r="G2004" t="n">
        <v>31.51</v>
      </c>
      <c r="H2004" t="inlineStr">
        <is>
          <t>UPI</t>
        </is>
      </c>
      <c r="I2004" t="inlineStr">
        <is>
          <t>Success</t>
        </is>
      </c>
      <c r="J2004" t="inlineStr">
        <is>
          <t>Delivered</t>
        </is>
      </c>
      <c r="K2004" t="n">
        <v>0</v>
      </c>
      <c r="L2004" t="n">
        <v>0</v>
      </c>
      <c r="M2004" t="inlineStr">
        <is>
          <t>INR</t>
        </is>
      </c>
      <c r="N2004" t="inlineStr">
        <is>
          <t>2026-01-20 10:57:49</t>
        </is>
      </c>
    </row>
    <row r="2005">
      <c r="A2005" t="inlineStr">
        <is>
          <t>TXN00198482</t>
        </is>
      </c>
      <c r="B2005" t="inlineStr">
        <is>
          <t>MER00711</t>
        </is>
      </c>
      <c r="C2005" s="8" t="n">
        <v>46049</v>
      </c>
      <c r="D2005" t="inlineStr">
        <is>
          <t>ORD00198482</t>
        </is>
      </c>
      <c r="E2005" t="n">
        <v>3474.4</v>
      </c>
      <c r="F2005" t="n">
        <v>2.77</v>
      </c>
      <c r="G2005" t="n">
        <v>67.06</v>
      </c>
      <c r="H2005" t="inlineStr">
        <is>
          <t>UPI</t>
        </is>
      </c>
      <c r="I2005" t="inlineStr">
        <is>
          <t>Success</t>
        </is>
      </c>
      <c r="J2005" t="inlineStr">
        <is>
          <t>Delivered</t>
        </is>
      </c>
      <c r="K2005" t="n">
        <v>0</v>
      </c>
      <c r="L2005" t="n">
        <v>0</v>
      </c>
      <c r="M2005" t="inlineStr">
        <is>
          <t>INR</t>
        </is>
      </c>
      <c r="N2005" t="inlineStr">
        <is>
          <t>2026-01-27 16:16:59</t>
        </is>
      </c>
    </row>
    <row r="2006">
      <c r="A2006" t="inlineStr">
        <is>
          <t>TXN00200777</t>
        </is>
      </c>
      <c r="B2006" t="inlineStr">
        <is>
          <t>MER00711</t>
        </is>
      </c>
      <c r="C2006" s="8" t="n">
        <v>46055</v>
      </c>
      <c r="D2006" t="inlineStr">
        <is>
          <t>ORD00200777</t>
        </is>
      </c>
      <c r="E2006" t="n">
        <v>1600.64</v>
      </c>
      <c r="F2006" t="n">
        <v>1.93</v>
      </c>
      <c r="G2006" t="n">
        <v>30.89</v>
      </c>
      <c r="H2006" t="inlineStr">
        <is>
          <t>UPI</t>
        </is>
      </c>
      <c r="I2006" t="inlineStr">
        <is>
          <t>Success</t>
        </is>
      </c>
      <c r="J2006" t="inlineStr">
        <is>
          <t>Delivered</t>
        </is>
      </c>
      <c r="K2006" t="n">
        <v>0</v>
      </c>
      <c r="L2006" t="n">
        <v>0</v>
      </c>
      <c r="M2006" t="inlineStr">
        <is>
          <t>INR</t>
        </is>
      </c>
      <c r="N2006" t="inlineStr">
        <is>
          <t>2026-02-02 23:33:18</t>
        </is>
      </c>
    </row>
    <row r="2007">
      <c r="A2007" t="inlineStr">
        <is>
          <t>TXN00203742</t>
        </is>
      </c>
      <c r="B2007" t="inlineStr">
        <is>
          <t>MER00711</t>
        </is>
      </c>
      <c r="C2007" s="8" t="n">
        <v>46062</v>
      </c>
      <c r="D2007" t="inlineStr">
        <is>
          <t>ORD00203742</t>
        </is>
      </c>
      <c r="E2007" t="n">
        <v>3082.42</v>
      </c>
      <c r="F2007" t="n">
        <v>1.93</v>
      </c>
      <c r="G2007" t="n">
        <v>59.49</v>
      </c>
      <c r="H2007" t="inlineStr">
        <is>
          <t>UPI</t>
        </is>
      </c>
      <c r="I2007" t="inlineStr">
        <is>
          <t>Success</t>
        </is>
      </c>
      <c r="J2007" t="inlineStr">
        <is>
          <t>Delivered</t>
        </is>
      </c>
      <c r="K2007" t="n">
        <v>0</v>
      </c>
      <c r="L2007" t="n">
        <v>0</v>
      </c>
      <c r="M2007" t="inlineStr">
        <is>
          <t>INR</t>
        </is>
      </c>
      <c r="N2007" t="inlineStr">
        <is>
          <t>2026-02-09 19:35:05</t>
        </is>
      </c>
    </row>
    <row r="2008">
      <c r="A2008" t="inlineStr">
        <is>
          <t>TXN00205309</t>
        </is>
      </c>
      <c r="B2008" t="inlineStr">
        <is>
          <t>MER00711</t>
        </is>
      </c>
      <c r="C2008" s="8" t="n">
        <v>46066</v>
      </c>
      <c r="D2008" t="inlineStr">
        <is>
          <t>ORD00205309</t>
        </is>
      </c>
      <c r="E2008" t="n">
        <v>2508.92</v>
      </c>
      <c r="F2008" t="n">
        <v>1.33</v>
      </c>
      <c r="G2008" t="n">
        <v>48.42</v>
      </c>
      <c r="H2008" t="inlineStr">
        <is>
          <t>UPI</t>
        </is>
      </c>
      <c r="I2008" t="inlineStr">
        <is>
          <t>Success</t>
        </is>
      </c>
      <c r="J2008" t="inlineStr">
        <is>
          <t>Delivered</t>
        </is>
      </c>
      <c r="K2008" t="n">
        <v>0</v>
      </c>
      <c r="L2008" t="n">
        <v>0</v>
      </c>
      <c r="M2008" t="inlineStr">
        <is>
          <t>INR</t>
        </is>
      </c>
      <c r="N2008" t="inlineStr">
        <is>
          <t>2026-02-13 13:23:04</t>
        </is>
      </c>
    </row>
    <row r="2009">
      <c r="A2009" t="inlineStr">
        <is>
          <t>TXN00207174</t>
        </is>
      </c>
      <c r="B2009" t="inlineStr">
        <is>
          <t>MER00711</t>
        </is>
      </c>
      <c r="C2009" s="8" t="n">
        <v>46070</v>
      </c>
      <c r="D2009" t="inlineStr">
        <is>
          <t>ORD00207174</t>
        </is>
      </c>
      <c r="E2009" t="n">
        <v>9033.200000000001</v>
      </c>
      <c r="F2009" t="n">
        <v>1.93</v>
      </c>
      <c r="G2009" t="n">
        <v>174.34</v>
      </c>
      <c r="H2009" t="inlineStr">
        <is>
          <t>UPI</t>
        </is>
      </c>
      <c r="I2009" t="inlineStr">
        <is>
          <t>Success</t>
        </is>
      </c>
      <c r="J2009" t="inlineStr">
        <is>
          <t>Delivered</t>
        </is>
      </c>
      <c r="K2009" t="n">
        <v>0</v>
      </c>
      <c r="L2009" t="n">
        <v>0</v>
      </c>
      <c r="M2009" t="inlineStr">
        <is>
          <t>INR</t>
        </is>
      </c>
      <c r="N2009" t="inlineStr">
        <is>
          <t>2026-02-17 21:07:13</t>
        </is>
      </c>
    </row>
    <row r="2010">
      <c r="A2010" t="inlineStr">
        <is>
          <t>TXN00207847</t>
        </is>
      </c>
      <c r="B2010" t="inlineStr">
        <is>
          <t>MER00711</t>
        </is>
      </c>
      <c r="C2010" s="8" t="n">
        <v>46072</v>
      </c>
      <c r="D2010" t="inlineStr">
        <is>
          <t>ORD00207847</t>
        </is>
      </c>
      <c r="E2010" t="n">
        <v>4138.64</v>
      </c>
      <c r="F2010" t="n">
        <v>1.93</v>
      </c>
      <c r="G2010" t="n">
        <v>79.88</v>
      </c>
      <c r="H2010" t="inlineStr">
        <is>
          <t>COD</t>
        </is>
      </c>
      <c r="I2010" t="inlineStr">
        <is>
          <t>Success</t>
        </is>
      </c>
      <c r="J2010" t="inlineStr">
        <is>
          <t>Delivered</t>
        </is>
      </c>
      <c r="K2010" t="n">
        <v>0</v>
      </c>
      <c r="L2010" t="n">
        <v>669.2</v>
      </c>
      <c r="M2010" t="inlineStr">
        <is>
          <t>INR</t>
        </is>
      </c>
      <c r="N2010" t="inlineStr">
        <is>
          <t>2026-02-19 06:24:06</t>
        </is>
      </c>
    </row>
    <row r="2011">
      <c r="A2011" t="inlineStr">
        <is>
          <t>TXN00209116</t>
        </is>
      </c>
      <c r="B2011" t="inlineStr">
        <is>
          <t>MER00711</t>
        </is>
      </c>
      <c r="C2011" s="8" t="n">
        <v>46075</v>
      </c>
      <c r="D2011" t="inlineStr">
        <is>
          <t>ORD00209116</t>
        </is>
      </c>
      <c r="E2011" t="n">
        <v>2387.11</v>
      </c>
      <c r="F2011" t="n">
        <v>1.93</v>
      </c>
      <c r="G2011" t="n">
        <v>46.07</v>
      </c>
      <c r="H2011" t="inlineStr">
        <is>
          <t>UPI</t>
        </is>
      </c>
      <c r="I2011" t="inlineStr">
        <is>
          <t>Success</t>
        </is>
      </c>
      <c r="J2011" t="inlineStr">
        <is>
          <t>Delivered</t>
        </is>
      </c>
      <c r="K2011" t="n">
        <v>0</v>
      </c>
      <c r="L2011" t="n">
        <v>0</v>
      </c>
      <c r="M2011" t="inlineStr">
        <is>
          <t>INR</t>
        </is>
      </c>
      <c r="N2011" t="inlineStr">
        <is>
          <t>2026-02-22 03:13:35</t>
        </is>
      </c>
    </row>
    <row r="2012">
      <c r="A2012" t="inlineStr">
        <is>
          <t>TXN00211039</t>
        </is>
      </c>
      <c r="B2012" t="inlineStr">
        <is>
          <t>MER00711</t>
        </is>
      </c>
      <c r="C2012" s="8" t="n">
        <v>46080</v>
      </c>
      <c r="D2012" t="inlineStr">
        <is>
          <t>ORD00211039</t>
        </is>
      </c>
      <c r="E2012" t="n">
        <v>9959.559999999999</v>
      </c>
      <c r="F2012" t="n">
        <v>1.93</v>
      </c>
      <c r="G2012" t="n">
        <v>192.22</v>
      </c>
      <c r="H2012" t="inlineStr">
        <is>
          <t>Card</t>
        </is>
      </c>
      <c r="I2012" t="inlineStr">
        <is>
          <t>Success</t>
        </is>
      </c>
      <c r="J2012" t="inlineStr">
        <is>
          <t>Returned</t>
        </is>
      </c>
      <c r="K2012" t="n">
        <v>8026.16</v>
      </c>
      <c r="L2012" t="n">
        <v>1867.47</v>
      </c>
      <c r="M2012" t="inlineStr">
        <is>
          <t>INR</t>
        </is>
      </c>
      <c r="N2012" t="inlineStr">
        <is>
          <t>2026-02-27 05:05:20</t>
        </is>
      </c>
    </row>
    <row r="2013">
      <c r="A2013" t="inlineStr">
        <is>
          <t>TXN00212434</t>
        </is>
      </c>
      <c r="B2013" t="inlineStr">
        <is>
          <t>MER00711</t>
        </is>
      </c>
      <c r="C2013" s="8" t="n">
        <v>46083</v>
      </c>
      <c r="D2013" t="inlineStr">
        <is>
          <t>ORD00212434</t>
        </is>
      </c>
      <c r="E2013" t="n">
        <v>1951.31</v>
      </c>
      <c r="F2013" t="n">
        <v>1.93</v>
      </c>
      <c r="G2013" t="n">
        <v>37.66</v>
      </c>
      <c r="H2013" t="inlineStr">
        <is>
          <t>NetBanking</t>
        </is>
      </c>
      <c r="I2013" t="inlineStr">
        <is>
          <t>Success</t>
        </is>
      </c>
      <c r="J2013" t="inlineStr">
        <is>
          <t>Delivered</t>
        </is>
      </c>
      <c r="K2013" t="n">
        <v>0</v>
      </c>
      <c r="L2013" t="n">
        <v>0</v>
      </c>
      <c r="M2013" t="inlineStr">
        <is>
          <t>INR</t>
        </is>
      </c>
      <c r="N2013" t="inlineStr">
        <is>
          <t>2026-03-02 11:19:05</t>
        </is>
      </c>
    </row>
    <row r="2014">
      <c r="A2014" t="inlineStr">
        <is>
          <t>TXN00214166</t>
        </is>
      </c>
      <c r="B2014" t="inlineStr">
        <is>
          <t>MER00711</t>
        </is>
      </c>
      <c r="C2014" s="8" t="n">
        <v>46088</v>
      </c>
      <c r="D2014" t="inlineStr">
        <is>
          <t>ORD00214166</t>
        </is>
      </c>
      <c r="E2014" t="n">
        <v>3191.17</v>
      </c>
      <c r="F2014" t="n">
        <v>1.93</v>
      </c>
      <c r="G2014" t="n">
        <v>61.59</v>
      </c>
      <c r="H2014" t="inlineStr">
        <is>
          <t>NetBanking</t>
        </is>
      </c>
      <c r="I2014" t="inlineStr">
        <is>
          <t>Success</t>
        </is>
      </c>
      <c r="J2014" t="inlineStr">
        <is>
          <t>Delivered</t>
        </is>
      </c>
      <c r="K2014" t="n">
        <v>0</v>
      </c>
      <c r="L2014" t="n">
        <v>0</v>
      </c>
      <c r="M2014" t="inlineStr">
        <is>
          <t>INR</t>
        </is>
      </c>
      <c r="N2014" t="inlineStr">
        <is>
          <t>2026-03-07 08:19:30</t>
        </is>
      </c>
    </row>
    <row r="2015">
      <c r="A2015" t="inlineStr">
        <is>
          <t>TXN00214237</t>
        </is>
      </c>
      <c r="B2015" t="inlineStr">
        <is>
          <t>MER00711</t>
        </is>
      </c>
      <c r="C2015" s="8" t="n">
        <v>46089</v>
      </c>
      <c r="D2015" t="inlineStr">
        <is>
          <t>ORD00214237</t>
        </is>
      </c>
      <c r="E2015" t="n">
        <v>2393.51</v>
      </c>
      <c r="F2015" t="n">
        <v>1.93</v>
      </c>
      <c r="G2015" t="n">
        <v>46.19</v>
      </c>
      <c r="H2015" t="inlineStr">
        <is>
          <t>Card</t>
        </is>
      </c>
      <c r="I2015" t="inlineStr">
        <is>
          <t>Success</t>
        </is>
      </c>
      <c r="J2015" t="inlineStr">
        <is>
          <t>Delivered</t>
        </is>
      </c>
      <c r="K2015" t="n">
        <v>0</v>
      </c>
      <c r="L2015" t="n">
        <v>0</v>
      </c>
      <c r="M2015" t="inlineStr">
        <is>
          <t>INR</t>
        </is>
      </c>
      <c r="N2015" t="inlineStr">
        <is>
          <t>2026-03-08 20:21:42</t>
        </is>
      </c>
    </row>
    <row r="2016">
      <c r="A2016" t="inlineStr">
        <is>
          <t>TXN00214679</t>
        </is>
      </c>
      <c r="B2016" t="inlineStr">
        <is>
          <t>MER00711</t>
        </is>
      </c>
      <c r="C2016" s="8" t="n">
        <v>46090</v>
      </c>
      <c r="D2016" t="inlineStr">
        <is>
          <t>ORD00214679</t>
        </is>
      </c>
      <c r="E2016" t="n">
        <v>3771.65</v>
      </c>
      <c r="F2016" t="n">
        <v>1.93</v>
      </c>
      <c r="G2016" t="n">
        <v>72.79000000000001</v>
      </c>
      <c r="H2016" t="inlineStr">
        <is>
          <t>UPI</t>
        </is>
      </c>
      <c r="I2016" t="inlineStr">
        <is>
          <t>Success</t>
        </is>
      </c>
      <c r="J2016" t="inlineStr">
        <is>
          <t>Delivered</t>
        </is>
      </c>
      <c r="K2016" t="n">
        <v>0</v>
      </c>
      <c r="L2016" t="n">
        <v>0</v>
      </c>
      <c r="M2016" t="inlineStr">
        <is>
          <t>INR</t>
        </is>
      </c>
      <c r="N2016" t="inlineStr">
        <is>
          <t>2026-03-09 22:11:45</t>
        </is>
      </c>
    </row>
    <row r="2017">
      <c r="A2017" t="inlineStr">
        <is>
          <t>TXN00216417</t>
        </is>
      </c>
      <c r="B2017" t="inlineStr">
        <is>
          <t>MER00711</t>
        </is>
      </c>
      <c r="C2017" s="8" t="n">
        <v>46094</v>
      </c>
      <c r="D2017" t="inlineStr">
        <is>
          <t>ORD00216417</t>
        </is>
      </c>
      <c r="E2017" t="n">
        <v>8123.02</v>
      </c>
      <c r="F2017" t="n">
        <v>1.93</v>
      </c>
      <c r="G2017" t="n">
        <v>156.77</v>
      </c>
      <c r="H2017" t="inlineStr">
        <is>
          <t>UPI</t>
        </is>
      </c>
      <c r="I2017" t="inlineStr">
        <is>
          <t>Success</t>
        </is>
      </c>
      <c r="J2017" t="inlineStr">
        <is>
          <t>Delivered</t>
        </is>
      </c>
      <c r="K2017" t="n">
        <v>0</v>
      </c>
      <c r="L2017" t="n">
        <v>0</v>
      </c>
      <c r="M2017" t="inlineStr">
        <is>
          <t>INR</t>
        </is>
      </c>
      <c r="N2017" t="inlineStr">
        <is>
          <t>2026-03-13 11:49:17</t>
        </is>
      </c>
    </row>
    <row r="2018">
      <c r="A2018" t="inlineStr">
        <is>
          <t>TXN00217052</t>
        </is>
      </c>
      <c r="B2018" t="inlineStr">
        <is>
          <t>MER00711</t>
        </is>
      </c>
      <c r="C2018" s="8" t="n">
        <v>46096</v>
      </c>
      <c r="D2018" t="inlineStr">
        <is>
          <t>ORD00217052</t>
        </is>
      </c>
      <c r="E2018" t="n">
        <v>2486.81</v>
      </c>
      <c r="F2018" t="n">
        <v>1.93</v>
      </c>
      <c r="G2018" t="n">
        <v>48</v>
      </c>
      <c r="H2018" t="inlineStr">
        <is>
          <t>UPI</t>
        </is>
      </c>
      <c r="I2018" t="inlineStr">
        <is>
          <t>Success</t>
        </is>
      </c>
      <c r="J2018" t="inlineStr">
        <is>
          <t>Delivered</t>
        </is>
      </c>
      <c r="K2018" t="n">
        <v>0</v>
      </c>
      <c r="L2018" t="n">
        <v>0</v>
      </c>
      <c r="M2018" t="inlineStr">
        <is>
          <t>INR</t>
        </is>
      </c>
      <c r="N2018" t="inlineStr">
        <is>
          <t>2026-03-15 22:18:17</t>
        </is>
      </c>
    </row>
    <row r="2019">
      <c r="A2019" t="inlineStr">
        <is>
          <t>TXN00219547</t>
        </is>
      </c>
      <c r="B2019" t="inlineStr">
        <is>
          <t>MER00711</t>
        </is>
      </c>
      <c r="C2019" s="8" t="n">
        <v>46103</v>
      </c>
      <c r="D2019" t="inlineStr">
        <is>
          <t>ORD00219547</t>
        </is>
      </c>
      <c r="E2019" t="n">
        <v>4533.89</v>
      </c>
      <c r="F2019" t="n">
        <v>1.93</v>
      </c>
      <c r="G2019" t="n">
        <v>87.5</v>
      </c>
      <c r="H2019" t="inlineStr">
        <is>
          <t>UPI</t>
        </is>
      </c>
      <c r="I2019" t="inlineStr">
        <is>
          <t>Success</t>
        </is>
      </c>
      <c r="J2019" t="inlineStr">
        <is>
          <t>Delivered</t>
        </is>
      </c>
      <c r="K2019" t="n">
        <v>0</v>
      </c>
      <c r="L2019" t="n">
        <v>0</v>
      </c>
      <c r="M2019" t="inlineStr">
        <is>
          <t>INR</t>
        </is>
      </c>
      <c r="N2019" t="inlineStr">
        <is>
          <t>2026-03-22 12:41:07</t>
        </is>
      </c>
    </row>
    <row r="2020">
      <c r="A2020" t="inlineStr">
        <is>
          <t>TXN00224628</t>
        </is>
      </c>
      <c r="B2020" t="inlineStr">
        <is>
          <t>MER00711</t>
        </is>
      </c>
      <c r="C2020" s="8" t="n">
        <v>46117</v>
      </c>
      <c r="D2020" t="inlineStr">
        <is>
          <t>ORD00224628</t>
        </is>
      </c>
      <c r="E2020" t="n">
        <v>5988.67</v>
      </c>
      <c r="F2020" t="n">
        <v>1.93</v>
      </c>
      <c r="G2020" t="n">
        <v>115.58</v>
      </c>
      <c r="H2020" t="inlineStr">
        <is>
          <t>NetBanking</t>
        </is>
      </c>
      <c r="I2020" t="inlineStr">
        <is>
          <t>Success</t>
        </is>
      </c>
      <c r="J2020" t="inlineStr">
        <is>
          <t>Delivered</t>
        </is>
      </c>
      <c r="K2020" t="n">
        <v>0</v>
      </c>
      <c r="L2020" t="n">
        <v>0</v>
      </c>
      <c r="M2020" t="inlineStr">
        <is>
          <t>INR</t>
        </is>
      </c>
      <c r="N2020" t="inlineStr">
        <is>
          <t>2026-04-05 23:09:14</t>
        </is>
      </c>
    </row>
    <row r="2021">
      <c r="A2021" t="inlineStr">
        <is>
          <t>TXN00228189</t>
        </is>
      </c>
      <c r="B2021" t="inlineStr">
        <is>
          <t>MER00711</t>
        </is>
      </c>
      <c r="C2021" s="8" t="n">
        <v>46126</v>
      </c>
      <c r="D2021" t="inlineStr">
        <is>
          <t>ORD00228189</t>
        </is>
      </c>
      <c r="E2021" t="n">
        <v>1506.12</v>
      </c>
      <c r="F2021" t="n">
        <v>1.93</v>
      </c>
      <c r="G2021" t="n">
        <v>29.07</v>
      </c>
      <c r="H2021" t="inlineStr">
        <is>
          <t>UPI</t>
        </is>
      </c>
      <c r="I2021" t="inlineStr">
        <is>
          <t>Success</t>
        </is>
      </c>
      <c r="J2021" t="inlineStr">
        <is>
          <t>Delivered</t>
        </is>
      </c>
      <c r="K2021" t="n">
        <v>0</v>
      </c>
      <c r="L2021" t="n">
        <v>0</v>
      </c>
      <c r="M2021" t="inlineStr">
        <is>
          <t>INR</t>
        </is>
      </c>
      <c r="N2021" t="inlineStr">
        <is>
          <t>2026-04-14 12:27:29</t>
        </is>
      </c>
    </row>
    <row r="2022">
      <c r="A2022" t="inlineStr">
        <is>
          <t>TXN00229225</t>
        </is>
      </c>
      <c r="B2022" t="inlineStr">
        <is>
          <t>MER00711</t>
        </is>
      </c>
      <c r="C2022" s="8" t="n">
        <v>46128</v>
      </c>
      <c r="D2022" t="inlineStr">
        <is>
          <t>ORD00229225</t>
        </is>
      </c>
      <c r="E2022" t="n">
        <v>1748.42</v>
      </c>
      <c r="F2022" t="n">
        <v>1.93</v>
      </c>
      <c r="G2022" t="n">
        <v>33.74</v>
      </c>
      <c r="H2022" t="inlineStr">
        <is>
          <t>Wallet</t>
        </is>
      </c>
      <c r="I2022" t="inlineStr">
        <is>
          <t>Success</t>
        </is>
      </c>
      <c r="J2022" t="inlineStr">
        <is>
          <t>Delivered</t>
        </is>
      </c>
      <c r="K2022" t="n">
        <v>0</v>
      </c>
      <c r="L2022" t="n">
        <v>0</v>
      </c>
      <c r="M2022" t="inlineStr">
        <is>
          <t>INR</t>
        </is>
      </c>
      <c r="N2022" t="inlineStr">
        <is>
          <t>2026-04-16 17:25:53</t>
        </is>
      </c>
    </row>
    <row r="2023">
      <c r="A2023" t="inlineStr">
        <is>
          <t>TXN00233776</t>
        </is>
      </c>
      <c r="B2023" t="inlineStr">
        <is>
          <t>MER00711</t>
        </is>
      </c>
      <c r="C2023" s="8" t="n">
        <v>46140</v>
      </c>
      <c r="D2023" t="inlineStr">
        <is>
          <t>ORD00233776</t>
        </is>
      </c>
      <c r="E2023" t="n">
        <v>3063.06</v>
      </c>
      <c r="F2023" t="n">
        <v>1.93</v>
      </c>
      <c r="G2023" t="n">
        <v>59.12</v>
      </c>
      <c r="H2023" t="inlineStr">
        <is>
          <t>UPI</t>
        </is>
      </c>
      <c r="I2023" t="inlineStr">
        <is>
          <t>Success</t>
        </is>
      </c>
      <c r="J2023" t="inlineStr">
        <is>
          <t>Cancelled</t>
        </is>
      </c>
      <c r="K2023" t="n">
        <v>2847.09</v>
      </c>
      <c r="L2023" t="n">
        <v>0</v>
      </c>
      <c r="M2023" t="inlineStr">
        <is>
          <t>INR</t>
        </is>
      </c>
      <c r="N2023" t="inlineStr">
        <is>
          <t>2026-04-28 22:30:53</t>
        </is>
      </c>
    </row>
    <row r="2024">
      <c r="A2024" t="inlineStr">
        <is>
          <t>TXN00234666</t>
        </is>
      </c>
      <c r="B2024" t="inlineStr">
        <is>
          <t>MER00711</t>
        </is>
      </c>
      <c r="C2024" s="8" t="n">
        <v>46143</v>
      </c>
      <c r="D2024" t="inlineStr">
        <is>
          <t>ORD00234666</t>
        </is>
      </c>
      <c r="E2024" t="n">
        <v>11902.75</v>
      </c>
      <c r="F2024" t="n">
        <v>1.93</v>
      </c>
      <c r="G2024" t="n">
        <v>229.72</v>
      </c>
      <c r="H2024" t="inlineStr">
        <is>
          <t>UPI</t>
        </is>
      </c>
      <c r="I2024" t="inlineStr">
        <is>
          <t>Success</t>
        </is>
      </c>
      <c r="J2024" t="inlineStr">
        <is>
          <t>Delivered</t>
        </is>
      </c>
      <c r="K2024" t="n">
        <v>0</v>
      </c>
      <c r="L2024" t="n">
        <v>0</v>
      </c>
      <c r="M2024" t="inlineStr">
        <is>
          <t>INR</t>
        </is>
      </c>
      <c r="N2024" t="inlineStr">
        <is>
          <t>2026-05-01 11:23:05</t>
        </is>
      </c>
    </row>
    <row r="2025">
      <c r="A2025" t="inlineStr">
        <is>
          <t>TXN00236595</t>
        </is>
      </c>
      <c r="B2025" t="inlineStr">
        <is>
          <t>MER00711</t>
        </is>
      </c>
      <c r="C2025" s="8" t="n">
        <v>46148</v>
      </c>
      <c r="D2025" t="inlineStr">
        <is>
          <t>ORD00236595</t>
        </is>
      </c>
      <c r="E2025" t="n">
        <v>3234.91</v>
      </c>
      <c r="F2025" t="n">
        <v>1.93</v>
      </c>
      <c r="G2025" t="n">
        <v>62.43</v>
      </c>
      <c r="H2025" t="inlineStr">
        <is>
          <t>UPI</t>
        </is>
      </c>
      <c r="I2025" t="inlineStr">
        <is>
          <t>Success</t>
        </is>
      </c>
      <c r="J2025" t="inlineStr">
        <is>
          <t>Delivered</t>
        </is>
      </c>
      <c r="K2025" t="n">
        <v>0</v>
      </c>
      <c r="L2025" t="n">
        <v>0</v>
      </c>
      <c r="M2025" t="inlineStr">
        <is>
          <t>INR</t>
        </is>
      </c>
      <c r="N2025" t="inlineStr">
        <is>
          <t>2026-05-06 12:49:20</t>
        </is>
      </c>
    </row>
    <row r="2026">
      <c r="A2026" t="inlineStr">
        <is>
          <t>TXN00236715</t>
        </is>
      </c>
      <c r="B2026" t="inlineStr">
        <is>
          <t>MER00711</t>
        </is>
      </c>
      <c r="C2026" s="8" t="n">
        <v>46148</v>
      </c>
      <c r="D2026" t="inlineStr">
        <is>
          <t>ORD00236715</t>
        </is>
      </c>
      <c r="E2026" t="n">
        <v>3130.36</v>
      </c>
      <c r="F2026" t="n">
        <v>1.93</v>
      </c>
      <c r="G2026" t="n">
        <v>60.42</v>
      </c>
      <c r="H2026" t="inlineStr">
        <is>
          <t>NetBanking</t>
        </is>
      </c>
      <c r="I2026" t="inlineStr">
        <is>
          <t>Success</t>
        </is>
      </c>
      <c r="J2026" t="inlineStr">
        <is>
          <t>Delivered</t>
        </is>
      </c>
      <c r="K2026" t="n">
        <v>0</v>
      </c>
      <c r="L2026" t="n">
        <v>427.12</v>
      </c>
      <c r="M2026" t="inlineStr">
        <is>
          <t>INR</t>
        </is>
      </c>
      <c r="N2026" t="inlineStr">
        <is>
          <t>2026-05-06 20:27:33</t>
        </is>
      </c>
    </row>
    <row r="2027">
      <c r="A2027" t="inlineStr">
        <is>
          <t>TXN00237679</t>
        </is>
      </c>
      <c r="B2027" t="inlineStr">
        <is>
          <t>MER00711</t>
        </is>
      </c>
      <c r="C2027" s="8" t="n">
        <v>46151</v>
      </c>
      <c r="D2027" t="inlineStr">
        <is>
          <t>ORD00237679</t>
        </is>
      </c>
      <c r="E2027" t="n">
        <v>3950.57</v>
      </c>
      <c r="F2027" t="n">
        <v>1.93</v>
      </c>
      <c r="G2027" t="n">
        <v>76.25</v>
      </c>
      <c r="H2027" t="inlineStr">
        <is>
          <t>Card</t>
        </is>
      </c>
      <c r="I2027" t="inlineStr">
        <is>
          <t>Success</t>
        </is>
      </c>
      <c r="J2027" t="inlineStr">
        <is>
          <t>Delivered</t>
        </is>
      </c>
      <c r="K2027" t="n">
        <v>0</v>
      </c>
      <c r="L2027" t="n">
        <v>506.65</v>
      </c>
      <c r="M2027" t="inlineStr">
        <is>
          <t>INR</t>
        </is>
      </c>
      <c r="N2027" t="inlineStr">
        <is>
          <t>2026-05-09 10:09:38</t>
        </is>
      </c>
    </row>
    <row r="2028">
      <c r="A2028" t="inlineStr">
        <is>
          <t>TXN00240118</t>
        </is>
      </c>
      <c r="B2028" t="inlineStr">
        <is>
          <t>MER00711</t>
        </is>
      </c>
      <c r="C2028" s="8" t="n">
        <v>46157</v>
      </c>
      <c r="D2028" t="inlineStr">
        <is>
          <t>ORD00240118</t>
        </is>
      </c>
      <c r="E2028" t="n">
        <v>7727.36</v>
      </c>
      <c r="F2028" t="n">
        <v>1.93</v>
      </c>
      <c r="G2028" t="n">
        <v>149.14</v>
      </c>
      <c r="H2028" t="inlineStr">
        <is>
          <t>UPI</t>
        </is>
      </c>
      <c r="I2028" t="inlineStr">
        <is>
          <t>Success</t>
        </is>
      </c>
      <c r="J2028" t="inlineStr">
        <is>
          <t>Delivered</t>
        </is>
      </c>
      <c r="K2028" t="n">
        <v>0</v>
      </c>
      <c r="L2028" t="n">
        <v>0</v>
      </c>
      <c r="M2028" t="inlineStr">
        <is>
          <t>INR</t>
        </is>
      </c>
      <c r="N2028" t="inlineStr">
        <is>
          <t>2026-05-15 17:58:59</t>
        </is>
      </c>
    </row>
    <row r="2029">
      <c r="A2029" t="inlineStr">
        <is>
          <t>TXN00243825</t>
        </is>
      </c>
      <c r="B2029" t="inlineStr">
        <is>
          <t>MER00711</t>
        </is>
      </c>
      <c r="C2029" s="8" t="n">
        <v>46167</v>
      </c>
      <c r="D2029" t="inlineStr">
        <is>
          <t>ORD00243825</t>
        </is>
      </c>
      <c r="E2029" t="n">
        <v>6581.49</v>
      </c>
      <c r="F2029" t="n">
        <v>1.93</v>
      </c>
      <c r="G2029" t="n">
        <v>127.02</v>
      </c>
      <c r="H2029" t="inlineStr">
        <is>
          <t>NetBanking</t>
        </is>
      </c>
      <c r="I2029" t="inlineStr">
        <is>
          <t>Success</t>
        </is>
      </c>
      <c r="J2029" t="inlineStr">
        <is>
          <t>Delivered</t>
        </is>
      </c>
      <c r="K2029" t="n">
        <v>0</v>
      </c>
      <c r="L2029" t="n">
        <v>0</v>
      </c>
      <c r="M2029" t="inlineStr">
        <is>
          <t>INR</t>
        </is>
      </c>
      <c r="N2029" t="inlineStr">
        <is>
          <t>2026-05-25 00:05:51</t>
        </is>
      </c>
    </row>
    <row r="2030">
      <c r="A2030" t="inlineStr">
        <is>
          <t>TXN00244414</t>
        </is>
      </c>
      <c r="B2030" t="inlineStr">
        <is>
          <t>MER00711</t>
        </is>
      </c>
      <c r="C2030" s="8" t="n">
        <v>46168</v>
      </c>
      <c r="D2030" t="inlineStr">
        <is>
          <t>ORD00244414</t>
        </is>
      </c>
      <c r="E2030" t="n">
        <v>11833.27</v>
      </c>
      <c r="F2030" t="n">
        <v>1.04</v>
      </c>
      <c r="G2030" t="n">
        <v>228.38</v>
      </c>
      <c r="H2030" t="inlineStr">
        <is>
          <t>Card</t>
        </is>
      </c>
      <c r="I2030" t="inlineStr">
        <is>
          <t>Success</t>
        </is>
      </c>
      <c r="J2030" t="inlineStr">
        <is>
          <t>Delivered</t>
        </is>
      </c>
      <c r="K2030" t="n">
        <v>0</v>
      </c>
      <c r="L2030" t="n">
        <v>1359</v>
      </c>
      <c r="M2030" t="inlineStr">
        <is>
          <t>INR</t>
        </is>
      </c>
      <c r="N2030" t="inlineStr">
        <is>
          <t>2026-05-26 09:33:13</t>
        </is>
      </c>
    </row>
    <row r="2031">
      <c r="A2031" t="inlineStr">
        <is>
          <t>TXN00245482</t>
        </is>
      </c>
      <c r="B2031" t="inlineStr">
        <is>
          <t>MER00711</t>
        </is>
      </c>
      <c r="C2031" s="8" t="n">
        <v>46171</v>
      </c>
      <c r="D2031" t="inlineStr">
        <is>
          <t>ORD00245482</t>
        </is>
      </c>
      <c r="E2031" t="n">
        <v>16089.74</v>
      </c>
      <c r="F2031" t="n">
        <v>1.93</v>
      </c>
      <c r="G2031" t="n">
        <v>310.53</v>
      </c>
      <c r="H2031" t="inlineStr">
        <is>
          <t>UPI</t>
        </is>
      </c>
      <c r="I2031" t="inlineStr">
        <is>
          <t>Success</t>
        </is>
      </c>
      <c r="J2031" t="inlineStr">
        <is>
          <t>Returned</t>
        </is>
      </c>
      <c r="K2031" t="n">
        <v>16089.74</v>
      </c>
      <c r="L2031" t="n">
        <v>0</v>
      </c>
      <c r="M2031" t="inlineStr">
        <is>
          <t>INR</t>
        </is>
      </c>
      <c r="N2031" t="inlineStr">
        <is>
          <t>2026-05-29 06:54:49</t>
        </is>
      </c>
    </row>
    <row r="2032">
      <c r="A2032" t="inlineStr">
        <is>
          <t>TXN00245514</t>
        </is>
      </c>
      <c r="B2032" t="inlineStr">
        <is>
          <t>MER00711</t>
        </is>
      </c>
      <c r="C2032" s="8" t="n">
        <v>46171</v>
      </c>
      <c r="D2032" t="inlineStr">
        <is>
          <t>ORD00245514</t>
        </is>
      </c>
      <c r="E2032" t="n">
        <v>2943.61</v>
      </c>
      <c r="F2032" t="n">
        <v>1.93</v>
      </c>
      <c r="G2032" t="n">
        <v>56.81</v>
      </c>
      <c r="H2032" t="inlineStr">
        <is>
          <t>UPI</t>
        </is>
      </c>
      <c r="I2032" t="inlineStr">
        <is>
          <t>Success</t>
        </is>
      </c>
      <c r="J2032" t="inlineStr">
        <is>
          <t>Delivered</t>
        </is>
      </c>
      <c r="K2032" t="n">
        <v>0</v>
      </c>
      <c r="L2032" t="n">
        <v>0</v>
      </c>
      <c r="M2032" t="inlineStr">
        <is>
          <t>INR</t>
        </is>
      </c>
      <c r="N2032" t="inlineStr">
        <is>
          <t>2026-05-29 00:59:13</t>
        </is>
      </c>
    </row>
    <row r="2033">
      <c r="A2033" t="inlineStr">
        <is>
          <t>TXN00247209</t>
        </is>
      </c>
      <c r="B2033" t="inlineStr">
        <is>
          <t>MER00711</t>
        </is>
      </c>
      <c r="C2033" s="8" t="n">
        <v>46176</v>
      </c>
      <c r="D2033" t="inlineStr">
        <is>
          <t>ORD00247209</t>
        </is>
      </c>
      <c r="E2033" t="n">
        <v>3663.92</v>
      </c>
      <c r="F2033" t="n">
        <v>1.93</v>
      </c>
      <c r="G2033" t="n">
        <v>70.70999999999999</v>
      </c>
      <c r="H2033" t="inlineStr">
        <is>
          <t>Card</t>
        </is>
      </c>
      <c r="I2033" t="inlineStr">
        <is>
          <t>Failed</t>
        </is>
      </c>
      <c r="J2033" t="inlineStr">
        <is>
          <t>Cancelled</t>
        </is>
      </c>
      <c r="K2033" t="n">
        <v>0</v>
      </c>
      <c r="L2033" t="n">
        <v>0</v>
      </c>
      <c r="M2033" t="inlineStr">
        <is>
          <t>INR</t>
        </is>
      </c>
      <c r="N2033" t="inlineStr">
        <is>
          <t>2026-06-03 05:15:22</t>
        </is>
      </c>
    </row>
    <row r="2034">
      <c r="A2034" t="inlineStr">
        <is>
          <t>TXN00248183</t>
        </is>
      </c>
      <c r="B2034" t="inlineStr">
        <is>
          <t>MER00711</t>
        </is>
      </c>
      <c r="C2034" s="8" t="n">
        <v>46178</v>
      </c>
      <c r="D2034" t="inlineStr">
        <is>
          <t>ORD00248183</t>
        </is>
      </c>
      <c r="E2034" t="n">
        <v>1555.78</v>
      </c>
      <c r="F2034" t="n">
        <v>1.93</v>
      </c>
      <c r="G2034" t="n">
        <v>30.03</v>
      </c>
      <c r="H2034" t="inlineStr">
        <is>
          <t>Card</t>
        </is>
      </c>
      <c r="I2034" t="inlineStr">
        <is>
          <t>Success</t>
        </is>
      </c>
      <c r="J2034" t="inlineStr">
        <is>
          <t>Delivered</t>
        </is>
      </c>
      <c r="K2034" t="n">
        <v>0</v>
      </c>
      <c r="L2034" t="n">
        <v>0</v>
      </c>
      <c r="M2034" t="inlineStr">
        <is>
          <t>INR</t>
        </is>
      </c>
      <c r="N2034" t="inlineStr">
        <is>
          <t>2026-06-05 12:53:52</t>
        </is>
      </c>
    </row>
    <row r="2035">
      <c r="A2035" t="inlineStr">
        <is>
          <t>TXN00252296</t>
        </is>
      </c>
      <c r="B2035" t="inlineStr">
        <is>
          <t>MER00711</t>
        </is>
      </c>
      <c r="C2035" s="8" t="n">
        <v>46188</v>
      </c>
      <c r="D2035" t="inlineStr">
        <is>
          <t>ORD00252296</t>
        </is>
      </c>
      <c r="E2035" t="n">
        <v>5870.75</v>
      </c>
      <c r="F2035" t="n">
        <v>1.93</v>
      </c>
      <c r="G2035" t="n">
        <v>113.31</v>
      </c>
      <c r="H2035" t="inlineStr">
        <is>
          <t>UPI</t>
        </is>
      </c>
      <c r="I2035" t="inlineStr">
        <is>
          <t>Success</t>
        </is>
      </c>
      <c r="J2035" t="inlineStr">
        <is>
          <t>Delivered</t>
        </is>
      </c>
      <c r="K2035" t="n">
        <v>0</v>
      </c>
      <c r="L2035" t="n">
        <v>858.79</v>
      </c>
      <c r="M2035" t="inlineStr">
        <is>
          <t>INR</t>
        </is>
      </c>
      <c r="N2035" t="inlineStr">
        <is>
          <t>2026-06-15 00:05:39</t>
        </is>
      </c>
    </row>
    <row r="2036">
      <c r="A2036" t="inlineStr">
        <is>
          <t>TXN00252721</t>
        </is>
      </c>
      <c r="B2036" t="inlineStr">
        <is>
          <t>MER00711</t>
        </is>
      </c>
      <c r="C2036" s="8" t="n">
        <v>46189</v>
      </c>
      <c r="D2036" t="inlineStr">
        <is>
          <t>ORD00252721</t>
        </is>
      </c>
      <c r="E2036" t="n">
        <v>2227.45</v>
      </c>
      <c r="F2036" t="n">
        <v>1.93</v>
      </c>
      <c r="G2036" t="n">
        <v>42.99</v>
      </c>
      <c r="H2036" t="inlineStr">
        <is>
          <t>UPI</t>
        </is>
      </c>
      <c r="I2036" t="inlineStr">
        <is>
          <t>Success</t>
        </is>
      </c>
      <c r="J2036" t="inlineStr">
        <is>
          <t>Delivered</t>
        </is>
      </c>
      <c r="K2036" t="n">
        <v>0</v>
      </c>
      <c r="L2036" t="n">
        <v>0</v>
      </c>
      <c r="M2036" t="inlineStr">
        <is>
          <t>INR</t>
        </is>
      </c>
      <c r="N2036" t="inlineStr">
        <is>
          <t>2026-06-16 19:11:28</t>
        </is>
      </c>
    </row>
    <row r="2037">
      <c r="A2037" t="inlineStr">
        <is>
          <t>TXN00254428</t>
        </is>
      </c>
      <c r="B2037" t="inlineStr">
        <is>
          <t>MER00711</t>
        </is>
      </c>
      <c r="C2037" s="8" t="n">
        <v>46194</v>
      </c>
      <c r="D2037" t="inlineStr">
        <is>
          <t>ORD00254428</t>
        </is>
      </c>
      <c r="E2037" t="n">
        <v>2370.62</v>
      </c>
      <c r="F2037" t="n">
        <v>1.93</v>
      </c>
      <c r="G2037" t="n">
        <v>45.75</v>
      </c>
      <c r="H2037" t="inlineStr">
        <is>
          <t>UPI</t>
        </is>
      </c>
      <c r="I2037" t="inlineStr">
        <is>
          <t>Success</t>
        </is>
      </c>
      <c r="J2037" t="inlineStr">
        <is>
          <t>Delivered</t>
        </is>
      </c>
      <c r="K2037" t="n">
        <v>0</v>
      </c>
      <c r="L2037" t="n">
        <v>0</v>
      </c>
      <c r="M2037" t="inlineStr">
        <is>
          <t>INR</t>
        </is>
      </c>
      <c r="N2037" t="inlineStr">
        <is>
          <t>2026-06-21 07:24:16</t>
        </is>
      </c>
    </row>
    <row r="2038">
      <c r="A2038" t="inlineStr">
        <is>
          <t>TXN00255383</t>
        </is>
      </c>
      <c r="B2038" t="inlineStr">
        <is>
          <t>MER00711</t>
        </is>
      </c>
      <c r="C2038" s="8" t="n">
        <v>46196</v>
      </c>
      <c r="D2038" t="inlineStr">
        <is>
          <t>ORD00255383</t>
        </is>
      </c>
      <c r="E2038" t="n">
        <v>1294.23</v>
      </c>
      <c r="F2038" t="n">
        <v>1.93</v>
      </c>
      <c r="G2038" t="n">
        <v>24.98</v>
      </c>
      <c r="H2038" t="inlineStr">
        <is>
          <t>Wallet</t>
        </is>
      </c>
      <c r="I2038" t="inlineStr">
        <is>
          <t>Success</t>
        </is>
      </c>
      <c r="J2038" t="inlineStr">
        <is>
          <t>Processing</t>
        </is>
      </c>
      <c r="K2038" t="n">
        <v>0</v>
      </c>
      <c r="L2038" t="n">
        <v>0</v>
      </c>
      <c r="M2038" t="inlineStr">
        <is>
          <t>INR</t>
        </is>
      </c>
      <c r="N2038" t="inlineStr">
        <is>
          <t>2026-06-23 16:18:40</t>
        </is>
      </c>
    </row>
    <row r="2039">
      <c r="A2039" t="inlineStr">
        <is>
          <t>TXN00255378</t>
        </is>
      </c>
      <c r="B2039" t="inlineStr">
        <is>
          <t>MER00711</t>
        </is>
      </c>
      <c r="C2039" s="8" t="n">
        <v>46196</v>
      </c>
      <c r="D2039" t="inlineStr">
        <is>
          <t>ORD00255378</t>
        </is>
      </c>
      <c r="E2039" t="n">
        <v>2847.35</v>
      </c>
      <c r="F2039" t="n">
        <v>1.93</v>
      </c>
      <c r="G2039" t="n">
        <v>54.95</v>
      </c>
      <c r="H2039" t="inlineStr">
        <is>
          <t>UPI</t>
        </is>
      </c>
      <c r="I2039" t="inlineStr">
        <is>
          <t>Success</t>
        </is>
      </c>
      <c r="J2039" t="inlineStr">
        <is>
          <t>Processing</t>
        </is>
      </c>
      <c r="K2039" t="n">
        <v>0</v>
      </c>
      <c r="L2039" t="n">
        <v>0</v>
      </c>
      <c r="M2039" t="inlineStr">
        <is>
          <t>INR</t>
        </is>
      </c>
      <c r="N2039" t="inlineStr">
        <is>
          <t>2026-06-23 03:10:52</t>
        </is>
      </c>
    </row>
    <row r="2040">
      <c r="A2040" t="inlineStr">
        <is>
          <t>TXN00255895</t>
        </is>
      </c>
      <c r="B2040" t="inlineStr">
        <is>
          <t>MER00711</t>
        </is>
      </c>
      <c r="C2040" s="8" t="n">
        <v>46197</v>
      </c>
      <c r="D2040" t="inlineStr">
        <is>
          <t>ORD00255895</t>
        </is>
      </c>
      <c r="E2040" t="n">
        <v>4407.31</v>
      </c>
      <c r="F2040" t="n">
        <v>1.93</v>
      </c>
      <c r="G2040" t="n">
        <v>85.06</v>
      </c>
      <c r="H2040" t="inlineStr">
        <is>
          <t>UPI</t>
        </is>
      </c>
      <c r="I2040" t="inlineStr">
        <is>
          <t>Success</t>
        </is>
      </c>
      <c r="J2040" t="inlineStr">
        <is>
          <t>Delivered</t>
        </is>
      </c>
      <c r="K2040" t="n">
        <v>0</v>
      </c>
      <c r="L2040" t="n">
        <v>0</v>
      </c>
      <c r="M2040" t="inlineStr">
        <is>
          <t>INR</t>
        </is>
      </c>
      <c r="N2040" t="inlineStr">
        <is>
          <t>2026-06-24 02:42:54</t>
        </is>
      </c>
    </row>
    <row r="2041">
      <c r="A2041" t="inlineStr">
        <is>
          <t>TXN00256261</t>
        </is>
      </c>
      <c r="B2041" t="inlineStr">
        <is>
          <t>MER00711</t>
        </is>
      </c>
      <c r="C2041" s="8" t="n">
        <v>46198</v>
      </c>
      <c r="D2041" t="inlineStr">
        <is>
          <t>ORD00256261</t>
        </is>
      </c>
      <c r="E2041" t="n">
        <v>8482.549999999999</v>
      </c>
      <c r="F2041" t="n">
        <v>2.75</v>
      </c>
      <c r="G2041" t="n">
        <v>163.71</v>
      </c>
      <c r="H2041" t="inlineStr">
        <is>
          <t>Card</t>
        </is>
      </c>
      <c r="I2041" t="inlineStr">
        <is>
          <t>Pending</t>
        </is>
      </c>
      <c r="J2041" t="inlineStr">
        <is>
          <t>Processing</t>
        </is>
      </c>
      <c r="K2041" t="n">
        <v>0</v>
      </c>
      <c r="L2041" t="n">
        <v>754.17</v>
      </c>
      <c r="M2041" t="inlineStr">
        <is>
          <t>INR</t>
        </is>
      </c>
      <c r="N2041" t="inlineStr">
        <is>
          <t>2026-06-25 18:52:19</t>
        </is>
      </c>
    </row>
    <row r="2042">
      <c r="A2042" t="inlineStr">
        <is>
          <t>TXN00261317</t>
        </is>
      </c>
      <c r="B2042" t="inlineStr">
        <is>
          <t>MER00711</t>
        </is>
      </c>
      <c r="C2042" s="8" t="n">
        <v>46211</v>
      </c>
      <c r="D2042" t="inlineStr">
        <is>
          <t>ORD00261317</t>
        </is>
      </c>
      <c r="E2042" t="n">
        <v>5400.68</v>
      </c>
      <c r="F2042" t="n">
        <v>2.71</v>
      </c>
      <c r="G2042" t="n">
        <v>104.23</v>
      </c>
      <c r="H2042" t="inlineStr">
        <is>
          <t>UPI</t>
        </is>
      </c>
      <c r="I2042" t="inlineStr">
        <is>
          <t>Success</t>
        </is>
      </c>
      <c r="J2042" t="inlineStr">
        <is>
          <t>Delivered</t>
        </is>
      </c>
      <c r="K2042" t="n">
        <v>0</v>
      </c>
      <c r="L2042" t="n">
        <v>0</v>
      </c>
      <c r="M2042" t="inlineStr">
        <is>
          <t>INR</t>
        </is>
      </c>
      <c r="N2042" t="inlineStr">
        <is>
          <t>2026-07-08 16:30:22</t>
        </is>
      </c>
    </row>
    <row r="2043">
      <c r="A2043" t="inlineStr">
        <is>
          <t>TXN00261316</t>
        </is>
      </c>
      <c r="B2043" t="inlineStr">
        <is>
          <t>MER00711</t>
        </is>
      </c>
      <c r="C2043" s="8" t="n">
        <v>46211</v>
      </c>
      <c r="D2043" t="inlineStr">
        <is>
          <t>ORD00261316</t>
        </is>
      </c>
      <c r="E2043" t="n">
        <v>7133.33</v>
      </c>
      <c r="F2043" t="n">
        <v>1.93</v>
      </c>
      <c r="G2043" t="n">
        <v>137.67</v>
      </c>
      <c r="H2043" t="inlineStr">
        <is>
          <t>Wallet</t>
        </is>
      </c>
      <c r="I2043" t="inlineStr">
        <is>
          <t>Success</t>
        </is>
      </c>
      <c r="J2043" t="inlineStr">
        <is>
          <t>Delivered</t>
        </is>
      </c>
      <c r="K2043" t="n">
        <v>0</v>
      </c>
      <c r="L2043" t="n">
        <v>0</v>
      </c>
      <c r="M2043" t="inlineStr">
        <is>
          <t>INR</t>
        </is>
      </c>
      <c r="N2043" t="inlineStr">
        <is>
          <t>2026-07-08 02:54:58</t>
        </is>
      </c>
    </row>
    <row r="2044">
      <c r="A2044" t="inlineStr">
        <is>
          <t>TXN00261840</t>
        </is>
      </c>
      <c r="B2044" t="inlineStr">
        <is>
          <t>MER00711</t>
        </is>
      </c>
      <c r="C2044" s="8" t="n">
        <v>46212</v>
      </c>
      <c r="D2044" t="inlineStr">
        <is>
          <t>ORD00261840</t>
        </is>
      </c>
      <c r="E2044" t="n">
        <v>3449.64</v>
      </c>
      <c r="F2044" t="n">
        <v>1.93</v>
      </c>
      <c r="G2044" t="n">
        <v>66.58</v>
      </c>
      <c r="H2044" t="inlineStr">
        <is>
          <t>Card</t>
        </is>
      </c>
      <c r="I2044" t="inlineStr">
        <is>
          <t>Success</t>
        </is>
      </c>
      <c r="J2044" t="inlineStr">
        <is>
          <t>Returned</t>
        </is>
      </c>
      <c r="K2044" t="n">
        <v>3449.64</v>
      </c>
      <c r="L2044" t="n">
        <v>0</v>
      </c>
      <c r="M2044" t="inlineStr">
        <is>
          <t>INR</t>
        </is>
      </c>
      <c r="N2044" t="inlineStr">
        <is>
          <t>2026-07-09 18:54:01</t>
        </is>
      </c>
    </row>
    <row r="2045">
      <c r="A2045" t="inlineStr">
        <is>
          <t>TXN00261944</t>
        </is>
      </c>
      <c r="B2045" t="inlineStr">
        <is>
          <t>MER00711</t>
        </is>
      </c>
      <c r="C2045" s="8" t="n">
        <v>46213</v>
      </c>
      <c r="D2045" t="inlineStr">
        <is>
          <t>ORD00261944</t>
        </is>
      </c>
      <c r="E2045" t="n">
        <v>1931.44</v>
      </c>
      <c r="F2045" t="n">
        <v>1.93</v>
      </c>
      <c r="G2045" t="n">
        <v>37.28</v>
      </c>
      <c r="H2045" t="inlineStr">
        <is>
          <t>Card</t>
        </is>
      </c>
      <c r="I2045" t="inlineStr">
        <is>
          <t>Success</t>
        </is>
      </c>
      <c r="J2045" t="inlineStr">
        <is>
          <t>Delivered</t>
        </is>
      </c>
      <c r="K2045" t="n">
        <v>0</v>
      </c>
      <c r="L2045" t="n">
        <v>0</v>
      </c>
      <c r="M2045" t="inlineStr">
        <is>
          <t>INR</t>
        </is>
      </c>
      <c r="N2045" t="inlineStr">
        <is>
          <t>2026-07-10 11:54:55</t>
        </is>
      </c>
    </row>
    <row r="2046">
      <c r="A2046" t="inlineStr">
        <is>
          <t>TXN00261943</t>
        </is>
      </c>
      <c r="B2046" t="inlineStr">
        <is>
          <t>MER00711</t>
        </is>
      </c>
      <c r="C2046" s="8" t="n">
        <v>46213</v>
      </c>
      <c r="D2046" t="inlineStr">
        <is>
          <t>ORD00261943</t>
        </is>
      </c>
      <c r="E2046" t="n">
        <v>4137.08</v>
      </c>
      <c r="F2046" t="n">
        <v>1.93</v>
      </c>
      <c r="G2046" t="n">
        <v>79.84999999999999</v>
      </c>
      <c r="H2046" t="inlineStr">
        <is>
          <t>Card</t>
        </is>
      </c>
      <c r="I2046" t="inlineStr">
        <is>
          <t>Success</t>
        </is>
      </c>
      <c r="J2046" t="inlineStr">
        <is>
          <t>Returned</t>
        </is>
      </c>
      <c r="K2046" t="n">
        <v>4137.08</v>
      </c>
      <c r="L2046" t="n">
        <v>0</v>
      </c>
      <c r="M2046" t="inlineStr">
        <is>
          <t>INR</t>
        </is>
      </c>
      <c r="N2046" t="inlineStr">
        <is>
          <t>2026-07-10 02:10:05</t>
        </is>
      </c>
    </row>
    <row r="2047">
      <c r="A2047" t="inlineStr">
        <is>
          <t>TXN00266862</t>
        </is>
      </c>
      <c r="B2047" t="inlineStr">
        <is>
          <t>MER00711</t>
        </is>
      </c>
      <c r="C2047" s="8" t="n">
        <v>46225</v>
      </c>
      <c r="D2047" t="inlineStr">
        <is>
          <t>ORD00266862</t>
        </is>
      </c>
      <c r="E2047" t="n">
        <v>8252.809999999999</v>
      </c>
      <c r="F2047" t="n">
        <v>1.93</v>
      </c>
      <c r="G2047" t="n">
        <v>159.28</v>
      </c>
      <c r="H2047" t="inlineStr">
        <is>
          <t>Card</t>
        </is>
      </c>
      <c r="I2047" t="inlineStr">
        <is>
          <t>Success</t>
        </is>
      </c>
      <c r="J2047" t="inlineStr">
        <is>
          <t>Delivered</t>
        </is>
      </c>
      <c r="K2047" t="n">
        <v>0</v>
      </c>
      <c r="L2047" t="n">
        <v>857.75</v>
      </c>
      <c r="M2047" t="inlineStr">
        <is>
          <t>INR</t>
        </is>
      </c>
      <c r="N2047" t="inlineStr">
        <is>
          <t>2026-07-22 01:58:32</t>
        </is>
      </c>
    </row>
    <row r="2048">
      <c r="A2048" t="inlineStr">
        <is>
          <t>TXN00268946</t>
        </is>
      </c>
      <c r="B2048" t="inlineStr">
        <is>
          <t>MER00711</t>
        </is>
      </c>
      <c r="C2048" s="8" t="n">
        <v>46231</v>
      </c>
      <c r="D2048" t="inlineStr">
        <is>
          <t>ORD00268946</t>
        </is>
      </c>
      <c r="E2048" t="n">
        <v>6384.92</v>
      </c>
      <c r="F2048" t="n">
        <v>1.93</v>
      </c>
      <c r="G2048" t="n">
        <v>123.23</v>
      </c>
      <c r="H2048" t="inlineStr">
        <is>
          <t>UPI</t>
        </is>
      </c>
      <c r="I2048" t="inlineStr">
        <is>
          <t>Success</t>
        </is>
      </c>
      <c r="J2048" t="inlineStr">
        <is>
          <t>Delivered</t>
        </is>
      </c>
      <c r="K2048" t="n">
        <v>0</v>
      </c>
      <c r="L2048" t="n">
        <v>0</v>
      </c>
      <c r="M2048" t="inlineStr">
        <is>
          <t>INR</t>
        </is>
      </c>
      <c r="N2048" t="inlineStr">
        <is>
          <t>2026-07-28 15:15:10</t>
        </is>
      </c>
    </row>
    <row r="2049">
      <c r="A2049" t="inlineStr">
        <is>
          <t>TXN00269653</t>
        </is>
      </c>
      <c r="B2049" t="inlineStr">
        <is>
          <t>MER00711</t>
        </is>
      </c>
      <c r="C2049" s="8" t="n">
        <v>46232</v>
      </c>
      <c r="D2049" t="inlineStr">
        <is>
          <t>ORD00269653</t>
        </is>
      </c>
      <c r="E2049" t="n">
        <v>8122.41</v>
      </c>
      <c r="F2049" t="n">
        <v>1.93</v>
      </c>
      <c r="G2049" t="n">
        <v>156.76</v>
      </c>
      <c r="H2049" t="inlineStr">
        <is>
          <t>Card</t>
        </is>
      </c>
      <c r="I2049" t="inlineStr">
        <is>
          <t>Success</t>
        </is>
      </c>
      <c r="J2049" t="inlineStr">
        <is>
          <t>Delivered</t>
        </is>
      </c>
      <c r="K2049" t="n">
        <v>0</v>
      </c>
      <c r="L2049" t="n">
        <v>0</v>
      </c>
      <c r="M2049" t="inlineStr">
        <is>
          <t>INR</t>
        </is>
      </c>
      <c r="N2049" t="inlineStr">
        <is>
          <t>2026-07-29 17:03:55</t>
        </is>
      </c>
    </row>
    <row r="2050">
      <c r="A2050" t="inlineStr">
        <is>
          <t>TXN00002019</t>
        </is>
      </c>
      <c r="B2050" t="inlineStr">
        <is>
          <t>MER00712</t>
        </is>
      </c>
      <c r="C2050" s="8" t="n">
        <v>45513</v>
      </c>
      <c r="D2050" t="inlineStr">
        <is>
          <t>ORD00002019</t>
        </is>
      </c>
      <c r="E2050" t="n">
        <v>2772.73</v>
      </c>
      <c r="F2050" t="n">
        <v>2.5</v>
      </c>
      <c r="G2050" t="n">
        <v>69.31999999999999</v>
      </c>
      <c r="H2050" t="inlineStr">
        <is>
          <t>UPI</t>
        </is>
      </c>
      <c r="I2050" t="inlineStr">
        <is>
          <t>Failed</t>
        </is>
      </c>
      <c r="J2050" t="inlineStr">
        <is>
          <t>Cancelled</t>
        </is>
      </c>
      <c r="K2050" t="n">
        <v>0</v>
      </c>
      <c r="L2050" t="n">
        <v>0</v>
      </c>
      <c r="M2050" t="inlineStr">
        <is>
          <t>INR</t>
        </is>
      </c>
      <c r="N2050" t="inlineStr">
        <is>
          <t>2024-08-09 10:58:43</t>
        </is>
      </c>
    </row>
    <row r="2051">
      <c r="A2051" t="inlineStr">
        <is>
          <t>TXN00008674</t>
        </is>
      </c>
      <c r="B2051" t="inlineStr">
        <is>
          <t>MER00712</t>
        </is>
      </c>
      <c r="C2051" s="8" t="n">
        <v>45540</v>
      </c>
      <c r="D2051" t="inlineStr">
        <is>
          <t>ORD00008674</t>
        </is>
      </c>
      <c r="E2051" t="n">
        <v>3644.19</v>
      </c>
      <c r="F2051" t="n">
        <v>2.79</v>
      </c>
      <c r="G2051" t="n">
        <v>80.17</v>
      </c>
      <c r="H2051" t="inlineStr">
        <is>
          <t>UPI</t>
        </is>
      </c>
      <c r="I2051" t="inlineStr">
        <is>
          <t>Success</t>
        </is>
      </c>
      <c r="J2051" t="inlineStr">
        <is>
          <t>Returned</t>
        </is>
      </c>
      <c r="K2051" t="n">
        <v>3644.19</v>
      </c>
      <c r="L2051" t="n">
        <v>0</v>
      </c>
      <c r="M2051" t="inlineStr">
        <is>
          <t>INR</t>
        </is>
      </c>
      <c r="N2051" t="inlineStr">
        <is>
          <t>2024-09-05 19:14:33</t>
        </is>
      </c>
    </row>
    <row r="2052">
      <c r="A2052" t="inlineStr">
        <is>
          <t>TXN00018879</t>
        </is>
      </c>
      <c r="B2052" t="inlineStr">
        <is>
          <t>MER00712</t>
        </is>
      </c>
      <c r="C2052" s="8" t="n">
        <v>45573</v>
      </c>
      <c r="D2052" t="inlineStr">
        <is>
          <t>ORD00018879</t>
        </is>
      </c>
      <c r="E2052" t="n">
        <v>3299.66</v>
      </c>
      <c r="F2052" t="n">
        <v>2.2</v>
      </c>
      <c r="G2052" t="n">
        <v>72.59</v>
      </c>
      <c r="H2052" t="inlineStr">
        <is>
          <t>UPI</t>
        </is>
      </c>
      <c r="I2052" t="inlineStr">
        <is>
          <t>Success</t>
        </is>
      </c>
      <c r="J2052" t="inlineStr">
        <is>
          <t>Delivered</t>
        </is>
      </c>
      <c r="K2052" t="n">
        <v>0</v>
      </c>
      <c r="L2052" t="n">
        <v>0</v>
      </c>
      <c r="M2052" t="inlineStr">
        <is>
          <t>INR</t>
        </is>
      </c>
      <c r="N2052" t="inlineStr">
        <is>
          <t>2024-10-08 07:59:26</t>
        </is>
      </c>
    </row>
    <row r="2053">
      <c r="A2053" t="inlineStr">
        <is>
          <t>TXN00020766</t>
        </is>
      </c>
      <c r="B2053" t="inlineStr">
        <is>
          <t>MER00712</t>
        </is>
      </c>
      <c r="C2053" s="8" t="n">
        <v>45577</v>
      </c>
      <c r="D2053" t="inlineStr">
        <is>
          <t>ORD00020766</t>
        </is>
      </c>
      <c r="E2053" t="n">
        <v>3510.99</v>
      </c>
      <c r="F2053" t="n">
        <v>2.2</v>
      </c>
      <c r="G2053" t="n">
        <v>77.23999999999999</v>
      </c>
      <c r="H2053" t="inlineStr">
        <is>
          <t>NetBanking</t>
        </is>
      </c>
      <c r="I2053" t="inlineStr">
        <is>
          <t>Success</t>
        </is>
      </c>
      <c r="J2053" t="inlineStr">
        <is>
          <t>Delivered</t>
        </is>
      </c>
      <c r="K2053" t="n">
        <v>0</v>
      </c>
      <c r="L2053" t="n">
        <v>0</v>
      </c>
      <c r="M2053" t="inlineStr">
        <is>
          <t>INR</t>
        </is>
      </c>
      <c r="N2053" t="inlineStr">
        <is>
          <t>2024-10-12 00:10:32</t>
        </is>
      </c>
    </row>
    <row r="2054">
      <c r="A2054" t="inlineStr">
        <is>
          <t>TXN00023120</t>
        </is>
      </c>
      <c r="B2054" t="inlineStr">
        <is>
          <t>MER00712</t>
        </is>
      </c>
      <c r="C2054" s="8" t="n">
        <v>45584</v>
      </c>
      <c r="D2054" t="inlineStr">
        <is>
          <t>ORD00023120</t>
        </is>
      </c>
      <c r="E2054" t="n">
        <v>6513.62</v>
      </c>
      <c r="F2054" t="n">
        <v>2.2</v>
      </c>
      <c r="G2054" t="n">
        <v>143.3</v>
      </c>
      <c r="H2054" t="inlineStr">
        <is>
          <t>Card</t>
        </is>
      </c>
      <c r="I2054" t="inlineStr">
        <is>
          <t>Success</t>
        </is>
      </c>
      <c r="J2054" t="inlineStr">
        <is>
          <t>Delivered</t>
        </is>
      </c>
      <c r="K2054" t="n">
        <v>0</v>
      </c>
      <c r="L2054" t="n">
        <v>0</v>
      </c>
      <c r="M2054" t="inlineStr">
        <is>
          <t>INR</t>
        </is>
      </c>
      <c r="N2054" t="inlineStr">
        <is>
          <t>2024-10-19 01:07:06</t>
        </is>
      </c>
    </row>
    <row r="2055">
      <c r="A2055" t="inlineStr">
        <is>
          <t>TXN00025824</t>
        </is>
      </c>
      <c r="B2055" t="inlineStr">
        <is>
          <t>MER00712</t>
        </is>
      </c>
      <c r="C2055" s="8" t="n">
        <v>45591</v>
      </c>
      <c r="D2055" t="inlineStr">
        <is>
          <t>ORD00025824</t>
        </is>
      </c>
      <c r="E2055" t="n">
        <v>3830.67</v>
      </c>
      <c r="F2055" t="n">
        <v>2.2</v>
      </c>
      <c r="G2055" t="n">
        <v>84.27</v>
      </c>
      <c r="H2055" t="inlineStr">
        <is>
          <t>Card</t>
        </is>
      </c>
      <c r="I2055" t="inlineStr">
        <is>
          <t>Success</t>
        </is>
      </c>
      <c r="J2055" t="inlineStr">
        <is>
          <t>Delivered</t>
        </is>
      </c>
      <c r="K2055" t="n">
        <v>0</v>
      </c>
      <c r="L2055" t="n">
        <v>0</v>
      </c>
      <c r="M2055" t="inlineStr">
        <is>
          <t>INR</t>
        </is>
      </c>
      <c r="N2055" t="inlineStr">
        <is>
          <t>2024-10-26 16:00:43</t>
        </is>
      </c>
    </row>
    <row r="2056">
      <c r="A2056" t="inlineStr">
        <is>
          <t>TXN00031406</t>
        </is>
      </c>
      <c r="B2056" t="inlineStr">
        <is>
          <t>MER00712</t>
        </is>
      </c>
      <c r="C2056" s="8" t="n">
        <v>45604</v>
      </c>
      <c r="D2056" t="inlineStr">
        <is>
          <t>ORD00031406</t>
        </is>
      </c>
      <c r="E2056" t="n">
        <v>5342.62</v>
      </c>
      <c r="F2056" t="n">
        <v>2.2</v>
      </c>
      <c r="G2056" t="n">
        <v>117.54</v>
      </c>
      <c r="H2056" t="inlineStr">
        <is>
          <t>UPI</t>
        </is>
      </c>
      <c r="I2056" t="inlineStr">
        <is>
          <t>Success</t>
        </is>
      </c>
      <c r="J2056" t="inlineStr">
        <is>
          <t>Returned</t>
        </is>
      </c>
      <c r="K2056" t="n">
        <v>1930.62</v>
      </c>
      <c r="L2056" t="n">
        <v>0</v>
      </c>
      <c r="M2056" t="inlineStr">
        <is>
          <t>INR</t>
        </is>
      </c>
      <c r="N2056" t="inlineStr">
        <is>
          <t>2024-11-08 17:58:21</t>
        </is>
      </c>
    </row>
    <row r="2057">
      <c r="A2057" t="inlineStr">
        <is>
          <t>TXN00043452</t>
        </is>
      </c>
      <c r="B2057" t="inlineStr">
        <is>
          <t>MER00712</t>
        </is>
      </c>
      <c r="C2057" s="8" t="n">
        <v>45632</v>
      </c>
      <c r="D2057" t="inlineStr">
        <is>
          <t>ORD00043452</t>
        </is>
      </c>
      <c r="E2057" t="n">
        <v>2602.06</v>
      </c>
      <c r="F2057" t="n">
        <v>2.2</v>
      </c>
      <c r="G2057" t="n">
        <v>57.25</v>
      </c>
      <c r="H2057" t="inlineStr">
        <is>
          <t>UPI</t>
        </is>
      </c>
      <c r="I2057" t="inlineStr">
        <is>
          <t>Success</t>
        </is>
      </c>
      <c r="J2057" t="inlineStr">
        <is>
          <t>Delivered</t>
        </is>
      </c>
      <c r="K2057" t="n">
        <v>0</v>
      </c>
      <c r="L2057" t="n">
        <v>0</v>
      </c>
      <c r="M2057" t="inlineStr">
        <is>
          <t>INR</t>
        </is>
      </c>
      <c r="N2057" t="inlineStr">
        <is>
          <t>2024-12-06 20:05:55</t>
        </is>
      </c>
    </row>
    <row r="2058">
      <c r="A2058" t="inlineStr">
        <is>
          <t>TXN00054087</t>
        </is>
      </c>
      <c r="B2058" t="inlineStr">
        <is>
          <t>MER00712</t>
        </is>
      </c>
      <c r="C2058" s="8" t="n">
        <v>45665</v>
      </c>
      <c r="D2058" t="inlineStr">
        <is>
          <t>ORD00054087</t>
        </is>
      </c>
      <c r="E2058" t="n">
        <v>2442.33</v>
      </c>
      <c r="F2058" t="n">
        <v>2.2</v>
      </c>
      <c r="G2058" t="n">
        <v>53.73</v>
      </c>
      <c r="H2058" t="inlineStr">
        <is>
          <t>COD</t>
        </is>
      </c>
      <c r="I2058" t="inlineStr">
        <is>
          <t>Success</t>
        </is>
      </c>
      <c r="J2058" t="inlineStr">
        <is>
          <t>Delivered</t>
        </is>
      </c>
      <c r="K2058" t="n">
        <v>0</v>
      </c>
      <c r="L2058" t="n">
        <v>0</v>
      </c>
      <c r="M2058" t="inlineStr">
        <is>
          <t>INR</t>
        </is>
      </c>
      <c r="N2058" t="inlineStr">
        <is>
          <t>2025-01-08 23:58:16</t>
        </is>
      </c>
    </row>
    <row r="2059">
      <c r="A2059" t="inlineStr">
        <is>
          <t>TXN00058627</t>
        </is>
      </c>
      <c r="B2059" t="inlineStr">
        <is>
          <t>MER00712</t>
        </is>
      </c>
      <c r="C2059" s="8" t="n">
        <v>45677</v>
      </c>
      <c r="D2059" t="inlineStr">
        <is>
          <t>ORD00058627</t>
        </is>
      </c>
      <c r="E2059" t="n">
        <v>5798.01</v>
      </c>
      <c r="F2059" t="n">
        <v>1.5</v>
      </c>
      <c r="G2059" t="n">
        <v>127.56</v>
      </c>
      <c r="H2059" t="inlineStr">
        <is>
          <t>UPI</t>
        </is>
      </c>
      <c r="I2059" t="inlineStr">
        <is>
          <t>Success</t>
        </is>
      </c>
      <c r="J2059" t="inlineStr">
        <is>
          <t>Delivered</t>
        </is>
      </c>
      <c r="K2059" t="n">
        <v>0</v>
      </c>
      <c r="L2059" t="n">
        <v>0</v>
      </c>
      <c r="M2059" t="inlineStr">
        <is>
          <t>INR</t>
        </is>
      </c>
      <c r="N2059" t="inlineStr">
        <is>
          <t>2025-01-20 06:38:31</t>
        </is>
      </c>
    </row>
    <row r="2060">
      <c r="A2060" t="inlineStr">
        <is>
          <t>TXN00058840</t>
        </is>
      </c>
      <c r="B2060" t="inlineStr">
        <is>
          <t>MER00712</t>
        </is>
      </c>
      <c r="C2060" s="8" t="n">
        <v>45678</v>
      </c>
      <c r="D2060" t="inlineStr">
        <is>
          <t>ORD00058840</t>
        </is>
      </c>
      <c r="E2060" t="n">
        <v>3664.28</v>
      </c>
      <c r="F2060" t="n">
        <v>2.2</v>
      </c>
      <c r="G2060" t="n">
        <v>80.61</v>
      </c>
      <c r="H2060" t="inlineStr">
        <is>
          <t>Wallet</t>
        </is>
      </c>
      <c r="I2060" t="inlineStr">
        <is>
          <t>Success</t>
        </is>
      </c>
      <c r="J2060" t="inlineStr">
        <is>
          <t>Delivered</t>
        </is>
      </c>
      <c r="K2060" t="n">
        <v>0</v>
      </c>
      <c r="L2060" t="n">
        <v>0</v>
      </c>
      <c r="M2060" t="inlineStr">
        <is>
          <t>INR</t>
        </is>
      </c>
      <c r="N2060" t="inlineStr">
        <is>
          <t>2025-01-21 10:59:12</t>
        </is>
      </c>
    </row>
    <row r="2061">
      <c r="A2061" t="inlineStr">
        <is>
          <t>TXN00074900</t>
        </is>
      </c>
      <c r="B2061" t="inlineStr">
        <is>
          <t>MER00712</t>
        </is>
      </c>
      <c r="C2061" s="8" t="n">
        <v>45724</v>
      </c>
      <c r="D2061" t="inlineStr">
        <is>
          <t>ORD00074900</t>
        </is>
      </c>
      <c r="E2061" t="n">
        <v>4906.05</v>
      </c>
      <c r="F2061" t="n">
        <v>2.2</v>
      </c>
      <c r="G2061" t="n">
        <v>107.93</v>
      </c>
      <c r="H2061" t="inlineStr">
        <is>
          <t>UPI</t>
        </is>
      </c>
      <c r="I2061" t="inlineStr">
        <is>
          <t>Success</t>
        </is>
      </c>
      <c r="J2061" t="inlineStr">
        <is>
          <t>Delivered</t>
        </is>
      </c>
      <c r="K2061" t="n">
        <v>0</v>
      </c>
      <c r="L2061" t="n">
        <v>0</v>
      </c>
      <c r="M2061" t="inlineStr">
        <is>
          <t>INR</t>
        </is>
      </c>
      <c r="N2061" t="inlineStr">
        <is>
          <t>2025-03-08 18:17:27</t>
        </is>
      </c>
    </row>
    <row r="2062">
      <c r="A2062" t="inlineStr">
        <is>
          <t>TXN00082181</t>
        </is>
      </c>
      <c r="B2062" t="inlineStr">
        <is>
          <t>MER00712</t>
        </is>
      </c>
      <c r="C2062" s="8" t="n">
        <v>45748</v>
      </c>
      <c r="D2062" t="inlineStr">
        <is>
          <t>ORD00082181</t>
        </is>
      </c>
      <c r="E2062" t="n">
        <v>4495.13</v>
      </c>
      <c r="F2062" t="n">
        <v>2.2</v>
      </c>
      <c r="G2062" t="n">
        <v>98.89</v>
      </c>
      <c r="H2062" t="inlineStr">
        <is>
          <t>UPI</t>
        </is>
      </c>
      <c r="I2062" t="inlineStr">
        <is>
          <t>Success</t>
        </is>
      </c>
      <c r="J2062" t="inlineStr">
        <is>
          <t>Delivered</t>
        </is>
      </c>
      <c r="K2062" t="n">
        <v>0</v>
      </c>
      <c r="L2062" t="n">
        <v>0</v>
      </c>
      <c r="M2062" t="inlineStr">
        <is>
          <t>INR</t>
        </is>
      </c>
      <c r="N2062" t="inlineStr">
        <is>
          <t>2025-04-01 19:26:28</t>
        </is>
      </c>
    </row>
    <row r="2063">
      <c r="A2063" t="inlineStr">
        <is>
          <t>TXN00085290</t>
        </is>
      </c>
      <c r="B2063" t="inlineStr">
        <is>
          <t>MER00712</t>
        </is>
      </c>
      <c r="C2063" s="8" t="n">
        <v>45757</v>
      </c>
      <c r="D2063" t="inlineStr">
        <is>
          <t>ORD00085290</t>
        </is>
      </c>
      <c r="E2063" t="n">
        <v>2238.04</v>
      </c>
      <c r="F2063" t="n">
        <v>2.2</v>
      </c>
      <c r="G2063" t="n">
        <v>49.24</v>
      </c>
      <c r="H2063" t="inlineStr">
        <is>
          <t>Card</t>
        </is>
      </c>
      <c r="I2063" t="inlineStr">
        <is>
          <t>Success</t>
        </is>
      </c>
      <c r="J2063" t="inlineStr">
        <is>
          <t>Returned</t>
        </is>
      </c>
      <c r="K2063" t="n">
        <v>2238.04</v>
      </c>
      <c r="L2063" t="n">
        <v>0</v>
      </c>
      <c r="M2063" t="inlineStr">
        <is>
          <t>INR</t>
        </is>
      </c>
      <c r="N2063" t="inlineStr">
        <is>
          <t>2025-04-10 12:02:30</t>
        </is>
      </c>
    </row>
    <row r="2064">
      <c r="A2064" t="inlineStr">
        <is>
          <t>TXN00087387</t>
        </is>
      </c>
      <c r="B2064" t="inlineStr">
        <is>
          <t>MER00712</t>
        </is>
      </c>
      <c r="C2064" s="8" t="n">
        <v>45763</v>
      </c>
      <c r="D2064" t="inlineStr">
        <is>
          <t>ORD00087387</t>
        </is>
      </c>
      <c r="E2064" t="n">
        <v>4793.64</v>
      </c>
      <c r="F2064" t="n">
        <v>2.2</v>
      </c>
      <c r="G2064" t="n">
        <v>105.46</v>
      </c>
      <c r="H2064" t="inlineStr">
        <is>
          <t>UPI</t>
        </is>
      </c>
      <c r="I2064" t="inlineStr">
        <is>
          <t>Success</t>
        </is>
      </c>
      <c r="J2064" t="inlineStr">
        <is>
          <t>Delivered</t>
        </is>
      </c>
      <c r="K2064" t="n">
        <v>0</v>
      </c>
      <c r="L2064" t="n">
        <v>0</v>
      </c>
      <c r="M2064" t="inlineStr">
        <is>
          <t>INR</t>
        </is>
      </c>
      <c r="N2064" t="inlineStr">
        <is>
          <t>2025-04-16 03:58:18</t>
        </is>
      </c>
    </row>
    <row r="2065">
      <c r="A2065" t="inlineStr">
        <is>
          <t>TXN00088839</t>
        </is>
      </c>
      <c r="B2065" t="inlineStr">
        <is>
          <t>MER00712</t>
        </is>
      </c>
      <c r="C2065" s="8" t="n">
        <v>45768</v>
      </c>
      <c r="D2065" t="inlineStr">
        <is>
          <t>ORD00088839</t>
        </is>
      </c>
      <c r="E2065" t="n">
        <v>4806.33</v>
      </c>
      <c r="F2065" t="n">
        <v>2.2</v>
      </c>
      <c r="G2065" t="n">
        <v>105.74</v>
      </c>
      <c r="H2065" t="inlineStr">
        <is>
          <t>Wallet</t>
        </is>
      </c>
      <c r="I2065" t="inlineStr">
        <is>
          <t>Success</t>
        </is>
      </c>
      <c r="J2065" t="inlineStr">
        <is>
          <t>Delivered</t>
        </is>
      </c>
      <c r="K2065" t="n">
        <v>0</v>
      </c>
      <c r="L2065" t="n">
        <v>0</v>
      </c>
      <c r="M2065" t="inlineStr">
        <is>
          <t>INR</t>
        </is>
      </c>
      <c r="N2065" t="inlineStr">
        <is>
          <t>2025-04-21 13:20:26</t>
        </is>
      </c>
    </row>
    <row r="2066">
      <c r="A2066" t="inlineStr">
        <is>
          <t>TXN00092840</t>
        </is>
      </c>
      <c r="B2066" t="inlineStr">
        <is>
          <t>MER00712</t>
        </is>
      </c>
      <c r="C2066" s="8" t="n">
        <v>45780</v>
      </c>
      <c r="D2066" t="inlineStr">
        <is>
          <t>ORD00092840</t>
        </is>
      </c>
      <c r="E2066" t="n">
        <v>7960.86</v>
      </c>
      <c r="F2066" t="n">
        <v>2.2</v>
      </c>
      <c r="G2066" t="n">
        <v>175.14</v>
      </c>
      <c r="H2066" t="inlineStr">
        <is>
          <t>UPI</t>
        </is>
      </c>
      <c r="I2066" t="inlineStr">
        <is>
          <t>Success</t>
        </is>
      </c>
      <c r="J2066" t="inlineStr">
        <is>
          <t>Delivered</t>
        </is>
      </c>
      <c r="K2066" t="n">
        <v>0</v>
      </c>
      <c r="L2066" t="n">
        <v>0</v>
      </c>
      <c r="M2066" t="inlineStr">
        <is>
          <t>INR</t>
        </is>
      </c>
      <c r="N2066" t="inlineStr">
        <is>
          <t>2025-05-03 03:16:04</t>
        </is>
      </c>
    </row>
    <row r="2067">
      <c r="A2067" t="inlineStr">
        <is>
          <t>TXN00094175</t>
        </is>
      </c>
      <c r="B2067" t="inlineStr">
        <is>
          <t>MER00712</t>
        </is>
      </c>
      <c r="C2067" s="8" t="n">
        <v>45784</v>
      </c>
      <c r="D2067" t="inlineStr">
        <is>
          <t>ORD00094175</t>
        </is>
      </c>
      <c r="E2067" t="n">
        <v>2289.01</v>
      </c>
      <c r="F2067" t="n">
        <v>2.2</v>
      </c>
      <c r="G2067" t="n">
        <v>50.36</v>
      </c>
      <c r="H2067" t="inlineStr">
        <is>
          <t>Card</t>
        </is>
      </c>
      <c r="I2067" t="inlineStr">
        <is>
          <t>Success</t>
        </is>
      </c>
      <c r="J2067" t="inlineStr">
        <is>
          <t>Returned</t>
        </is>
      </c>
      <c r="K2067" t="n">
        <v>1277.35</v>
      </c>
      <c r="L2067" t="n">
        <v>0</v>
      </c>
      <c r="M2067" t="inlineStr">
        <is>
          <t>INR</t>
        </is>
      </c>
      <c r="N2067" t="inlineStr">
        <is>
          <t>2025-05-07 16:20:47</t>
        </is>
      </c>
    </row>
    <row r="2068">
      <c r="A2068" t="inlineStr">
        <is>
          <t>TXN00099743</t>
        </is>
      </c>
      <c r="B2068" t="inlineStr">
        <is>
          <t>MER00712</t>
        </is>
      </c>
      <c r="C2068" s="8" t="n">
        <v>45801</v>
      </c>
      <c r="D2068" t="inlineStr">
        <is>
          <t>ORD00099743</t>
        </is>
      </c>
      <c r="E2068" t="n">
        <v>16683.42</v>
      </c>
      <c r="F2068" t="n">
        <v>2.2</v>
      </c>
      <c r="G2068" t="n">
        <v>367.04</v>
      </c>
      <c r="H2068" t="inlineStr">
        <is>
          <t>UPI</t>
        </is>
      </c>
      <c r="I2068" t="inlineStr">
        <is>
          <t>Success</t>
        </is>
      </c>
      <c r="J2068" t="inlineStr">
        <is>
          <t>Delivered</t>
        </is>
      </c>
      <c r="K2068" t="n">
        <v>0</v>
      </c>
      <c r="L2068" t="n">
        <v>0</v>
      </c>
      <c r="M2068" t="inlineStr">
        <is>
          <t>INR</t>
        </is>
      </c>
      <c r="N2068" t="inlineStr">
        <is>
          <t>2025-05-24 00:30:30</t>
        </is>
      </c>
    </row>
    <row r="2069">
      <c r="A2069" t="inlineStr">
        <is>
          <t>TXN00100057</t>
        </is>
      </c>
      <c r="B2069" t="inlineStr">
        <is>
          <t>MER00712</t>
        </is>
      </c>
      <c r="C2069" s="8" t="n">
        <v>45802</v>
      </c>
      <c r="D2069" t="inlineStr">
        <is>
          <t>ORD00100057</t>
        </is>
      </c>
      <c r="E2069" t="n">
        <v>8424.49</v>
      </c>
      <c r="F2069" t="n">
        <v>2.2</v>
      </c>
      <c r="G2069" t="n">
        <v>185.34</v>
      </c>
      <c r="H2069" t="inlineStr">
        <is>
          <t>Wallet</t>
        </is>
      </c>
      <c r="I2069" t="inlineStr">
        <is>
          <t>Success</t>
        </is>
      </c>
      <c r="J2069" t="inlineStr">
        <is>
          <t>Processing</t>
        </is>
      </c>
      <c r="K2069" t="n">
        <v>0</v>
      </c>
      <c r="L2069" t="n">
        <v>0</v>
      </c>
      <c r="M2069" t="inlineStr">
        <is>
          <t>INR</t>
        </is>
      </c>
      <c r="N2069" t="inlineStr">
        <is>
          <t>2025-05-25 16:23:14</t>
        </is>
      </c>
    </row>
    <row r="2070">
      <c r="A2070" t="inlineStr">
        <is>
          <t>TXN00100901</t>
        </is>
      </c>
      <c r="B2070" t="inlineStr">
        <is>
          <t>MER00712</t>
        </is>
      </c>
      <c r="C2070" s="8" t="n">
        <v>45805</v>
      </c>
      <c r="D2070" t="inlineStr">
        <is>
          <t>ORD00100901</t>
        </is>
      </c>
      <c r="E2070" t="n">
        <v>3072.76</v>
      </c>
      <c r="F2070" t="n">
        <v>2.2</v>
      </c>
      <c r="G2070" t="n">
        <v>67.59999999999999</v>
      </c>
      <c r="H2070" t="inlineStr">
        <is>
          <t>UPI</t>
        </is>
      </c>
      <c r="I2070" t="inlineStr">
        <is>
          <t>Success</t>
        </is>
      </c>
      <c r="J2070" t="inlineStr">
        <is>
          <t>Delivered</t>
        </is>
      </c>
      <c r="K2070" t="n">
        <v>0</v>
      </c>
      <c r="L2070" t="n">
        <v>0</v>
      </c>
      <c r="M2070" t="inlineStr">
        <is>
          <t>INR</t>
        </is>
      </c>
      <c r="N2070" t="inlineStr">
        <is>
          <t>2025-05-28 02:43:26</t>
        </is>
      </c>
    </row>
    <row r="2071">
      <c r="A2071" t="inlineStr">
        <is>
          <t>TXN00107674</t>
        </is>
      </c>
      <c r="B2071" t="inlineStr">
        <is>
          <t>MER00712</t>
        </is>
      </c>
      <c r="C2071" s="8" t="n">
        <v>45825</v>
      </c>
      <c r="D2071" t="inlineStr">
        <is>
          <t>ORD00107674</t>
        </is>
      </c>
      <c r="E2071" t="n">
        <v>10904.6</v>
      </c>
      <c r="F2071" t="n">
        <v>2.2</v>
      </c>
      <c r="G2071" t="n">
        <v>239.9</v>
      </c>
      <c r="H2071" t="inlineStr">
        <is>
          <t>UPI</t>
        </is>
      </c>
      <c r="I2071" t="inlineStr">
        <is>
          <t>Success</t>
        </is>
      </c>
      <c r="J2071" t="inlineStr">
        <is>
          <t>Delivered</t>
        </is>
      </c>
      <c r="K2071" t="n">
        <v>0</v>
      </c>
      <c r="L2071" t="n">
        <v>0</v>
      </c>
      <c r="M2071" t="inlineStr">
        <is>
          <t>INR</t>
        </is>
      </c>
      <c r="N2071" t="inlineStr">
        <is>
          <t>2025-06-17 09:41:02</t>
        </is>
      </c>
    </row>
    <row r="2072">
      <c r="A2072" t="inlineStr">
        <is>
          <t>TXN00111101</t>
        </is>
      </c>
      <c r="B2072" t="inlineStr">
        <is>
          <t>MER00712</t>
        </is>
      </c>
      <c r="C2072" s="8" t="n">
        <v>45835</v>
      </c>
      <c r="D2072" t="inlineStr">
        <is>
          <t>ORD00111101</t>
        </is>
      </c>
      <c r="E2072" t="n">
        <v>4097.3</v>
      </c>
      <c r="F2072" t="n">
        <v>1.22</v>
      </c>
      <c r="G2072" t="n">
        <v>90.14</v>
      </c>
      <c r="H2072" t="inlineStr">
        <is>
          <t>UPI</t>
        </is>
      </c>
      <c r="I2072" t="inlineStr">
        <is>
          <t>Success</t>
        </is>
      </c>
      <c r="J2072" t="inlineStr">
        <is>
          <t>Delivered</t>
        </is>
      </c>
      <c r="K2072" t="n">
        <v>0</v>
      </c>
      <c r="L2072" t="n">
        <v>246.72</v>
      </c>
      <c r="M2072" t="inlineStr">
        <is>
          <t>INR</t>
        </is>
      </c>
      <c r="N2072" t="inlineStr">
        <is>
          <t>2025-06-27 10:16:04</t>
        </is>
      </c>
    </row>
    <row r="2073">
      <c r="A2073" t="inlineStr">
        <is>
          <t>TXN00120993</t>
        </is>
      </c>
      <c r="B2073" t="inlineStr">
        <is>
          <t>MER00712</t>
        </is>
      </c>
      <c r="C2073" s="8" t="n">
        <v>45865</v>
      </c>
      <c r="D2073" t="inlineStr">
        <is>
          <t>ORD00120993</t>
        </is>
      </c>
      <c r="E2073" t="n">
        <v>1649.12</v>
      </c>
      <c r="F2073" t="n">
        <v>2.2</v>
      </c>
      <c r="G2073" t="n">
        <v>36.28</v>
      </c>
      <c r="H2073" t="inlineStr">
        <is>
          <t>UPI</t>
        </is>
      </c>
      <c r="I2073" t="inlineStr">
        <is>
          <t>Success</t>
        </is>
      </c>
      <c r="J2073" t="inlineStr">
        <is>
          <t>Delivered</t>
        </is>
      </c>
      <c r="K2073" t="n">
        <v>0</v>
      </c>
      <c r="L2073" t="n">
        <v>0</v>
      </c>
      <c r="M2073" t="inlineStr">
        <is>
          <t>INR</t>
        </is>
      </c>
      <c r="N2073" t="inlineStr">
        <is>
          <t>2025-07-27 20:46:28</t>
        </is>
      </c>
    </row>
    <row r="2074">
      <c r="A2074" t="inlineStr">
        <is>
          <t>TXN00120990</t>
        </is>
      </c>
      <c r="B2074" t="inlineStr">
        <is>
          <t>MER00712</t>
        </is>
      </c>
      <c r="C2074" s="8" t="n">
        <v>45865</v>
      </c>
      <c r="D2074" t="inlineStr">
        <is>
          <t>ORD00120990</t>
        </is>
      </c>
      <c r="E2074" t="n">
        <v>6526.94</v>
      </c>
      <c r="F2074" t="n">
        <v>2.2</v>
      </c>
      <c r="G2074" t="n">
        <v>143.59</v>
      </c>
      <c r="H2074" t="inlineStr">
        <is>
          <t>Card</t>
        </is>
      </c>
      <c r="I2074" t="inlineStr">
        <is>
          <t>Success</t>
        </is>
      </c>
      <c r="J2074" t="inlineStr">
        <is>
          <t>Delivered</t>
        </is>
      </c>
      <c r="K2074" t="n">
        <v>0</v>
      </c>
      <c r="L2074" t="n">
        <v>0</v>
      </c>
      <c r="M2074" t="inlineStr">
        <is>
          <t>INR</t>
        </is>
      </c>
      <c r="N2074" t="inlineStr">
        <is>
          <t>2025-07-27 09:59:00</t>
        </is>
      </c>
    </row>
    <row r="2075">
      <c r="A2075" t="inlineStr">
        <is>
          <t>TXN00122700</t>
        </is>
      </c>
      <c r="B2075" t="inlineStr">
        <is>
          <t>MER00712</t>
        </is>
      </c>
      <c r="C2075" s="8" t="n">
        <v>45870</v>
      </c>
      <c r="D2075" t="inlineStr">
        <is>
          <t>ORD00122700</t>
        </is>
      </c>
      <c r="E2075" t="n">
        <v>1341.48</v>
      </c>
      <c r="F2075" t="n">
        <v>2.2</v>
      </c>
      <c r="G2075" t="n">
        <v>29.51</v>
      </c>
      <c r="H2075" t="inlineStr">
        <is>
          <t>UPI</t>
        </is>
      </c>
      <c r="I2075" t="inlineStr">
        <is>
          <t>Success</t>
        </is>
      </c>
      <c r="J2075" t="inlineStr">
        <is>
          <t>Delivered</t>
        </is>
      </c>
      <c r="K2075" t="n">
        <v>0</v>
      </c>
      <c r="L2075" t="n">
        <v>0</v>
      </c>
      <c r="M2075" t="inlineStr">
        <is>
          <t>INR</t>
        </is>
      </c>
      <c r="N2075" t="inlineStr">
        <is>
          <t>2025-08-01 21:10:04</t>
        </is>
      </c>
    </row>
    <row r="2076">
      <c r="A2076" t="inlineStr">
        <is>
          <t>TXN00124860</t>
        </is>
      </c>
      <c r="B2076" t="inlineStr">
        <is>
          <t>MER00712</t>
        </is>
      </c>
      <c r="C2076" s="8" t="n">
        <v>45876</v>
      </c>
      <c r="D2076" t="inlineStr">
        <is>
          <t>ORD00124860</t>
        </is>
      </c>
      <c r="E2076" t="n">
        <v>4815.59</v>
      </c>
      <c r="F2076" t="n">
        <v>2.2</v>
      </c>
      <c r="G2076" t="n">
        <v>105.94</v>
      </c>
      <c r="H2076" t="inlineStr">
        <is>
          <t>UPI</t>
        </is>
      </c>
      <c r="I2076" t="inlineStr">
        <is>
          <t>Success</t>
        </is>
      </c>
      <c r="J2076" t="inlineStr">
        <is>
          <t>Delivered</t>
        </is>
      </c>
      <c r="K2076" t="n">
        <v>0</v>
      </c>
      <c r="L2076" t="n">
        <v>0</v>
      </c>
      <c r="M2076" t="inlineStr">
        <is>
          <t>INR</t>
        </is>
      </c>
      <c r="N2076" t="inlineStr">
        <is>
          <t>2025-08-07 15:00:48</t>
        </is>
      </c>
    </row>
    <row r="2077">
      <c r="A2077" t="inlineStr">
        <is>
          <t>TXN00126434</t>
        </is>
      </c>
      <c r="B2077" t="inlineStr">
        <is>
          <t>MER00712</t>
        </is>
      </c>
      <c r="C2077" s="8" t="n">
        <v>45881</v>
      </c>
      <c r="D2077" t="inlineStr">
        <is>
          <t>ORD00126434</t>
        </is>
      </c>
      <c r="E2077" t="n">
        <v>1841.11</v>
      </c>
      <c r="F2077" t="n">
        <v>2.2</v>
      </c>
      <c r="G2077" t="n">
        <v>40.5</v>
      </c>
      <c r="H2077" t="inlineStr">
        <is>
          <t>Card</t>
        </is>
      </c>
      <c r="I2077" t="inlineStr">
        <is>
          <t>Success</t>
        </is>
      </c>
      <c r="J2077" t="inlineStr">
        <is>
          <t>Delivered</t>
        </is>
      </c>
      <c r="K2077" t="n">
        <v>0</v>
      </c>
      <c r="L2077" t="n">
        <v>154.94</v>
      </c>
      <c r="M2077" t="inlineStr">
        <is>
          <t>INR</t>
        </is>
      </c>
      <c r="N2077" t="inlineStr">
        <is>
          <t>2025-08-12 19:32:26</t>
        </is>
      </c>
    </row>
    <row r="2078">
      <c r="A2078" t="inlineStr">
        <is>
          <t>TXN00130638</t>
        </is>
      </c>
      <c r="B2078" t="inlineStr">
        <is>
          <t>MER00712</t>
        </is>
      </c>
      <c r="C2078" s="8" t="n">
        <v>45893</v>
      </c>
      <c r="D2078" t="inlineStr">
        <is>
          <t>ORD00130638</t>
        </is>
      </c>
      <c r="E2078" t="n">
        <v>6260.24</v>
      </c>
      <c r="F2078" t="n">
        <v>2.2</v>
      </c>
      <c r="G2078" t="n">
        <v>137.73</v>
      </c>
      <c r="H2078" t="inlineStr">
        <is>
          <t>Card</t>
        </is>
      </c>
      <c r="I2078" t="inlineStr">
        <is>
          <t>Success</t>
        </is>
      </c>
      <c r="J2078" t="inlineStr">
        <is>
          <t>Delivered</t>
        </is>
      </c>
      <c r="K2078" t="n">
        <v>0</v>
      </c>
      <c r="L2078" t="n">
        <v>0</v>
      </c>
      <c r="M2078" t="inlineStr">
        <is>
          <t>INR</t>
        </is>
      </c>
      <c r="N2078" t="inlineStr">
        <is>
          <t>2025-08-24 14:10:57</t>
        </is>
      </c>
    </row>
    <row r="2079">
      <c r="A2079" t="inlineStr">
        <is>
          <t>TXN00132503</t>
        </is>
      </c>
      <c r="B2079" t="inlineStr">
        <is>
          <t>MER00712</t>
        </is>
      </c>
      <c r="C2079" s="8" t="n">
        <v>45899</v>
      </c>
      <c r="D2079" t="inlineStr">
        <is>
          <t>ORD00132503</t>
        </is>
      </c>
      <c r="E2079" t="n">
        <v>5021.7</v>
      </c>
      <c r="F2079" t="n">
        <v>2.2</v>
      </c>
      <c r="G2079" t="n">
        <v>110.48</v>
      </c>
      <c r="H2079" t="inlineStr">
        <is>
          <t>NetBanking</t>
        </is>
      </c>
      <c r="I2079" t="inlineStr">
        <is>
          <t>Success</t>
        </is>
      </c>
      <c r="J2079" t="inlineStr">
        <is>
          <t>Delivered</t>
        </is>
      </c>
      <c r="K2079" t="n">
        <v>0</v>
      </c>
      <c r="L2079" t="n">
        <v>0</v>
      </c>
      <c r="M2079" t="inlineStr">
        <is>
          <t>INR</t>
        </is>
      </c>
      <c r="N2079" t="inlineStr">
        <is>
          <t>2025-08-30 08:18:16</t>
        </is>
      </c>
    </row>
    <row r="2080">
      <c r="A2080" t="inlineStr">
        <is>
          <t>TXN00134771</t>
        </is>
      </c>
      <c r="B2080" t="inlineStr">
        <is>
          <t>MER00712</t>
        </is>
      </c>
      <c r="C2080" s="8" t="n">
        <v>45906</v>
      </c>
      <c r="D2080" t="inlineStr">
        <is>
          <t>ORD00134771</t>
        </is>
      </c>
      <c r="E2080" t="n">
        <v>3954.73</v>
      </c>
      <c r="F2080" t="n">
        <v>2.2</v>
      </c>
      <c r="G2080" t="n">
        <v>87</v>
      </c>
      <c r="H2080" t="inlineStr">
        <is>
          <t>NetBanking</t>
        </is>
      </c>
      <c r="I2080" t="inlineStr">
        <is>
          <t>Success</t>
        </is>
      </c>
      <c r="J2080" t="inlineStr">
        <is>
          <t>Delivered</t>
        </is>
      </c>
      <c r="K2080" t="n">
        <v>0</v>
      </c>
      <c r="L2080" t="n">
        <v>348.55</v>
      </c>
      <c r="M2080" t="inlineStr">
        <is>
          <t>INR</t>
        </is>
      </c>
      <c r="N2080" t="inlineStr">
        <is>
          <t>2025-09-06 04:29:27</t>
        </is>
      </c>
    </row>
    <row r="2081">
      <c r="A2081" t="inlineStr">
        <is>
          <t>TXN00140675</t>
        </is>
      </c>
      <c r="B2081" t="inlineStr">
        <is>
          <t>MER00712</t>
        </is>
      </c>
      <c r="C2081" s="8" t="n">
        <v>45922</v>
      </c>
      <c r="D2081" t="inlineStr">
        <is>
          <t>ORD00140675</t>
        </is>
      </c>
      <c r="E2081" t="n">
        <v>5406.41</v>
      </c>
      <c r="F2081" t="n">
        <v>2.2</v>
      </c>
      <c r="G2081" t="n">
        <v>118.94</v>
      </c>
      <c r="H2081" t="inlineStr">
        <is>
          <t>UPI</t>
        </is>
      </c>
      <c r="I2081" t="inlineStr">
        <is>
          <t>Success</t>
        </is>
      </c>
      <c r="J2081" t="inlineStr">
        <is>
          <t>Delivered</t>
        </is>
      </c>
      <c r="K2081" t="n">
        <v>0</v>
      </c>
      <c r="L2081" t="n">
        <v>0</v>
      </c>
      <c r="M2081" t="inlineStr">
        <is>
          <t>INR</t>
        </is>
      </c>
      <c r="N2081" t="inlineStr">
        <is>
          <t>2025-09-22 11:14:46</t>
        </is>
      </c>
    </row>
    <row r="2082">
      <c r="A2082" t="inlineStr">
        <is>
          <t>TXN00141345</t>
        </is>
      </c>
      <c r="B2082" t="inlineStr">
        <is>
          <t>MER00712</t>
        </is>
      </c>
      <c r="C2082" s="8" t="n">
        <v>45924</v>
      </c>
      <c r="D2082" t="inlineStr">
        <is>
          <t>ORD00141345</t>
        </is>
      </c>
      <c r="E2082" t="n">
        <v>7397.34</v>
      </c>
      <c r="F2082" t="n">
        <v>2.2</v>
      </c>
      <c r="G2082" t="n">
        <v>162.74</v>
      </c>
      <c r="H2082" t="inlineStr">
        <is>
          <t>UPI</t>
        </is>
      </c>
      <c r="I2082" t="inlineStr">
        <is>
          <t>Success</t>
        </is>
      </c>
      <c r="J2082" t="inlineStr">
        <is>
          <t>Delivered</t>
        </is>
      </c>
      <c r="K2082" t="n">
        <v>0</v>
      </c>
      <c r="L2082" t="n">
        <v>0</v>
      </c>
      <c r="M2082" t="inlineStr">
        <is>
          <t>INR</t>
        </is>
      </c>
      <c r="N2082" t="inlineStr">
        <is>
          <t>2025-09-24 07:24:36</t>
        </is>
      </c>
    </row>
    <row r="2083">
      <c r="A2083" t="inlineStr">
        <is>
          <t>TXN00151853</t>
        </is>
      </c>
      <c r="B2083" t="inlineStr">
        <is>
          <t>MER00712</t>
        </is>
      </c>
      <c r="C2083" s="8" t="n">
        <v>45948</v>
      </c>
      <c r="D2083" t="inlineStr">
        <is>
          <t>ORD00151853</t>
        </is>
      </c>
      <c r="E2083" t="n">
        <v>2171.41</v>
      </c>
      <c r="F2083" t="n">
        <v>2.2</v>
      </c>
      <c r="G2083" t="n">
        <v>47.77</v>
      </c>
      <c r="H2083" t="inlineStr">
        <is>
          <t>UPI</t>
        </is>
      </c>
      <c r="I2083" t="inlineStr">
        <is>
          <t>Success</t>
        </is>
      </c>
      <c r="J2083" t="inlineStr">
        <is>
          <t>Delivered</t>
        </is>
      </c>
      <c r="K2083" t="n">
        <v>0</v>
      </c>
      <c r="L2083" t="n">
        <v>0</v>
      </c>
      <c r="M2083" t="inlineStr">
        <is>
          <t>INR</t>
        </is>
      </c>
      <c r="N2083" t="inlineStr">
        <is>
          <t>2025-10-18 16:43:54</t>
        </is>
      </c>
    </row>
    <row r="2084">
      <c r="A2084" t="inlineStr">
        <is>
          <t>TXN00153383</t>
        </is>
      </c>
      <c r="B2084" t="inlineStr">
        <is>
          <t>MER00712</t>
        </is>
      </c>
      <c r="C2084" s="8" t="n">
        <v>45952</v>
      </c>
      <c r="D2084" t="inlineStr">
        <is>
          <t>ORD00153383</t>
        </is>
      </c>
      <c r="E2084" t="n">
        <v>4091.58</v>
      </c>
      <c r="F2084" t="n">
        <v>2.2</v>
      </c>
      <c r="G2084" t="n">
        <v>90.01000000000001</v>
      </c>
      <c r="H2084" t="inlineStr">
        <is>
          <t>UPI</t>
        </is>
      </c>
      <c r="I2084" t="inlineStr">
        <is>
          <t>Success</t>
        </is>
      </c>
      <c r="J2084" t="inlineStr">
        <is>
          <t>Delivered</t>
        </is>
      </c>
      <c r="K2084" t="n">
        <v>0</v>
      </c>
      <c r="L2084" t="n">
        <v>0</v>
      </c>
      <c r="M2084" t="inlineStr">
        <is>
          <t>INR</t>
        </is>
      </c>
      <c r="N2084" t="inlineStr">
        <is>
          <t>2025-10-22 23:23:15</t>
        </is>
      </c>
    </row>
    <row r="2085">
      <c r="A2085" t="inlineStr">
        <is>
          <t>TXN00160260</t>
        </is>
      </c>
      <c r="B2085" t="inlineStr">
        <is>
          <t>MER00712</t>
        </is>
      </c>
      <c r="C2085" s="8" t="n">
        <v>45966</v>
      </c>
      <c r="D2085" t="inlineStr">
        <is>
          <t>ORD00160260</t>
        </is>
      </c>
      <c r="E2085" t="n">
        <v>10805.91</v>
      </c>
      <c r="F2085" t="n">
        <v>2.2</v>
      </c>
      <c r="G2085" t="n">
        <v>237.73</v>
      </c>
      <c r="H2085" t="inlineStr">
        <is>
          <t>UPI</t>
        </is>
      </c>
      <c r="I2085" t="inlineStr">
        <is>
          <t>Success</t>
        </is>
      </c>
      <c r="J2085" t="inlineStr">
        <is>
          <t>Delivered</t>
        </is>
      </c>
      <c r="K2085" t="n">
        <v>0</v>
      </c>
      <c r="L2085" t="n">
        <v>0</v>
      </c>
      <c r="M2085" t="inlineStr">
        <is>
          <t>INR</t>
        </is>
      </c>
      <c r="N2085" t="inlineStr">
        <is>
          <t>2025-11-05 21:37:40</t>
        </is>
      </c>
    </row>
    <row r="2086">
      <c r="A2086" t="inlineStr">
        <is>
          <t>TXN00160263</t>
        </is>
      </c>
      <c r="B2086" t="inlineStr">
        <is>
          <t>MER00712</t>
        </is>
      </c>
      <c r="C2086" s="8" t="n">
        <v>45966</v>
      </c>
      <c r="D2086" t="inlineStr">
        <is>
          <t>ORD00160263</t>
        </is>
      </c>
      <c r="E2086" t="n">
        <v>3767.61</v>
      </c>
      <c r="F2086" t="n">
        <v>2.2</v>
      </c>
      <c r="G2086" t="n">
        <v>82.89</v>
      </c>
      <c r="H2086" t="inlineStr">
        <is>
          <t>UPI</t>
        </is>
      </c>
      <c r="I2086" t="inlineStr">
        <is>
          <t>Success</t>
        </is>
      </c>
      <c r="J2086" t="inlineStr">
        <is>
          <t>Delivered</t>
        </is>
      </c>
      <c r="K2086" t="n">
        <v>0</v>
      </c>
      <c r="L2086" t="n">
        <v>340.89</v>
      </c>
      <c r="M2086" t="inlineStr">
        <is>
          <t>INR</t>
        </is>
      </c>
      <c r="N2086" t="inlineStr">
        <is>
          <t>2025-11-05 23:31:53</t>
        </is>
      </c>
    </row>
    <row r="2087">
      <c r="A2087" t="inlineStr">
        <is>
          <t>TXN00162257</t>
        </is>
      </c>
      <c r="B2087" t="inlineStr">
        <is>
          <t>MER00712</t>
        </is>
      </c>
      <c r="C2087" s="8" t="n">
        <v>45969</v>
      </c>
      <c r="D2087" t="inlineStr">
        <is>
          <t>ORD00162257</t>
        </is>
      </c>
      <c r="E2087" t="n">
        <v>1642.07</v>
      </c>
      <c r="F2087" t="n">
        <v>2.2</v>
      </c>
      <c r="G2087" t="n">
        <v>36.13</v>
      </c>
      <c r="H2087" t="inlineStr">
        <is>
          <t>UPI</t>
        </is>
      </c>
      <c r="I2087" t="inlineStr">
        <is>
          <t>Success</t>
        </is>
      </c>
      <c r="J2087" t="inlineStr">
        <is>
          <t>Delivered</t>
        </is>
      </c>
      <c r="K2087" t="n">
        <v>0</v>
      </c>
      <c r="L2087" t="n">
        <v>0</v>
      </c>
      <c r="M2087" t="inlineStr">
        <is>
          <t>INR</t>
        </is>
      </c>
      <c r="N2087" t="inlineStr">
        <is>
          <t>2025-11-08 12:39:04</t>
        </is>
      </c>
    </row>
    <row r="2088">
      <c r="A2088" t="inlineStr">
        <is>
          <t>TXN00163817</t>
        </is>
      </c>
      <c r="B2088" t="inlineStr">
        <is>
          <t>MER00712</t>
        </is>
      </c>
      <c r="C2088" s="8" t="n">
        <v>45972</v>
      </c>
      <c r="D2088" t="inlineStr">
        <is>
          <t>ORD00163817</t>
        </is>
      </c>
      <c r="E2088" t="n">
        <v>2718.95</v>
      </c>
      <c r="F2088" t="n">
        <v>2.2</v>
      </c>
      <c r="G2088" t="n">
        <v>59.82</v>
      </c>
      <c r="H2088" t="inlineStr">
        <is>
          <t>UPI</t>
        </is>
      </c>
      <c r="I2088" t="inlineStr">
        <is>
          <t>Success</t>
        </is>
      </c>
      <c r="J2088" t="inlineStr">
        <is>
          <t>Processing</t>
        </is>
      </c>
      <c r="K2088" t="n">
        <v>0</v>
      </c>
      <c r="L2088" t="n">
        <v>0</v>
      </c>
      <c r="M2088" t="inlineStr">
        <is>
          <t>INR</t>
        </is>
      </c>
      <c r="N2088" t="inlineStr">
        <is>
          <t>2025-11-11 18:52:49</t>
        </is>
      </c>
    </row>
    <row r="2089">
      <c r="A2089" t="inlineStr">
        <is>
          <t>TXN00169759</t>
        </is>
      </c>
      <c r="B2089" t="inlineStr">
        <is>
          <t>MER00712</t>
        </is>
      </c>
      <c r="C2089" s="8" t="n">
        <v>45983</v>
      </c>
      <c r="D2089" t="inlineStr">
        <is>
          <t>ORD00169759</t>
        </is>
      </c>
      <c r="E2089" t="n">
        <v>1554.04</v>
      </c>
      <c r="F2089" t="n">
        <v>2.2</v>
      </c>
      <c r="G2089" t="n">
        <v>34.19</v>
      </c>
      <c r="H2089" t="inlineStr">
        <is>
          <t>Card</t>
        </is>
      </c>
      <c r="I2089" t="inlineStr">
        <is>
          <t>Success</t>
        </is>
      </c>
      <c r="J2089" t="inlineStr">
        <is>
          <t>Delivered</t>
        </is>
      </c>
      <c r="K2089" t="n">
        <v>0</v>
      </c>
      <c r="L2089" t="n">
        <v>0</v>
      </c>
      <c r="M2089" t="inlineStr">
        <is>
          <t>INR</t>
        </is>
      </c>
      <c r="N2089" t="inlineStr">
        <is>
          <t>2025-11-22 17:50:27</t>
        </is>
      </c>
    </row>
    <row r="2090">
      <c r="A2090" t="inlineStr">
        <is>
          <t>TXN00173258</t>
        </is>
      </c>
      <c r="B2090" t="inlineStr">
        <is>
          <t>MER00712</t>
        </is>
      </c>
      <c r="C2090" s="8" t="n">
        <v>45989</v>
      </c>
      <c r="D2090" t="inlineStr">
        <is>
          <t>ORD00173258</t>
        </is>
      </c>
      <c r="E2090" t="n">
        <v>3549.02</v>
      </c>
      <c r="F2090" t="n">
        <v>2.2</v>
      </c>
      <c r="G2090" t="n">
        <v>78.08</v>
      </c>
      <c r="H2090" t="inlineStr">
        <is>
          <t>COD</t>
        </is>
      </c>
      <c r="I2090" t="inlineStr">
        <is>
          <t>Pending</t>
        </is>
      </c>
      <c r="J2090" t="inlineStr">
        <is>
          <t>Processing</t>
        </is>
      </c>
      <c r="K2090" t="n">
        <v>0</v>
      </c>
      <c r="L2090" t="n">
        <v>346.85</v>
      </c>
      <c r="M2090" t="inlineStr">
        <is>
          <t>INR</t>
        </is>
      </c>
      <c r="N2090" t="inlineStr">
        <is>
          <t>2025-11-28 00:39:51</t>
        </is>
      </c>
    </row>
    <row r="2091">
      <c r="A2091" t="inlineStr">
        <is>
          <t>TXN00173619</t>
        </is>
      </c>
      <c r="B2091" t="inlineStr">
        <is>
          <t>MER00712</t>
        </is>
      </c>
      <c r="C2091" s="8" t="n">
        <v>45990</v>
      </c>
      <c r="D2091" t="inlineStr">
        <is>
          <t>ORD00173619</t>
        </is>
      </c>
      <c r="E2091" t="n">
        <v>3317.17</v>
      </c>
      <c r="F2091" t="n">
        <v>2.2</v>
      </c>
      <c r="G2091" t="n">
        <v>72.98</v>
      </c>
      <c r="H2091" t="inlineStr">
        <is>
          <t>UPI</t>
        </is>
      </c>
      <c r="I2091" t="inlineStr">
        <is>
          <t>Success</t>
        </is>
      </c>
      <c r="J2091" t="inlineStr">
        <is>
          <t>Delivered</t>
        </is>
      </c>
      <c r="K2091" t="n">
        <v>0</v>
      </c>
      <c r="L2091" t="n">
        <v>0</v>
      </c>
      <c r="M2091" t="inlineStr">
        <is>
          <t>INR</t>
        </is>
      </c>
      <c r="N2091" t="inlineStr">
        <is>
          <t>2025-11-29 21:59:51</t>
        </is>
      </c>
    </row>
    <row r="2092">
      <c r="A2092" t="inlineStr">
        <is>
          <t>TXN00173656</t>
        </is>
      </c>
      <c r="B2092" t="inlineStr">
        <is>
          <t>MER00712</t>
        </is>
      </c>
      <c r="C2092" s="8" t="n">
        <v>45990</v>
      </c>
      <c r="D2092" t="inlineStr">
        <is>
          <t>ORD00173656</t>
        </is>
      </c>
      <c r="E2092" t="n">
        <v>6195.34</v>
      </c>
      <c r="F2092" t="n">
        <v>2.2</v>
      </c>
      <c r="G2092" t="n">
        <v>136.3</v>
      </c>
      <c r="H2092" t="inlineStr">
        <is>
          <t>UPI</t>
        </is>
      </c>
      <c r="I2092" t="inlineStr">
        <is>
          <t>Success</t>
        </is>
      </c>
      <c r="J2092" t="inlineStr">
        <is>
          <t>Delivered</t>
        </is>
      </c>
      <c r="K2092" t="n">
        <v>0</v>
      </c>
      <c r="L2092" t="n">
        <v>0</v>
      </c>
      <c r="M2092" t="inlineStr">
        <is>
          <t>INR</t>
        </is>
      </c>
      <c r="N2092" t="inlineStr">
        <is>
          <t>2025-11-29 08:44:59</t>
        </is>
      </c>
    </row>
    <row r="2093">
      <c r="A2093" t="inlineStr">
        <is>
          <t>TXN00180023</t>
        </is>
      </c>
      <c r="B2093" t="inlineStr">
        <is>
          <t>MER00712</t>
        </is>
      </c>
      <c r="C2093" s="8" t="n">
        <v>46006</v>
      </c>
      <c r="D2093" t="inlineStr">
        <is>
          <t>ORD00180023</t>
        </is>
      </c>
      <c r="E2093" t="n">
        <v>3275.84</v>
      </c>
      <c r="F2093" t="n">
        <v>2.2</v>
      </c>
      <c r="G2093" t="n">
        <v>72.06999999999999</v>
      </c>
      <c r="H2093" t="inlineStr">
        <is>
          <t>UPI</t>
        </is>
      </c>
      <c r="I2093" t="inlineStr">
        <is>
          <t>Success</t>
        </is>
      </c>
      <c r="J2093" t="inlineStr">
        <is>
          <t>Delivered</t>
        </is>
      </c>
      <c r="K2093" t="n">
        <v>0</v>
      </c>
      <c r="L2093" t="n">
        <v>306.84</v>
      </c>
      <c r="M2093" t="inlineStr">
        <is>
          <t>INR</t>
        </is>
      </c>
      <c r="N2093" t="inlineStr">
        <is>
          <t>2025-12-15 09:29:10</t>
        </is>
      </c>
    </row>
    <row r="2094">
      <c r="A2094" t="inlineStr">
        <is>
          <t>TXN00181012</t>
        </is>
      </c>
      <c r="B2094" t="inlineStr">
        <is>
          <t>MER00712</t>
        </is>
      </c>
      <c r="C2094" s="8" t="n">
        <v>46008</v>
      </c>
      <c r="D2094" t="inlineStr">
        <is>
          <t>ORD00181012</t>
        </is>
      </c>
      <c r="E2094" t="n">
        <v>2308.25</v>
      </c>
      <c r="F2094" t="n">
        <v>2.2</v>
      </c>
      <c r="G2094" t="n">
        <v>50.78</v>
      </c>
      <c r="H2094" t="inlineStr">
        <is>
          <t>UPI</t>
        </is>
      </c>
      <c r="I2094" t="inlineStr">
        <is>
          <t>Pending</t>
        </is>
      </c>
      <c r="J2094" t="inlineStr">
        <is>
          <t>Cancelled</t>
        </is>
      </c>
      <c r="K2094" t="n">
        <v>0</v>
      </c>
      <c r="L2094" t="n">
        <v>0</v>
      </c>
      <c r="M2094" t="inlineStr">
        <is>
          <t>INR</t>
        </is>
      </c>
      <c r="N2094" t="inlineStr">
        <is>
          <t>2025-12-17 10:07:05</t>
        </is>
      </c>
    </row>
    <row r="2095">
      <c r="A2095" t="inlineStr">
        <is>
          <t>TXN00181085</t>
        </is>
      </c>
      <c r="B2095" t="inlineStr">
        <is>
          <t>MER00712</t>
        </is>
      </c>
      <c r="C2095" s="8" t="n">
        <v>46009</v>
      </c>
      <c r="D2095" t="inlineStr">
        <is>
          <t>ORD00181085</t>
        </is>
      </c>
      <c r="E2095" t="n">
        <v>5214.67</v>
      </c>
      <c r="F2095" t="n">
        <v>2.2</v>
      </c>
      <c r="G2095" t="n">
        <v>114.72</v>
      </c>
      <c r="H2095" t="inlineStr">
        <is>
          <t>NetBanking</t>
        </is>
      </c>
      <c r="I2095" t="inlineStr">
        <is>
          <t>Success</t>
        </is>
      </c>
      <c r="J2095" t="inlineStr">
        <is>
          <t>Delivered</t>
        </is>
      </c>
      <c r="K2095" t="n">
        <v>0</v>
      </c>
      <c r="L2095" t="n">
        <v>0</v>
      </c>
      <c r="M2095" t="inlineStr">
        <is>
          <t>INR</t>
        </is>
      </c>
      <c r="N2095" t="inlineStr">
        <is>
          <t>2025-12-18 21:02:56</t>
        </is>
      </c>
    </row>
    <row r="2096">
      <c r="A2096" t="inlineStr">
        <is>
          <t>TXN00192397</t>
        </is>
      </c>
      <c r="B2096" t="inlineStr">
        <is>
          <t>MER00712</t>
        </is>
      </c>
      <c r="C2096" s="8" t="n">
        <v>46036</v>
      </c>
      <c r="D2096" t="inlineStr">
        <is>
          <t>ORD00192397</t>
        </is>
      </c>
      <c r="E2096" t="n">
        <v>6559.58</v>
      </c>
      <c r="F2096" t="n">
        <v>2.2</v>
      </c>
      <c r="G2096" t="n">
        <v>144.31</v>
      </c>
      <c r="H2096" t="inlineStr">
        <is>
          <t>UPI</t>
        </is>
      </c>
      <c r="I2096" t="inlineStr">
        <is>
          <t>Success</t>
        </is>
      </c>
      <c r="J2096" t="inlineStr">
        <is>
          <t>Returned</t>
        </is>
      </c>
      <c r="K2096" t="n">
        <v>2359.23</v>
      </c>
      <c r="L2096" t="n">
        <v>0</v>
      </c>
      <c r="M2096" t="inlineStr">
        <is>
          <t>INR</t>
        </is>
      </c>
      <c r="N2096" t="inlineStr">
        <is>
          <t>2026-01-14 23:06:46</t>
        </is>
      </c>
    </row>
    <row r="2097">
      <c r="A2097" t="inlineStr">
        <is>
          <t>TXN00193575</t>
        </is>
      </c>
      <c r="B2097" t="inlineStr">
        <is>
          <t>MER00712</t>
        </is>
      </c>
      <c r="C2097" s="8" t="n">
        <v>46038</v>
      </c>
      <c r="D2097" t="inlineStr">
        <is>
          <t>ORD00193575</t>
        </is>
      </c>
      <c r="E2097" t="n">
        <v>5257.82</v>
      </c>
      <c r="F2097" t="n">
        <v>2.2</v>
      </c>
      <c r="G2097" t="n">
        <v>115.67</v>
      </c>
      <c r="H2097" t="inlineStr">
        <is>
          <t>UPI</t>
        </is>
      </c>
      <c r="I2097" t="inlineStr">
        <is>
          <t>Success</t>
        </is>
      </c>
      <c r="J2097" t="inlineStr">
        <is>
          <t>Delivered</t>
        </is>
      </c>
      <c r="K2097" t="n">
        <v>0</v>
      </c>
      <c r="L2097" t="n">
        <v>1046.42</v>
      </c>
      <c r="M2097" t="inlineStr">
        <is>
          <t>INR</t>
        </is>
      </c>
      <c r="N2097" t="inlineStr">
        <is>
          <t>2026-01-16 09:49:01</t>
        </is>
      </c>
    </row>
    <row r="2098">
      <c r="A2098" t="inlineStr">
        <is>
          <t>TXN00196783</t>
        </is>
      </c>
      <c r="B2098" t="inlineStr">
        <is>
          <t>MER00712</t>
        </is>
      </c>
      <c r="C2098" s="8" t="n">
        <v>46046</v>
      </c>
      <c r="D2098" t="inlineStr">
        <is>
          <t>ORD00196783</t>
        </is>
      </c>
      <c r="E2098" t="n">
        <v>662.3200000000001</v>
      </c>
      <c r="F2098" t="n">
        <v>2.2</v>
      </c>
      <c r="G2098" t="n">
        <v>14.57</v>
      </c>
      <c r="H2098" t="inlineStr">
        <is>
          <t>UPI</t>
        </is>
      </c>
      <c r="I2098" t="inlineStr">
        <is>
          <t>Success</t>
        </is>
      </c>
      <c r="J2098" t="inlineStr">
        <is>
          <t>Delivered</t>
        </is>
      </c>
      <c r="K2098" t="n">
        <v>0</v>
      </c>
      <c r="L2098" t="n">
        <v>0</v>
      </c>
      <c r="M2098" t="inlineStr">
        <is>
          <t>INR</t>
        </is>
      </c>
      <c r="N2098" t="inlineStr">
        <is>
          <t>2026-01-24 05:24:18</t>
        </is>
      </c>
    </row>
    <row r="2099">
      <c r="A2099" t="inlineStr">
        <is>
          <t>TXN00198335</t>
        </is>
      </c>
      <c r="B2099" t="inlineStr">
        <is>
          <t>MER00712</t>
        </is>
      </c>
      <c r="C2099" s="8" t="n">
        <v>46049</v>
      </c>
      <c r="D2099" t="inlineStr">
        <is>
          <t>ORD00198335</t>
        </is>
      </c>
      <c r="E2099" t="n">
        <v>4053.8</v>
      </c>
      <c r="F2099" t="n">
        <v>2.2</v>
      </c>
      <c r="G2099" t="n">
        <v>89.18000000000001</v>
      </c>
      <c r="H2099" t="inlineStr">
        <is>
          <t>UPI</t>
        </is>
      </c>
      <c r="I2099" t="inlineStr">
        <is>
          <t>Success</t>
        </is>
      </c>
      <c r="J2099" t="inlineStr">
        <is>
          <t>Delivered</t>
        </is>
      </c>
      <c r="K2099" t="n">
        <v>0</v>
      </c>
      <c r="L2099" t="n">
        <v>0</v>
      </c>
      <c r="M2099" t="inlineStr">
        <is>
          <t>INR</t>
        </is>
      </c>
      <c r="N2099" t="inlineStr">
        <is>
          <t>2026-01-27 08:48:51</t>
        </is>
      </c>
    </row>
    <row r="2100">
      <c r="A2100" t="inlineStr">
        <is>
          <t>TXN00198317</t>
        </is>
      </c>
      <c r="B2100" t="inlineStr">
        <is>
          <t>MER00712</t>
        </is>
      </c>
      <c r="C2100" s="8" t="n">
        <v>46049</v>
      </c>
      <c r="D2100" t="inlineStr">
        <is>
          <t>ORD00198317</t>
        </is>
      </c>
      <c r="E2100" t="n">
        <v>12097.9</v>
      </c>
      <c r="F2100" t="n">
        <v>2.2</v>
      </c>
      <c r="G2100" t="n">
        <v>266.15</v>
      </c>
      <c r="H2100" t="inlineStr">
        <is>
          <t>UPI</t>
        </is>
      </c>
      <c r="I2100" t="inlineStr">
        <is>
          <t>Success</t>
        </is>
      </c>
      <c r="J2100" t="inlineStr">
        <is>
          <t>Processing</t>
        </is>
      </c>
      <c r="K2100" t="n">
        <v>0</v>
      </c>
      <c r="L2100" t="n">
        <v>0</v>
      </c>
      <c r="M2100" t="inlineStr">
        <is>
          <t>INR</t>
        </is>
      </c>
      <c r="N2100" t="inlineStr">
        <is>
          <t>2026-01-27 19:47:24</t>
        </is>
      </c>
    </row>
    <row r="2101">
      <c r="A2101" t="inlineStr">
        <is>
          <t>TXN00198565</t>
        </is>
      </c>
      <c r="B2101" t="inlineStr">
        <is>
          <t>MER00712</t>
        </is>
      </c>
      <c r="C2101" s="8" t="n">
        <v>46050</v>
      </c>
      <c r="D2101" t="inlineStr">
        <is>
          <t>ORD00198565</t>
        </is>
      </c>
      <c r="E2101" t="n">
        <v>3252.41</v>
      </c>
      <c r="F2101" t="n">
        <v>2.2</v>
      </c>
      <c r="G2101" t="n">
        <v>71.55</v>
      </c>
      <c r="H2101" t="inlineStr">
        <is>
          <t>UPI</t>
        </is>
      </c>
      <c r="I2101" t="inlineStr">
        <is>
          <t>Success</t>
        </is>
      </c>
      <c r="J2101" t="inlineStr">
        <is>
          <t>Delivered</t>
        </is>
      </c>
      <c r="K2101" t="n">
        <v>0</v>
      </c>
      <c r="L2101" t="n">
        <v>0</v>
      </c>
      <c r="M2101" t="inlineStr">
        <is>
          <t>INR</t>
        </is>
      </c>
      <c r="N2101" t="inlineStr">
        <is>
          <t>2026-01-28 18:17:42</t>
        </is>
      </c>
    </row>
    <row r="2102">
      <c r="A2102" t="inlineStr">
        <is>
          <t>TXN00202017</t>
        </is>
      </c>
      <c r="B2102" t="inlineStr">
        <is>
          <t>MER00712</t>
        </is>
      </c>
      <c r="C2102" s="8" t="n">
        <v>46058</v>
      </c>
      <c r="D2102" t="inlineStr">
        <is>
          <t>ORD00202017</t>
        </is>
      </c>
      <c r="E2102" t="n">
        <v>16464.14</v>
      </c>
      <c r="F2102" t="n">
        <v>2.2</v>
      </c>
      <c r="G2102" t="n">
        <v>362.21</v>
      </c>
      <c r="H2102" t="inlineStr">
        <is>
          <t>NetBanking</t>
        </is>
      </c>
      <c r="I2102" t="inlineStr">
        <is>
          <t>Success</t>
        </is>
      </c>
      <c r="J2102" t="inlineStr">
        <is>
          <t>Delivered</t>
        </is>
      </c>
      <c r="K2102" t="n">
        <v>0</v>
      </c>
      <c r="L2102" t="n">
        <v>0</v>
      </c>
      <c r="M2102" t="inlineStr">
        <is>
          <t>INR</t>
        </is>
      </c>
      <c r="N2102" t="inlineStr">
        <is>
          <t>2026-02-05 05:32:57</t>
        </is>
      </c>
    </row>
    <row r="2103">
      <c r="A2103" t="inlineStr">
        <is>
          <t>TXN00207838</t>
        </is>
      </c>
      <c r="B2103" t="inlineStr">
        <is>
          <t>MER00712</t>
        </is>
      </c>
      <c r="C2103" s="8" t="n">
        <v>46072</v>
      </c>
      <c r="D2103" t="inlineStr">
        <is>
          <t>ORD00207838</t>
        </is>
      </c>
      <c r="E2103" t="n">
        <v>3906.14</v>
      </c>
      <c r="F2103" t="n">
        <v>2.2</v>
      </c>
      <c r="G2103" t="n">
        <v>85.94</v>
      </c>
      <c r="H2103" t="inlineStr">
        <is>
          <t>UPI</t>
        </is>
      </c>
      <c r="I2103" t="inlineStr">
        <is>
          <t>Success</t>
        </is>
      </c>
      <c r="J2103" t="inlineStr">
        <is>
          <t>Delivered</t>
        </is>
      </c>
      <c r="K2103" t="n">
        <v>0</v>
      </c>
      <c r="L2103" t="n">
        <v>0</v>
      </c>
      <c r="M2103" t="inlineStr">
        <is>
          <t>INR</t>
        </is>
      </c>
      <c r="N2103" t="inlineStr">
        <is>
          <t>2026-02-19 09:30:44</t>
        </is>
      </c>
    </row>
    <row r="2104">
      <c r="A2104" t="inlineStr">
        <is>
          <t>TXN00222381</t>
        </is>
      </c>
      <c r="B2104" t="inlineStr">
        <is>
          <t>MER00712</t>
        </is>
      </c>
      <c r="C2104" s="8" t="n">
        <v>46111</v>
      </c>
      <c r="D2104" t="inlineStr">
        <is>
          <t>ORD00222381</t>
        </is>
      </c>
      <c r="E2104" t="n">
        <v>5809.21</v>
      </c>
      <c r="F2104" t="n">
        <v>2.2</v>
      </c>
      <c r="G2104" t="n">
        <v>127.8</v>
      </c>
      <c r="H2104" t="inlineStr">
        <is>
          <t>Card</t>
        </is>
      </c>
      <c r="I2104" t="inlineStr">
        <is>
          <t>Success</t>
        </is>
      </c>
      <c r="J2104" t="inlineStr">
        <is>
          <t>Delivered</t>
        </is>
      </c>
      <c r="K2104" t="n">
        <v>0</v>
      </c>
      <c r="L2104" t="n">
        <v>0</v>
      </c>
      <c r="M2104" t="inlineStr">
        <is>
          <t>INR</t>
        </is>
      </c>
      <c r="N2104" t="inlineStr">
        <is>
          <t>2026-03-30 07:44:32</t>
        </is>
      </c>
    </row>
    <row r="2105">
      <c r="A2105" t="inlineStr">
        <is>
          <t>TXN00229420</t>
        </is>
      </c>
      <c r="B2105" t="inlineStr">
        <is>
          <t>MER00712</t>
        </is>
      </c>
      <c r="C2105" s="8" t="n">
        <v>46129</v>
      </c>
      <c r="D2105" t="inlineStr">
        <is>
          <t>ORD00229420</t>
        </is>
      </c>
      <c r="E2105" t="n">
        <v>3395.46</v>
      </c>
      <c r="F2105" t="n">
        <v>2.2</v>
      </c>
      <c r="G2105" t="n">
        <v>74.7</v>
      </c>
      <c r="H2105" t="inlineStr">
        <is>
          <t>UPI</t>
        </is>
      </c>
      <c r="I2105" t="inlineStr">
        <is>
          <t>Success</t>
        </is>
      </c>
      <c r="J2105" t="inlineStr">
        <is>
          <t>Delivered</t>
        </is>
      </c>
      <c r="K2105" t="n">
        <v>0</v>
      </c>
      <c r="L2105" t="n">
        <v>0</v>
      </c>
      <c r="M2105" t="inlineStr">
        <is>
          <t>INR</t>
        </is>
      </c>
      <c r="N2105" t="inlineStr">
        <is>
          <t>2026-04-17 18:58:02</t>
        </is>
      </c>
    </row>
    <row r="2106">
      <c r="A2106" t="inlineStr">
        <is>
          <t>TXN00235202</t>
        </is>
      </c>
      <c r="B2106" t="inlineStr">
        <is>
          <t>MER00712</t>
        </is>
      </c>
      <c r="C2106" s="8" t="n">
        <v>46144</v>
      </c>
      <c r="D2106" t="inlineStr">
        <is>
          <t>ORD00235202</t>
        </is>
      </c>
      <c r="E2106" t="n">
        <v>10432.41</v>
      </c>
      <c r="F2106" t="n">
        <v>2.2</v>
      </c>
      <c r="G2106" t="n">
        <v>229.51</v>
      </c>
      <c r="H2106" t="inlineStr">
        <is>
          <t>UPI</t>
        </is>
      </c>
      <c r="I2106" t="inlineStr">
        <is>
          <t>Success</t>
        </is>
      </c>
      <c r="J2106" t="inlineStr">
        <is>
          <t>Delivered</t>
        </is>
      </c>
      <c r="K2106" t="n">
        <v>0</v>
      </c>
      <c r="L2106" t="n">
        <v>0</v>
      </c>
      <c r="M2106" t="inlineStr">
        <is>
          <t>INR</t>
        </is>
      </c>
      <c r="N2106" t="inlineStr">
        <is>
          <t>2026-05-02 22:41:12</t>
        </is>
      </c>
    </row>
    <row r="2107">
      <c r="A2107" t="inlineStr">
        <is>
          <t>TXN00238332</t>
        </is>
      </c>
      <c r="B2107" t="inlineStr">
        <is>
          <t>MER00712</t>
        </is>
      </c>
      <c r="C2107" s="8" t="n">
        <v>46152</v>
      </c>
      <c r="D2107" t="inlineStr">
        <is>
          <t>ORD00238332</t>
        </is>
      </c>
      <c r="E2107" t="n">
        <v>3892.53</v>
      </c>
      <c r="F2107" t="n">
        <v>2.2</v>
      </c>
      <c r="G2107" t="n">
        <v>85.64</v>
      </c>
      <c r="H2107" t="inlineStr">
        <is>
          <t>UPI</t>
        </is>
      </c>
      <c r="I2107" t="inlineStr">
        <is>
          <t>Success</t>
        </is>
      </c>
      <c r="J2107" t="inlineStr">
        <is>
          <t>Delivered</t>
        </is>
      </c>
      <c r="K2107" t="n">
        <v>0</v>
      </c>
      <c r="L2107" t="n">
        <v>0</v>
      </c>
      <c r="M2107" t="inlineStr">
        <is>
          <t>INR</t>
        </is>
      </c>
      <c r="N2107" t="inlineStr">
        <is>
          <t>2026-05-10 04:52:22</t>
        </is>
      </c>
    </row>
    <row r="2108">
      <c r="A2108" t="inlineStr">
        <is>
          <t>TXN00241303</t>
        </is>
      </c>
      <c r="B2108" t="inlineStr">
        <is>
          <t>MER00712</t>
        </is>
      </c>
      <c r="C2108" s="8" t="n">
        <v>46160</v>
      </c>
      <c r="D2108" t="inlineStr">
        <is>
          <t>ORD00241303</t>
        </is>
      </c>
      <c r="E2108" t="n">
        <v>6863.86</v>
      </c>
      <c r="F2108" t="n">
        <v>2.2</v>
      </c>
      <c r="G2108" t="n">
        <v>151</v>
      </c>
      <c r="H2108" t="inlineStr">
        <is>
          <t>Card</t>
        </is>
      </c>
      <c r="I2108" t="inlineStr">
        <is>
          <t>Success</t>
        </is>
      </c>
      <c r="J2108" t="inlineStr">
        <is>
          <t>Delivered</t>
        </is>
      </c>
      <c r="K2108" t="n">
        <v>0</v>
      </c>
      <c r="L2108" t="n">
        <v>0</v>
      </c>
      <c r="M2108" t="inlineStr">
        <is>
          <t>INR</t>
        </is>
      </c>
      <c r="N2108" t="inlineStr">
        <is>
          <t>2026-05-18 10:25:45</t>
        </is>
      </c>
    </row>
    <row r="2109">
      <c r="A2109" t="inlineStr">
        <is>
          <t>TXN00246174</t>
        </is>
      </c>
      <c r="B2109" t="inlineStr">
        <is>
          <t>MER00712</t>
        </is>
      </c>
      <c r="C2109" s="8" t="n">
        <v>46173</v>
      </c>
      <c r="D2109" t="inlineStr">
        <is>
          <t>ORD00246174</t>
        </is>
      </c>
      <c r="E2109" t="n">
        <v>2320</v>
      </c>
      <c r="F2109" t="n">
        <v>2.2</v>
      </c>
      <c r="G2109" t="n">
        <v>51.04</v>
      </c>
      <c r="H2109" t="inlineStr">
        <is>
          <t>UPI</t>
        </is>
      </c>
      <c r="I2109" t="inlineStr">
        <is>
          <t>Success</t>
        </is>
      </c>
      <c r="J2109" t="inlineStr">
        <is>
          <t>Delivered</t>
        </is>
      </c>
      <c r="K2109" t="n">
        <v>0</v>
      </c>
      <c r="L2109" t="n">
        <v>197.61</v>
      </c>
      <c r="M2109" t="inlineStr">
        <is>
          <t>INR</t>
        </is>
      </c>
      <c r="N2109" t="inlineStr">
        <is>
          <t>2026-05-31 15:58:14</t>
        </is>
      </c>
    </row>
    <row r="2110">
      <c r="A2110" t="inlineStr">
        <is>
          <t>TXN00254547</t>
        </is>
      </c>
      <c r="B2110" t="inlineStr">
        <is>
          <t>MER00712</t>
        </is>
      </c>
      <c r="C2110" s="8" t="n">
        <v>46194</v>
      </c>
      <c r="D2110" t="inlineStr">
        <is>
          <t>ORD00254547</t>
        </is>
      </c>
      <c r="E2110" t="n">
        <v>3126.83</v>
      </c>
      <c r="F2110" t="n">
        <v>2.2</v>
      </c>
      <c r="G2110" t="n">
        <v>68.79000000000001</v>
      </c>
      <c r="H2110" t="inlineStr">
        <is>
          <t>Card</t>
        </is>
      </c>
      <c r="I2110" t="inlineStr">
        <is>
          <t>Success</t>
        </is>
      </c>
      <c r="J2110" t="inlineStr">
        <is>
          <t>Delivered</t>
        </is>
      </c>
      <c r="K2110" t="n">
        <v>0</v>
      </c>
      <c r="L2110" t="n">
        <v>0</v>
      </c>
      <c r="M2110" t="inlineStr">
        <is>
          <t>INR</t>
        </is>
      </c>
      <c r="N2110" t="inlineStr">
        <is>
          <t>2026-06-21 03:12:23</t>
        </is>
      </c>
    </row>
    <row r="2111">
      <c r="A2111" t="inlineStr">
        <is>
          <t>TXN00260368</t>
        </is>
      </c>
      <c r="B2111" t="inlineStr">
        <is>
          <t>MER00712</t>
        </is>
      </c>
      <c r="C2111" s="8" t="n">
        <v>46209</v>
      </c>
      <c r="D2111" t="inlineStr">
        <is>
          <t>ORD00260368</t>
        </is>
      </c>
      <c r="E2111" t="n">
        <v>4653.33</v>
      </c>
      <c r="F2111" t="n">
        <v>2.2</v>
      </c>
      <c r="G2111" t="n">
        <v>102.37</v>
      </c>
      <c r="H2111" t="inlineStr">
        <is>
          <t>Wallet</t>
        </is>
      </c>
      <c r="I2111" t="inlineStr">
        <is>
          <t>Success</t>
        </is>
      </c>
      <c r="J2111" t="inlineStr">
        <is>
          <t>Delivered</t>
        </is>
      </c>
      <c r="K2111" t="n">
        <v>0</v>
      </c>
      <c r="L2111" t="n">
        <v>0</v>
      </c>
      <c r="M2111" t="inlineStr">
        <is>
          <t>INR</t>
        </is>
      </c>
      <c r="N2111" t="inlineStr">
        <is>
          <t>2026-07-06 00:43:48</t>
        </is>
      </c>
    </row>
    <row r="2112">
      <c r="A2112" t="inlineStr">
        <is>
          <t>TXN00262576</t>
        </is>
      </c>
      <c r="B2112" t="inlineStr">
        <is>
          <t>MER00712</t>
        </is>
      </c>
      <c r="C2112" s="8" t="n">
        <v>46214</v>
      </c>
      <c r="D2112" t="inlineStr">
        <is>
          <t>ORD00262576</t>
        </is>
      </c>
      <c r="E2112" t="n">
        <v>3184.8</v>
      </c>
      <c r="F2112" t="n">
        <v>2.61</v>
      </c>
      <c r="G2112" t="n">
        <v>70.06999999999999</v>
      </c>
      <c r="H2112" t="inlineStr">
        <is>
          <t>UPI</t>
        </is>
      </c>
      <c r="I2112" t="inlineStr">
        <is>
          <t>Success</t>
        </is>
      </c>
      <c r="J2112" t="inlineStr">
        <is>
          <t>Delivered</t>
        </is>
      </c>
      <c r="K2112" t="n">
        <v>0</v>
      </c>
      <c r="L2112" t="n">
        <v>0</v>
      </c>
      <c r="M2112" t="inlineStr">
        <is>
          <t>INR</t>
        </is>
      </c>
      <c r="N2112" t="inlineStr">
        <is>
          <t>2026-07-11 01:40:19</t>
        </is>
      </c>
    </row>
    <row r="2113">
      <c r="A2113" t="inlineStr">
        <is>
          <t>TXN00267343</t>
        </is>
      </c>
      <c r="B2113" t="inlineStr">
        <is>
          <t>MER00712</t>
        </is>
      </c>
      <c r="C2113" s="8" t="n">
        <v>46227</v>
      </c>
      <c r="D2113" t="inlineStr">
        <is>
          <t>ORD00267343</t>
        </is>
      </c>
      <c r="E2113" t="n">
        <v>1414.79</v>
      </c>
      <c r="F2113" t="n">
        <v>2.2</v>
      </c>
      <c r="G2113" t="n">
        <v>31.13</v>
      </c>
      <c r="H2113" t="inlineStr">
        <is>
          <t>Card</t>
        </is>
      </c>
      <c r="I2113" t="inlineStr">
        <is>
          <t>Success</t>
        </is>
      </c>
      <c r="J2113" t="inlineStr">
        <is>
          <t>Delivered</t>
        </is>
      </c>
      <c r="K2113" t="n">
        <v>0</v>
      </c>
      <c r="L2113" t="n">
        <v>0</v>
      </c>
      <c r="M2113" t="inlineStr">
        <is>
          <t>INR</t>
        </is>
      </c>
      <c r="N2113" t="inlineStr">
        <is>
          <t>2026-07-24 17:20:10</t>
        </is>
      </c>
    </row>
    <row r="2114">
      <c r="A2114" t="inlineStr">
        <is>
          <t>TXN00267944</t>
        </is>
      </c>
      <c r="B2114" t="inlineStr">
        <is>
          <t>MER00712</t>
        </is>
      </c>
      <c r="C2114" s="8" t="n">
        <v>46228</v>
      </c>
      <c r="D2114" t="inlineStr">
        <is>
          <t>ORD00267944</t>
        </is>
      </c>
      <c r="E2114" t="n">
        <v>2050</v>
      </c>
      <c r="F2114" t="n">
        <v>2.2</v>
      </c>
      <c r="G2114" t="n">
        <v>45.1</v>
      </c>
      <c r="H2114" t="inlineStr">
        <is>
          <t>Card</t>
        </is>
      </c>
      <c r="I2114" t="inlineStr">
        <is>
          <t>Success</t>
        </is>
      </c>
      <c r="J2114" t="inlineStr">
        <is>
          <t>Delivered</t>
        </is>
      </c>
      <c r="K2114" t="n">
        <v>0</v>
      </c>
      <c r="L2114" t="n">
        <v>168.79</v>
      </c>
      <c r="M2114" t="inlineStr">
        <is>
          <t>INR</t>
        </is>
      </c>
      <c r="N2114" t="inlineStr">
        <is>
          <t>2026-07-25 18:40:13</t>
        </is>
      </c>
    </row>
    <row r="2115">
      <c r="A2115" t="inlineStr">
        <is>
          <t>TXN00022186</t>
        </is>
      </c>
      <c r="B2115" t="inlineStr">
        <is>
          <t>MER00716</t>
        </is>
      </c>
      <c r="C2115" s="8" t="n">
        <v>45581</v>
      </c>
      <c r="D2115" t="inlineStr">
        <is>
          <t>ORD00022186</t>
        </is>
      </c>
      <c r="E2115" t="n">
        <v>462.69</v>
      </c>
      <c r="F2115" t="n">
        <v>3.32</v>
      </c>
      <c r="G2115" t="n">
        <v>15.36</v>
      </c>
      <c r="H2115" t="inlineStr">
        <is>
          <t>UPI</t>
        </is>
      </c>
      <c r="I2115" t="inlineStr">
        <is>
          <t>Success</t>
        </is>
      </c>
      <c r="J2115" t="inlineStr">
        <is>
          <t>Returned</t>
        </is>
      </c>
      <c r="K2115" t="n">
        <v>462.69</v>
      </c>
      <c r="L2115" t="n">
        <v>0</v>
      </c>
      <c r="M2115" t="inlineStr">
        <is>
          <t>INR</t>
        </is>
      </c>
      <c r="N2115" t="inlineStr">
        <is>
          <t>2024-10-16 05:54:27</t>
        </is>
      </c>
    </row>
    <row r="2116">
      <c r="A2116" t="inlineStr">
        <is>
          <t>TXN00030257</t>
        </is>
      </c>
      <c r="B2116" t="inlineStr">
        <is>
          <t>MER00716</t>
        </is>
      </c>
      <c r="C2116" s="8" t="n">
        <v>45602</v>
      </c>
      <c r="D2116" t="inlineStr">
        <is>
          <t>ORD00030257</t>
        </is>
      </c>
      <c r="E2116" t="n">
        <v>710.17</v>
      </c>
      <c r="F2116" t="n">
        <v>3.32</v>
      </c>
      <c r="G2116" t="n">
        <v>23.58</v>
      </c>
      <c r="H2116" t="inlineStr">
        <is>
          <t>UPI</t>
        </is>
      </c>
      <c r="I2116" t="inlineStr">
        <is>
          <t>Success</t>
        </is>
      </c>
      <c r="J2116" t="inlineStr">
        <is>
          <t>Delivered</t>
        </is>
      </c>
      <c r="K2116" t="n">
        <v>0</v>
      </c>
      <c r="L2116" t="n">
        <v>52.63</v>
      </c>
      <c r="M2116" t="inlineStr">
        <is>
          <t>INR</t>
        </is>
      </c>
      <c r="N2116" t="inlineStr">
        <is>
          <t>2024-11-06 17:02:37</t>
        </is>
      </c>
    </row>
    <row r="2117">
      <c r="A2117" t="inlineStr">
        <is>
          <t>TXN00063875</t>
        </is>
      </c>
      <c r="B2117" t="inlineStr">
        <is>
          <t>MER00716</t>
        </is>
      </c>
      <c r="C2117" s="8" t="n">
        <v>45691</v>
      </c>
      <c r="D2117" t="inlineStr">
        <is>
          <t>ORD00063875</t>
        </is>
      </c>
      <c r="E2117" t="n">
        <v>671.84</v>
      </c>
      <c r="F2117" t="n">
        <v>3.32</v>
      </c>
      <c r="G2117" t="n">
        <v>22.31</v>
      </c>
      <c r="H2117" t="inlineStr">
        <is>
          <t>UPI</t>
        </is>
      </c>
      <c r="I2117" t="inlineStr">
        <is>
          <t>Success</t>
        </is>
      </c>
      <c r="J2117" t="inlineStr">
        <is>
          <t>Delivered</t>
        </is>
      </c>
      <c r="K2117" t="n">
        <v>0</v>
      </c>
      <c r="L2117" t="n">
        <v>0</v>
      </c>
      <c r="M2117" t="inlineStr">
        <is>
          <t>INR</t>
        </is>
      </c>
      <c r="N2117" t="inlineStr">
        <is>
          <t>2025-02-03 00:53:05</t>
        </is>
      </c>
    </row>
    <row r="2118">
      <c r="A2118" t="inlineStr">
        <is>
          <t>TXN00078779</t>
        </is>
      </c>
      <c r="B2118" t="inlineStr">
        <is>
          <t>MER00716</t>
        </is>
      </c>
      <c r="C2118" s="8" t="n">
        <v>45737</v>
      </c>
      <c r="D2118" t="inlineStr">
        <is>
          <t>ORD00078779</t>
        </is>
      </c>
      <c r="E2118" t="n">
        <v>1368.34</v>
      </c>
      <c r="F2118" t="n">
        <v>3.32</v>
      </c>
      <c r="G2118" t="n">
        <v>45.43</v>
      </c>
      <c r="H2118" t="inlineStr">
        <is>
          <t>Card</t>
        </is>
      </c>
      <c r="I2118" t="inlineStr">
        <is>
          <t>Success</t>
        </is>
      </c>
      <c r="J2118" t="inlineStr">
        <is>
          <t>Delivered</t>
        </is>
      </c>
      <c r="K2118" t="n">
        <v>0</v>
      </c>
      <c r="L2118" t="n">
        <v>0</v>
      </c>
      <c r="M2118" t="inlineStr">
        <is>
          <t>INR</t>
        </is>
      </c>
      <c r="N2118" t="inlineStr">
        <is>
          <t>2025-03-21 12:40:26</t>
        </is>
      </c>
    </row>
    <row r="2119">
      <c r="A2119" t="inlineStr">
        <is>
          <t>TXN00112172</t>
        </is>
      </c>
      <c r="B2119" t="inlineStr">
        <is>
          <t>MER00716</t>
        </is>
      </c>
      <c r="C2119" s="8" t="n">
        <v>45838</v>
      </c>
      <c r="D2119" t="inlineStr">
        <is>
          <t>ORD00112172</t>
        </is>
      </c>
      <c r="E2119" t="n">
        <v>570.49</v>
      </c>
      <c r="F2119" t="n">
        <v>3.32</v>
      </c>
      <c r="G2119" t="n">
        <v>18.94</v>
      </c>
      <c r="H2119" t="inlineStr">
        <is>
          <t>UPI</t>
        </is>
      </c>
      <c r="I2119" t="inlineStr">
        <is>
          <t>Success</t>
        </is>
      </c>
      <c r="J2119" t="inlineStr">
        <is>
          <t>Delivered</t>
        </is>
      </c>
      <c r="K2119" t="n">
        <v>0</v>
      </c>
      <c r="L2119" t="n">
        <v>0</v>
      </c>
      <c r="M2119" t="inlineStr">
        <is>
          <t>INR</t>
        </is>
      </c>
      <c r="N2119" t="inlineStr">
        <is>
          <t>2025-06-30 20:56:27</t>
        </is>
      </c>
    </row>
    <row r="2120">
      <c r="A2120" t="inlineStr">
        <is>
          <t>TXN00112949</t>
        </is>
      </c>
      <c r="B2120" t="inlineStr">
        <is>
          <t>MER00716</t>
        </is>
      </c>
      <c r="C2120" s="8" t="n">
        <v>45840</v>
      </c>
      <c r="D2120" t="inlineStr">
        <is>
          <t>ORD00112949</t>
        </is>
      </c>
      <c r="E2120" t="n">
        <v>695.3</v>
      </c>
      <c r="F2120" t="n">
        <v>3.32</v>
      </c>
      <c r="G2120" t="n">
        <v>23.08</v>
      </c>
      <c r="H2120" t="inlineStr">
        <is>
          <t>UPI</t>
        </is>
      </c>
      <c r="I2120" t="inlineStr">
        <is>
          <t>Success</t>
        </is>
      </c>
      <c r="J2120" t="inlineStr">
        <is>
          <t>Returned</t>
        </is>
      </c>
      <c r="K2120" t="n">
        <v>695.3</v>
      </c>
      <c r="L2120" t="n">
        <v>0</v>
      </c>
      <c r="M2120" t="inlineStr">
        <is>
          <t>INR</t>
        </is>
      </c>
      <c r="N2120" t="inlineStr">
        <is>
          <t>2025-07-02 18:09:12</t>
        </is>
      </c>
    </row>
    <row r="2121">
      <c r="A2121" t="inlineStr">
        <is>
          <t>TXN00116287</t>
        </is>
      </c>
      <c r="B2121" t="inlineStr">
        <is>
          <t>MER00716</t>
        </is>
      </c>
      <c r="C2121" s="8" t="n">
        <v>45850</v>
      </c>
      <c r="D2121" t="inlineStr">
        <is>
          <t>ORD00116287</t>
        </is>
      </c>
      <c r="E2121" t="n">
        <v>1119.45</v>
      </c>
      <c r="F2121" t="n">
        <v>3.32</v>
      </c>
      <c r="G2121" t="n">
        <v>37.17</v>
      </c>
      <c r="H2121" t="inlineStr">
        <is>
          <t>UPI</t>
        </is>
      </c>
      <c r="I2121" t="inlineStr">
        <is>
          <t>Success</t>
        </is>
      </c>
      <c r="J2121" t="inlineStr">
        <is>
          <t>Delivered</t>
        </is>
      </c>
      <c r="K2121" t="n">
        <v>0</v>
      </c>
      <c r="L2121" t="n">
        <v>0</v>
      </c>
      <c r="M2121" t="inlineStr">
        <is>
          <t>INR</t>
        </is>
      </c>
      <c r="N2121" t="inlineStr">
        <is>
          <t>2025-07-12 18:19:19</t>
        </is>
      </c>
    </row>
    <row r="2122">
      <c r="A2122" t="inlineStr">
        <is>
          <t>TXN00139293</t>
        </is>
      </c>
      <c r="B2122" t="inlineStr">
        <is>
          <t>MER00716</t>
        </is>
      </c>
      <c r="C2122" s="8" t="n">
        <v>45918</v>
      </c>
      <c r="D2122" t="inlineStr">
        <is>
          <t>ORD00139293</t>
        </is>
      </c>
      <c r="E2122" t="n">
        <v>1067</v>
      </c>
      <c r="F2122" t="n">
        <v>3.32</v>
      </c>
      <c r="G2122" t="n">
        <v>35.42</v>
      </c>
      <c r="H2122" t="inlineStr">
        <is>
          <t>UPI</t>
        </is>
      </c>
      <c r="I2122" t="inlineStr">
        <is>
          <t>Success</t>
        </is>
      </c>
      <c r="J2122" t="inlineStr">
        <is>
          <t>Returned</t>
        </is>
      </c>
      <c r="K2122" t="n">
        <v>731.5700000000001</v>
      </c>
      <c r="L2122" t="n">
        <v>0</v>
      </c>
      <c r="M2122" t="inlineStr">
        <is>
          <t>INR</t>
        </is>
      </c>
      <c r="N2122" t="inlineStr">
        <is>
          <t>2025-09-18 16:24:12</t>
        </is>
      </c>
    </row>
    <row r="2123">
      <c r="A2123" t="inlineStr">
        <is>
          <t>TXN00162627</t>
        </is>
      </c>
      <c r="B2123" t="inlineStr">
        <is>
          <t>MER00716</t>
        </is>
      </c>
      <c r="C2123" s="8" t="n">
        <v>45970</v>
      </c>
      <c r="D2123" t="inlineStr">
        <is>
          <t>ORD00162627</t>
        </is>
      </c>
      <c r="E2123" t="n">
        <v>3419.43</v>
      </c>
      <c r="F2123" t="n">
        <v>3.32</v>
      </c>
      <c r="G2123" t="n">
        <v>113.53</v>
      </c>
      <c r="H2123" t="inlineStr">
        <is>
          <t>UPI</t>
        </is>
      </c>
      <c r="I2123" t="inlineStr">
        <is>
          <t>Pending</t>
        </is>
      </c>
      <c r="J2123" t="inlineStr">
        <is>
          <t>Cancelled</t>
        </is>
      </c>
      <c r="K2123" t="n">
        <v>0</v>
      </c>
      <c r="L2123" t="n">
        <v>527.39</v>
      </c>
      <c r="M2123" t="inlineStr">
        <is>
          <t>INR</t>
        </is>
      </c>
      <c r="N2123" t="inlineStr">
        <is>
          <t>2025-11-09 14:30:07</t>
        </is>
      </c>
    </row>
    <row r="2124">
      <c r="A2124" t="inlineStr">
        <is>
          <t>TXN00189459</t>
        </is>
      </c>
      <c r="B2124" t="inlineStr">
        <is>
          <t>MER00716</t>
        </is>
      </c>
      <c r="C2124" s="8" t="n">
        <v>46029</v>
      </c>
      <c r="D2124" t="inlineStr">
        <is>
          <t>ORD00189459</t>
        </is>
      </c>
      <c r="E2124" t="n">
        <v>851.03</v>
      </c>
      <c r="F2124" t="n">
        <v>3.32</v>
      </c>
      <c r="G2124" t="n">
        <v>28.25</v>
      </c>
      <c r="H2124" t="inlineStr">
        <is>
          <t>UPI</t>
        </is>
      </c>
      <c r="I2124" t="inlineStr">
        <is>
          <t>Success</t>
        </is>
      </c>
      <c r="J2124" t="inlineStr">
        <is>
          <t>Delivered</t>
        </is>
      </c>
      <c r="K2124" t="n">
        <v>0</v>
      </c>
      <c r="L2124" t="n">
        <v>130.6</v>
      </c>
      <c r="M2124" t="inlineStr">
        <is>
          <t>INR</t>
        </is>
      </c>
      <c r="N2124" t="inlineStr">
        <is>
          <t>2026-01-07 23:34:49</t>
        </is>
      </c>
    </row>
    <row r="2125">
      <c r="A2125" t="inlineStr">
        <is>
          <t>TXN00210959</t>
        </is>
      </c>
      <c r="B2125" t="inlineStr">
        <is>
          <t>MER00716</t>
        </is>
      </c>
      <c r="C2125" s="8" t="n">
        <v>46080</v>
      </c>
      <c r="D2125" t="inlineStr">
        <is>
          <t>ORD00210959</t>
        </is>
      </c>
      <c r="E2125" t="n">
        <v>326.94</v>
      </c>
      <c r="F2125" t="n">
        <v>3.32</v>
      </c>
      <c r="G2125" t="n">
        <v>10.85</v>
      </c>
      <c r="H2125" t="inlineStr">
        <is>
          <t>COD</t>
        </is>
      </c>
      <c r="I2125" t="inlineStr">
        <is>
          <t>Success</t>
        </is>
      </c>
      <c r="J2125" t="inlineStr">
        <is>
          <t>Delivered</t>
        </is>
      </c>
      <c r="K2125" t="n">
        <v>0</v>
      </c>
      <c r="L2125" t="n">
        <v>0</v>
      </c>
      <c r="M2125" t="inlineStr">
        <is>
          <t>INR</t>
        </is>
      </c>
      <c r="N2125" t="inlineStr">
        <is>
          <t>2026-02-27 23:56:04</t>
        </is>
      </c>
    </row>
    <row r="2126">
      <c r="A2126" t="inlineStr">
        <is>
          <t>TXN00232092</t>
        </is>
      </c>
      <c r="B2126" t="inlineStr">
        <is>
          <t>MER00716</t>
        </is>
      </c>
      <c r="C2126" s="8" t="n">
        <v>46136</v>
      </c>
      <c r="D2126" t="inlineStr">
        <is>
          <t>ORD00232092</t>
        </is>
      </c>
      <c r="E2126" t="n">
        <v>2344.87</v>
      </c>
      <c r="F2126" t="n">
        <v>3.32</v>
      </c>
      <c r="G2126" t="n">
        <v>77.84999999999999</v>
      </c>
      <c r="H2126" t="inlineStr">
        <is>
          <t>UPI</t>
        </is>
      </c>
      <c r="I2126" t="inlineStr">
        <is>
          <t>Success</t>
        </is>
      </c>
      <c r="J2126" t="inlineStr">
        <is>
          <t>Delivered</t>
        </is>
      </c>
      <c r="K2126" t="n">
        <v>0</v>
      </c>
      <c r="L2126" t="n">
        <v>0</v>
      </c>
      <c r="M2126" t="inlineStr">
        <is>
          <t>INR</t>
        </is>
      </c>
      <c r="N2126" t="inlineStr">
        <is>
          <t>2026-04-24 23:11:42</t>
        </is>
      </c>
    </row>
    <row r="2127">
      <c r="A2127" t="inlineStr">
        <is>
          <t>TXN00236262</t>
        </is>
      </c>
      <c r="B2127" t="inlineStr">
        <is>
          <t>MER00716</t>
        </is>
      </c>
      <c r="C2127" s="8" t="n">
        <v>46147</v>
      </c>
      <c r="D2127" t="inlineStr">
        <is>
          <t>ORD00236262</t>
        </is>
      </c>
      <c r="E2127" t="n">
        <v>604.3</v>
      </c>
      <c r="F2127" t="n">
        <v>3.32</v>
      </c>
      <c r="G2127" t="n">
        <v>20.06</v>
      </c>
      <c r="H2127" t="inlineStr">
        <is>
          <t>Wallet</t>
        </is>
      </c>
      <c r="I2127" t="inlineStr">
        <is>
          <t>Success</t>
        </is>
      </c>
      <c r="J2127" t="inlineStr">
        <is>
          <t>Delivered</t>
        </is>
      </c>
      <c r="K2127" t="n">
        <v>0</v>
      </c>
      <c r="L2127" t="n">
        <v>0</v>
      </c>
      <c r="M2127" t="inlineStr">
        <is>
          <t>INR</t>
        </is>
      </c>
      <c r="N2127" t="inlineStr">
        <is>
          <t>2026-05-05 22:02:04</t>
        </is>
      </c>
    </row>
    <row r="2128">
      <c r="A2128" t="inlineStr">
        <is>
          <t>TXN00255630</t>
        </is>
      </c>
      <c r="B2128" t="inlineStr">
        <is>
          <t>MER00716</t>
        </is>
      </c>
      <c r="C2128" s="8" t="n">
        <v>46197</v>
      </c>
      <c r="D2128" t="inlineStr">
        <is>
          <t>ORD00255630</t>
        </is>
      </c>
      <c r="E2128" t="n">
        <v>1332.06</v>
      </c>
      <c r="F2128" t="n">
        <v>3.32</v>
      </c>
      <c r="G2128" t="n">
        <v>44.22</v>
      </c>
      <c r="H2128" t="inlineStr">
        <is>
          <t>Card</t>
        </is>
      </c>
      <c r="I2128" t="inlineStr">
        <is>
          <t>Success</t>
        </is>
      </c>
      <c r="J2128" t="inlineStr">
        <is>
          <t>Returned</t>
        </is>
      </c>
      <c r="K2128" t="n">
        <v>1332.06</v>
      </c>
      <c r="L2128" t="n">
        <v>0</v>
      </c>
      <c r="M2128" t="inlineStr">
        <is>
          <t>INR</t>
        </is>
      </c>
      <c r="N2128" t="inlineStr">
        <is>
          <t>2026-06-24 18:15:32</t>
        </is>
      </c>
    </row>
    <row r="2129">
      <c r="A2129" t="inlineStr">
        <is>
          <t>TXN00004520</t>
        </is>
      </c>
      <c r="B2129" t="inlineStr">
        <is>
          <t>MER00726</t>
        </is>
      </c>
      <c r="C2129" s="8" t="n">
        <v>45523</v>
      </c>
      <c r="D2129" t="inlineStr">
        <is>
          <t>ORD00004520</t>
        </is>
      </c>
      <c r="E2129" t="n">
        <v>779.1900000000001</v>
      </c>
      <c r="F2129" t="n">
        <v>3.24</v>
      </c>
      <c r="G2129" t="n">
        <v>25.25</v>
      </c>
      <c r="H2129" t="inlineStr">
        <is>
          <t>UPI</t>
        </is>
      </c>
      <c r="I2129" t="inlineStr">
        <is>
          <t>Success</t>
        </is>
      </c>
      <c r="J2129" t="inlineStr">
        <is>
          <t>Delivered</t>
        </is>
      </c>
      <c r="K2129" t="n">
        <v>0</v>
      </c>
      <c r="L2129" t="n">
        <v>0</v>
      </c>
      <c r="M2129" t="inlineStr">
        <is>
          <t>INR</t>
        </is>
      </c>
      <c r="N2129" t="inlineStr">
        <is>
          <t>2024-08-19 10:32:41</t>
        </is>
      </c>
    </row>
    <row r="2130">
      <c r="A2130" t="inlineStr">
        <is>
          <t>TXN00009310</t>
        </is>
      </c>
      <c r="B2130" t="inlineStr">
        <is>
          <t>MER00726</t>
        </is>
      </c>
      <c r="C2130" s="8" t="n">
        <v>45542</v>
      </c>
      <c r="D2130" t="inlineStr">
        <is>
          <t>ORD00009310</t>
        </is>
      </c>
      <c r="E2130" t="n">
        <v>1105.95</v>
      </c>
      <c r="F2130" t="n">
        <v>3.24</v>
      </c>
      <c r="G2130" t="n">
        <v>35.83</v>
      </c>
      <c r="H2130" t="inlineStr">
        <is>
          <t>UPI</t>
        </is>
      </c>
      <c r="I2130" t="inlineStr">
        <is>
          <t>Success</t>
        </is>
      </c>
      <c r="J2130" t="inlineStr">
        <is>
          <t>Delivered</t>
        </is>
      </c>
      <c r="K2130" t="n">
        <v>0</v>
      </c>
      <c r="L2130" t="n">
        <v>218.52</v>
      </c>
      <c r="M2130" t="inlineStr">
        <is>
          <t>INR</t>
        </is>
      </c>
      <c r="N2130" t="inlineStr">
        <is>
          <t>2024-09-07 12:07:30</t>
        </is>
      </c>
    </row>
    <row r="2131">
      <c r="A2131" t="inlineStr">
        <is>
          <t>TXN00013415</t>
        </is>
      </c>
      <c r="B2131" t="inlineStr">
        <is>
          <t>MER00726</t>
        </is>
      </c>
      <c r="C2131" s="8" t="n">
        <v>45556</v>
      </c>
      <c r="D2131" t="inlineStr">
        <is>
          <t>ORD00013415</t>
        </is>
      </c>
      <c r="E2131" t="n">
        <v>1084.94</v>
      </c>
      <c r="F2131" t="n">
        <v>3.24</v>
      </c>
      <c r="G2131" t="n">
        <v>35.15</v>
      </c>
      <c r="H2131" t="inlineStr">
        <is>
          <t>Card</t>
        </is>
      </c>
      <c r="I2131" t="inlineStr">
        <is>
          <t>Success</t>
        </is>
      </c>
      <c r="J2131" t="inlineStr">
        <is>
          <t>Delivered</t>
        </is>
      </c>
      <c r="K2131" t="n">
        <v>0</v>
      </c>
      <c r="L2131" t="n">
        <v>0</v>
      </c>
      <c r="M2131" t="inlineStr">
        <is>
          <t>INR</t>
        </is>
      </c>
      <c r="N2131" t="inlineStr">
        <is>
          <t>2024-09-21 17:43:59</t>
        </is>
      </c>
    </row>
    <row r="2132">
      <c r="A2132" t="inlineStr">
        <is>
          <t>TXN00026359</t>
        </is>
      </c>
      <c r="B2132" t="inlineStr">
        <is>
          <t>MER00726</t>
        </is>
      </c>
      <c r="C2132" s="8" t="n">
        <v>45592</v>
      </c>
      <c r="D2132" t="inlineStr">
        <is>
          <t>ORD00026359</t>
        </is>
      </c>
      <c r="E2132" t="n">
        <v>427.66</v>
      </c>
      <c r="F2132" t="n">
        <v>3.24</v>
      </c>
      <c r="G2132" t="n">
        <v>13.86</v>
      </c>
      <c r="H2132" t="inlineStr">
        <is>
          <t>UPI</t>
        </is>
      </c>
      <c r="I2132" t="inlineStr">
        <is>
          <t>Success</t>
        </is>
      </c>
      <c r="J2132" t="inlineStr">
        <is>
          <t>Delivered</t>
        </is>
      </c>
      <c r="K2132" t="n">
        <v>0</v>
      </c>
      <c r="L2132" t="n">
        <v>0</v>
      </c>
      <c r="M2132" t="inlineStr">
        <is>
          <t>INR</t>
        </is>
      </c>
      <c r="N2132" t="inlineStr">
        <is>
          <t>2024-10-27 06:24:44</t>
        </is>
      </c>
    </row>
    <row r="2133">
      <c r="A2133" t="inlineStr">
        <is>
          <t>TXN00071959</t>
        </is>
      </c>
      <c r="B2133" t="inlineStr">
        <is>
          <t>MER00726</t>
        </is>
      </c>
      <c r="C2133" s="8" t="n">
        <v>45715</v>
      </c>
      <c r="D2133" t="inlineStr">
        <is>
          <t>ORD00071959</t>
        </is>
      </c>
      <c r="E2133" t="n">
        <v>368.78</v>
      </c>
      <c r="F2133" t="n">
        <v>3.24</v>
      </c>
      <c r="G2133" t="n">
        <v>11.95</v>
      </c>
      <c r="H2133" t="inlineStr">
        <is>
          <t>NetBanking</t>
        </is>
      </c>
      <c r="I2133" t="inlineStr">
        <is>
          <t>Success</t>
        </is>
      </c>
      <c r="J2133" t="inlineStr">
        <is>
          <t>Delivered</t>
        </is>
      </c>
      <c r="K2133" t="n">
        <v>0</v>
      </c>
      <c r="L2133" t="n">
        <v>58.37</v>
      </c>
      <c r="M2133" t="inlineStr">
        <is>
          <t>INR</t>
        </is>
      </c>
      <c r="N2133" t="inlineStr">
        <is>
          <t>2025-02-27 22:23:01</t>
        </is>
      </c>
    </row>
    <row r="2134">
      <c r="A2134" t="inlineStr">
        <is>
          <t>TXN00092782</t>
        </is>
      </c>
      <c r="B2134" t="inlineStr">
        <is>
          <t>MER00726</t>
        </is>
      </c>
      <c r="C2134" s="8" t="n">
        <v>45780</v>
      </c>
      <c r="D2134" t="inlineStr">
        <is>
          <t>ORD00092782</t>
        </is>
      </c>
      <c r="E2134" t="n">
        <v>312.2</v>
      </c>
      <c r="F2134" t="n">
        <v>3.24</v>
      </c>
      <c r="G2134" t="n">
        <v>10.12</v>
      </c>
      <c r="H2134" t="inlineStr">
        <is>
          <t>Card</t>
        </is>
      </c>
      <c r="I2134" t="inlineStr">
        <is>
          <t>Success</t>
        </is>
      </c>
      <c r="J2134" t="inlineStr">
        <is>
          <t>Delivered</t>
        </is>
      </c>
      <c r="K2134" t="n">
        <v>0</v>
      </c>
      <c r="L2134" t="n">
        <v>41.94</v>
      </c>
      <c r="M2134" t="inlineStr">
        <is>
          <t>INR</t>
        </is>
      </c>
      <c r="N2134" t="inlineStr">
        <is>
          <t>2025-05-03 09:51:33</t>
        </is>
      </c>
    </row>
    <row r="2135">
      <c r="A2135" t="inlineStr">
        <is>
          <t>TXN00107359</t>
        </is>
      </c>
      <c r="B2135" t="inlineStr">
        <is>
          <t>MER00726</t>
        </is>
      </c>
      <c r="C2135" s="8" t="n">
        <v>45824</v>
      </c>
      <c r="D2135" t="inlineStr">
        <is>
          <t>ORD00107359</t>
        </is>
      </c>
      <c r="E2135" t="n">
        <v>964.76</v>
      </c>
      <c r="F2135" t="n">
        <v>3.24</v>
      </c>
      <c r="G2135" t="n">
        <v>31.26</v>
      </c>
      <c r="H2135" t="inlineStr">
        <is>
          <t>UPI</t>
        </is>
      </c>
      <c r="I2135" t="inlineStr">
        <is>
          <t>Success</t>
        </is>
      </c>
      <c r="J2135" t="inlineStr">
        <is>
          <t>Delivered</t>
        </is>
      </c>
      <c r="K2135" t="n">
        <v>0</v>
      </c>
      <c r="L2135" t="n">
        <v>0</v>
      </c>
      <c r="M2135" t="inlineStr">
        <is>
          <t>INR</t>
        </is>
      </c>
      <c r="N2135" t="inlineStr">
        <is>
          <t>2025-06-16 18:40:57</t>
        </is>
      </c>
    </row>
    <row r="2136">
      <c r="A2136" t="inlineStr">
        <is>
          <t>TXN00118756</t>
        </is>
      </c>
      <c r="B2136" t="inlineStr">
        <is>
          <t>MER00726</t>
        </is>
      </c>
      <c r="C2136" s="8" t="n">
        <v>45858</v>
      </c>
      <c r="D2136" t="inlineStr">
        <is>
          <t>ORD00118756</t>
        </is>
      </c>
      <c r="E2136" t="n">
        <v>894.38</v>
      </c>
      <c r="F2136" t="n">
        <v>3.04</v>
      </c>
      <c r="G2136" t="n">
        <v>27.19</v>
      </c>
      <c r="H2136" t="inlineStr">
        <is>
          <t>Card</t>
        </is>
      </c>
      <c r="I2136" t="inlineStr">
        <is>
          <t>Success</t>
        </is>
      </c>
      <c r="J2136" t="inlineStr">
        <is>
          <t>Delivered</t>
        </is>
      </c>
      <c r="K2136" t="n">
        <v>0</v>
      </c>
      <c r="L2136" t="n">
        <v>0</v>
      </c>
      <c r="M2136" t="inlineStr">
        <is>
          <t>INR</t>
        </is>
      </c>
      <c r="N2136" t="inlineStr">
        <is>
          <t>2025-07-20 07:36:38</t>
        </is>
      </c>
    </row>
    <row r="2137">
      <c r="A2137" t="inlineStr">
        <is>
          <t>TXN00123968</t>
        </is>
      </c>
      <c r="B2137" t="inlineStr">
        <is>
          <t>MER00726</t>
        </is>
      </c>
      <c r="C2137" s="8" t="n">
        <v>45873</v>
      </c>
      <c r="D2137" t="inlineStr">
        <is>
          <t>ORD00123968</t>
        </is>
      </c>
      <c r="E2137" t="n">
        <v>456.7</v>
      </c>
      <c r="F2137" t="n">
        <v>3.04</v>
      </c>
      <c r="G2137" t="n">
        <v>13.88</v>
      </c>
      <c r="H2137" t="inlineStr">
        <is>
          <t>UPI</t>
        </is>
      </c>
      <c r="I2137" t="inlineStr">
        <is>
          <t>Success</t>
        </is>
      </c>
      <c r="J2137" t="inlineStr">
        <is>
          <t>Delivered</t>
        </is>
      </c>
      <c r="K2137" t="n">
        <v>0</v>
      </c>
      <c r="L2137" t="n">
        <v>44.47</v>
      </c>
      <c r="M2137" t="inlineStr">
        <is>
          <t>INR</t>
        </is>
      </c>
      <c r="N2137" t="inlineStr">
        <is>
          <t>2025-08-04 03:36:02</t>
        </is>
      </c>
    </row>
    <row r="2138">
      <c r="A2138" t="inlineStr">
        <is>
          <t>TXN00141080</t>
        </is>
      </c>
      <c r="B2138" t="inlineStr">
        <is>
          <t>MER00726</t>
        </is>
      </c>
      <c r="C2138" s="8" t="n">
        <v>45923</v>
      </c>
      <c r="D2138" t="inlineStr">
        <is>
          <t>ORD00141080</t>
        </is>
      </c>
      <c r="E2138" t="n">
        <v>313.97</v>
      </c>
      <c r="F2138" t="n">
        <v>3.04</v>
      </c>
      <c r="G2138" t="n">
        <v>9.539999999999999</v>
      </c>
      <c r="H2138" t="inlineStr">
        <is>
          <t>UPI</t>
        </is>
      </c>
      <c r="I2138" t="inlineStr">
        <is>
          <t>Success</t>
        </is>
      </c>
      <c r="J2138" t="inlineStr">
        <is>
          <t>Delivered</t>
        </is>
      </c>
      <c r="K2138" t="n">
        <v>0</v>
      </c>
      <c r="L2138" t="n">
        <v>0</v>
      </c>
      <c r="M2138" t="inlineStr">
        <is>
          <t>INR</t>
        </is>
      </c>
      <c r="N2138" t="inlineStr">
        <is>
          <t>2025-09-23 01:09:03</t>
        </is>
      </c>
    </row>
    <row r="2139">
      <c r="A2139" t="inlineStr">
        <is>
          <t>TXN00147682</t>
        </is>
      </c>
      <c r="B2139" t="inlineStr">
        <is>
          <t>MER00726</t>
        </is>
      </c>
      <c r="C2139" s="8" t="n">
        <v>45939</v>
      </c>
      <c r="D2139" t="inlineStr">
        <is>
          <t>ORD00147682</t>
        </is>
      </c>
      <c r="E2139" t="n">
        <v>450.83</v>
      </c>
      <c r="F2139" t="n">
        <v>3.04</v>
      </c>
      <c r="G2139" t="n">
        <v>13.71</v>
      </c>
      <c r="H2139" t="inlineStr">
        <is>
          <t>Card</t>
        </is>
      </c>
      <c r="I2139" t="inlineStr">
        <is>
          <t>Success</t>
        </is>
      </c>
      <c r="J2139" t="inlineStr">
        <is>
          <t>Delivered</t>
        </is>
      </c>
      <c r="K2139" t="n">
        <v>0</v>
      </c>
      <c r="L2139" t="n">
        <v>0</v>
      </c>
      <c r="M2139" t="inlineStr">
        <is>
          <t>INR</t>
        </is>
      </c>
      <c r="N2139" t="inlineStr">
        <is>
          <t>2025-10-09 09:54:39</t>
        </is>
      </c>
    </row>
    <row r="2140">
      <c r="A2140" t="inlineStr">
        <is>
          <t>TXN00160171</t>
        </is>
      </c>
      <c r="B2140" t="inlineStr">
        <is>
          <t>MER00726</t>
        </is>
      </c>
      <c r="C2140" s="8" t="n">
        <v>45965</v>
      </c>
      <c r="D2140" t="inlineStr">
        <is>
          <t>ORD00160171</t>
        </is>
      </c>
      <c r="E2140" t="n">
        <v>660.7</v>
      </c>
      <c r="F2140" t="n">
        <v>3.04</v>
      </c>
      <c r="G2140" t="n">
        <v>20.09</v>
      </c>
      <c r="H2140" t="inlineStr">
        <is>
          <t>COD</t>
        </is>
      </c>
      <c r="I2140" t="inlineStr">
        <is>
          <t>Success</t>
        </is>
      </c>
      <c r="J2140" t="inlineStr">
        <is>
          <t>Delivered</t>
        </is>
      </c>
      <c r="K2140" t="n">
        <v>0</v>
      </c>
      <c r="L2140" t="n">
        <v>0</v>
      </c>
      <c r="M2140" t="inlineStr">
        <is>
          <t>INR</t>
        </is>
      </c>
      <c r="N2140" t="inlineStr">
        <is>
          <t>2025-11-04 17:56:56</t>
        </is>
      </c>
    </row>
    <row r="2141">
      <c r="A2141" t="inlineStr">
        <is>
          <t>TXN00162945</t>
        </is>
      </c>
      <c r="B2141" t="inlineStr">
        <is>
          <t>MER00726</t>
        </is>
      </c>
      <c r="C2141" s="8" t="n">
        <v>45970</v>
      </c>
      <c r="D2141" t="inlineStr">
        <is>
          <t>ORD00162945</t>
        </is>
      </c>
      <c r="E2141" t="n">
        <v>767.11</v>
      </c>
      <c r="F2141" t="n">
        <v>3.04</v>
      </c>
      <c r="G2141" t="n">
        <v>23.32</v>
      </c>
      <c r="H2141" t="inlineStr">
        <is>
          <t>NetBanking</t>
        </is>
      </c>
      <c r="I2141" t="inlineStr">
        <is>
          <t>Success</t>
        </is>
      </c>
      <c r="J2141" t="inlineStr">
        <is>
          <t>Delivered</t>
        </is>
      </c>
      <c r="K2141" t="n">
        <v>0</v>
      </c>
      <c r="L2141" t="n">
        <v>0</v>
      </c>
      <c r="M2141" t="inlineStr">
        <is>
          <t>INR</t>
        </is>
      </c>
      <c r="N2141" t="inlineStr">
        <is>
          <t>2025-11-09 02:30:31</t>
        </is>
      </c>
    </row>
    <row r="2142">
      <c r="A2142" t="inlineStr">
        <is>
          <t>TXN00174580</t>
        </is>
      </c>
      <c r="B2142" t="inlineStr">
        <is>
          <t>MER00726</t>
        </is>
      </c>
      <c r="C2142" s="8" t="n">
        <v>45991</v>
      </c>
      <c r="D2142" t="inlineStr">
        <is>
          <t>ORD00174580</t>
        </is>
      </c>
      <c r="E2142" t="n">
        <v>200</v>
      </c>
      <c r="F2142" t="n">
        <v>3.04</v>
      </c>
      <c r="G2142" t="n">
        <v>6.08</v>
      </c>
      <c r="H2142" t="inlineStr">
        <is>
          <t>Card</t>
        </is>
      </c>
      <c r="I2142" t="inlineStr">
        <is>
          <t>Success</t>
        </is>
      </c>
      <c r="J2142" t="inlineStr">
        <is>
          <t>Delivered</t>
        </is>
      </c>
      <c r="K2142" t="n">
        <v>0</v>
      </c>
      <c r="L2142" t="n">
        <v>0</v>
      </c>
      <c r="M2142" t="inlineStr">
        <is>
          <t>INR</t>
        </is>
      </c>
      <c r="N2142" t="inlineStr">
        <is>
          <t>2025-11-30 19:37:42</t>
        </is>
      </c>
    </row>
    <row r="2143">
      <c r="A2143" t="inlineStr">
        <is>
          <t>TXN00200434</t>
        </is>
      </c>
      <c r="B2143" t="inlineStr">
        <is>
          <t>MER00726</t>
        </is>
      </c>
      <c r="C2143" s="8" t="n">
        <v>46054</v>
      </c>
      <c r="D2143" t="inlineStr">
        <is>
          <t>ORD00200434</t>
        </is>
      </c>
      <c r="E2143" t="n">
        <v>667.16</v>
      </c>
      <c r="F2143" t="n">
        <v>3.04</v>
      </c>
      <c r="G2143" t="n">
        <v>20.28</v>
      </c>
      <c r="H2143" t="inlineStr">
        <is>
          <t>Card</t>
        </is>
      </c>
      <c r="I2143" t="inlineStr">
        <is>
          <t>Success</t>
        </is>
      </c>
      <c r="J2143" t="inlineStr">
        <is>
          <t>Delivered</t>
        </is>
      </c>
      <c r="K2143" t="n">
        <v>0</v>
      </c>
      <c r="L2143" t="n">
        <v>0</v>
      </c>
      <c r="M2143" t="inlineStr">
        <is>
          <t>INR</t>
        </is>
      </c>
      <c r="N2143" t="inlineStr">
        <is>
          <t>2026-02-01 12:29:06</t>
        </is>
      </c>
    </row>
    <row r="2144">
      <c r="A2144" t="inlineStr">
        <is>
          <t>TXN00205522</t>
        </is>
      </c>
      <c r="B2144" t="inlineStr">
        <is>
          <t>MER00726</t>
        </is>
      </c>
      <c r="C2144" s="8" t="n">
        <v>46066</v>
      </c>
      <c r="D2144" t="inlineStr">
        <is>
          <t>ORD00205522</t>
        </is>
      </c>
      <c r="E2144" t="n">
        <v>939.35</v>
      </c>
      <c r="F2144" t="n">
        <v>3.04</v>
      </c>
      <c r="G2144" t="n">
        <v>28.56</v>
      </c>
      <c r="H2144" t="inlineStr">
        <is>
          <t>Wallet</t>
        </is>
      </c>
      <c r="I2144" t="inlineStr">
        <is>
          <t>Success</t>
        </is>
      </c>
      <c r="J2144" t="inlineStr">
        <is>
          <t>Delivered</t>
        </is>
      </c>
      <c r="K2144" t="n">
        <v>0</v>
      </c>
      <c r="L2144" t="n">
        <v>0</v>
      </c>
      <c r="M2144" t="inlineStr">
        <is>
          <t>INR</t>
        </is>
      </c>
      <c r="N2144" t="inlineStr">
        <is>
          <t>2026-02-13 14:42:41</t>
        </is>
      </c>
    </row>
    <row r="2145">
      <c r="A2145" t="inlineStr">
        <is>
          <t>TXN00250275</t>
        </is>
      </c>
      <c r="B2145" t="inlineStr">
        <is>
          <t>MER00726</t>
        </is>
      </c>
      <c r="C2145" s="8" t="n">
        <v>46183</v>
      </c>
      <c r="D2145" t="inlineStr">
        <is>
          <t>ORD00250275</t>
        </is>
      </c>
      <c r="E2145" t="n">
        <v>526.4</v>
      </c>
      <c r="F2145" t="n">
        <v>3.04</v>
      </c>
      <c r="G2145" t="n">
        <v>16</v>
      </c>
      <c r="H2145" t="inlineStr">
        <is>
          <t>Card</t>
        </is>
      </c>
      <c r="I2145" t="inlineStr">
        <is>
          <t>Success</t>
        </is>
      </c>
      <c r="J2145" t="inlineStr">
        <is>
          <t>Returned</t>
        </is>
      </c>
      <c r="K2145" t="n">
        <v>526.4</v>
      </c>
      <c r="L2145" t="n">
        <v>0</v>
      </c>
      <c r="M2145" t="inlineStr">
        <is>
          <t>INR</t>
        </is>
      </c>
      <c r="N2145" t="inlineStr">
        <is>
          <t>2026-06-10 16:35:24</t>
        </is>
      </c>
    </row>
    <row r="2146">
      <c r="A2146" t="inlineStr">
        <is>
          <t>TXN00251985</t>
        </is>
      </c>
      <c r="B2146" t="inlineStr">
        <is>
          <t>MER00726</t>
        </is>
      </c>
      <c r="C2146" s="8" t="n">
        <v>46188</v>
      </c>
      <c r="D2146" t="inlineStr">
        <is>
          <t>ORD00251985</t>
        </is>
      </c>
      <c r="E2146" t="n">
        <v>446.43</v>
      </c>
      <c r="F2146" t="n">
        <v>3.04</v>
      </c>
      <c r="G2146" t="n">
        <v>13.57</v>
      </c>
      <c r="H2146" t="inlineStr">
        <is>
          <t>UPI</t>
        </is>
      </c>
      <c r="I2146" t="inlineStr">
        <is>
          <t>Success</t>
        </is>
      </c>
      <c r="J2146" t="inlineStr">
        <is>
          <t>Delivered</t>
        </is>
      </c>
      <c r="K2146" t="n">
        <v>0</v>
      </c>
      <c r="L2146" t="n">
        <v>45.1</v>
      </c>
      <c r="M2146" t="inlineStr">
        <is>
          <t>INR</t>
        </is>
      </c>
      <c r="N2146" t="inlineStr">
        <is>
          <t>2026-06-15 14:10:32</t>
        </is>
      </c>
    </row>
    <row r="2147">
      <c r="A2147" t="inlineStr">
        <is>
          <t>TXN00006945</t>
        </is>
      </c>
      <c r="B2147" t="inlineStr">
        <is>
          <t>MER00728</t>
        </is>
      </c>
      <c r="C2147" s="8" t="n">
        <v>45533</v>
      </c>
      <c r="D2147" t="inlineStr">
        <is>
          <t>ORD00006945</t>
        </is>
      </c>
      <c r="E2147" t="n">
        <v>1292.29</v>
      </c>
      <c r="F2147" t="n">
        <v>2.28</v>
      </c>
      <c r="G2147" t="n">
        <v>29.46</v>
      </c>
      <c r="H2147" t="inlineStr">
        <is>
          <t>Wallet</t>
        </is>
      </c>
      <c r="I2147" t="inlineStr">
        <is>
          <t>Success</t>
        </is>
      </c>
      <c r="J2147" t="inlineStr">
        <is>
          <t>Delivered</t>
        </is>
      </c>
      <c r="K2147" t="n">
        <v>0</v>
      </c>
      <c r="L2147" t="n">
        <v>0</v>
      </c>
      <c r="M2147" t="inlineStr">
        <is>
          <t>INR</t>
        </is>
      </c>
      <c r="N2147" t="inlineStr">
        <is>
          <t>2024-08-29 02:45:11</t>
        </is>
      </c>
    </row>
    <row r="2148">
      <c r="A2148" t="inlineStr">
        <is>
          <t>TXN00010029</t>
        </is>
      </c>
      <c r="B2148" t="inlineStr">
        <is>
          <t>MER00728</t>
        </is>
      </c>
      <c r="C2148" s="8" t="n">
        <v>45544</v>
      </c>
      <c r="D2148" t="inlineStr">
        <is>
          <t>ORD00010029</t>
        </is>
      </c>
      <c r="E2148" t="n">
        <v>1413.58</v>
      </c>
      <c r="F2148" t="n">
        <v>2.28</v>
      </c>
      <c r="G2148" t="n">
        <v>32.23</v>
      </c>
      <c r="H2148" t="inlineStr">
        <is>
          <t>UPI</t>
        </is>
      </c>
      <c r="I2148" t="inlineStr">
        <is>
          <t>Pending</t>
        </is>
      </c>
      <c r="J2148" t="inlineStr">
        <is>
          <t>Processing</t>
        </is>
      </c>
      <c r="K2148" t="n">
        <v>0</v>
      </c>
      <c r="L2148" t="n">
        <v>0</v>
      </c>
      <c r="M2148" t="inlineStr">
        <is>
          <t>INR</t>
        </is>
      </c>
      <c r="N2148" t="inlineStr">
        <is>
          <t>2024-09-09 15:11:05</t>
        </is>
      </c>
    </row>
    <row r="2149">
      <c r="A2149" t="inlineStr">
        <is>
          <t>TXN00012186</t>
        </is>
      </c>
      <c r="B2149" t="inlineStr">
        <is>
          <t>MER00728</t>
        </is>
      </c>
      <c r="C2149" s="8" t="n">
        <v>45552</v>
      </c>
      <c r="D2149" t="inlineStr">
        <is>
          <t>ORD00012186</t>
        </is>
      </c>
      <c r="E2149" t="n">
        <v>1606.41</v>
      </c>
      <c r="F2149" t="n">
        <v>2.28</v>
      </c>
      <c r="G2149" t="n">
        <v>36.63</v>
      </c>
      <c r="H2149" t="inlineStr">
        <is>
          <t>UPI</t>
        </is>
      </c>
      <c r="I2149" t="inlineStr">
        <is>
          <t>Success</t>
        </is>
      </c>
      <c r="J2149" t="inlineStr">
        <is>
          <t>Delivered</t>
        </is>
      </c>
      <c r="K2149" t="n">
        <v>0</v>
      </c>
      <c r="L2149" t="n">
        <v>185.57</v>
      </c>
      <c r="M2149" t="inlineStr">
        <is>
          <t>INR</t>
        </is>
      </c>
      <c r="N2149" t="inlineStr">
        <is>
          <t>2024-09-17 19:13:19</t>
        </is>
      </c>
    </row>
    <row r="2150">
      <c r="A2150" t="inlineStr">
        <is>
          <t>TXN00013557</t>
        </is>
      </c>
      <c r="B2150" t="inlineStr">
        <is>
          <t>MER00728</t>
        </is>
      </c>
      <c r="C2150" s="8" t="n">
        <v>45557</v>
      </c>
      <c r="D2150" t="inlineStr">
        <is>
          <t>ORD00013557</t>
        </is>
      </c>
      <c r="E2150" t="n">
        <v>445.93</v>
      </c>
      <c r="F2150" t="n">
        <v>2.28</v>
      </c>
      <c r="G2150" t="n">
        <v>10.17</v>
      </c>
      <c r="H2150" t="inlineStr">
        <is>
          <t>COD</t>
        </is>
      </c>
      <c r="I2150" t="inlineStr">
        <is>
          <t>Success</t>
        </is>
      </c>
      <c r="J2150" t="inlineStr">
        <is>
          <t>Delivered</t>
        </is>
      </c>
      <c r="K2150" t="n">
        <v>0</v>
      </c>
      <c r="L2150" t="n">
        <v>0</v>
      </c>
      <c r="M2150" t="inlineStr">
        <is>
          <t>INR</t>
        </is>
      </c>
      <c r="N2150" t="inlineStr">
        <is>
          <t>2024-09-22 07:02:25</t>
        </is>
      </c>
    </row>
    <row r="2151">
      <c r="A2151" t="inlineStr">
        <is>
          <t>TXN00013755</t>
        </is>
      </c>
      <c r="B2151" t="inlineStr">
        <is>
          <t>MER00728</t>
        </is>
      </c>
      <c r="C2151" s="8" t="n">
        <v>45558</v>
      </c>
      <c r="D2151" t="inlineStr">
        <is>
          <t>ORD00013755</t>
        </is>
      </c>
      <c r="E2151" t="n">
        <v>1045.5</v>
      </c>
      <c r="F2151" t="n">
        <v>2.28</v>
      </c>
      <c r="G2151" t="n">
        <v>23.84</v>
      </c>
      <c r="H2151" t="inlineStr">
        <is>
          <t>UPI</t>
        </is>
      </c>
      <c r="I2151" t="inlineStr">
        <is>
          <t>Success</t>
        </is>
      </c>
      <c r="J2151" t="inlineStr">
        <is>
          <t>Delivered</t>
        </is>
      </c>
      <c r="K2151" t="n">
        <v>0</v>
      </c>
      <c r="L2151" t="n">
        <v>0</v>
      </c>
      <c r="M2151" t="inlineStr">
        <is>
          <t>INR</t>
        </is>
      </c>
      <c r="N2151" t="inlineStr">
        <is>
          <t>2024-09-23 02:51:34</t>
        </is>
      </c>
    </row>
    <row r="2152">
      <c r="A2152" t="inlineStr">
        <is>
          <t>TXN00016688</t>
        </is>
      </c>
      <c r="B2152" t="inlineStr">
        <is>
          <t>MER00728</t>
        </is>
      </c>
      <c r="C2152" s="8" t="n">
        <v>45567</v>
      </c>
      <c r="D2152" t="inlineStr">
        <is>
          <t>ORD00016688</t>
        </is>
      </c>
      <c r="E2152" t="n">
        <v>551.61</v>
      </c>
      <c r="F2152" t="n">
        <v>2.28</v>
      </c>
      <c r="G2152" t="n">
        <v>12.58</v>
      </c>
      <c r="H2152" t="inlineStr">
        <is>
          <t>UPI</t>
        </is>
      </c>
      <c r="I2152" t="inlineStr">
        <is>
          <t>Success</t>
        </is>
      </c>
      <c r="J2152" t="inlineStr">
        <is>
          <t>Delivered</t>
        </is>
      </c>
      <c r="K2152" t="n">
        <v>0</v>
      </c>
      <c r="L2152" t="n">
        <v>105.26</v>
      </c>
      <c r="M2152" t="inlineStr">
        <is>
          <t>INR</t>
        </is>
      </c>
      <c r="N2152" t="inlineStr">
        <is>
          <t>2024-10-02 08:48:06</t>
        </is>
      </c>
    </row>
    <row r="2153">
      <c r="A2153" t="inlineStr">
        <is>
          <t>TXN00018688</t>
        </is>
      </c>
      <c r="B2153" t="inlineStr">
        <is>
          <t>MER00728</t>
        </is>
      </c>
      <c r="C2153" s="8" t="n">
        <v>45572</v>
      </c>
      <c r="D2153" t="inlineStr">
        <is>
          <t>ORD00018688</t>
        </is>
      </c>
      <c r="E2153" t="n">
        <v>2223.63</v>
      </c>
      <c r="F2153" t="n">
        <v>2.28</v>
      </c>
      <c r="G2153" t="n">
        <v>50.7</v>
      </c>
      <c r="H2153" t="inlineStr">
        <is>
          <t>UPI</t>
        </is>
      </c>
      <c r="I2153" t="inlineStr">
        <is>
          <t>Success</t>
        </is>
      </c>
      <c r="J2153" t="inlineStr">
        <is>
          <t>Delivered</t>
        </is>
      </c>
      <c r="K2153" t="n">
        <v>0</v>
      </c>
      <c r="L2153" t="n">
        <v>0</v>
      </c>
      <c r="M2153" t="inlineStr">
        <is>
          <t>INR</t>
        </is>
      </c>
      <c r="N2153" t="inlineStr">
        <is>
          <t>2024-10-07 05:57:46</t>
        </is>
      </c>
    </row>
    <row r="2154">
      <c r="A2154" t="inlineStr">
        <is>
          <t>TXN00020016</t>
        </is>
      </c>
      <c r="B2154" t="inlineStr">
        <is>
          <t>MER00728</t>
        </is>
      </c>
      <c r="C2154" s="8" t="n">
        <v>45576</v>
      </c>
      <c r="D2154" t="inlineStr">
        <is>
          <t>ORD00020016</t>
        </is>
      </c>
      <c r="E2154" t="n">
        <v>1135.51</v>
      </c>
      <c r="F2154" t="n">
        <v>2.92</v>
      </c>
      <c r="G2154" t="n">
        <v>25.89</v>
      </c>
      <c r="H2154" t="inlineStr">
        <is>
          <t>UPI</t>
        </is>
      </c>
      <c r="I2154" t="inlineStr">
        <is>
          <t>Success</t>
        </is>
      </c>
      <c r="J2154" t="inlineStr">
        <is>
          <t>Delivered</t>
        </is>
      </c>
      <c r="K2154" t="n">
        <v>0</v>
      </c>
      <c r="L2154" t="n">
        <v>0</v>
      </c>
      <c r="M2154" t="inlineStr">
        <is>
          <t>INR</t>
        </is>
      </c>
      <c r="N2154" t="inlineStr">
        <is>
          <t>2024-10-11 01:08:32</t>
        </is>
      </c>
    </row>
    <row r="2155">
      <c r="A2155" t="inlineStr">
        <is>
          <t>TXN00022895</t>
        </is>
      </c>
      <c r="B2155" t="inlineStr">
        <is>
          <t>MER00728</t>
        </is>
      </c>
      <c r="C2155" s="8" t="n">
        <v>45583</v>
      </c>
      <c r="D2155" t="inlineStr">
        <is>
          <t>ORD00022895</t>
        </is>
      </c>
      <c r="E2155" t="n">
        <v>2045.79</v>
      </c>
      <c r="F2155" t="n">
        <v>2.28</v>
      </c>
      <c r="G2155" t="n">
        <v>46.64</v>
      </c>
      <c r="H2155" t="inlineStr">
        <is>
          <t>UPI</t>
        </is>
      </c>
      <c r="I2155" t="inlineStr">
        <is>
          <t>Pending</t>
        </is>
      </c>
      <c r="J2155" t="inlineStr">
        <is>
          <t>Processing</t>
        </is>
      </c>
      <c r="K2155" t="n">
        <v>0</v>
      </c>
      <c r="L2155" t="n">
        <v>0</v>
      </c>
      <c r="M2155" t="inlineStr">
        <is>
          <t>INR</t>
        </is>
      </c>
      <c r="N2155" t="inlineStr">
        <is>
          <t>2024-10-18 18:45:23</t>
        </is>
      </c>
    </row>
    <row r="2156">
      <c r="A2156" t="inlineStr">
        <is>
          <t>TXN00026783</t>
        </is>
      </c>
      <c r="B2156" t="inlineStr">
        <is>
          <t>MER00728</t>
        </is>
      </c>
      <c r="C2156" s="8" t="n">
        <v>45593</v>
      </c>
      <c r="D2156" t="inlineStr">
        <is>
          <t>ORD00026783</t>
        </is>
      </c>
      <c r="E2156" t="n">
        <v>744.02</v>
      </c>
      <c r="F2156" t="n">
        <v>2.28</v>
      </c>
      <c r="G2156" t="n">
        <v>16.96</v>
      </c>
      <c r="H2156" t="inlineStr">
        <is>
          <t>Card</t>
        </is>
      </c>
      <c r="I2156" t="inlineStr">
        <is>
          <t>Success</t>
        </is>
      </c>
      <c r="J2156" t="inlineStr">
        <is>
          <t>Delivered</t>
        </is>
      </c>
      <c r="K2156" t="n">
        <v>0</v>
      </c>
      <c r="L2156" t="n">
        <v>0</v>
      </c>
      <c r="M2156" t="inlineStr">
        <is>
          <t>INR</t>
        </is>
      </c>
      <c r="N2156" t="inlineStr">
        <is>
          <t>2024-10-28 21:04:05</t>
        </is>
      </c>
    </row>
    <row r="2157">
      <c r="A2157" t="inlineStr">
        <is>
          <t>TXN00028304</t>
        </is>
      </c>
      <c r="B2157" t="inlineStr">
        <is>
          <t>MER00728</t>
        </is>
      </c>
      <c r="C2157" s="8" t="n">
        <v>45597</v>
      </c>
      <c r="D2157" t="inlineStr">
        <is>
          <t>ORD00028304</t>
        </is>
      </c>
      <c r="E2157" t="n">
        <v>1566.05</v>
      </c>
      <c r="F2157" t="n">
        <v>2.28</v>
      </c>
      <c r="G2157" t="n">
        <v>35.71</v>
      </c>
      <c r="H2157" t="inlineStr">
        <is>
          <t>Wallet</t>
        </is>
      </c>
      <c r="I2157" t="inlineStr">
        <is>
          <t>Success</t>
        </is>
      </c>
      <c r="J2157" t="inlineStr">
        <is>
          <t>Delivered</t>
        </is>
      </c>
      <c r="K2157" t="n">
        <v>0</v>
      </c>
      <c r="L2157" t="n">
        <v>0</v>
      </c>
      <c r="M2157" t="inlineStr">
        <is>
          <t>INR</t>
        </is>
      </c>
      <c r="N2157" t="inlineStr">
        <is>
          <t>2024-11-01 10:32:41</t>
        </is>
      </c>
    </row>
    <row r="2158">
      <c r="A2158" t="inlineStr">
        <is>
          <t>TXN00032943</t>
        </is>
      </c>
      <c r="B2158" t="inlineStr">
        <is>
          <t>MER00728</t>
        </is>
      </c>
      <c r="C2158" s="8" t="n">
        <v>45607</v>
      </c>
      <c r="D2158" t="inlineStr">
        <is>
          <t>ORD00032943</t>
        </is>
      </c>
      <c r="E2158" t="n">
        <v>967.34</v>
      </c>
      <c r="F2158" t="n">
        <v>2.28</v>
      </c>
      <c r="G2158" t="n">
        <v>22.06</v>
      </c>
      <c r="H2158" t="inlineStr">
        <is>
          <t>Card</t>
        </is>
      </c>
      <c r="I2158" t="inlineStr">
        <is>
          <t>Failed</t>
        </is>
      </c>
      <c r="J2158" t="inlineStr">
        <is>
          <t>Cancelled</t>
        </is>
      </c>
      <c r="K2158" t="n">
        <v>0</v>
      </c>
      <c r="L2158" t="n">
        <v>0</v>
      </c>
      <c r="M2158" t="inlineStr">
        <is>
          <t>INR</t>
        </is>
      </c>
      <c r="N2158" t="inlineStr">
        <is>
          <t>2024-11-11 02:33:35</t>
        </is>
      </c>
    </row>
    <row r="2159">
      <c r="A2159" t="inlineStr">
        <is>
          <t>TXN00040952</t>
        </is>
      </c>
      <c r="B2159" t="inlineStr">
        <is>
          <t>MER00728</t>
        </is>
      </c>
      <c r="C2159" s="8" t="n">
        <v>45625</v>
      </c>
      <c r="D2159" t="inlineStr">
        <is>
          <t>ORD00040952</t>
        </is>
      </c>
      <c r="E2159" t="n">
        <v>1475.99</v>
      </c>
      <c r="F2159" t="n">
        <v>2.28</v>
      </c>
      <c r="G2159" t="n">
        <v>33.65</v>
      </c>
      <c r="H2159" t="inlineStr">
        <is>
          <t>UPI</t>
        </is>
      </c>
      <c r="I2159" t="inlineStr">
        <is>
          <t>Success</t>
        </is>
      </c>
      <c r="J2159" t="inlineStr">
        <is>
          <t>Delivered</t>
        </is>
      </c>
      <c r="K2159" t="n">
        <v>0</v>
      </c>
      <c r="L2159" t="n">
        <v>0</v>
      </c>
      <c r="M2159" t="inlineStr">
        <is>
          <t>INR</t>
        </is>
      </c>
      <c r="N2159" t="inlineStr">
        <is>
          <t>2024-11-29 12:54:53</t>
        </is>
      </c>
    </row>
    <row r="2160">
      <c r="A2160" t="inlineStr">
        <is>
          <t>TXN00040920</t>
        </is>
      </c>
      <c r="B2160" t="inlineStr">
        <is>
          <t>MER00728</t>
        </is>
      </c>
      <c r="C2160" s="8" t="n">
        <v>45625</v>
      </c>
      <c r="D2160" t="inlineStr">
        <is>
          <t>ORD00040920</t>
        </is>
      </c>
      <c r="E2160" t="n">
        <v>1473.54</v>
      </c>
      <c r="F2160" t="n">
        <v>2.28</v>
      </c>
      <c r="G2160" t="n">
        <v>33.6</v>
      </c>
      <c r="H2160" t="inlineStr">
        <is>
          <t>UPI</t>
        </is>
      </c>
      <c r="I2160" t="inlineStr">
        <is>
          <t>Success</t>
        </is>
      </c>
      <c r="J2160" t="inlineStr">
        <is>
          <t>Delivered</t>
        </is>
      </c>
      <c r="K2160" t="n">
        <v>0</v>
      </c>
      <c r="L2160" t="n">
        <v>0</v>
      </c>
      <c r="M2160" t="inlineStr">
        <is>
          <t>INR</t>
        </is>
      </c>
      <c r="N2160" t="inlineStr">
        <is>
          <t>2024-11-29 01:45:48</t>
        </is>
      </c>
    </row>
    <row r="2161">
      <c r="A2161" t="inlineStr">
        <is>
          <t>TXN00042022</t>
        </is>
      </c>
      <c r="B2161" t="inlineStr">
        <is>
          <t>MER00728</t>
        </is>
      </c>
      <c r="C2161" s="8" t="n">
        <v>45628</v>
      </c>
      <c r="D2161" t="inlineStr">
        <is>
          <t>ORD00042022</t>
        </is>
      </c>
      <c r="E2161" t="n">
        <v>463.34</v>
      </c>
      <c r="F2161" t="n">
        <v>2.28</v>
      </c>
      <c r="G2161" t="n">
        <v>10.56</v>
      </c>
      <c r="H2161" t="inlineStr">
        <is>
          <t>UPI</t>
        </is>
      </c>
      <c r="I2161" t="inlineStr">
        <is>
          <t>Success</t>
        </is>
      </c>
      <c r="J2161" t="inlineStr">
        <is>
          <t>Delivered</t>
        </is>
      </c>
      <c r="K2161" t="n">
        <v>0</v>
      </c>
      <c r="L2161" t="n">
        <v>0</v>
      </c>
      <c r="M2161" t="inlineStr">
        <is>
          <t>INR</t>
        </is>
      </c>
      <c r="N2161" t="inlineStr">
        <is>
          <t>2024-12-02 06:47:17</t>
        </is>
      </c>
    </row>
    <row r="2162">
      <c r="A2162" t="inlineStr">
        <is>
          <t>TXN00044685</t>
        </is>
      </c>
      <c r="B2162" t="inlineStr">
        <is>
          <t>MER00728</t>
        </is>
      </c>
      <c r="C2162" s="8" t="n">
        <v>45636</v>
      </c>
      <c r="D2162" t="inlineStr">
        <is>
          <t>ORD00044685</t>
        </is>
      </c>
      <c r="E2162" t="n">
        <v>883.11</v>
      </c>
      <c r="F2162" t="n">
        <v>2.72</v>
      </c>
      <c r="G2162" t="n">
        <v>20.13</v>
      </c>
      <c r="H2162" t="inlineStr">
        <is>
          <t>UPI</t>
        </is>
      </c>
      <c r="I2162" t="inlineStr">
        <is>
          <t>Success</t>
        </is>
      </c>
      <c r="J2162" t="inlineStr">
        <is>
          <t>Delivered</t>
        </is>
      </c>
      <c r="K2162" t="n">
        <v>0</v>
      </c>
      <c r="L2162" t="n">
        <v>86.52</v>
      </c>
      <c r="M2162" t="inlineStr">
        <is>
          <t>INR</t>
        </is>
      </c>
      <c r="N2162" t="inlineStr">
        <is>
          <t>2024-12-10 02:23:50</t>
        </is>
      </c>
    </row>
    <row r="2163">
      <c r="A2163" t="inlineStr">
        <is>
          <t>TXN00044881</t>
        </is>
      </c>
      <c r="B2163" t="inlineStr">
        <is>
          <t>MER00728</t>
        </is>
      </c>
      <c r="C2163" s="8" t="n">
        <v>45637</v>
      </c>
      <c r="D2163" t="inlineStr">
        <is>
          <t>ORD00044881</t>
        </is>
      </c>
      <c r="E2163" t="n">
        <v>894.0700000000001</v>
      </c>
      <c r="F2163" t="n">
        <v>2.28</v>
      </c>
      <c r="G2163" t="n">
        <v>20.38</v>
      </c>
      <c r="H2163" t="inlineStr">
        <is>
          <t>UPI</t>
        </is>
      </c>
      <c r="I2163" t="inlineStr">
        <is>
          <t>Failed</t>
        </is>
      </c>
      <c r="J2163" t="inlineStr">
        <is>
          <t>Processing</t>
        </is>
      </c>
      <c r="K2163" t="n">
        <v>0</v>
      </c>
      <c r="L2163" t="n">
        <v>0</v>
      </c>
      <c r="M2163" t="inlineStr">
        <is>
          <t>INR</t>
        </is>
      </c>
      <c r="N2163" t="inlineStr">
        <is>
          <t>2024-12-11 08:59:50</t>
        </is>
      </c>
    </row>
    <row r="2164">
      <c r="A2164" t="inlineStr">
        <is>
          <t>TXN00046907</t>
        </is>
      </c>
      <c r="B2164" t="inlineStr">
        <is>
          <t>MER00728</t>
        </is>
      </c>
      <c r="C2164" s="8" t="n">
        <v>45644</v>
      </c>
      <c r="D2164" t="inlineStr">
        <is>
          <t>ORD00046907</t>
        </is>
      </c>
      <c r="E2164" t="n">
        <v>1132.08</v>
      </c>
      <c r="F2164" t="n">
        <v>2.28</v>
      </c>
      <c r="G2164" t="n">
        <v>25.81</v>
      </c>
      <c r="H2164" t="inlineStr">
        <is>
          <t>Card</t>
        </is>
      </c>
      <c r="I2164" t="inlineStr">
        <is>
          <t>Success</t>
        </is>
      </c>
      <c r="J2164" t="inlineStr">
        <is>
          <t>Delivered</t>
        </is>
      </c>
      <c r="K2164" t="n">
        <v>0</v>
      </c>
      <c r="L2164" t="n">
        <v>0</v>
      </c>
      <c r="M2164" t="inlineStr">
        <is>
          <t>INR</t>
        </is>
      </c>
      <c r="N2164" t="inlineStr">
        <is>
          <t>2024-12-18 08:08:04</t>
        </is>
      </c>
    </row>
    <row r="2165">
      <c r="A2165" t="inlineStr">
        <is>
          <t>TXN00051163</t>
        </is>
      </c>
      <c r="B2165" t="inlineStr">
        <is>
          <t>MER00728</t>
        </is>
      </c>
      <c r="C2165" s="8" t="n">
        <v>45657</v>
      </c>
      <c r="D2165" t="inlineStr">
        <is>
          <t>ORD00051163</t>
        </is>
      </c>
      <c r="E2165" t="n">
        <v>944.09</v>
      </c>
      <c r="F2165" t="n">
        <v>2.28</v>
      </c>
      <c r="G2165" t="n">
        <v>21.53</v>
      </c>
      <c r="H2165" t="inlineStr">
        <is>
          <t>UPI</t>
        </is>
      </c>
      <c r="I2165" t="inlineStr">
        <is>
          <t>Failed</t>
        </is>
      </c>
      <c r="J2165" t="inlineStr">
        <is>
          <t>Processing</t>
        </is>
      </c>
      <c r="K2165" t="n">
        <v>0</v>
      </c>
      <c r="L2165" t="n">
        <v>0</v>
      </c>
      <c r="M2165" t="inlineStr">
        <is>
          <t>INR</t>
        </is>
      </c>
      <c r="N2165" t="inlineStr">
        <is>
          <t>2024-12-31 12:56:03</t>
        </is>
      </c>
    </row>
    <row r="2166">
      <c r="A2166" t="inlineStr">
        <is>
          <t>TXN00052690</t>
        </is>
      </c>
      <c r="B2166" t="inlineStr">
        <is>
          <t>MER00728</t>
        </is>
      </c>
      <c r="C2166" s="8" t="n">
        <v>45661</v>
      </c>
      <c r="D2166" t="inlineStr">
        <is>
          <t>ORD00052690</t>
        </is>
      </c>
      <c r="E2166" t="n">
        <v>817.6900000000001</v>
      </c>
      <c r="F2166" t="n">
        <v>2.28</v>
      </c>
      <c r="G2166" t="n">
        <v>18.64</v>
      </c>
      <c r="H2166" t="inlineStr">
        <is>
          <t>UPI</t>
        </is>
      </c>
      <c r="I2166" t="inlineStr">
        <is>
          <t>Success</t>
        </is>
      </c>
      <c r="J2166" t="inlineStr">
        <is>
          <t>Delivered</t>
        </is>
      </c>
      <c r="K2166" t="n">
        <v>0</v>
      </c>
      <c r="L2166" t="n">
        <v>0</v>
      </c>
      <c r="M2166" t="inlineStr">
        <is>
          <t>INR</t>
        </is>
      </c>
      <c r="N2166" t="inlineStr">
        <is>
          <t>2025-01-04 01:02:14</t>
        </is>
      </c>
    </row>
    <row r="2167">
      <c r="A2167" t="inlineStr">
        <is>
          <t>TXN00053801</t>
        </is>
      </c>
      <c r="B2167" t="inlineStr">
        <is>
          <t>MER00728</t>
        </is>
      </c>
      <c r="C2167" s="8" t="n">
        <v>45664</v>
      </c>
      <c r="D2167" t="inlineStr">
        <is>
          <t>ORD00053801</t>
        </is>
      </c>
      <c r="E2167" t="n">
        <v>721.4400000000001</v>
      </c>
      <c r="F2167" t="n">
        <v>2.28</v>
      </c>
      <c r="G2167" t="n">
        <v>16.45</v>
      </c>
      <c r="H2167" t="inlineStr">
        <is>
          <t>UPI</t>
        </is>
      </c>
      <c r="I2167" t="inlineStr">
        <is>
          <t>Success</t>
        </is>
      </c>
      <c r="J2167" t="inlineStr">
        <is>
          <t>Delivered</t>
        </is>
      </c>
      <c r="K2167" t="n">
        <v>0</v>
      </c>
      <c r="L2167" t="n">
        <v>0</v>
      </c>
      <c r="M2167" t="inlineStr">
        <is>
          <t>INR</t>
        </is>
      </c>
      <c r="N2167" t="inlineStr">
        <is>
          <t>2025-01-07 07:44:09</t>
        </is>
      </c>
    </row>
    <row r="2168">
      <c r="A2168" t="inlineStr">
        <is>
          <t>TXN00053883</t>
        </is>
      </c>
      <c r="B2168" t="inlineStr">
        <is>
          <t>MER00728</t>
        </is>
      </c>
      <c r="C2168" s="8" t="n">
        <v>45665</v>
      </c>
      <c r="D2168" t="inlineStr">
        <is>
          <t>ORD00053883</t>
        </is>
      </c>
      <c r="E2168" t="n">
        <v>774.54</v>
      </c>
      <c r="F2168" t="n">
        <v>2.28</v>
      </c>
      <c r="G2168" t="n">
        <v>17.66</v>
      </c>
      <c r="H2168" t="inlineStr">
        <is>
          <t>UPI</t>
        </is>
      </c>
      <c r="I2168" t="inlineStr">
        <is>
          <t>Success</t>
        </is>
      </c>
      <c r="J2168" t="inlineStr">
        <is>
          <t>Delivered</t>
        </is>
      </c>
      <c r="K2168" t="n">
        <v>0</v>
      </c>
      <c r="L2168" t="n">
        <v>0</v>
      </c>
      <c r="M2168" t="inlineStr">
        <is>
          <t>INR</t>
        </is>
      </c>
      <c r="N2168" t="inlineStr">
        <is>
          <t>2025-01-08 08:29:16</t>
        </is>
      </c>
    </row>
    <row r="2169">
      <c r="A2169" t="inlineStr">
        <is>
          <t>TXN00060326</t>
        </is>
      </c>
      <c r="B2169" t="inlineStr">
        <is>
          <t>MER00728</t>
        </is>
      </c>
      <c r="C2169" s="8" t="n">
        <v>45682</v>
      </c>
      <c r="D2169" t="inlineStr">
        <is>
          <t>ORD00060326</t>
        </is>
      </c>
      <c r="E2169" t="n">
        <v>1054.55</v>
      </c>
      <c r="F2169" t="n">
        <v>2.28</v>
      </c>
      <c r="G2169" t="n">
        <v>24.04</v>
      </c>
      <c r="H2169" t="inlineStr">
        <is>
          <t>UPI</t>
        </is>
      </c>
      <c r="I2169" t="inlineStr">
        <is>
          <t>Success</t>
        </is>
      </c>
      <c r="J2169" t="inlineStr">
        <is>
          <t>Delivered</t>
        </is>
      </c>
      <c r="K2169" t="n">
        <v>0</v>
      </c>
      <c r="L2169" t="n">
        <v>0</v>
      </c>
      <c r="M2169" t="inlineStr">
        <is>
          <t>INR</t>
        </is>
      </c>
      <c r="N2169" t="inlineStr">
        <is>
          <t>2025-01-25 19:32:10</t>
        </is>
      </c>
    </row>
    <row r="2170">
      <c r="A2170" t="inlineStr">
        <is>
          <t>TXN00060354</t>
        </is>
      </c>
      <c r="B2170" t="inlineStr">
        <is>
          <t>MER00728</t>
        </is>
      </c>
      <c r="C2170" s="8" t="n">
        <v>45682</v>
      </c>
      <c r="D2170" t="inlineStr">
        <is>
          <t>ORD00060354</t>
        </is>
      </c>
      <c r="E2170" t="n">
        <v>2692.33</v>
      </c>
      <c r="F2170" t="n">
        <v>2.28</v>
      </c>
      <c r="G2170" t="n">
        <v>61.39</v>
      </c>
      <c r="H2170" t="inlineStr">
        <is>
          <t>UPI</t>
        </is>
      </c>
      <c r="I2170" t="inlineStr">
        <is>
          <t>Success</t>
        </is>
      </c>
      <c r="J2170" t="inlineStr">
        <is>
          <t>Returned</t>
        </is>
      </c>
      <c r="K2170" t="n">
        <v>1256.57</v>
      </c>
      <c r="L2170" t="n">
        <v>0</v>
      </c>
      <c r="M2170" t="inlineStr">
        <is>
          <t>INR</t>
        </is>
      </c>
      <c r="N2170" t="inlineStr">
        <is>
          <t>2025-01-25 23:56:30</t>
        </is>
      </c>
    </row>
    <row r="2171">
      <c r="A2171" t="inlineStr">
        <is>
          <t>TXN00062751</t>
        </is>
      </c>
      <c r="B2171" t="inlineStr">
        <is>
          <t>MER00728</t>
        </is>
      </c>
      <c r="C2171" s="8" t="n">
        <v>45688</v>
      </c>
      <c r="D2171" t="inlineStr">
        <is>
          <t>ORD00062751</t>
        </is>
      </c>
      <c r="E2171" t="n">
        <v>653.5700000000001</v>
      </c>
      <c r="F2171" t="n">
        <v>2.28</v>
      </c>
      <c r="G2171" t="n">
        <v>14.9</v>
      </c>
      <c r="H2171" t="inlineStr">
        <is>
          <t>COD</t>
        </is>
      </c>
      <c r="I2171" t="inlineStr">
        <is>
          <t>Success</t>
        </is>
      </c>
      <c r="J2171" t="inlineStr">
        <is>
          <t>Returned</t>
        </is>
      </c>
      <c r="K2171" t="n">
        <v>267.12</v>
      </c>
      <c r="L2171" t="n">
        <v>0</v>
      </c>
      <c r="M2171" t="inlineStr">
        <is>
          <t>INR</t>
        </is>
      </c>
      <c r="N2171" t="inlineStr">
        <is>
          <t>2025-01-31 18:21:26</t>
        </is>
      </c>
    </row>
    <row r="2172">
      <c r="A2172" t="inlineStr">
        <is>
          <t>TXN00065311</t>
        </is>
      </c>
      <c r="B2172" t="inlineStr">
        <is>
          <t>MER00728</t>
        </is>
      </c>
      <c r="C2172" s="8" t="n">
        <v>45695</v>
      </c>
      <c r="D2172" t="inlineStr">
        <is>
          <t>ORD00065311</t>
        </is>
      </c>
      <c r="E2172" t="n">
        <v>2288.53</v>
      </c>
      <c r="F2172" t="n">
        <v>2.28</v>
      </c>
      <c r="G2172" t="n">
        <v>52.18</v>
      </c>
      <c r="H2172" t="inlineStr">
        <is>
          <t>NetBanking</t>
        </is>
      </c>
      <c r="I2172" t="inlineStr">
        <is>
          <t>Success</t>
        </is>
      </c>
      <c r="J2172" t="inlineStr">
        <is>
          <t>Delivered</t>
        </is>
      </c>
      <c r="K2172" t="n">
        <v>0</v>
      </c>
      <c r="L2172" t="n">
        <v>0</v>
      </c>
      <c r="M2172" t="inlineStr">
        <is>
          <t>INR</t>
        </is>
      </c>
      <c r="N2172" t="inlineStr">
        <is>
          <t>2025-02-07 17:52:40</t>
        </is>
      </c>
    </row>
    <row r="2173">
      <c r="A2173" t="inlineStr">
        <is>
          <t>TXN00067891</t>
        </is>
      </c>
      <c r="B2173" t="inlineStr">
        <is>
          <t>MER00728</t>
        </is>
      </c>
      <c r="C2173" s="8" t="n">
        <v>45703</v>
      </c>
      <c r="D2173" t="inlineStr">
        <is>
          <t>ORD00067891</t>
        </is>
      </c>
      <c r="E2173" t="n">
        <v>3258.34</v>
      </c>
      <c r="F2173" t="n">
        <v>2.28</v>
      </c>
      <c r="G2173" t="n">
        <v>74.29000000000001</v>
      </c>
      <c r="H2173" t="inlineStr">
        <is>
          <t>Card</t>
        </is>
      </c>
      <c r="I2173" t="inlineStr">
        <is>
          <t>Success</t>
        </is>
      </c>
      <c r="J2173" t="inlineStr">
        <is>
          <t>Delivered</t>
        </is>
      </c>
      <c r="K2173" t="n">
        <v>0</v>
      </c>
      <c r="L2173" t="n">
        <v>0</v>
      </c>
      <c r="M2173" t="inlineStr">
        <is>
          <t>INR</t>
        </is>
      </c>
      <c r="N2173" t="inlineStr">
        <is>
          <t>2025-02-15 23:54:09</t>
        </is>
      </c>
    </row>
    <row r="2174">
      <c r="A2174" t="inlineStr">
        <is>
          <t>TXN00068925</t>
        </is>
      </c>
      <c r="B2174" t="inlineStr">
        <is>
          <t>MER00728</t>
        </is>
      </c>
      <c r="C2174" s="8" t="n">
        <v>45706</v>
      </c>
      <c r="D2174" t="inlineStr">
        <is>
          <t>ORD00068925</t>
        </is>
      </c>
      <c r="E2174" t="n">
        <v>1157.83</v>
      </c>
      <c r="F2174" t="n">
        <v>2.28</v>
      </c>
      <c r="G2174" t="n">
        <v>26.4</v>
      </c>
      <c r="H2174" t="inlineStr">
        <is>
          <t>UPI</t>
        </is>
      </c>
      <c r="I2174" t="inlineStr">
        <is>
          <t>Success</t>
        </is>
      </c>
      <c r="J2174" t="inlineStr">
        <is>
          <t>Delivered</t>
        </is>
      </c>
      <c r="K2174" t="n">
        <v>0</v>
      </c>
      <c r="L2174" t="n">
        <v>185.93</v>
      </c>
      <c r="M2174" t="inlineStr">
        <is>
          <t>INR</t>
        </is>
      </c>
      <c r="N2174" t="inlineStr">
        <is>
          <t>2025-02-18 19:30:53</t>
        </is>
      </c>
    </row>
    <row r="2175">
      <c r="A2175" t="inlineStr">
        <is>
          <t>TXN00073147</t>
        </is>
      </c>
      <c r="B2175" t="inlineStr">
        <is>
          <t>MER00728</t>
        </is>
      </c>
      <c r="C2175" s="8" t="n">
        <v>45719</v>
      </c>
      <c r="D2175" t="inlineStr">
        <is>
          <t>ORD00073147</t>
        </is>
      </c>
      <c r="E2175" t="n">
        <v>889.54</v>
      </c>
      <c r="F2175" t="n">
        <v>2.28</v>
      </c>
      <c r="G2175" t="n">
        <v>20.28</v>
      </c>
      <c r="H2175" t="inlineStr">
        <is>
          <t>Card</t>
        </is>
      </c>
      <c r="I2175" t="inlineStr">
        <is>
          <t>Success</t>
        </is>
      </c>
      <c r="J2175" t="inlineStr">
        <is>
          <t>Cancelled</t>
        </is>
      </c>
      <c r="K2175" t="n">
        <v>792.15</v>
      </c>
      <c r="L2175" t="n">
        <v>0</v>
      </c>
      <c r="M2175" t="inlineStr">
        <is>
          <t>INR</t>
        </is>
      </c>
      <c r="N2175" t="inlineStr">
        <is>
          <t>2025-03-03 11:49:42</t>
        </is>
      </c>
    </row>
    <row r="2176">
      <c r="A2176" t="inlineStr">
        <is>
          <t>TXN00073145</t>
        </is>
      </c>
      <c r="B2176" t="inlineStr">
        <is>
          <t>MER00728</t>
        </is>
      </c>
      <c r="C2176" s="8" t="n">
        <v>45719</v>
      </c>
      <c r="D2176" t="inlineStr">
        <is>
          <t>ORD00073145</t>
        </is>
      </c>
      <c r="E2176" t="n">
        <v>1781.82</v>
      </c>
      <c r="F2176" t="n">
        <v>2.28</v>
      </c>
      <c r="G2176" t="n">
        <v>40.63</v>
      </c>
      <c r="H2176" t="inlineStr">
        <is>
          <t>UPI</t>
        </is>
      </c>
      <c r="I2176" t="inlineStr">
        <is>
          <t>Success</t>
        </is>
      </c>
      <c r="J2176" t="inlineStr">
        <is>
          <t>Delivered</t>
        </is>
      </c>
      <c r="K2176" t="n">
        <v>0</v>
      </c>
      <c r="L2176" t="n">
        <v>0</v>
      </c>
      <c r="M2176" t="inlineStr">
        <is>
          <t>INR</t>
        </is>
      </c>
      <c r="N2176" t="inlineStr">
        <is>
          <t>2025-03-03 20:28:05</t>
        </is>
      </c>
    </row>
    <row r="2177">
      <c r="A2177" t="inlineStr">
        <is>
          <t>TXN00080054</t>
        </is>
      </c>
      <c r="B2177" t="inlineStr">
        <is>
          <t>MER00728</t>
        </is>
      </c>
      <c r="C2177" s="8" t="n">
        <v>45741</v>
      </c>
      <c r="D2177" t="inlineStr">
        <is>
          <t>ORD00080054</t>
        </is>
      </c>
      <c r="E2177" t="n">
        <v>943.1799999999999</v>
      </c>
      <c r="F2177" t="n">
        <v>2.28</v>
      </c>
      <c r="G2177" t="n">
        <v>21.5</v>
      </c>
      <c r="H2177" t="inlineStr">
        <is>
          <t>UPI</t>
        </is>
      </c>
      <c r="I2177" t="inlineStr">
        <is>
          <t>Success</t>
        </is>
      </c>
      <c r="J2177" t="inlineStr">
        <is>
          <t>Delivered</t>
        </is>
      </c>
      <c r="K2177" t="n">
        <v>0</v>
      </c>
      <c r="L2177" t="n">
        <v>0</v>
      </c>
      <c r="M2177" t="inlineStr">
        <is>
          <t>INR</t>
        </is>
      </c>
      <c r="N2177" t="inlineStr">
        <is>
          <t>2025-03-25 08:37:03</t>
        </is>
      </c>
    </row>
    <row r="2178">
      <c r="A2178" t="inlineStr">
        <is>
          <t>TXN00080583</t>
        </is>
      </c>
      <c r="B2178" t="inlineStr">
        <is>
          <t>MER00728</t>
        </is>
      </c>
      <c r="C2178" s="8" t="n">
        <v>45743</v>
      </c>
      <c r="D2178" t="inlineStr">
        <is>
          <t>ORD00080583</t>
        </is>
      </c>
      <c r="E2178" t="n">
        <v>1631.84</v>
      </c>
      <c r="F2178" t="n">
        <v>2.28</v>
      </c>
      <c r="G2178" t="n">
        <v>37.21</v>
      </c>
      <c r="H2178" t="inlineStr">
        <is>
          <t>NetBanking</t>
        </is>
      </c>
      <c r="I2178" t="inlineStr">
        <is>
          <t>Success</t>
        </is>
      </c>
      <c r="J2178" t="inlineStr">
        <is>
          <t>Cancelled</t>
        </is>
      </c>
      <c r="K2178" t="n">
        <v>1466.95</v>
      </c>
      <c r="L2178" t="n">
        <v>0</v>
      </c>
      <c r="M2178" t="inlineStr">
        <is>
          <t>INR</t>
        </is>
      </c>
      <c r="N2178" t="inlineStr">
        <is>
          <t>2025-03-27 06:28:49</t>
        </is>
      </c>
    </row>
    <row r="2179">
      <c r="A2179" t="inlineStr">
        <is>
          <t>TXN00084520</t>
        </is>
      </c>
      <c r="B2179" t="inlineStr">
        <is>
          <t>MER00728</t>
        </is>
      </c>
      <c r="C2179" s="8" t="n">
        <v>45755</v>
      </c>
      <c r="D2179" t="inlineStr">
        <is>
          <t>ORD00084520</t>
        </is>
      </c>
      <c r="E2179" t="n">
        <v>1250.51</v>
      </c>
      <c r="F2179" t="n">
        <v>2.28</v>
      </c>
      <c r="G2179" t="n">
        <v>28.51</v>
      </c>
      <c r="H2179" t="inlineStr">
        <is>
          <t>UPI</t>
        </is>
      </c>
      <c r="I2179" t="inlineStr">
        <is>
          <t>Success</t>
        </is>
      </c>
      <c r="J2179" t="inlineStr">
        <is>
          <t>Delivered</t>
        </is>
      </c>
      <c r="K2179" t="n">
        <v>0</v>
      </c>
      <c r="L2179" t="n">
        <v>151.27</v>
      </c>
      <c r="M2179" t="inlineStr">
        <is>
          <t>INR</t>
        </is>
      </c>
      <c r="N2179" t="inlineStr">
        <is>
          <t>2025-04-08 09:31:34</t>
        </is>
      </c>
    </row>
    <row r="2180">
      <c r="A2180" t="inlineStr">
        <is>
          <t>TXN00085277</t>
        </is>
      </c>
      <c r="B2180" t="inlineStr">
        <is>
          <t>MER00728</t>
        </is>
      </c>
      <c r="C2180" s="8" t="n">
        <v>45757</v>
      </c>
      <c r="D2180" t="inlineStr">
        <is>
          <t>ORD00085277</t>
        </is>
      </c>
      <c r="E2180" t="n">
        <v>1153.58</v>
      </c>
      <c r="F2180" t="n">
        <v>2.28</v>
      </c>
      <c r="G2180" t="n">
        <v>26.3</v>
      </c>
      <c r="H2180" t="inlineStr">
        <is>
          <t>UPI</t>
        </is>
      </c>
      <c r="I2180" t="inlineStr">
        <is>
          <t>Failed</t>
        </is>
      </c>
      <c r="J2180" t="inlineStr">
        <is>
          <t>Cancelled</t>
        </is>
      </c>
      <c r="K2180" t="n">
        <v>0</v>
      </c>
      <c r="L2180" t="n">
        <v>0</v>
      </c>
      <c r="M2180" t="inlineStr">
        <is>
          <t>INR</t>
        </is>
      </c>
      <c r="N2180" t="inlineStr">
        <is>
          <t>2025-04-10 08:38:50</t>
        </is>
      </c>
    </row>
    <row r="2181">
      <c r="A2181" t="inlineStr">
        <is>
          <t>TXN00088090</t>
        </is>
      </c>
      <c r="B2181" t="inlineStr">
        <is>
          <t>MER00728</t>
        </is>
      </c>
      <c r="C2181" s="8" t="n">
        <v>45765</v>
      </c>
      <c r="D2181" t="inlineStr">
        <is>
          <t>ORD00088090</t>
        </is>
      </c>
      <c r="E2181" t="n">
        <v>1085.41</v>
      </c>
      <c r="F2181" t="n">
        <v>2.28</v>
      </c>
      <c r="G2181" t="n">
        <v>24.75</v>
      </c>
      <c r="H2181" t="inlineStr">
        <is>
          <t>UPI</t>
        </is>
      </c>
      <c r="I2181" t="inlineStr">
        <is>
          <t>Success</t>
        </is>
      </c>
      <c r="J2181" t="inlineStr">
        <is>
          <t>Returned</t>
        </is>
      </c>
      <c r="K2181" t="n">
        <v>1085.41</v>
      </c>
      <c r="L2181" t="n">
        <v>0</v>
      </c>
      <c r="M2181" t="inlineStr">
        <is>
          <t>INR</t>
        </is>
      </c>
      <c r="N2181" t="inlineStr">
        <is>
          <t>2025-04-18 23:14:40</t>
        </is>
      </c>
    </row>
    <row r="2182">
      <c r="A2182" t="inlineStr">
        <is>
          <t>TXN00092183</t>
        </is>
      </c>
      <c r="B2182" t="inlineStr">
        <is>
          <t>MER00728</t>
        </is>
      </c>
      <c r="C2182" s="8" t="n">
        <v>45778</v>
      </c>
      <c r="D2182" t="inlineStr">
        <is>
          <t>ORD00092183</t>
        </is>
      </c>
      <c r="E2182" t="n">
        <v>690.28</v>
      </c>
      <c r="F2182" t="n">
        <v>2.28</v>
      </c>
      <c r="G2182" t="n">
        <v>15.74</v>
      </c>
      <c r="H2182" t="inlineStr">
        <is>
          <t>Card</t>
        </is>
      </c>
      <c r="I2182" t="inlineStr">
        <is>
          <t>Pending</t>
        </is>
      </c>
      <c r="J2182" t="inlineStr">
        <is>
          <t>Cancelled</t>
        </is>
      </c>
      <c r="K2182" t="n">
        <v>0</v>
      </c>
      <c r="L2182" t="n">
        <v>0</v>
      </c>
      <c r="M2182" t="inlineStr">
        <is>
          <t>INR</t>
        </is>
      </c>
      <c r="N2182" t="inlineStr">
        <is>
          <t>2025-05-01 15:13:22</t>
        </is>
      </c>
    </row>
    <row r="2183">
      <c r="A2183" t="inlineStr">
        <is>
          <t>TXN00092863</t>
        </is>
      </c>
      <c r="B2183" t="inlineStr">
        <is>
          <t>MER00728</t>
        </is>
      </c>
      <c r="C2183" s="8" t="n">
        <v>45780</v>
      </c>
      <c r="D2183" t="inlineStr">
        <is>
          <t>ORD00092863</t>
        </is>
      </c>
      <c r="E2183" t="n">
        <v>701.38</v>
      </c>
      <c r="F2183" t="n">
        <v>2.28</v>
      </c>
      <c r="G2183" t="n">
        <v>15.99</v>
      </c>
      <c r="H2183" t="inlineStr">
        <is>
          <t>UPI</t>
        </is>
      </c>
      <c r="I2183" t="inlineStr">
        <is>
          <t>Success</t>
        </is>
      </c>
      <c r="J2183" t="inlineStr">
        <is>
          <t>Delivered</t>
        </is>
      </c>
      <c r="K2183" t="n">
        <v>0</v>
      </c>
      <c r="L2183" t="n">
        <v>0</v>
      </c>
      <c r="M2183" t="inlineStr">
        <is>
          <t>INR</t>
        </is>
      </c>
      <c r="N2183" t="inlineStr">
        <is>
          <t>2025-05-03 21:23:10</t>
        </is>
      </c>
    </row>
    <row r="2184">
      <c r="A2184" t="inlineStr">
        <is>
          <t>TXN00094085</t>
        </is>
      </c>
      <c r="B2184" t="inlineStr">
        <is>
          <t>MER00728</t>
        </is>
      </c>
      <c r="C2184" s="8" t="n">
        <v>45784</v>
      </c>
      <c r="D2184" t="inlineStr">
        <is>
          <t>ORD00094085</t>
        </is>
      </c>
      <c r="E2184" t="n">
        <v>787.47</v>
      </c>
      <c r="F2184" t="n">
        <v>2.28</v>
      </c>
      <c r="G2184" t="n">
        <v>17.95</v>
      </c>
      <c r="H2184" t="inlineStr">
        <is>
          <t>UPI</t>
        </is>
      </c>
      <c r="I2184" t="inlineStr">
        <is>
          <t>Success</t>
        </is>
      </c>
      <c r="J2184" t="inlineStr">
        <is>
          <t>Delivered</t>
        </is>
      </c>
      <c r="K2184" t="n">
        <v>0</v>
      </c>
      <c r="L2184" t="n">
        <v>0</v>
      </c>
      <c r="M2184" t="inlineStr">
        <is>
          <t>INR</t>
        </is>
      </c>
      <c r="N2184" t="inlineStr">
        <is>
          <t>2025-05-07 19:35:28</t>
        </is>
      </c>
    </row>
    <row r="2185">
      <c r="A2185" t="inlineStr">
        <is>
          <t>TXN00094139</t>
        </is>
      </c>
      <c r="B2185" t="inlineStr">
        <is>
          <t>MER00728</t>
        </is>
      </c>
      <c r="C2185" s="8" t="n">
        <v>45784</v>
      </c>
      <c r="D2185" t="inlineStr">
        <is>
          <t>ORD00094139</t>
        </is>
      </c>
      <c r="E2185" t="n">
        <v>829.97</v>
      </c>
      <c r="F2185" t="n">
        <v>2.28</v>
      </c>
      <c r="G2185" t="n">
        <v>18.92</v>
      </c>
      <c r="H2185" t="inlineStr">
        <is>
          <t>UPI</t>
        </is>
      </c>
      <c r="I2185" t="inlineStr">
        <is>
          <t>Success</t>
        </is>
      </c>
      <c r="J2185" t="inlineStr">
        <is>
          <t>Cancelled</t>
        </is>
      </c>
      <c r="K2185" t="n">
        <v>751.5599999999999</v>
      </c>
      <c r="L2185" t="n">
        <v>0</v>
      </c>
      <c r="M2185" t="inlineStr">
        <is>
          <t>INR</t>
        </is>
      </c>
      <c r="N2185" t="inlineStr">
        <is>
          <t>2025-05-07 23:59:17</t>
        </is>
      </c>
    </row>
    <row r="2186">
      <c r="A2186" t="inlineStr">
        <is>
          <t>TXN00095561</t>
        </is>
      </c>
      <c r="B2186" t="inlineStr">
        <is>
          <t>MER00728</t>
        </is>
      </c>
      <c r="C2186" s="8" t="n">
        <v>45788</v>
      </c>
      <c r="D2186" t="inlineStr">
        <is>
          <t>ORD00095561</t>
        </is>
      </c>
      <c r="E2186" t="n">
        <v>873.27</v>
      </c>
      <c r="F2186" t="n">
        <v>2.28</v>
      </c>
      <c r="G2186" t="n">
        <v>19.91</v>
      </c>
      <c r="H2186" t="inlineStr">
        <is>
          <t>UPI</t>
        </is>
      </c>
      <c r="I2186" t="inlineStr">
        <is>
          <t>Success</t>
        </is>
      </c>
      <c r="J2186" t="inlineStr">
        <is>
          <t>Cancelled</t>
        </is>
      </c>
      <c r="K2186" t="n">
        <v>804.41</v>
      </c>
      <c r="L2186" t="n">
        <v>0</v>
      </c>
      <c r="M2186" t="inlineStr">
        <is>
          <t>INR</t>
        </is>
      </c>
      <c r="N2186" t="inlineStr">
        <is>
          <t>2025-05-11 18:44:54</t>
        </is>
      </c>
    </row>
    <row r="2187">
      <c r="A2187" t="inlineStr">
        <is>
          <t>TXN00095712</t>
        </is>
      </c>
      <c r="B2187" t="inlineStr">
        <is>
          <t>MER00728</t>
        </is>
      </c>
      <c r="C2187" s="8" t="n">
        <v>45789</v>
      </c>
      <c r="D2187" t="inlineStr">
        <is>
          <t>ORD00095712</t>
        </is>
      </c>
      <c r="E2187" t="n">
        <v>1505.95</v>
      </c>
      <c r="F2187" t="n">
        <v>2.28</v>
      </c>
      <c r="G2187" t="n">
        <v>34.34</v>
      </c>
      <c r="H2187" t="inlineStr">
        <is>
          <t>UPI</t>
        </is>
      </c>
      <c r="I2187" t="inlineStr">
        <is>
          <t>Success</t>
        </is>
      </c>
      <c r="J2187" t="inlineStr">
        <is>
          <t>Returned</t>
        </is>
      </c>
      <c r="K2187" t="n">
        <v>551.0599999999999</v>
      </c>
      <c r="L2187" t="n">
        <v>0</v>
      </c>
      <c r="M2187" t="inlineStr">
        <is>
          <t>INR</t>
        </is>
      </c>
      <c r="N2187" t="inlineStr">
        <is>
          <t>2025-05-12 23:11:59</t>
        </is>
      </c>
    </row>
    <row r="2188">
      <c r="A2188" t="inlineStr">
        <is>
          <t>TXN00096453</t>
        </is>
      </c>
      <c r="B2188" t="inlineStr">
        <is>
          <t>MER00728</t>
        </is>
      </c>
      <c r="C2188" s="8" t="n">
        <v>45791</v>
      </c>
      <c r="D2188" t="inlineStr">
        <is>
          <t>ORD00096453</t>
        </is>
      </c>
      <c r="E2188" t="n">
        <v>2224.74</v>
      </c>
      <c r="F2188" t="n">
        <v>2.28</v>
      </c>
      <c r="G2188" t="n">
        <v>50.72</v>
      </c>
      <c r="H2188" t="inlineStr">
        <is>
          <t>NetBanking</t>
        </is>
      </c>
      <c r="I2188" t="inlineStr">
        <is>
          <t>Failed</t>
        </is>
      </c>
      <c r="J2188" t="inlineStr">
        <is>
          <t>Processing</t>
        </is>
      </c>
      <c r="K2188" t="n">
        <v>0</v>
      </c>
      <c r="L2188" t="n">
        <v>145.15</v>
      </c>
      <c r="M2188" t="inlineStr">
        <is>
          <t>INR</t>
        </is>
      </c>
      <c r="N2188" t="inlineStr">
        <is>
          <t>2025-05-14 03:56:26</t>
        </is>
      </c>
    </row>
    <row r="2189">
      <c r="A2189" t="inlineStr">
        <is>
          <t>TXN00097654</t>
        </is>
      </c>
      <c r="B2189" t="inlineStr">
        <is>
          <t>MER00728</t>
        </is>
      </c>
      <c r="C2189" s="8" t="n">
        <v>45795</v>
      </c>
      <c r="D2189" t="inlineStr">
        <is>
          <t>ORD00097654</t>
        </is>
      </c>
      <c r="E2189" t="n">
        <v>1107.73</v>
      </c>
      <c r="F2189" t="n">
        <v>2.28</v>
      </c>
      <c r="G2189" t="n">
        <v>25.26</v>
      </c>
      <c r="H2189" t="inlineStr">
        <is>
          <t>COD</t>
        </is>
      </c>
      <c r="I2189" t="inlineStr">
        <is>
          <t>Success</t>
        </is>
      </c>
      <c r="J2189" t="inlineStr">
        <is>
          <t>Delivered</t>
        </is>
      </c>
      <c r="K2189" t="n">
        <v>0</v>
      </c>
      <c r="L2189" t="n">
        <v>0</v>
      </c>
      <c r="M2189" t="inlineStr">
        <is>
          <t>INR</t>
        </is>
      </c>
      <c r="N2189" t="inlineStr">
        <is>
          <t>2025-05-18 19:14:43</t>
        </is>
      </c>
    </row>
    <row r="2190">
      <c r="A2190" t="inlineStr">
        <is>
          <t>TXN00097734</t>
        </is>
      </c>
      <c r="B2190" t="inlineStr">
        <is>
          <t>MER00728</t>
        </is>
      </c>
      <c r="C2190" s="8" t="n">
        <v>45795</v>
      </c>
      <c r="D2190" t="inlineStr">
        <is>
          <t>ORD00097734</t>
        </is>
      </c>
      <c r="E2190" t="n">
        <v>968.4299999999999</v>
      </c>
      <c r="F2190" t="n">
        <v>2.28</v>
      </c>
      <c r="G2190" t="n">
        <v>22.08</v>
      </c>
      <c r="H2190" t="inlineStr">
        <is>
          <t>Card</t>
        </is>
      </c>
      <c r="I2190" t="inlineStr">
        <is>
          <t>Success</t>
        </is>
      </c>
      <c r="J2190" t="inlineStr">
        <is>
          <t>Delivered</t>
        </is>
      </c>
      <c r="K2190" t="n">
        <v>0</v>
      </c>
      <c r="L2190" t="n">
        <v>0</v>
      </c>
      <c r="M2190" t="inlineStr">
        <is>
          <t>INR</t>
        </is>
      </c>
      <c r="N2190" t="inlineStr">
        <is>
          <t>2025-05-18 12:26:31</t>
        </is>
      </c>
    </row>
    <row r="2191">
      <c r="A2191" t="inlineStr">
        <is>
          <t>TXN00101416</t>
        </is>
      </c>
      <c r="B2191" t="inlineStr">
        <is>
          <t>MER00728</t>
        </is>
      </c>
      <c r="C2191" s="8" t="n">
        <v>45806</v>
      </c>
      <c r="D2191" t="inlineStr">
        <is>
          <t>ORD00101416</t>
        </is>
      </c>
      <c r="E2191" t="n">
        <v>589.1799999999999</v>
      </c>
      <c r="F2191" t="n">
        <v>2.28</v>
      </c>
      <c r="G2191" t="n">
        <v>13.43</v>
      </c>
      <c r="H2191" t="inlineStr">
        <is>
          <t>Card</t>
        </is>
      </c>
      <c r="I2191" t="inlineStr">
        <is>
          <t>Success</t>
        </is>
      </c>
      <c r="J2191" t="inlineStr">
        <is>
          <t>Delivered</t>
        </is>
      </c>
      <c r="K2191" t="n">
        <v>0</v>
      </c>
      <c r="L2191" t="n">
        <v>0</v>
      </c>
      <c r="M2191" t="inlineStr">
        <is>
          <t>INR</t>
        </is>
      </c>
      <c r="N2191" t="inlineStr">
        <is>
          <t>2025-05-29 05:42:08</t>
        </is>
      </c>
    </row>
    <row r="2192">
      <c r="A2192" t="inlineStr">
        <is>
          <t>TXN00105703</t>
        </is>
      </c>
      <c r="B2192" t="inlineStr">
        <is>
          <t>MER00728</t>
        </is>
      </c>
      <c r="C2192" s="8" t="n">
        <v>45819</v>
      </c>
      <c r="D2192" t="inlineStr">
        <is>
          <t>ORD00105703</t>
        </is>
      </c>
      <c r="E2192" t="n">
        <v>1979.36</v>
      </c>
      <c r="F2192" t="n">
        <v>2.28</v>
      </c>
      <c r="G2192" t="n">
        <v>45.13</v>
      </c>
      <c r="H2192" t="inlineStr">
        <is>
          <t>UPI</t>
        </is>
      </c>
      <c r="I2192" t="inlineStr">
        <is>
          <t>Success</t>
        </is>
      </c>
      <c r="J2192" t="inlineStr">
        <is>
          <t>Delivered</t>
        </is>
      </c>
      <c r="K2192" t="n">
        <v>0</v>
      </c>
      <c r="L2192" t="n">
        <v>267.05</v>
      </c>
      <c r="M2192" t="inlineStr">
        <is>
          <t>INR</t>
        </is>
      </c>
      <c r="N2192" t="inlineStr">
        <is>
          <t>2025-06-11 16:22:58</t>
        </is>
      </c>
    </row>
    <row r="2193">
      <c r="A2193" t="inlineStr">
        <is>
          <t>TXN00106578</t>
        </is>
      </c>
      <c r="B2193" t="inlineStr">
        <is>
          <t>MER00728</t>
        </is>
      </c>
      <c r="C2193" s="8" t="n">
        <v>45821</v>
      </c>
      <c r="D2193" t="inlineStr">
        <is>
          <t>ORD00106578</t>
        </is>
      </c>
      <c r="E2193" t="n">
        <v>872.3099999999999</v>
      </c>
      <c r="F2193" t="n">
        <v>2.28</v>
      </c>
      <c r="G2193" t="n">
        <v>19.89</v>
      </c>
      <c r="H2193" t="inlineStr">
        <is>
          <t>Wallet</t>
        </is>
      </c>
      <c r="I2193" t="inlineStr">
        <is>
          <t>Success</t>
        </is>
      </c>
      <c r="J2193" t="inlineStr">
        <is>
          <t>Delivered</t>
        </is>
      </c>
      <c r="K2193" t="n">
        <v>0</v>
      </c>
      <c r="L2193" t="n">
        <v>0</v>
      </c>
      <c r="M2193" t="inlineStr">
        <is>
          <t>INR</t>
        </is>
      </c>
      <c r="N2193" t="inlineStr">
        <is>
          <t>2025-06-13 01:01:16</t>
        </is>
      </c>
    </row>
    <row r="2194">
      <c r="A2194" t="inlineStr">
        <is>
          <t>TXN00106570</t>
        </is>
      </c>
      <c r="B2194" t="inlineStr">
        <is>
          <t>MER00728</t>
        </is>
      </c>
      <c r="C2194" s="8" t="n">
        <v>45821</v>
      </c>
      <c r="D2194" t="inlineStr">
        <is>
          <t>ORD00106570</t>
        </is>
      </c>
      <c r="E2194" t="n">
        <v>717.79</v>
      </c>
      <c r="F2194" t="n">
        <v>2.28</v>
      </c>
      <c r="G2194" t="n">
        <v>16.37</v>
      </c>
      <c r="H2194" t="inlineStr">
        <is>
          <t>UPI</t>
        </is>
      </c>
      <c r="I2194" t="inlineStr">
        <is>
          <t>Success</t>
        </is>
      </c>
      <c r="J2194" t="inlineStr">
        <is>
          <t>Delivered</t>
        </is>
      </c>
      <c r="K2194" t="n">
        <v>0</v>
      </c>
      <c r="L2194" t="n">
        <v>0</v>
      </c>
      <c r="M2194" t="inlineStr">
        <is>
          <t>INR</t>
        </is>
      </c>
      <c r="N2194" t="inlineStr">
        <is>
          <t>2025-06-13 03:01:09</t>
        </is>
      </c>
    </row>
    <row r="2195">
      <c r="A2195" t="inlineStr">
        <is>
          <t>TXN00110111</t>
        </is>
      </c>
      <c r="B2195" t="inlineStr">
        <is>
          <t>MER00728</t>
        </is>
      </c>
      <c r="C2195" s="8" t="n">
        <v>45832</v>
      </c>
      <c r="D2195" t="inlineStr">
        <is>
          <t>ORD00110111</t>
        </is>
      </c>
      <c r="E2195" t="n">
        <v>1701.47</v>
      </c>
      <c r="F2195" t="n">
        <v>2.28</v>
      </c>
      <c r="G2195" t="n">
        <v>38.79</v>
      </c>
      <c r="H2195" t="inlineStr">
        <is>
          <t>UPI</t>
        </is>
      </c>
      <c r="I2195" t="inlineStr">
        <is>
          <t>Success</t>
        </is>
      </c>
      <c r="J2195" t="inlineStr">
        <is>
          <t>Delivered</t>
        </is>
      </c>
      <c r="K2195" t="n">
        <v>0</v>
      </c>
      <c r="L2195" t="n">
        <v>306.77</v>
      </c>
      <c r="M2195" t="inlineStr">
        <is>
          <t>INR</t>
        </is>
      </c>
      <c r="N2195" t="inlineStr">
        <is>
          <t>2025-06-24 06:09:44</t>
        </is>
      </c>
    </row>
    <row r="2196">
      <c r="A2196" t="inlineStr">
        <is>
          <t>TXN00113335</t>
        </is>
      </c>
      <c r="B2196" t="inlineStr">
        <is>
          <t>MER00728</t>
        </is>
      </c>
      <c r="C2196" s="8" t="n">
        <v>45841</v>
      </c>
      <c r="D2196" t="inlineStr">
        <is>
          <t>ORD00113335</t>
        </is>
      </c>
      <c r="E2196" t="n">
        <v>1341.88</v>
      </c>
      <c r="F2196" t="n">
        <v>2.28</v>
      </c>
      <c r="G2196" t="n">
        <v>30.59</v>
      </c>
      <c r="H2196" t="inlineStr">
        <is>
          <t>Card</t>
        </is>
      </c>
      <c r="I2196" t="inlineStr">
        <is>
          <t>Success</t>
        </is>
      </c>
      <c r="J2196" t="inlineStr">
        <is>
          <t>Delivered</t>
        </is>
      </c>
      <c r="K2196" t="n">
        <v>0</v>
      </c>
      <c r="L2196" t="n">
        <v>100.16</v>
      </c>
      <c r="M2196" t="inlineStr">
        <is>
          <t>INR</t>
        </is>
      </c>
      <c r="N2196" t="inlineStr">
        <is>
          <t>2025-07-03 00:02:41</t>
        </is>
      </c>
    </row>
    <row r="2197">
      <c r="A2197" t="inlineStr">
        <is>
          <t>TXN00114029</t>
        </is>
      </c>
      <c r="B2197" t="inlineStr">
        <is>
          <t>MER00728</t>
        </is>
      </c>
      <c r="C2197" s="8" t="n">
        <v>45844</v>
      </c>
      <c r="D2197" t="inlineStr">
        <is>
          <t>ORD00114029</t>
        </is>
      </c>
      <c r="E2197" t="n">
        <v>1602.72</v>
      </c>
      <c r="F2197" t="n">
        <v>2.28</v>
      </c>
      <c r="G2197" t="n">
        <v>36.54</v>
      </c>
      <c r="H2197" t="inlineStr">
        <is>
          <t>UPI</t>
        </is>
      </c>
      <c r="I2197" t="inlineStr">
        <is>
          <t>Success</t>
        </is>
      </c>
      <c r="J2197" t="inlineStr">
        <is>
          <t>Delivered</t>
        </is>
      </c>
      <c r="K2197" t="n">
        <v>0</v>
      </c>
      <c r="L2197" t="n">
        <v>0</v>
      </c>
      <c r="M2197" t="inlineStr">
        <is>
          <t>INR</t>
        </is>
      </c>
      <c r="N2197" t="inlineStr">
        <is>
          <t>2025-07-06 04:20:54</t>
        </is>
      </c>
    </row>
    <row r="2198">
      <c r="A2198" t="inlineStr">
        <is>
          <t>TXN00118618</t>
        </is>
      </c>
      <c r="B2198" t="inlineStr">
        <is>
          <t>MER00728</t>
        </is>
      </c>
      <c r="C2198" s="8" t="n">
        <v>45857</v>
      </c>
      <c r="D2198" t="inlineStr">
        <is>
          <t>ORD00118618</t>
        </is>
      </c>
      <c r="E2198" t="n">
        <v>1314.3</v>
      </c>
      <c r="F2198" t="n">
        <v>2.28</v>
      </c>
      <c r="G2198" t="n">
        <v>29.97</v>
      </c>
      <c r="H2198" t="inlineStr">
        <is>
          <t>UPI</t>
        </is>
      </c>
      <c r="I2198" t="inlineStr">
        <is>
          <t>Success</t>
        </is>
      </c>
      <c r="J2198" t="inlineStr">
        <is>
          <t>Delivered</t>
        </is>
      </c>
      <c r="K2198" t="n">
        <v>0</v>
      </c>
      <c r="L2198" t="n">
        <v>0</v>
      </c>
      <c r="M2198" t="inlineStr">
        <is>
          <t>INR</t>
        </is>
      </c>
      <c r="N2198" t="inlineStr">
        <is>
          <t>2025-07-19 03:22:10</t>
        </is>
      </c>
    </row>
    <row r="2199">
      <c r="A2199" t="inlineStr">
        <is>
          <t>TXN00118978</t>
        </is>
      </c>
      <c r="B2199" t="inlineStr">
        <is>
          <t>MER00728</t>
        </is>
      </c>
      <c r="C2199" s="8" t="n">
        <v>45858</v>
      </c>
      <c r="D2199" t="inlineStr">
        <is>
          <t>ORD00118978</t>
        </is>
      </c>
      <c r="E2199" t="n">
        <v>902.25</v>
      </c>
      <c r="F2199" t="n">
        <v>2.28</v>
      </c>
      <c r="G2199" t="n">
        <v>20.57</v>
      </c>
      <c r="H2199" t="inlineStr">
        <is>
          <t>UPI</t>
        </is>
      </c>
      <c r="I2199" t="inlineStr">
        <is>
          <t>Success</t>
        </is>
      </c>
      <c r="J2199" t="inlineStr">
        <is>
          <t>Delivered</t>
        </is>
      </c>
      <c r="K2199" t="n">
        <v>0</v>
      </c>
      <c r="L2199" t="n">
        <v>0</v>
      </c>
      <c r="M2199" t="inlineStr">
        <is>
          <t>INR</t>
        </is>
      </c>
      <c r="N2199" t="inlineStr">
        <is>
          <t>2025-07-20 17:13:11</t>
        </is>
      </c>
    </row>
    <row r="2200">
      <c r="A2200" t="inlineStr">
        <is>
          <t>TXN00119514</t>
        </is>
      </c>
      <c r="B2200" t="inlineStr">
        <is>
          <t>MER00728</t>
        </is>
      </c>
      <c r="C2200" s="8" t="n">
        <v>45860</v>
      </c>
      <c r="D2200" t="inlineStr">
        <is>
          <t>ORD00119514</t>
        </is>
      </c>
      <c r="E2200" t="n">
        <v>3566.15</v>
      </c>
      <c r="F2200" t="n">
        <v>2.28</v>
      </c>
      <c r="G2200" t="n">
        <v>81.31</v>
      </c>
      <c r="H2200" t="inlineStr">
        <is>
          <t>Wallet</t>
        </is>
      </c>
      <c r="I2200" t="inlineStr">
        <is>
          <t>Success</t>
        </is>
      </c>
      <c r="J2200" t="inlineStr">
        <is>
          <t>Delivered</t>
        </is>
      </c>
      <c r="K2200" t="n">
        <v>0</v>
      </c>
      <c r="L2200" t="n">
        <v>0</v>
      </c>
      <c r="M2200" t="inlineStr">
        <is>
          <t>INR</t>
        </is>
      </c>
      <c r="N2200" t="inlineStr">
        <is>
          <t>2025-07-22 01:15:14</t>
        </is>
      </c>
    </row>
    <row r="2201">
      <c r="A2201" t="inlineStr">
        <is>
          <t>TXN00124720</t>
        </is>
      </c>
      <c r="B2201" t="inlineStr">
        <is>
          <t>MER00728</t>
        </is>
      </c>
      <c r="C2201" s="8" t="n">
        <v>45875</v>
      </c>
      <c r="D2201" t="inlineStr">
        <is>
          <t>ORD00124720</t>
        </is>
      </c>
      <c r="E2201" t="n">
        <v>791.95</v>
      </c>
      <c r="F2201" t="n">
        <v>2.28</v>
      </c>
      <c r="G2201" t="n">
        <v>18.06</v>
      </c>
      <c r="H2201" t="inlineStr">
        <is>
          <t>UPI</t>
        </is>
      </c>
      <c r="I2201" t="inlineStr">
        <is>
          <t>Success</t>
        </is>
      </c>
      <c r="J2201" t="inlineStr">
        <is>
          <t>Delivered</t>
        </is>
      </c>
      <c r="K2201" t="n">
        <v>0</v>
      </c>
      <c r="L2201" t="n">
        <v>0</v>
      </c>
      <c r="M2201" t="inlineStr">
        <is>
          <t>INR</t>
        </is>
      </c>
      <c r="N2201" t="inlineStr">
        <is>
          <t>2025-08-06 16:07:37</t>
        </is>
      </c>
    </row>
    <row r="2202">
      <c r="A2202" t="inlineStr">
        <is>
          <t>TXN00127506</t>
        </is>
      </c>
      <c r="B2202" t="inlineStr">
        <is>
          <t>MER00728</t>
        </is>
      </c>
      <c r="C2202" s="8" t="n">
        <v>45884</v>
      </c>
      <c r="D2202" t="inlineStr">
        <is>
          <t>ORD00127506</t>
        </is>
      </c>
      <c r="E2202" t="n">
        <v>751.3099999999999</v>
      </c>
      <c r="F2202" t="n">
        <v>2.28</v>
      </c>
      <c r="G2202" t="n">
        <v>17.13</v>
      </c>
      <c r="H2202" t="inlineStr">
        <is>
          <t>UPI</t>
        </is>
      </c>
      <c r="I2202" t="inlineStr">
        <is>
          <t>Failed</t>
        </is>
      </c>
      <c r="J2202" t="inlineStr">
        <is>
          <t>Cancelled</t>
        </is>
      </c>
      <c r="K2202" t="n">
        <v>0</v>
      </c>
      <c r="L2202" t="n">
        <v>126.18</v>
      </c>
      <c r="M2202" t="inlineStr">
        <is>
          <t>INR</t>
        </is>
      </c>
      <c r="N2202" t="inlineStr">
        <is>
          <t>2025-08-15 13:33:26</t>
        </is>
      </c>
    </row>
    <row r="2203">
      <c r="A2203" t="inlineStr">
        <is>
          <t>TXN00129115</t>
        </is>
      </c>
      <c r="B2203" t="inlineStr">
        <is>
          <t>MER00728</t>
        </is>
      </c>
      <c r="C2203" s="8" t="n">
        <v>45889</v>
      </c>
      <c r="D2203" t="inlineStr">
        <is>
          <t>ORD00129115</t>
        </is>
      </c>
      <c r="E2203" t="n">
        <v>1589.56</v>
      </c>
      <c r="F2203" t="n">
        <v>3.24</v>
      </c>
      <c r="G2203" t="n">
        <v>36.24</v>
      </c>
      <c r="H2203" t="inlineStr">
        <is>
          <t>UPI</t>
        </is>
      </c>
      <c r="I2203" t="inlineStr">
        <is>
          <t>Success</t>
        </is>
      </c>
      <c r="J2203" t="inlineStr">
        <is>
          <t>Delivered</t>
        </is>
      </c>
      <c r="K2203" t="n">
        <v>0</v>
      </c>
      <c r="L2203" t="n">
        <v>0</v>
      </c>
      <c r="M2203" t="inlineStr">
        <is>
          <t>INR</t>
        </is>
      </c>
      <c r="N2203" t="inlineStr">
        <is>
          <t>2025-08-20 01:31:38</t>
        </is>
      </c>
    </row>
    <row r="2204">
      <c r="A2204" t="inlineStr">
        <is>
          <t>TXN00129710</t>
        </is>
      </c>
      <c r="B2204" t="inlineStr">
        <is>
          <t>MER00728</t>
        </is>
      </c>
      <c r="C2204" s="8" t="n">
        <v>45891</v>
      </c>
      <c r="D2204" t="inlineStr">
        <is>
          <t>ORD00129710</t>
        </is>
      </c>
      <c r="E2204" t="n">
        <v>1183.99</v>
      </c>
      <c r="F2204" t="n">
        <v>2.28</v>
      </c>
      <c r="G2204" t="n">
        <v>26.99</v>
      </c>
      <c r="H2204" t="inlineStr">
        <is>
          <t>Card</t>
        </is>
      </c>
      <c r="I2204" t="inlineStr">
        <is>
          <t>Success</t>
        </is>
      </c>
      <c r="J2204" t="inlineStr">
        <is>
          <t>Cancelled</t>
        </is>
      </c>
      <c r="K2204" t="n">
        <v>1056.42</v>
      </c>
      <c r="L2204" t="n">
        <v>0</v>
      </c>
      <c r="M2204" t="inlineStr">
        <is>
          <t>INR</t>
        </is>
      </c>
      <c r="N2204" t="inlineStr">
        <is>
          <t>2025-08-22 02:21:41</t>
        </is>
      </c>
    </row>
    <row r="2205">
      <c r="A2205" t="inlineStr">
        <is>
          <t>TXN00140964</t>
        </is>
      </c>
      <c r="B2205" t="inlineStr">
        <is>
          <t>MER00728</t>
        </is>
      </c>
      <c r="C2205" s="8" t="n">
        <v>45923</v>
      </c>
      <c r="D2205" t="inlineStr">
        <is>
          <t>ORD00140964</t>
        </is>
      </c>
      <c r="E2205" t="n">
        <v>940.99</v>
      </c>
      <c r="F2205" t="n">
        <v>2.28</v>
      </c>
      <c r="G2205" t="n">
        <v>21.45</v>
      </c>
      <c r="H2205" t="inlineStr">
        <is>
          <t>UPI</t>
        </is>
      </c>
      <c r="I2205" t="inlineStr">
        <is>
          <t>Success</t>
        </is>
      </c>
      <c r="J2205" t="inlineStr">
        <is>
          <t>Processing</t>
        </is>
      </c>
      <c r="K2205" t="n">
        <v>0</v>
      </c>
      <c r="L2205" t="n">
        <v>0</v>
      </c>
      <c r="M2205" t="inlineStr">
        <is>
          <t>INR</t>
        </is>
      </c>
      <c r="N2205" t="inlineStr">
        <is>
          <t>2025-09-23 19:56:45</t>
        </is>
      </c>
    </row>
    <row r="2206">
      <c r="A2206" t="inlineStr">
        <is>
          <t>TXN00144712</t>
        </is>
      </c>
      <c r="B2206" t="inlineStr">
        <is>
          <t>MER00728</t>
        </is>
      </c>
      <c r="C2206" s="8" t="n">
        <v>45933</v>
      </c>
      <c r="D2206" t="inlineStr">
        <is>
          <t>ORD00144712</t>
        </is>
      </c>
      <c r="E2206" t="n">
        <v>2068.88</v>
      </c>
      <c r="F2206" t="n">
        <v>2.28</v>
      </c>
      <c r="G2206" t="n">
        <v>47.17</v>
      </c>
      <c r="H2206" t="inlineStr">
        <is>
          <t>UPI</t>
        </is>
      </c>
      <c r="I2206" t="inlineStr">
        <is>
          <t>Success</t>
        </is>
      </c>
      <c r="J2206" t="inlineStr">
        <is>
          <t>Delivered</t>
        </is>
      </c>
      <c r="K2206" t="n">
        <v>0</v>
      </c>
      <c r="L2206" t="n">
        <v>0</v>
      </c>
      <c r="M2206" t="inlineStr">
        <is>
          <t>INR</t>
        </is>
      </c>
      <c r="N2206" t="inlineStr">
        <is>
          <t>2025-10-03 06:09:56</t>
        </is>
      </c>
    </row>
    <row r="2207">
      <c r="A2207" t="inlineStr">
        <is>
          <t>TXN00147125</t>
        </is>
      </c>
      <c r="B2207" t="inlineStr">
        <is>
          <t>MER00728</t>
        </is>
      </c>
      <c r="C2207" s="8" t="n">
        <v>45938</v>
      </c>
      <c r="D2207" t="inlineStr">
        <is>
          <t>ORD00147125</t>
        </is>
      </c>
      <c r="E2207" t="n">
        <v>3052.59</v>
      </c>
      <c r="F2207" t="n">
        <v>2.28</v>
      </c>
      <c r="G2207" t="n">
        <v>69.59999999999999</v>
      </c>
      <c r="H2207" t="inlineStr">
        <is>
          <t>UPI</t>
        </is>
      </c>
      <c r="I2207" t="inlineStr">
        <is>
          <t>Failed</t>
        </is>
      </c>
      <c r="J2207" t="inlineStr">
        <is>
          <t>Processing</t>
        </is>
      </c>
      <c r="K2207" t="n">
        <v>0</v>
      </c>
      <c r="L2207" t="n">
        <v>0</v>
      </c>
      <c r="M2207" t="inlineStr">
        <is>
          <t>INR</t>
        </is>
      </c>
      <c r="N2207" t="inlineStr">
        <is>
          <t>2025-10-08 00:31:07</t>
        </is>
      </c>
    </row>
    <row r="2208">
      <c r="A2208" t="inlineStr">
        <is>
          <t>TXN00154579</t>
        </is>
      </c>
      <c r="B2208" t="inlineStr">
        <is>
          <t>MER00728</t>
        </is>
      </c>
      <c r="C2208" s="8" t="n">
        <v>45954</v>
      </c>
      <c r="D2208" t="inlineStr">
        <is>
          <t>ORD00154579</t>
        </is>
      </c>
      <c r="E2208" t="n">
        <v>1376.12</v>
      </c>
      <c r="F2208" t="n">
        <v>2.28</v>
      </c>
      <c r="G2208" t="n">
        <v>31.38</v>
      </c>
      <c r="H2208" t="inlineStr">
        <is>
          <t>Card</t>
        </is>
      </c>
      <c r="I2208" t="inlineStr">
        <is>
          <t>Success</t>
        </is>
      </c>
      <c r="J2208" t="inlineStr">
        <is>
          <t>Returned</t>
        </is>
      </c>
      <c r="K2208" t="n">
        <v>926.27</v>
      </c>
      <c r="L2208" t="n">
        <v>0</v>
      </c>
      <c r="M2208" t="inlineStr">
        <is>
          <t>INR</t>
        </is>
      </c>
      <c r="N2208" t="inlineStr">
        <is>
          <t>2025-10-24 01:18:49</t>
        </is>
      </c>
    </row>
    <row r="2209">
      <c r="A2209" t="inlineStr">
        <is>
          <t>TXN00154835</t>
        </is>
      </c>
      <c r="B2209" t="inlineStr">
        <is>
          <t>MER00728</t>
        </is>
      </c>
      <c r="C2209" s="8" t="n">
        <v>45955</v>
      </c>
      <c r="D2209" t="inlineStr">
        <is>
          <t>ORD00154835</t>
        </is>
      </c>
      <c r="E2209" t="n">
        <v>1294.95</v>
      </c>
      <c r="F2209" t="n">
        <v>2.28</v>
      </c>
      <c r="G2209" t="n">
        <v>29.52</v>
      </c>
      <c r="H2209" t="inlineStr">
        <is>
          <t>Card</t>
        </is>
      </c>
      <c r="I2209" t="inlineStr">
        <is>
          <t>Success</t>
        </is>
      </c>
      <c r="J2209" t="inlineStr">
        <is>
          <t>Delivered</t>
        </is>
      </c>
      <c r="K2209" t="n">
        <v>0</v>
      </c>
      <c r="L2209" t="n">
        <v>0</v>
      </c>
      <c r="M2209" t="inlineStr">
        <is>
          <t>INR</t>
        </is>
      </c>
      <c r="N2209" t="inlineStr">
        <is>
          <t>2025-10-25 17:53:36</t>
        </is>
      </c>
    </row>
    <row r="2210">
      <c r="A2210" t="inlineStr">
        <is>
          <t>TXN00157803</t>
        </is>
      </c>
      <c r="B2210" t="inlineStr">
        <is>
          <t>MER00728</t>
        </is>
      </c>
      <c r="C2210" s="8" t="n">
        <v>45961</v>
      </c>
      <c r="D2210" t="inlineStr">
        <is>
          <t>ORD00157803</t>
        </is>
      </c>
      <c r="E2210" t="n">
        <v>770.05</v>
      </c>
      <c r="F2210" t="n">
        <v>2.28</v>
      </c>
      <c r="G2210" t="n">
        <v>17.56</v>
      </c>
      <c r="H2210" t="inlineStr">
        <is>
          <t>UPI</t>
        </is>
      </c>
      <c r="I2210" t="inlineStr">
        <is>
          <t>Success</t>
        </is>
      </c>
      <c r="J2210" t="inlineStr">
        <is>
          <t>Delivered</t>
        </is>
      </c>
      <c r="K2210" t="n">
        <v>0</v>
      </c>
      <c r="L2210" t="n">
        <v>0</v>
      </c>
      <c r="M2210" t="inlineStr">
        <is>
          <t>INR</t>
        </is>
      </c>
      <c r="N2210" t="inlineStr">
        <is>
          <t>2025-10-31 09:30:38</t>
        </is>
      </c>
    </row>
    <row r="2211">
      <c r="A2211" t="inlineStr">
        <is>
          <t>TXN00158072</t>
        </is>
      </c>
      <c r="B2211" t="inlineStr">
        <is>
          <t>MER00728</t>
        </is>
      </c>
      <c r="C2211" s="8" t="n">
        <v>45962</v>
      </c>
      <c r="D2211" t="inlineStr">
        <is>
          <t>ORD00158072</t>
        </is>
      </c>
      <c r="E2211" t="n">
        <v>1641.44</v>
      </c>
      <c r="F2211" t="n">
        <v>2.28</v>
      </c>
      <c r="G2211" t="n">
        <v>37.42</v>
      </c>
      <c r="H2211" t="inlineStr">
        <is>
          <t>UPI</t>
        </is>
      </c>
      <c r="I2211" t="inlineStr">
        <is>
          <t>Pending</t>
        </is>
      </c>
      <c r="J2211" t="inlineStr">
        <is>
          <t>Processing</t>
        </is>
      </c>
      <c r="K2211" t="n">
        <v>0</v>
      </c>
      <c r="L2211" t="n">
        <v>0</v>
      </c>
      <c r="M2211" t="inlineStr">
        <is>
          <t>INR</t>
        </is>
      </c>
      <c r="N2211" t="inlineStr">
        <is>
          <t>2025-11-01 14:58:23</t>
        </is>
      </c>
    </row>
    <row r="2212">
      <c r="A2212" t="inlineStr">
        <is>
          <t>TXN00158785</t>
        </is>
      </c>
      <c r="B2212" t="inlineStr">
        <is>
          <t>MER00728</t>
        </is>
      </c>
      <c r="C2212" s="8" t="n">
        <v>45963</v>
      </c>
      <c r="D2212" t="inlineStr">
        <is>
          <t>ORD00158785</t>
        </is>
      </c>
      <c r="E2212" t="n">
        <v>1234.23</v>
      </c>
      <c r="F2212" t="n">
        <v>2.28</v>
      </c>
      <c r="G2212" t="n">
        <v>28.14</v>
      </c>
      <c r="H2212" t="inlineStr">
        <is>
          <t>UPI</t>
        </is>
      </c>
      <c r="I2212" t="inlineStr">
        <is>
          <t>Success</t>
        </is>
      </c>
      <c r="J2212" t="inlineStr">
        <is>
          <t>Delivered</t>
        </is>
      </c>
      <c r="K2212" t="n">
        <v>0</v>
      </c>
      <c r="L2212" t="n">
        <v>0</v>
      </c>
      <c r="M2212" t="inlineStr">
        <is>
          <t>INR</t>
        </is>
      </c>
      <c r="N2212" t="inlineStr">
        <is>
          <t>2025-11-02 12:20:01</t>
        </is>
      </c>
    </row>
    <row r="2213">
      <c r="A2213" t="inlineStr">
        <is>
          <t>TXN00159457</t>
        </is>
      </c>
      <c r="B2213" t="inlineStr">
        <is>
          <t>MER00728</t>
        </is>
      </c>
      <c r="C2213" s="8" t="n">
        <v>45964</v>
      </c>
      <c r="D2213" t="inlineStr">
        <is>
          <t>ORD00159457</t>
        </is>
      </c>
      <c r="E2213" t="n">
        <v>737.4</v>
      </c>
      <c r="F2213" t="n">
        <v>2.28</v>
      </c>
      <c r="G2213" t="n">
        <v>16.81</v>
      </c>
      <c r="H2213" t="inlineStr">
        <is>
          <t>COD</t>
        </is>
      </c>
      <c r="I2213" t="inlineStr">
        <is>
          <t>Success</t>
        </is>
      </c>
      <c r="J2213" t="inlineStr">
        <is>
          <t>Delivered</t>
        </is>
      </c>
      <c r="K2213" t="n">
        <v>0</v>
      </c>
      <c r="L2213" t="n">
        <v>0</v>
      </c>
      <c r="M2213" t="inlineStr">
        <is>
          <t>INR</t>
        </is>
      </c>
      <c r="N2213" t="inlineStr">
        <is>
          <t>2025-11-03 22:20:30</t>
        </is>
      </c>
    </row>
    <row r="2214">
      <c r="A2214" t="inlineStr">
        <is>
          <t>TXN00159930</t>
        </is>
      </c>
      <c r="B2214" t="inlineStr">
        <is>
          <t>MER00728</t>
        </is>
      </c>
      <c r="C2214" s="8" t="n">
        <v>45965</v>
      </c>
      <c r="D2214" t="inlineStr">
        <is>
          <t>ORD00159930</t>
        </is>
      </c>
      <c r="E2214" t="n">
        <v>834.92</v>
      </c>
      <c r="F2214" t="n">
        <v>2.28</v>
      </c>
      <c r="G2214" t="n">
        <v>19.04</v>
      </c>
      <c r="H2214" t="inlineStr">
        <is>
          <t>Card</t>
        </is>
      </c>
      <c r="I2214" t="inlineStr">
        <is>
          <t>Success</t>
        </is>
      </c>
      <c r="J2214" t="inlineStr">
        <is>
          <t>Delivered</t>
        </is>
      </c>
      <c r="K2214" t="n">
        <v>0</v>
      </c>
      <c r="L2214" t="n">
        <v>0</v>
      </c>
      <c r="M2214" t="inlineStr">
        <is>
          <t>INR</t>
        </is>
      </c>
      <c r="N2214" t="inlineStr">
        <is>
          <t>2025-11-04 08:09:51</t>
        </is>
      </c>
    </row>
    <row r="2215">
      <c r="A2215" t="inlineStr">
        <is>
          <t>TXN00161409</t>
        </is>
      </c>
      <c r="B2215" t="inlineStr">
        <is>
          <t>MER00728</t>
        </is>
      </c>
      <c r="C2215" s="8" t="n">
        <v>45968</v>
      </c>
      <c r="D2215" t="inlineStr">
        <is>
          <t>ORD00161409</t>
        </is>
      </c>
      <c r="E2215" t="n">
        <v>1342.84</v>
      </c>
      <c r="F2215" t="n">
        <v>2.28</v>
      </c>
      <c r="G2215" t="n">
        <v>30.62</v>
      </c>
      <c r="H2215" t="inlineStr">
        <is>
          <t>UPI</t>
        </is>
      </c>
      <c r="I2215" t="inlineStr">
        <is>
          <t>Success</t>
        </is>
      </c>
      <c r="J2215" t="inlineStr">
        <is>
          <t>Delivered</t>
        </is>
      </c>
      <c r="K2215" t="n">
        <v>0</v>
      </c>
      <c r="L2215" t="n">
        <v>102.79</v>
      </c>
      <c r="M2215" t="inlineStr">
        <is>
          <t>INR</t>
        </is>
      </c>
      <c r="N2215" t="inlineStr">
        <is>
          <t>2025-11-07 02:50:09</t>
        </is>
      </c>
    </row>
    <row r="2216">
      <c r="A2216" t="inlineStr">
        <is>
          <t>TXN00162675</t>
        </is>
      </c>
      <c r="B2216" t="inlineStr">
        <is>
          <t>MER00728</t>
        </is>
      </c>
      <c r="C2216" s="8" t="n">
        <v>45970</v>
      </c>
      <c r="D2216" t="inlineStr">
        <is>
          <t>ORD00162675</t>
        </is>
      </c>
      <c r="E2216" t="n">
        <v>940.67</v>
      </c>
      <c r="F2216" t="n">
        <v>2.28</v>
      </c>
      <c r="G2216" t="n">
        <v>21.45</v>
      </c>
      <c r="H2216" t="inlineStr">
        <is>
          <t>UPI</t>
        </is>
      </c>
      <c r="I2216" t="inlineStr">
        <is>
          <t>Unknown</t>
        </is>
      </c>
      <c r="J2216" t="inlineStr">
        <is>
          <t>Delivered</t>
        </is>
      </c>
      <c r="K2216" t="n">
        <v>0</v>
      </c>
      <c r="L2216" t="n">
        <v>0</v>
      </c>
      <c r="M2216" t="inlineStr">
        <is>
          <t>INR</t>
        </is>
      </c>
      <c r="N2216" t="inlineStr">
        <is>
          <t>2025-11-09 12:50:42</t>
        </is>
      </c>
    </row>
    <row r="2217">
      <c r="A2217" t="inlineStr">
        <is>
          <t>TXN00163454</t>
        </is>
      </c>
      <c r="B2217" t="inlineStr">
        <is>
          <t>MER00728</t>
        </is>
      </c>
      <c r="C2217" s="8" t="n">
        <v>45971</v>
      </c>
      <c r="D2217" t="inlineStr">
        <is>
          <t>ORD00163454</t>
        </is>
      </c>
      <c r="E2217" t="n">
        <v>1955.45</v>
      </c>
      <c r="F2217" t="n">
        <v>2.28</v>
      </c>
      <c r="G2217" t="n">
        <v>44.58</v>
      </c>
      <c r="H2217" t="inlineStr">
        <is>
          <t>Card</t>
        </is>
      </c>
      <c r="I2217" t="inlineStr">
        <is>
          <t>Success</t>
        </is>
      </c>
      <c r="J2217" t="inlineStr">
        <is>
          <t>Returned</t>
        </is>
      </c>
      <c r="K2217" t="n">
        <v>1239.87</v>
      </c>
      <c r="L2217" t="n">
        <v>340.69</v>
      </c>
      <c r="M2217" t="inlineStr">
        <is>
          <t>INR</t>
        </is>
      </c>
      <c r="N2217" t="inlineStr">
        <is>
          <t>2025-11-10 23:13:58</t>
        </is>
      </c>
    </row>
    <row r="2218">
      <c r="A2218" t="inlineStr">
        <is>
          <t>TXN00165224</t>
        </is>
      </c>
      <c r="B2218" t="inlineStr">
        <is>
          <t>MER00728</t>
        </is>
      </c>
      <c r="C2218" s="8" t="n">
        <v>45974</v>
      </c>
      <c r="D2218" t="inlineStr">
        <is>
          <t>ORD00165224</t>
        </is>
      </c>
      <c r="E2218" t="n">
        <v>1519.96</v>
      </c>
      <c r="F2218" t="n">
        <v>2.28</v>
      </c>
      <c r="G2218" t="n">
        <v>34.66</v>
      </c>
      <c r="H2218" t="inlineStr">
        <is>
          <t>UPI</t>
        </is>
      </c>
      <c r="I2218" t="inlineStr">
        <is>
          <t>Success</t>
        </is>
      </c>
      <c r="J2218" t="inlineStr">
        <is>
          <t>Delivered</t>
        </is>
      </c>
      <c r="K2218" t="n">
        <v>0</v>
      </c>
      <c r="L2218" t="n">
        <v>0</v>
      </c>
      <c r="M2218" t="inlineStr">
        <is>
          <t>INR</t>
        </is>
      </c>
      <c r="N2218" t="inlineStr">
        <is>
          <t>2025-11-13 02:51:52</t>
        </is>
      </c>
    </row>
    <row r="2219">
      <c r="A2219" t="inlineStr">
        <is>
          <t>TXN00171055</t>
        </is>
      </c>
      <c r="B2219" t="inlineStr">
        <is>
          <t>MER00728</t>
        </is>
      </c>
      <c r="C2219" s="8" t="n">
        <v>45985</v>
      </c>
      <c r="D2219" t="inlineStr">
        <is>
          <t>ORD00171055</t>
        </is>
      </c>
      <c r="E2219" t="n">
        <v>852.33</v>
      </c>
      <c r="F2219" t="n">
        <v>2.28</v>
      </c>
      <c r="G2219" t="n">
        <v>19.43</v>
      </c>
      <c r="H2219" t="inlineStr">
        <is>
          <t>Wallet</t>
        </is>
      </c>
      <c r="I2219" t="inlineStr">
        <is>
          <t>Success</t>
        </is>
      </c>
      <c r="J2219" t="inlineStr">
        <is>
          <t>Delivered</t>
        </is>
      </c>
      <c r="K2219" t="n">
        <v>0</v>
      </c>
      <c r="L2219" t="n">
        <v>0</v>
      </c>
      <c r="M2219" t="inlineStr">
        <is>
          <t>INR</t>
        </is>
      </c>
      <c r="N2219" t="inlineStr">
        <is>
          <t>2025-11-24 08:29:08</t>
        </is>
      </c>
    </row>
    <row r="2220">
      <c r="A2220" t="inlineStr">
        <is>
          <t>TXN00174757</t>
        </is>
      </c>
      <c r="B2220" t="inlineStr">
        <is>
          <t>MER00728</t>
        </is>
      </c>
      <c r="C2220" s="8" t="n">
        <v>45992</v>
      </c>
      <c r="D2220" t="inlineStr">
        <is>
          <t>ORD00174757</t>
        </is>
      </c>
      <c r="E2220" t="n">
        <v>1855.65</v>
      </c>
      <c r="F2220" t="n">
        <v>2.28</v>
      </c>
      <c r="G2220" t="n">
        <v>42.31</v>
      </c>
      <c r="H2220" t="inlineStr">
        <is>
          <t>UPI</t>
        </is>
      </c>
      <c r="I2220" t="inlineStr">
        <is>
          <t>Success</t>
        </is>
      </c>
      <c r="J2220" t="inlineStr">
        <is>
          <t>Delivered</t>
        </is>
      </c>
      <c r="K2220" t="n">
        <v>0</v>
      </c>
      <c r="L2220" t="n">
        <v>0</v>
      </c>
      <c r="M2220" t="inlineStr">
        <is>
          <t>INR</t>
        </is>
      </c>
      <c r="N2220" t="inlineStr">
        <is>
          <t>2025-12-01 11:27:59</t>
        </is>
      </c>
    </row>
    <row r="2221">
      <c r="A2221" t="inlineStr">
        <is>
          <t>TXN00181470</t>
        </is>
      </c>
      <c r="B2221" t="inlineStr">
        <is>
          <t>MER00728</t>
        </is>
      </c>
      <c r="C2221" s="8" t="n">
        <v>46010</v>
      </c>
      <c r="D2221" t="inlineStr">
        <is>
          <t>ORD00181470</t>
        </is>
      </c>
      <c r="E2221" t="n">
        <v>1505.24</v>
      </c>
      <c r="F2221" t="n">
        <v>2.28</v>
      </c>
      <c r="G2221" t="n">
        <v>34.32</v>
      </c>
      <c r="H2221" t="inlineStr">
        <is>
          <t>Card</t>
        </is>
      </c>
      <c r="I2221" t="inlineStr">
        <is>
          <t>Success</t>
        </is>
      </c>
      <c r="J2221" t="inlineStr">
        <is>
          <t>Delivered</t>
        </is>
      </c>
      <c r="K2221" t="n">
        <v>0</v>
      </c>
      <c r="L2221" t="n">
        <v>0</v>
      </c>
      <c r="M2221" t="inlineStr">
        <is>
          <t>INR</t>
        </is>
      </c>
      <c r="N2221" t="inlineStr">
        <is>
          <t>2025-12-19 17:50:25</t>
        </is>
      </c>
    </row>
    <row r="2222">
      <c r="A2222" t="inlineStr">
        <is>
          <t>TXN00183634</t>
        </is>
      </c>
      <c r="B2222" t="inlineStr">
        <is>
          <t>MER00728</t>
        </is>
      </c>
      <c r="C2222" s="8" t="n">
        <v>46015</v>
      </c>
      <c r="D2222" t="inlineStr">
        <is>
          <t>ORD00183634</t>
        </is>
      </c>
      <c r="E2222" t="n">
        <v>1818.34</v>
      </c>
      <c r="F2222" t="n">
        <v>2.28</v>
      </c>
      <c r="G2222" t="n">
        <v>41.46</v>
      </c>
      <c r="H2222" t="inlineStr">
        <is>
          <t>UPI</t>
        </is>
      </c>
      <c r="I2222" t="inlineStr">
        <is>
          <t>Success</t>
        </is>
      </c>
      <c r="J2222" t="inlineStr">
        <is>
          <t>Delivered</t>
        </is>
      </c>
      <c r="K2222" t="n">
        <v>0</v>
      </c>
      <c r="L2222" t="n">
        <v>0</v>
      </c>
      <c r="M2222" t="inlineStr">
        <is>
          <t>INR</t>
        </is>
      </c>
      <c r="N2222" t="inlineStr">
        <is>
          <t>2025-12-24 18:40:17</t>
        </is>
      </c>
    </row>
    <row r="2223">
      <c r="A2223" t="inlineStr">
        <is>
          <t>TXN00183755</t>
        </is>
      </c>
      <c r="B2223" t="inlineStr">
        <is>
          <t>MER00728</t>
        </is>
      </c>
      <c r="C2223" s="8" t="n">
        <v>46016</v>
      </c>
      <c r="D2223" t="inlineStr">
        <is>
          <t>ORD00183755</t>
        </is>
      </c>
      <c r="E2223" t="n">
        <v>651.41</v>
      </c>
      <c r="F2223" t="n">
        <v>2.28</v>
      </c>
      <c r="G2223" t="n">
        <v>14.85</v>
      </c>
      <c r="H2223" t="inlineStr">
        <is>
          <t>UPI</t>
        </is>
      </c>
      <c r="I2223" t="inlineStr">
        <is>
          <t>Failed</t>
        </is>
      </c>
      <c r="J2223" t="inlineStr">
        <is>
          <t>Cancelled</t>
        </is>
      </c>
      <c r="K2223" t="n">
        <v>0</v>
      </c>
      <c r="L2223" t="n">
        <v>42.25</v>
      </c>
      <c r="M2223" t="inlineStr">
        <is>
          <t>INR</t>
        </is>
      </c>
      <c r="N2223" t="inlineStr">
        <is>
          <t>2025-12-25 01:12:31</t>
        </is>
      </c>
    </row>
    <row r="2224">
      <c r="A2224" t="inlineStr">
        <is>
          <t>TXN00186933</t>
        </is>
      </c>
      <c r="B2224" t="inlineStr">
        <is>
          <t>MER00728</t>
        </is>
      </c>
      <c r="C2224" s="8" t="n">
        <v>46024</v>
      </c>
      <c r="D2224" t="inlineStr">
        <is>
          <t>ORD00186933</t>
        </is>
      </c>
      <c r="E2224" t="n">
        <v>942.59</v>
      </c>
      <c r="F2224" t="n">
        <v>2.28</v>
      </c>
      <c r="G2224" t="n">
        <v>21.49</v>
      </c>
      <c r="H2224" t="inlineStr">
        <is>
          <t>Wallet</t>
        </is>
      </c>
      <c r="I2224" t="inlineStr">
        <is>
          <t>Success</t>
        </is>
      </c>
      <c r="J2224" t="inlineStr">
        <is>
          <t>Delivered</t>
        </is>
      </c>
      <c r="K2224" t="n">
        <v>0</v>
      </c>
      <c r="L2224" t="n">
        <v>0</v>
      </c>
      <c r="M2224" t="inlineStr">
        <is>
          <t>INR</t>
        </is>
      </c>
      <c r="N2224" t="inlineStr">
        <is>
          <t>2026-01-02 22:20:39</t>
        </is>
      </c>
    </row>
    <row r="2225">
      <c r="A2225" t="inlineStr">
        <is>
          <t>TXN00189673</t>
        </is>
      </c>
      <c r="B2225" t="inlineStr">
        <is>
          <t>MER00728</t>
        </is>
      </c>
      <c r="C2225" s="8" t="n">
        <v>46030</v>
      </c>
      <c r="D2225" t="inlineStr">
        <is>
          <t>ORD00189673</t>
        </is>
      </c>
      <c r="E2225" t="n">
        <v>800.49</v>
      </c>
      <c r="F2225" t="n">
        <v>2.28</v>
      </c>
      <c r="G2225" t="n">
        <v>18.25</v>
      </c>
      <c r="H2225" t="inlineStr">
        <is>
          <t>UPI</t>
        </is>
      </c>
      <c r="I2225" t="inlineStr">
        <is>
          <t>Success</t>
        </is>
      </c>
      <c r="J2225" t="inlineStr">
        <is>
          <t>Delivered</t>
        </is>
      </c>
      <c r="K2225" t="n">
        <v>0</v>
      </c>
      <c r="L2225" t="n">
        <v>95.58</v>
      </c>
      <c r="M2225" t="inlineStr">
        <is>
          <t>INR</t>
        </is>
      </c>
      <c r="N2225" t="inlineStr">
        <is>
          <t>2026-01-08 09:45:52</t>
        </is>
      </c>
    </row>
    <row r="2226">
      <c r="A2226" t="inlineStr">
        <is>
          <t>TXN00190008</t>
        </is>
      </c>
      <c r="B2226" t="inlineStr">
        <is>
          <t>MER00728</t>
        </is>
      </c>
      <c r="C2226" s="8" t="n">
        <v>46031</v>
      </c>
      <c r="D2226" t="inlineStr">
        <is>
          <t>ORD00190008</t>
        </is>
      </c>
      <c r="E2226" t="n">
        <v>1492.55</v>
      </c>
      <c r="F2226" t="n">
        <v>2.28</v>
      </c>
      <c r="G2226" t="n">
        <v>34.03</v>
      </c>
      <c r="H2226" t="inlineStr">
        <is>
          <t>UPI</t>
        </is>
      </c>
      <c r="I2226" t="inlineStr">
        <is>
          <t>Success</t>
        </is>
      </c>
      <c r="J2226" t="inlineStr">
        <is>
          <t>Delivered</t>
        </is>
      </c>
      <c r="K2226" t="n">
        <v>0</v>
      </c>
      <c r="L2226" t="n">
        <v>0</v>
      </c>
      <c r="M2226" t="inlineStr">
        <is>
          <t>INR</t>
        </is>
      </c>
      <c r="N2226" t="inlineStr">
        <is>
          <t>2026-01-09 05:14:44</t>
        </is>
      </c>
    </row>
    <row r="2227">
      <c r="A2227" t="inlineStr">
        <is>
          <t>TXN00194239</t>
        </is>
      </c>
      <c r="B2227" t="inlineStr">
        <is>
          <t>MER00728</t>
        </is>
      </c>
      <c r="C2227" s="8" t="n">
        <v>46040</v>
      </c>
      <c r="D2227" t="inlineStr">
        <is>
          <t>ORD00194239</t>
        </is>
      </c>
      <c r="E2227" t="n">
        <v>2144.57</v>
      </c>
      <c r="F2227" t="n">
        <v>2.28</v>
      </c>
      <c r="G2227" t="n">
        <v>48.9</v>
      </c>
      <c r="H2227" t="inlineStr">
        <is>
          <t>UPI</t>
        </is>
      </c>
      <c r="I2227" t="inlineStr">
        <is>
          <t>Success</t>
        </is>
      </c>
      <c r="J2227" t="inlineStr">
        <is>
          <t>Delivered</t>
        </is>
      </c>
      <c r="K2227" t="n">
        <v>0</v>
      </c>
      <c r="L2227" t="n">
        <v>0</v>
      </c>
      <c r="M2227" t="inlineStr">
        <is>
          <t>INR</t>
        </is>
      </c>
      <c r="N2227" t="inlineStr">
        <is>
          <t>2026-01-18 00:18:07</t>
        </is>
      </c>
    </row>
    <row r="2228">
      <c r="A2228" t="inlineStr">
        <is>
          <t>TXN00196068</t>
        </is>
      </c>
      <c r="B2228" t="inlineStr">
        <is>
          <t>MER00728</t>
        </is>
      </c>
      <c r="C2228" s="8" t="n">
        <v>46044</v>
      </c>
      <c r="D2228" t="inlineStr">
        <is>
          <t>ORD00196068</t>
        </is>
      </c>
      <c r="E2228" t="n">
        <v>1105.24</v>
      </c>
      <c r="F2228" t="n">
        <v>2.82</v>
      </c>
      <c r="G2228" t="n">
        <v>25.2</v>
      </c>
      <c r="H2228" t="inlineStr">
        <is>
          <t>Card</t>
        </is>
      </c>
      <c r="I2228" t="inlineStr">
        <is>
          <t>Success</t>
        </is>
      </c>
      <c r="J2228" t="inlineStr">
        <is>
          <t>Delivered</t>
        </is>
      </c>
      <c r="K2228" t="n">
        <v>0</v>
      </c>
      <c r="L2228" t="n">
        <v>0</v>
      </c>
      <c r="M2228" t="inlineStr">
        <is>
          <t>INR</t>
        </is>
      </c>
      <c r="N2228" t="inlineStr">
        <is>
          <t>2026-01-22 17:34:30</t>
        </is>
      </c>
    </row>
    <row r="2229">
      <c r="A2229" t="inlineStr">
        <is>
          <t>TXN00196065</t>
        </is>
      </c>
      <c r="B2229" t="inlineStr">
        <is>
          <t>MER00728</t>
        </is>
      </c>
      <c r="C2229" s="8" t="n">
        <v>46044</v>
      </c>
      <c r="D2229" t="inlineStr">
        <is>
          <t>ORD00196065</t>
        </is>
      </c>
      <c r="E2229" t="n">
        <v>1034.07</v>
      </c>
      <c r="F2229" t="n">
        <v>2.28</v>
      </c>
      <c r="G2229" t="n">
        <v>23.58</v>
      </c>
      <c r="H2229" t="inlineStr">
        <is>
          <t>COD</t>
        </is>
      </c>
      <c r="I2229" t="inlineStr">
        <is>
          <t>Success</t>
        </is>
      </c>
      <c r="J2229" t="inlineStr">
        <is>
          <t>Returned</t>
        </is>
      </c>
      <c r="K2229" t="n">
        <v>633.28</v>
      </c>
      <c r="L2229" t="n">
        <v>0</v>
      </c>
      <c r="M2229" t="inlineStr">
        <is>
          <t>INR</t>
        </is>
      </c>
      <c r="N2229" t="inlineStr">
        <is>
          <t>2026-01-22 05:14:14</t>
        </is>
      </c>
    </row>
    <row r="2230">
      <c r="A2230" t="inlineStr">
        <is>
          <t>TXN00196948</t>
        </is>
      </c>
      <c r="B2230" t="inlineStr">
        <is>
          <t>MER00728</t>
        </is>
      </c>
      <c r="C2230" s="8" t="n">
        <v>46046</v>
      </c>
      <c r="D2230" t="inlineStr">
        <is>
          <t>ORD00196948</t>
        </is>
      </c>
      <c r="E2230" t="n">
        <v>326.21</v>
      </c>
      <c r="F2230" t="n">
        <v>2.28</v>
      </c>
      <c r="G2230" t="n">
        <v>7.44</v>
      </c>
      <c r="H2230" t="inlineStr">
        <is>
          <t>UPI</t>
        </is>
      </c>
      <c r="I2230" t="inlineStr">
        <is>
          <t>Success</t>
        </is>
      </c>
      <c r="J2230" t="inlineStr">
        <is>
          <t>Delivered</t>
        </is>
      </c>
      <c r="K2230" t="n">
        <v>0</v>
      </c>
      <c r="L2230" t="n">
        <v>0</v>
      </c>
      <c r="M2230" t="inlineStr">
        <is>
          <t>INR</t>
        </is>
      </c>
      <c r="N2230" t="inlineStr">
        <is>
          <t>2026-01-24 00:14:04</t>
        </is>
      </c>
    </row>
    <row r="2231">
      <c r="A2231" t="inlineStr">
        <is>
          <t>TXN00197837</t>
        </is>
      </c>
      <c r="B2231" t="inlineStr">
        <is>
          <t>MER00728</t>
        </is>
      </c>
      <c r="C2231" s="8" t="n">
        <v>46048</v>
      </c>
      <c r="D2231" t="inlineStr">
        <is>
          <t>ORD00197837</t>
        </is>
      </c>
      <c r="E2231" t="n">
        <v>1617.14</v>
      </c>
      <c r="F2231" t="n">
        <v>2.28</v>
      </c>
      <c r="G2231" t="n">
        <v>36.87</v>
      </c>
      <c r="H2231" t="inlineStr">
        <is>
          <t>UPI</t>
        </is>
      </c>
      <c r="I2231" t="inlineStr">
        <is>
          <t>Success</t>
        </is>
      </c>
      <c r="J2231" t="inlineStr">
        <is>
          <t>Delivered</t>
        </is>
      </c>
      <c r="K2231" t="n">
        <v>0</v>
      </c>
      <c r="L2231" t="n">
        <v>0</v>
      </c>
      <c r="M2231" t="inlineStr">
        <is>
          <t>INR</t>
        </is>
      </c>
      <c r="N2231" t="inlineStr">
        <is>
          <t>2026-01-26 02:27:01</t>
        </is>
      </c>
    </row>
    <row r="2232">
      <c r="A2232" t="inlineStr">
        <is>
          <t>TXN00199620</t>
        </is>
      </c>
      <c r="B2232" t="inlineStr">
        <is>
          <t>MER00728</t>
        </is>
      </c>
      <c r="C2232" s="8" t="n">
        <v>46052</v>
      </c>
      <c r="D2232" t="inlineStr">
        <is>
          <t>ORD00199620</t>
        </is>
      </c>
      <c r="E2232" t="n">
        <v>2110.17</v>
      </c>
      <c r="F2232" t="n">
        <v>2.28</v>
      </c>
      <c r="G2232" t="n">
        <v>48.11</v>
      </c>
      <c r="H2232" t="inlineStr">
        <is>
          <t>UPI</t>
        </is>
      </c>
      <c r="I2232" t="inlineStr">
        <is>
          <t>Success</t>
        </is>
      </c>
      <c r="J2232" t="inlineStr">
        <is>
          <t>Delivered</t>
        </is>
      </c>
      <c r="K2232" t="n">
        <v>0</v>
      </c>
      <c r="L2232" t="n">
        <v>0</v>
      </c>
      <c r="M2232" t="inlineStr">
        <is>
          <t>INR</t>
        </is>
      </c>
      <c r="N2232" t="inlineStr">
        <is>
          <t>2026-01-30 14:51:44</t>
        </is>
      </c>
    </row>
    <row r="2233">
      <c r="A2233" t="inlineStr">
        <is>
          <t>TXN00202772</t>
        </is>
      </c>
      <c r="B2233" t="inlineStr">
        <is>
          <t>MER00728</t>
        </is>
      </c>
      <c r="C2233" s="8" t="n">
        <v>46059</v>
      </c>
      <c r="D2233" t="inlineStr">
        <is>
          <t>ORD00202772</t>
        </is>
      </c>
      <c r="E2233" t="n">
        <v>691.41</v>
      </c>
      <c r="F2233" t="n">
        <v>2.28</v>
      </c>
      <c r="G2233" t="n">
        <v>15.76</v>
      </c>
      <c r="H2233" t="inlineStr">
        <is>
          <t>Card</t>
        </is>
      </c>
      <c r="I2233" t="inlineStr">
        <is>
          <t>Success</t>
        </is>
      </c>
      <c r="J2233" t="inlineStr">
        <is>
          <t>Delivered</t>
        </is>
      </c>
      <c r="K2233" t="n">
        <v>0</v>
      </c>
      <c r="L2233" t="n">
        <v>0</v>
      </c>
      <c r="M2233" t="inlineStr">
        <is>
          <t>INR</t>
        </is>
      </c>
      <c r="N2233" t="inlineStr">
        <is>
          <t>2026-02-06 00:25:01</t>
        </is>
      </c>
    </row>
    <row r="2234">
      <c r="A2234" t="inlineStr">
        <is>
          <t>TXN00206118</t>
        </is>
      </c>
      <c r="B2234" t="inlineStr">
        <is>
          <t>MER00728</t>
        </is>
      </c>
      <c r="C2234" s="8" t="n">
        <v>46068</v>
      </c>
      <c r="D2234" t="inlineStr">
        <is>
          <t>ORD00206118</t>
        </is>
      </c>
      <c r="E2234" t="n">
        <v>642.4400000000001</v>
      </c>
      <c r="F2234" t="n">
        <v>2.28</v>
      </c>
      <c r="G2234" t="n">
        <v>14.65</v>
      </c>
      <c r="H2234" t="inlineStr">
        <is>
          <t>Card</t>
        </is>
      </c>
      <c r="I2234" t="inlineStr">
        <is>
          <t>Success</t>
        </is>
      </c>
      <c r="J2234" t="inlineStr">
        <is>
          <t>Delivered</t>
        </is>
      </c>
      <c r="K2234" t="n">
        <v>0</v>
      </c>
      <c r="L2234" t="n">
        <v>0</v>
      </c>
      <c r="M2234" t="inlineStr">
        <is>
          <t>INR</t>
        </is>
      </c>
      <c r="N2234" t="inlineStr">
        <is>
          <t>2026-02-15 01:38:40</t>
        </is>
      </c>
    </row>
    <row r="2235">
      <c r="A2235" t="inlineStr">
        <is>
          <t>TXN00206480</t>
        </is>
      </c>
      <c r="B2235" t="inlineStr">
        <is>
          <t>MER00728</t>
        </is>
      </c>
      <c r="C2235" s="8" t="n">
        <v>46069</v>
      </c>
      <c r="D2235" t="inlineStr">
        <is>
          <t>ORD00206480</t>
        </is>
      </c>
      <c r="E2235" t="n">
        <v>388.77</v>
      </c>
      <c r="F2235" t="n">
        <v>2.28</v>
      </c>
      <c r="G2235" t="n">
        <v>8.859999999999999</v>
      </c>
      <c r="H2235" t="inlineStr">
        <is>
          <t>UPI</t>
        </is>
      </c>
      <c r="I2235" t="inlineStr">
        <is>
          <t>Success</t>
        </is>
      </c>
      <c r="J2235" t="inlineStr">
        <is>
          <t>Delivered</t>
        </is>
      </c>
      <c r="K2235" t="n">
        <v>0</v>
      </c>
      <c r="L2235" t="n">
        <v>0</v>
      </c>
      <c r="M2235" t="inlineStr">
        <is>
          <t>INR</t>
        </is>
      </c>
      <c r="N2235" t="inlineStr">
        <is>
          <t>2026-02-16 04:15:08</t>
        </is>
      </c>
    </row>
    <row r="2236">
      <c r="A2236" t="inlineStr">
        <is>
          <t>TXN00208494</t>
        </is>
      </c>
      <c r="B2236" t="inlineStr">
        <is>
          <t>MER00728</t>
        </is>
      </c>
      <c r="C2236" s="8" t="n">
        <v>46074</v>
      </c>
      <c r="D2236" t="inlineStr">
        <is>
          <t>ORD00208494</t>
        </is>
      </c>
      <c r="E2236" t="n">
        <v>835.66</v>
      </c>
      <c r="F2236" t="n">
        <v>2.28</v>
      </c>
      <c r="G2236" t="n">
        <v>19.05</v>
      </c>
      <c r="H2236" t="inlineStr">
        <is>
          <t>UPI</t>
        </is>
      </c>
      <c r="I2236" t="inlineStr">
        <is>
          <t>Success</t>
        </is>
      </c>
      <c r="J2236" t="inlineStr">
        <is>
          <t>Returned</t>
        </is>
      </c>
      <c r="K2236" t="n">
        <v>835.66</v>
      </c>
      <c r="L2236" t="n">
        <v>0</v>
      </c>
      <c r="M2236" t="inlineStr">
        <is>
          <t>INR</t>
        </is>
      </c>
      <c r="N2236" t="inlineStr">
        <is>
          <t>2026-02-21 16:44:54</t>
        </is>
      </c>
    </row>
    <row r="2237">
      <c r="A2237" t="inlineStr">
        <is>
          <t>TXN00209929</t>
        </is>
      </c>
      <c r="B2237" t="inlineStr">
        <is>
          <t>MER00728</t>
        </is>
      </c>
      <c r="C2237" s="8" t="n">
        <v>46077</v>
      </c>
      <c r="D2237" t="inlineStr">
        <is>
          <t>ORD00209929</t>
        </is>
      </c>
      <c r="E2237" t="n">
        <v>878.6799999999999</v>
      </c>
      <c r="F2237" t="n">
        <v>2.28</v>
      </c>
      <c r="G2237" t="n">
        <v>20.03</v>
      </c>
      <c r="H2237" t="inlineStr">
        <is>
          <t>UPI</t>
        </is>
      </c>
      <c r="I2237" t="inlineStr">
        <is>
          <t>Success</t>
        </is>
      </c>
      <c r="J2237" t="inlineStr">
        <is>
          <t>Delivered</t>
        </is>
      </c>
      <c r="K2237" t="n">
        <v>0</v>
      </c>
      <c r="L2237" t="n">
        <v>124.22</v>
      </c>
      <c r="M2237" t="inlineStr">
        <is>
          <t>INR</t>
        </is>
      </c>
      <c r="N2237" t="inlineStr">
        <is>
          <t>2026-02-24 04:31:54</t>
        </is>
      </c>
    </row>
    <row r="2238">
      <c r="A2238" t="inlineStr">
        <is>
          <t>TXN00210898</t>
        </is>
      </c>
      <c r="B2238" t="inlineStr">
        <is>
          <t>MER00728</t>
        </is>
      </c>
      <c r="C2238" s="8" t="n">
        <v>46079</v>
      </c>
      <c r="D2238" t="inlineStr">
        <is>
          <t>ORD00210898</t>
        </is>
      </c>
      <c r="E2238" t="n">
        <v>727.52</v>
      </c>
      <c r="F2238" t="n">
        <v>2.28</v>
      </c>
      <c r="G2238" t="n">
        <v>16.59</v>
      </c>
      <c r="H2238" t="inlineStr">
        <is>
          <t>COD</t>
        </is>
      </c>
      <c r="I2238" t="inlineStr">
        <is>
          <t>Success</t>
        </is>
      </c>
      <c r="J2238" t="inlineStr">
        <is>
          <t>Delivered</t>
        </is>
      </c>
      <c r="K2238" t="n">
        <v>0</v>
      </c>
      <c r="L2238" t="n">
        <v>37.38</v>
      </c>
      <c r="M2238" t="inlineStr">
        <is>
          <t>INR</t>
        </is>
      </c>
      <c r="N2238" t="inlineStr">
        <is>
          <t>2026-02-26 12:47:09</t>
        </is>
      </c>
    </row>
    <row r="2239">
      <c r="A2239" t="inlineStr">
        <is>
          <t>TXN00211118</t>
        </is>
      </c>
      <c r="B2239" t="inlineStr">
        <is>
          <t>MER00728</t>
        </is>
      </c>
      <c r="C2239" s="8" t="n">
        <v>46080</v>
      </c>
      <c r="D2239" t="inlineStr">
        <is>
          <t>ORD00211118</t>
        </is>
      </c>
      <c r="E2239" t="n">
        <v>1011.65</v>
      </c>
      <c r="F2239" t="n">
        <v>2.28</v>
      </c>
      <c r="G2239" t="n">
        <v>23.07</v>
      </c>
      <c r="H2239" t="inlineStr">
        <is>
          <t>UPI</t>
        </is>
      </c>
      <c r="I2239" t="inlineStr">
        <is>
          <t>Success</t>
        </is>
      </c>
      <c r="J2239" t="inlineStr">
        <is>
          <t>Delivered</t>
        </is>
      </c>
      <c r="K2239" t="n">
        <v>0</v>
      </c>
      <c r="L2239" t="n">
        <v>0</v>
      </c>
      <c r="M2239" t="inlineStr">
        <is>
          <t>INR</t>
        </is>
      </c>
      <c r="N2239" t="inlineStr">
        <is>
          <t>2026-02-27 02:18:41</t>
        </is>
      </c>
    </row>
    <row r="2240">
      <c r="A2240" t="inlineStr">
        <is>
          <t>TXN00212221</t>
        </is>
      </c>
      <c r="B2240" t="inlineStr">
        <is>
          <t>MER00728</t>
        </is>
      </c>
      <c r="C2240" s="8" t="n">
        <v>46083</v>
      </c>
      <c r="D2240" t="inlineStr">
        <is>
          <t>ORD00212221</t>
        </is>
      </c>
      <c r="E2240" t="n">
        <v>1648.02</v>
      </c>
      <c r="F2240" t="n">
        <v>2.28</v>
      </c>
      <c r="G2240" t="n">
        <v>37.57</v>
      </c>
      <c r="H2240" t="inlineStr">
        <is>
          <t>UPI</t>
        </is>
      </c>
      <c r="I2240" t="inlineStr">
        <is>
          <t>Success</t>
        </is>
      </c>
      <c r="J2240" t="inlineStr">
        <is>
          <t>Delivered</t>
        </is>
      </c>
      <c r="K2240" t="n">
        <v>0</v>
      </c>
      <c r="L2240" t="n">
        <v>0</v>
      </c>
      <c r="M2240" t="inlineStr">
        <is>
          <t>INR</t>
        </is>
      </c>
      <c r="N2240" t="inlineStr">
        <is>
          <t>2026-03-02 09:56:45</t>
        </is>
      </c>
    </row>
    <row r="2241">
      <c r="A2241" t="inlineStr">
        <is>
          <t>TXN00212548</t>
        </is>
      </c>
      <c r="B2241" t="inlineStr">
        <is>
          <t>MER00728</t>
        </is>
      </c>
      <c r="C2241" s="8" t="n">
        <v>46084</v>
      </c>
      <c r="D2241" t="inlineStr">
        <is>
          <t>ORD00212548</t>
        </is>
      </c>
      <c r="E2241" t="n">
        <v>1604.65</v>
      </c>
      <c r="F2241" t="n">
        <v>2.28</v>
      </c>
      <c r="G2241" t="n">
        <v>36.59</v>
      </c>
      <c r="H2241" t="inlineStr">
        <is>
          <t>UPI</t>
        </is>
      </c>
      <c r="I2241" t="inlineStr">
        <is>
          <t>Success</t>
        </is>
      </c>
      <c r="J2241" t="inlineStr">
        <is>
          <t>Delivered</t>
        </is>
      </c>
      <c r="K2241" t="n">
        <v>0</v>
      </c>
      <c r="L2241" t="n">
        <v>0</v>
      </c>
      <c r="M2241" t="inlineStr">
        <is>
          <t>INR</t>
        </is>
      </c>
      <c r="N2241" t="inlineStr">
        <is>
          <t>2026-03-03 07:06:36</t>
        </is>
      </c>
    </row>
    <row r="2242">
      <c r="A2242" t="inlineStr">
        <is>
          <t>TXN00219137</t>
        </is>
      </c>
      <c r="B2242" t="inlineStr">
        <is>
          <t>MER00728</t>
        </is>
      </c>
      <c r="C2242" s="8" t="n">
        <v>46102</v>
      </c>
      <c r="D2242" t="inlineStr">
        <is>
          <t>ORD00219137</t>
        </is>
      </c>
      <c r="E2242" t="n">
        <v>487.88</v>
      </c>
      <c r="F2242" t="n">
        <v>2.28</v>
      </c>
      <c r="G2242" t="n">
        <v>11.12</v>
      </c>
      <c r="H2242" t="inlineStr">
        <is>
          <t>Wallet</t>
        </is>
      </c>
      <c r="I2242" t="inlineStr">
        <is>
          <t>Success</t>
        </is>
      </c>
      <c r="J2242" t="inlineStr">
        <is>
          <t>Delivered</t>
        </is>
      </c>
      <c r="K2242" t="n">
        <v>0</v>
      </c>
      <c r="L2242" t="n">
        <v>0</v>
      </c>
      <c r="M2242" t="inlineStr">
        <is>
          <t>INR</t>
        </is>
      </c>
      <c r="N2242" t="inlineStr">
        <is>
          <t>2026-03-21 01:51:06</t>
        </is>
      </c>
    </row>
    <row r="2243">
      <c r="A2243" t="inlineStr">
        <is>
          <t>TXN00221397</t>
        </is>
      </c>
      <c r="B2243" t="inlineStr">
        <is>
          <t>MER00728</t>
        </is>
      </c>
      <c r="C2243" s="8" t="n">
        <v>46108</v>
      </c>
      <c r="D2243" t="inlineStr">
        <is>
          <t>ORD00221397</t>
        </is>
      </c>
      <c r="E2243" t="n">
        <v>1194.93</v>
      </c>
      <c r="F2243" t="n">
        <v>2.28</v>
      </c>
      <c r="G2243" t="n">
        <v>27.24</v>
      </c>
      <c r="H2243" t="inlineStr">
        <is>
          <t>Card</t>
        </is>
      </c>
      <c r="I2243" t="inlineStr">
        <is>
          <t>Success</t>
        </is>
      </c>
      <c r="J2243" t="inlineStr">
        <is>
          <t>Delivered</t>
        </is>
      </c>
      <c r="K2243" t="n">
        <v>0</v>
      </c>
      <c r="L2243" t="n">
        <v>0</v>
      </c>
      <c r="M2243" t="inlineStr">
        <is>
          <t>INR</t>
        </is>
      </c>
      <c r="N2243" t="inlineStr">
        <is>
          <t>2026-03-27 21:36:33</t>
        </is>
      </c>
    </row>
    <row r="2244">
      <c r="A2244" t="inlineStr">
        <is>
          <t>TXN00221719</t>
        </is>
      </c>
      <c r="B2244" t="inlineStr">
        <is>
          <t>MER00728</t>
        </is>
      </c>
      <c r="C2244" s="8" t="n">
        <v>46109</v>
      </c>
      <c r="D2244" t="inlineStr">
        <is>
          <t>ORD00221719</t>
        </is>
      </c>
      <c r="E2244" t="n">
        <v>1013.56</v>
      </c>
      <c r="F2244" t="n">
        <v>2.28</v>
      </c>
      <c r="G2244" t="n">
        <v>23.11</v>
      </c>
      <c r="H2244" t="inlineStr">
        <is>
          <t>NetBanking</t>
        </is>
      </c>
      <c r="I2244" t="inlineStr">
        <is>
          <t>Success</t>
        </is>
      </c>
      <c r="J2244" t="inlineStr">
        <is>
          <t>Delivered</t>
        </is>
      </c>
      <c r="K2244" t="n">
        <v>0</v>
      </c>
      <c r="L2244" t="n">
        <v>170.76</v>
      </c>
      <c r="M2244" t="inlineStr">
        <is>
          <t>INR</t>
        </is>
      </c>
      <c r="N2244" t="inlineStr">
        <is>
          <t>2026-03-28 10:44:12</t>
        </is>
      </c>
    </row>
    <row r="2245">
      <c r="A2245" t="inlineStr">
        <is>
          <t>TXN00222971</t>
        </is>
      </c>
      <c r="B2245" t="inlineStr">
        <is>
          <t>MER00728</t>
        </is>
      </c>
      <c r="C2245" s="8" t="n">
        <v>46112</v>
      </c>
      <c r="D2245" t="inlineStr">
        <is>
          <t>ORD00222971</t>
        </is>
      </c>
      <c r="E2245" t="n">
        <v>1102.21</v>
      </c>
      <c r="F2245" t="n">
        <v>2.28</v>
      </c>
      <c r="G2245" t="n">
        <v>25.13</v>
      </c>
      <c r="H2245" t="inlineStr">
        <is>
          <t>NetBanking</t>
        </is>
      </c>
      <c r="I2245" t="inlineStr">
        <is>
          <t>Success</t>
        </is>
      </c>
      <c r="J2245" t="inlineStr">
        <is>
          <t>Delivered</t>
        </is>
      </c>
      <c r="K2245" t="n">
        <v>0</v>
      </c>
      <c r="L2245" t="n">
        <v>0</v>
      </c>
      <c r="M2245" t="inlineStr">
        <is>
          <t>INR</t>
        </is>
      </c>
      <c r="N2245" t="inlineStr">
        <is>
          <t>2026-03-31 02:43:25</t>
        </is>
      </c>
    </row>
    <row r="2246">
      <c r="A2246" t="inlineStr">
        <is>
          <t>TXN00224422</t>
        </is>
      </c>
      <c r="B2246" t="inlineStr">
        <is>
          <t>MER00728</t>
        </is>
      </c>
      <c r="C2246" s="8" t="n">
        <v>46116</v>
      </c>
      <c r="D2246" t="inlineStr">
        <is>
          <t>ORD00224422</t>
        </is>
      </c>
      <c r="E2246" t="n">
        <v>810.02</v>
      </c>
      <c r="F2246" t="n">
        <v>2.28</v>
      </c>
      <c r="G2246" t="n">
        <v>18.47</v>
      </c>
      <c r="H2246" t="inlineStr">
        <is>
          <t>NetBanking</t>
        </is>
      </c>
      <c r="I2246" t="inlineStr">
        <is>
          <t>Failed</t>
        </is>
      </c>
      <c r="J2246" t="inlineStr">
        <is>
          <t>Processing</t>
        </is>
      </c>
      <c r="K2246" t="n">
        <v>0</v>
      </c>
      <c r="L2246" t="n">
        <v>0</v>
      </c>
      <c r="M2246" t="inlineStr">
        <is>
          <t>INR</t>
        </is>
      </c>
      <c r="N2246" t="inlineStr">
        <is>
          <t>2026-04-04 22:19:27</t>
        </is>
      </c>
    </row>
    <row r="2247">
      <c r="A2247" t="inlineStr">
        <is>
          <t>TXN00226483</t>
        </is>
      </c>
      <c r="B2247" t="inlineStr">
        <is>
          <t>MER00728</t>
        </is>
      </c>
      <c r="C2247" s="8" t="n">
        <v>46121</v>
      </c>
      <c r="D2247" t="inlineStr">
        <is>
          <t>ORD00226483</t>
        </is>
      </c>
      <c r="E2247" t="n">
        <v>1401.18</v>
      </c>
      <c r="F2247" t="n">
        <v>2.28</v>
      </c>
      <c r="G2247" t="n">
        <v>31.95</v>
      </c>
      <c r="H2247" t="inlineStr">
        <is>
          <t>UPI</t>
        </is>
      </c>
      <c r="I2247" t="inlineStr">
        <is>
          <t>Success</t>
        </is>
      </c>
      <c r="J2247" t="inlineStr">
        <is>
          <t>Returned</t>
        </is>
      </c>
      <c r="K2247" t="n">
        <v>1401.18</v>
      </c>
      <c r="L2247" t="n">
        <v>0</v>
      </c>
      <c r="M2247" t="inlineStr">
        <is>
          <t>INR</t>
        </is>
      </c>
      <c r="N2247" t="inlineStr">
        <is>
          <t>2026-04-09 07:36:00</t>
        </is>
      </c>
    </row>
    <row r="2248">
      <c r="A2248" t="inlineStr">
        <is>
          <t>TXN00226779</t>
        </is>
      </c>
      <c r="B2248" t="inlineStr">
        <is>
          <t>MER00728</t>
        </is>
      </c>
      <c r="C2248" s="8" t="n">
        <v>46122</v>
      </c>
      <c r="D2248" t="inlineStr">
        <is>
          <t>ORD00226779</t>
        </is>
      </c>
      <c r="E2248" t="n">
        <v>560.88</v>
      </c>
      <c r="F2248" t="n">
        <v>2.28</v>
      </c>
      <c r="G2248" t="n">
        <v>12.79</v>
      </c>
      <c r="H2248" t="inlineStr">
        <is>
          <t>UPI</t>
        </is>
      </c>
      <c r="I2248" t="inlineStr">
        <is>
          <t>Success</t>
        </is>
      </c>
      <c r="J2248" t="inlineStr">
        <is>
          <t>Delivered</t>
        </is>
      </c>
      <c r="K2248" t="n">
        <v>0</v>
      </c>
      <c r="L2248" t="n">
        <v>0</v>
      </c>
      <c r="M2248" t="inlineStr">
        <is>
          <t>INR</t>
        </is>
      </c>
      <c r="N2248" t="inlineStr">
        <is>
          <t>2026-04-10 20:09:49</t>
        </is>
      </c>
    </row>
    <row r="2249">
      <c r="A2249" t="inlineStr">
        <is>
          <t>TXN00227868</t>
        </is>
      </c>
      <c r="B2249" t="inlineStr">
        <is>
          <t>MER00728</t>
        </is>
      </c>
      <c r="C2249" s="8" t="n">
        <v>46125</v>
      </c>
      <c r="D2249" t="inlineStr">
        <is>
          <t>ORD00227868</t>
        </is>
      </c>
      <c r="E2249" t="n">
        <v>1209.9</v>
      </c>
      <c r="F2249" t="n">
        <v>2.28</v>
      </c>
      <c r="G2249" t="n">
        <v>27.59</v>
      </c>
      <c r="H2249" t="inlineStr">
        <is>
          <t>UPI</t>
        </is>
      </c>
      <c r="I2249" t="inlineStr">
        <is>
          <t>Success</t>
        </is>
      </c>
      <c r="J2249" t="inlineStr">
        <is>
          <t>Returned</t>
        </is>
      </c>
      <c r="K2249" t="n">
        <v>1209.9</v>
      </c>
      <c r="L2249" t="n">
        <v>0</v>
      </c>
      <c r="M2249" t="inlineStr">
        <is>
          <t>INR</t>
        </is>
      </c>
      <c r="N2249" t="inlineStr">
        <is>
          <t>2026-04-13 15:00:31</t>
        </is>
      </c>
    </row>
    <row r="2250">
      <c r="A2250" t="inlineStr">
        <is>
          <t>TXN00230322</t>
        </is>
      </c>
      <c r="B2250" t="inlineStr">
        <is>
          <t>MER00728</t>
        </is>
      </c>
      <c r="C2250" s="8" t="n">
        <v>46131</v>
      </c>
      <c r="D2250" t="inlineStr">
        <is>
          <t>ORD00230322</t>
        </is>
      </c>
      <c r="E2250" t="n">
        <v>2503.28</v>
      </c>
      <c r="F2250" t="n">
        <v>2.28</v>
      </c>
      <c r="G2250" t="n">
        <v>57.07</v>
      </c>
      <c r="H2250" t="inlineStr">
        <is>
          <t>UPI</t>
        </is>
      </c>
      <c r="I2250" t="inlineStr">
        <is>
          <t>Success</t>
        </is>
      </c>
      <c r="J2250" t="inlineStr">
        <is>
          <t>Delivered</t>
        </is>
      </c>
      <c r="K2250" t="n">
        <v>0</v>
      </c>
      <c r="L2250" t="n">
        <v>0</v>
      </c>
      <c r="M2250" t="inlineStr">
        <is>
          <t>INR</t>
        </is>
      </c>
      <c r="N2250" t="inlineStr">
        <is>
          <t>2026-04-19 17:52:32</t>
        </is>
      </c>
    </row>
    <row r="2251">
      <c r="A2251" t="inlineStr">
        <is>
          <t>TXN00230554</t>
        </is>
      </c>
      <c r="B2251" t="inlineStr">
        <is>
          <t>MER00728</t>
        </is>
      </c>
      <c r="C2251" s="8" t="n">
        <v>46132</v>
      </c>
      <c r="D2251" t="inlineStr">
        <is>
          <t>ORD00230554</t>
        </is>
      </c>
      <c r="E2251" t="n">
        <v>1743.96</v>
      </c>
      <c r="F2251" t="n">
        <v>2.28</v>
      </c>
      <c r="G2251" t="n">
        <v>39.76</v>
      </c>
      <c r="H2251" t="inlineStr">
        <is>
          <t>UPI</t>
        </is>
      </c>
      <c r="I2251" t="inlineStr">
        <is>
          <t>Success</t>
        </is>
      </c>
      <c r="J2251" t="inlineStr">
        <is>
          <t>Returned</t>
        </is>
      </c>
      <c r="K2251" t="n">
        <v>1743.96</v>
      </c>
      <c r="L2251" t="n">
        <v>0</v>
      </c>
      <c r="M2251" t="inlineStr">
        <is>
          <t>INR</t>
        </is>
      </c>
      <c r="N2251" t="inlineStr">
        <is>
          <t>2026-04-20 21:50:46</t>
        </is>
      </c>
    </row>
    <row r="2252">
      <c r="A2252" t="inlineStr">
        <is>
          <t>TXN00230553</t>
        </is>
      </c>
      <c r="B2252" t="inlineStr">
        <is>
          <t>MER00728</t>
        </is>
      </c>
      <c r="C2252" s="8" t="n">
        <v>46132</v>
      </c>
      <c r="D2252" t="inlineStr">
        <is>
          <t>ORD00230553</t>
        </is>
      </c>
      <c r="E2252" t="n">
        <v>731.65</v>
      </c>
      <c r="F2252" t="n">
        <v>2.28</v>
      </c>
      <c r="G2252" t="n">
        <v>16.68</v>
      </c>
      <c r="H2252" t="inlineStr">
        <is>
          <t>UPI</t>
        </is>
      </c>
      <c r="I2252" t="inlineStr">
        <is>
          <t>Success</t>
        </is>
      </c>
      <c r="J2252" t="inlineStr">
        <is>
          <t>Delivered</t>
        </is>
      </c>
      <c r="K2252" t="n">
        <v>0</v>
      </c>
      <c r="L2252" t="n">
        <v>0</v>
      </c>
      <c r="M2252" t="inlineStr">
        <is>
          <t>INR</t>
        </is>
      </c>
      <c r="N2252" t="inlineStr">
        <is>
          <t>2026-04-20 02:34:41</t>
        </is>
      </c>
    </row>
    <row r="2253">
      <c r="A2253" t="inlineStr">
        <is>
          <t>TXN00234541</t>
        </is>
      </c>
      <c r="B2253" t="inlineStr">
        <is>
          <t>MER00728</t>
        </is>
      </c>
      <c r="C2253" s="8" t="n">
        <v>46142</v>
      </c>
      <c r="D2253" t="inlineStr">
        <is>
          <t>ORD00234541</t>
        </is>
      </c>
      <c r="E2253" t="n">
        <v>2945.14</v>
      </c>
      <c r="F2253" t="n">
        <v>2.28</v>
      </c>
      <c r="G2253" t="n">
        <v>67.15000000000001</v>
      </c>
      <c r="H2253" t="inlineStr">
        <is>
          <t>NetBanking</t>
        </is>
      </c>
      <c r="I2253" t="inlineStr">
        <is>
          <t>Success</t>
        </is>
      </c>
      <c r="J2253" t="inlineStr">
        <is>
          <t>Delivered</t>
        </is>
      </c>
      <c r="K2253" t="n">
        <v>0</v>
      </c>
      <c r="L2253" t="n">
        <v>210.97</v>
      </c>
      <c r="M2253" t="inlineStr">
        <is>
          <t>INR</t>
        </is>
      </c>
      <c r="N2253" t="inlineStr">
        <is>
          <t>2026-04-30 03:26:10</t>
        </is>
      </c>
    </row>
    <row r="2254">
      <c r="A2254" t="inlineStr">
        <is>
          <t>TXN00234791</t>
        </is>
      </c>
      <c r="B2254" t="inlineStr">
        <is>
          <t>MER00728</t>
        </is>
      </c>
      <c r="C2254" s="8" t="n">
        <v>46143</v>
      </c>
      <c r="D2254" t="inlineStr">
        <is>
          <t>ORD00234791</t>
        </is>
      </c>
      <c r="E2254" t="n">
        <v>1158.7</v>
      </c>
      <c r="F2254" t="n">
        <v>2.28</v>
      </c>
      <c r="G2254" t="n">
        <v>26.42</v>
      </c>
      <c r="H2254" t="inlineStr">
        <is>
          <t>UPI</t>
        </is>
      </c>
      <c r="I2254" t="inlineStr">
        <is>
          <t>Success</t>
        </is>
      </c>
      <c r="J2254" t="inlineStr">
        <is>
          <t>Delivered</t>
        </is>
      </c>
      <c r="K2254" t="n">
        <v>0</v>
      </c>
      <c r="L2254" t="n">
        <v>0</v>
      </c>
      <c r="M2254" t="inlineStr">
        <is>
          <t>INR</t>
        </is>
      </c>
      <c r="N2254" t="inlineStr">
        <is>
          <t>2026-05-01 08:53:06</t>
        </is>
      </c>
    </row>
    <row r="2255">
      <c r="A2255" t="inlineStr">
        <is>
          <t>TXN00235925</t>
        </is>
      </c>
      <c r="B2255" t="inlineStr">
        <is>
          <t>MER00728</t>
        </is>
      </c>
      <c r="C2255" s="8" t="n">
        <v>46146</v>
      </c>
      <c r="D2255" t="inlineStr">
        <is>
          <t>ORD00235925</t>
        </is>
      </c>
      <c r="E2255" t="n">
        <v>874.9400000000001</v>
      </c>
      <c r="F2255" t="n">
        <v>2.28</v>
      </c>
      <c r="G2255" t="n">
        <v>19.95</v>
      </c>
      <c r="H2255" t="inlineStr">
        <is>
          <t>Wallet</t>
        </is>
      </c>
      <c r="I2255" t="inlineStr">
        <is>
          <t>Success</t>
        </is>
      </c>
      <c r="J2255" t="inlineStr">
        <is>
          <t>Delivered</t>
        </is>
      </c>
      <c r="K2255" t="n">
        <v>0</v>
      </c>
      <c r="L2255" t="n">
        <v>0</v>
      </c>
      <c r="M2255" t="inlineStr">
        <is>
          <t>INR</t>
        </is>
      </c>
      <c r="N2255" t="inlineStr">
        <is>
          <t>2026-05-04 05:45:40</t>
        </is>
      </c>
    </row>
    <row r="2256">
      <c r="A2256" t="inlineStr">
        <is>
          <t>TXN00235897</t>
        </is>
      </c>
      <c r="B2256" t="inlineStr">
        <is>
          <t>MER00728</t>
        </is>
      </c>
      <c r="C2256" s="8" t="n">
        <v>46146</v>
      </c>
      <c r="D2256" t="inlineStr">
        <is>
          <t>ORD00235897</t>
        </is>
      </c>
      <c r="E2256" t="n">
        <v>1689.17</v>
      </c>
      <c r="F2256" t="n">
        <v>2.28</v>
      </c>
      <c r="G2256" t="n">
        <v>38.51</v>
      </c>
      <c r="H2256" t="inlineStr">
        <is>
          <t>NetBanking</t>
        </is>
      </c>
      <c r="I2256" t="inlineStr">
        <is>
          <t>Failed</t>
        </is>
      </c>
      <c r="J2256" t="inlineStr">
        <is>
          <t>Cancelled</t>
        </is>
      </c>
      <c r="K2256" t="n">
        <v>0</v>
      </c>
      <c r="L2256" t="n">
        <v>0</v>
      </c>
      <c r="M2256" t="inlineStr">
        <is>
          <t>INR</t>
        </is>
      </c>
      <c r="N2256" t="inlineStr">
        <is>
          <t>2026-05-04 02:26:30</t>
        </is>
      </c>
    </row>
    <row r="2257">
      <c r="A2257" t="inlineStr">
        <is>
          <t>TXN00236196</t>
        </is>
      </c>
      <c r="B2257" t="inlineStr">
        <is>
          <t>MER00728</t>
        </is>
      </c>
      <c r="C2257" s="8" t="n">
        <v>46147</v>
      </c>
      <c r="D2257" t="inlineStr">
        <is>
          <t>ORD00236196</t>
        </is>
      </c>
      <c r="E2257" t="n">
        <v>1274.8</v>
      </c>
      <c r="F2257" t="n">
        <v>2.28</v>
      </c>
      <c r="G2257" t="n">
        <v>29.07</v>
      </c>
      <c r="H2257" t="inlineStr">
        <is>
          <t>NetBanking</t>
        </is>
      </c>
      <c r="I2257" t="inlineStr">
        <is>
          <t>Success</t>
        </is>
      </c>
      <c r="J2257" t="inlineStr">
        <is>
          <t>Delivered</t>
        </is>
      </c>
      <c r="K2257" t="n">
        <v>0</v>
      </c>
      <c r="L2257" t="n">
        <v>0</v>
      </c>
      <c r="M2257" t="inlineStr">
        <is>
          <t>INR</t>
        </is>
      </c>
      <c r="N2257" t="inlineStr">
        <is>
          <t>2026-05-05 17:35:41</t>
        </is>
      </c>
    </row>
    <row r="2258">
      <c r="A2258" t="inlineStr">
        <is>
          <t>TXN00236133</t>
        </is>
      </c>
      <c r="B2258" t="inlineStr">
        <is>
          <t>MER00728</t>
        </is>
      </c>
      <c r="C2258" s="8" t="n">
        <v>46147</v>
      </c>
      <c r="D2258" t="inlineStr">
        <is>
          <t>ORD00236133</t>
        </is>
      </c>
      <c r="E2258" t="n">
        <v>1085.14</v>
      </c>
      <c r="F2258" t="n">
        <v>2.28</v>
      </c>
      <c r="G2258" t="n">
        <v>24.74</v>
      </c>
      <c r="H2258" t="inlineStr">
        <is>
          <t>UPI</t>
        </is>
      </c>
      <c r="I2258" t="inlineStr">
        <is>
          <t>Success</t>
        </is>
      </c>
      <c r="J2258" t="inlineStr">
        <is>
          <t>Returned</t>
        </is>
      </c>
      <c r="K2258" t="n">
        <v>1085.14</v>
      </c>
      <c r="L2258" t="n">
        <v>0</v>
      </c>
      <c r="M2258" t="inlineStr">
        <is>
          <t>INR</t>
        </is>
      </c>
      <c r="N2258" t="inlineStr">
        <is>
          <t>2026-05-05 12:51:55</t>
        </is>
      </c>
    </row>
    <row r="2259">
      <c r="A2259" t="inlineStr">
        <is>
          <t>TXN00236828</t>
        </is>
      </c>
      <c r="B2259" t="inlineStr">
        <is>
          <t>MER00728</t>
        </is>
      </c>
      <c r="C2259" s="8" t="n">
        <v>46148</v>
      </c>
      <c r="D2259" t="inlineStr">
        <is>
          <t>ORD00236828</t>
        </is>
      </c>
      <c r="E2259" t="n">
        <v>1864.07</v>
      </c>
      <c r="F2259" t="n">
        <v>2.28</v>
      </c>
      <c r="G2259" t="n">
        <v>42.5</v>
      </c>
      <c r="H2259" t="inlineStr">
        <is>
          <t>COD</t>
        </is>
      </c>
      <c r="I2259" t="inlineStr">
        <is>
          <t>Pending</t>
        </is>
      </c>
      <c r="J2259" t="inlineStr">
        <is>
          <t>Processing</t>
        </is>
      </c>
      <c r="K2259" t="n">
        <v>0</v>
      </c>
      <c r="L2259" t="n">
        <v>0</v>
      </c>
      <c r="M2259" t="inlineStr">
        <is>
          <t>INR</t>
        </is>
      </c>
      <c r="N2259" t="inlineStr">
        <is>
          <t>2026-05-06 16:10:17</t>
        </is>
      </c>
    </row>
    <row r="2260">
      <c r="A2260" t="inlineStr">
        <is>
          <t>TXN00238373</t>
        </is>
      </c>
      <c r="B2260" t="inlineStr">
        <is>
          <t>MER00728</t>
        </is>
      </c>
      <c r="C2260" s="8" t="n">
        <v>46153</v>
      </c>
      <c r="D2260" t="inlineStr">
        <is>
          <t>ORD00238373</t>
        </is>
      </c>
      <c r="E2260" t="n">
        <v>2540.89</v>
      </c>
      <c r="F2260" t="n">
        <v>2.28</v>
      </c>
      <c r="G2260" t="n">
        <v>57.93</v>
      </c>
      <c r="H2260" t="inlineStr">
        <is>
          <t>Card</t>
        </is>
      </c>
      <c r="I2260" t="inlineStr">
        <is>
          <t>Success</t>
        </is>
      </c>
      <c r="J2260" t="inlineStr">
        <is>
          <t>Delivered</t>
        </is>
      </c>
      <c r="K2260" t="n">
        <v>0</v>
      </c>
      <c r="L2260" t="n">
        <v>0</v>
      </c>
      <c r="M2260" t="inlineStr">
        <is>
          <t>INR</t>
        </is>
      </c>
      <c r="N2260" t="inlineStr">
        <is>
          <t>2026-05-11 04:01:26</t>
        </is>
      </c>
    </row>
    <row r="2261">
      <c r="A2261" t="inlineStr">
        <is>
          <t>TXN00238781</t>
        </is>
      </c>
      <c r="B2261" t="inlineStr">
        <is>
          <t>MER00728</t>
        </is>
      </c>
      <c r="C2261" s="8" t="n">
        <v>46154</v>
      </c>
      <c r="D2261" t="inlineStr">
        <is>
          <t>ORD00238781</t>
        </is>
      </c>
      <c r="E2261" t="n">
        <v>413.19</v>
      </c>
      <c r="F2261" t="n">
        <v>2.28</v>
      </c>
      <c r="G2261" t="n">
        <v>9.42</v>
      </c>
      <c r="H2261" t="inlineStr">
        <is>
          <t>UPI</t>
        </is>
      </c>
      <c r="I2261" t="inlineStr">
        <is>
          <t>Success</t>
        </is>
      </c>
      <c r="J2261" t="inlineStr">
        <is>
          <t>Delivered</t>
        </is>
      </c>
      <c r="K2261" t="n">
        <v>0</v>
      </c>
      <c r="L2261" t="n">
        <v>0</v>
      </c>
      <c r="M2261" t="inlineStr">
        <is>
          <t>INR</t>
        </is>
      </c>
      <c r="N2261" t="inlineStr">
        <is>
          <t>2026-05-12 04:41:23</t>
        </is>
      </c>
    </row>
    <row r="2262">
      <c r="A2262" t="inlineStr">
        <is>
          <t>TXN00238796</t>
        </is>
      </c>
      <c r="B2262" t="inlineStr">
        <is>
          <t>MER00728</t>
        </is>
      </c>
      <c r="C2262" s="8" t="n">
        <v>46154</v>
      </c>
      <c r="D2262" t="inlineStr">
        <is>
          <t>ORD00238796</t>
        </is>
      </c>
      <c r="E2262" t="n">
        <v>2810.45</v>
      </c>
      <c r="F2262" t="n">
        <v>1.89</v>
      </c>
      <c r="G2262" t="n">
        <v>64.08</v>
      </c>
      <c r="H2262" t="inlineStr">
        <is>
          <t>Wallet</t>
        </is>
      </c>
      <c r="I2262" t="inlineStr">
        <is>
          <t>Success</t>
        </is>
      </c>
      <c r="J2262" t="inlineStr">
        <is>
          <t>Returned</t>
        </is>
      </c>
      <c r="K2262" t="n">
        <v>2810.45</v>
      </c>
      <c r="L2262" t="n">
        <v>0</v>
      </c>
      <c r="M2262" t="inlineStr">
        <is>
          <t>INR</t>
        </is>
      </c>
      <c r="N2262" t="inlineStr">
        <is>
          <t>2026-05-12 02:18:29</t>
        </is>
      </c>
    </row>
    <row r="2263">
      <c r="A2263" t="inlineStr">
        <is>
          <t>TXN00240113</t>
        </is>
      </c>
      <c r="B2263" t="inlineStr">
        <is>
          <t>MER00728</t>
        </is>
      </c>
      <c r="C2263" s="8" t="n">
        <v>46157</v>
      </c>
      <c r="D2263" t="inlineStr">
        <is>
          <t>ORD00240113</t>
        </is>
      </c>
      <c r="E2263" t="n">
        <v>1198.11</v>
      </c>
      <c r="F2263" t="n">
        <v>2.28</v>
      </c>
      <c r="G2263" t="n">
        <v>27.32</v>
      </c>
      <c r="H2263" t="inlineStr">
        <is>
          <t>Card</t>
        </is>
      </c>
      <c r="I2263" t="inlineStr">
        <is>
          <t>Success</t>
        </is>
      </c>
      <c r="J2263" t="inlineStr">
        <is>
          <t>Delivered</t>
        </is>
      </c>
      <c r="K2263" t="n">
        <v>0</v>
      </c>
      <c r="L2263" t="n">
        <v>0</v>
      </c>
      <c r="M2263" t="inlineStr">
        <is>
          <t>INR</t>
        </is>
      </c>
      <c r="N2263" t="inlineStr">
        <is>
          <t>2026-05-15 13:54:53</t>
        </is>
      </c>
    </row>
    <row r="2264">
      <c r="A2264" t="inlineStr">
        <is>
          <t>TXN00242044</t>
        </is>
      </c>
      <c r="B2264" t="inlineStr">
        <is>
          <t>MER00728</t>
        </is>
      </c>
      <c r="C2264" s="8" t="n">
        <v>46162</v>
      </c>
      <c r="D2264" t="inlineStr">
        <is>
          <t>ORD00242044</t>
        </is>
      </c>
      <c r="E2264" t="n">
        <v>1126.86</v>
      </c>
      <c r="F2264" t="n">
        <v>2.28</v>
      </c>
      <c r="G2264" t="n">
        <v>25.69</v>
      </c>
      <c r="H2264" t="inlineStr">
        <is>
          <t>UPI</t>
        </is>
      </c>
      <c r="I2264" t="inlineStr">
        <is>
          <t>Success</t>
        </is>
      </c>
      <c r="J2264" t="inlineStr">
        <is>
          <t>Cancelled</t>
        </is>
      </c>
      <c r="K2264" t="n">
        <v>1008.57</v>
      </c>
      <c r="L2264" t="n">
        <v>0</v>
      </c>
      <c r="M2264" t="inlineStr">
        <is>
          <t>INR</t>
        </is>
      </c>
      <c r="N2264" t="inlineStr">
        <is>
          <t>2026-05-20 15:58:04</t>
        </is>
      </c>
    </row>
    <row r="2265">
      <c r="A2265" t="inlineStr">
        <is>
          <t>TXN00242529</t>
        </is>
      </c>
      <c r="B2265" t="inlineStr">
        <is>
          <t>MER00728</t>
        </is>
      </c>
      <c r="C2265" s="8" t="n">
        <v>46163</v>
      </c>
      <c r="D2265" t="inlineStr">
        <is>
          <t>ORD00242529</t>
        </is>
      </c>
      <c r="E2265" t="n">
        <v>450.23</v>
      </c>
      <c r="F2265" t="n">
        <v>2.28</v>
      </c>
      <c r="G2265" t="n">
        <v>10.27</v>
      </c>
      <c r="H2265" t="inlineStr">
        <is>
          <t>Card</t>
        </is>
      </c>
      <c r="I2265" t="inlineStr">
        <is>
          <t>Success</t>
        </is>
      </c>
      <c r="J2265" t="inlineStr">
        <is>
          <t>Delivered</t>
        </is>
      </c>
      <c r="K2265" t="n">
        <v>0</v>
      </c>
      <c r="L2265" t="n">
        <v>0</v>
      </c>
      <c r="M2265" t="inlineStr">
        <is>
          <t>INR</t>
        </is>
      </c>
      <c r="N2265" t="inlineStr">
        <is>
          <t>2026-05-21 00:07:38</t>
        </is>
      </c>
    </row>
    <row r="2266">
      <c r="A2266" t="inlineStr">
        <is>
          <t>TXN00242546</t>
        </is>
      </c>
      <c r="B2266" t="inlineStr">
        <is>
          <t>MER00728</t>
        </is>
      </c>
      <c r="C2266" s="8" t="n">
        <v>46163</v>
      </c>
      <c r="D2266" t="inlineStr">
        <is>
          <t>ORD00242546</t>
        </is>
      </c>
      <c r="E2266" t="n">
        <v>1653.5</v>
      </c>
      <c r="F2266" t="n">
        <v>2.28</v>
      </c>
      <c r="G2266" t="n">
        <v>37.7</v>
      </c>
      <c r="H2266" t="inlineStr">
        <is>
          <t>UPI</t>
        </is>
      </c>
      <c r="I2266" t="inlineStr">
        <is>
          <t>Success</t>
        </is>
      </c>
      <c r="J2266" t="inlineStr">
        <is>
          <t>Delivered</t>
        </is>
      </c>
      <c r="K2266" t="n">
        <v>0</v>
      </c>
      <c r="L2266" t="n">
        <v>0</v>
      </c>
      <c r="M2266" t="inlineStr">
        <is>
          <t>INR</t>
        </is>
      </c>
      <c r="N2266" t="inlineStr">
        <is>
          <t>2026-05-21 03:38:34</t>
        </is>
      </c>
    </row>
    <row r="2267">
      <c r="A2267" t="inlineStr">
        <is>
          <t>TXN00243053</t>
        </is>
      </c>
      <c r="B2267" t="inlineStr">
        <is>
          <t>MER00728</t>
        </is>
      </c>
      <c r="C2267" s="8" t="n">
        <v>46165</v>
      </c>
      <c r="D2267" t="inlineStr">
        <is>
          <t>ORD00243053</t>
        </is>
      </c>
      <c r="E2267" t="n">
        <v>958.9299999999999</v>
      </c>
      <c r="F2267" t="n">
        <v>2.95</v>
      </c>
      <c r="G2267" t="n">
        <v>21.86</v>
      </c>
      <c r="H2267" t="inlineStr">
        <is>
          <t>Card</t>
        </is>
      </c>
      <c r="I2267" t="inlineStr">
        <is>
          <t>Success</t>
        </is>
      </c>
      <c r="J2267" t="inlineStr">
        <is>
          <t>Delivered</t>
        </is>
      </c>
      <c r="K2267" t="n">
        <v>0</v>
      </c>
      <c r="L2267" t="n">
        <v>0</v>
      </c>
      <c r="M2267" t="inlineStr">
        <is>
          <t>INR</t>
        </is>
      </c>
      <c r="N2267" t="inlineStr">
        <is>
          <t>2026-05-23 12:44:50</t>
        </is>
      </c>
    </row>
    <row r="2268">
      <c r="A2268" t="inlineStr">
        <is>
          <t>TXN00243067</t>
        </is>
      </c>
      <c r="B2268" t="inlineStr">
        <is>
          <t>MER00728</t>
        </is>
      </c>
      <c r="C2268" s="8" t="n">
        <v>46165</v>
      </c>
      <c r="D2268" t="inlineStr">
        <is>
          <t>ORD00243067</t>
        </is>
      </c>
      <c r="E2268" t="n">
        <v>2011.99</v>
      </c>
      <c r="F2268" t="n">
        <v>2.28</v>
      </c>
      <c r="G2268" t="n">
        <v>45.87</v>
      </c>
      <c r="H2268" t="inlineStr">
        <is>
          <t>Card</t>
        </is>
      </c>
      <c r="I2268" t="inlineStr">
        <is>
          <t>Success</t>
        </is>
      </c>
      <c r="J2268" t="inlineStr">
        <is>
          <t>Delivered</t>
        </is>
      </c>
      <c r="K2268" t="n">
        <v>0</v>
      </c>
      <c r="L2268" t="n">
        <v>115.95</v>
      </c>
      <c r="M2268" t="inlineStr">
        <is>
          <t>INR</t>
        </is>
      </c>
      <c r="N2268" t="inlineStr">
        <is>
          <t>2026-05-23 15:29:00</t>
        </is>
      </c>
    </row>
    <row r="2269">
      <c r="A2269" t="inlineStr">
        <is>
          <t>TXN00243632</t>
        </is>
      </c>
      <c r="B2269" t="inlineStr">
        <is>
          <t>MER00728</t>
        </is>
      </c>
      <c r="C2269" s="8" t="n">
        <v>46166</v>
      </c>
      <c r="D2269" t="inlineStr">
        <is>
          <t>ORD00243632</t>
        </is>
      </c>
      <c r="E2269" t="n">
        <v>707.47</v>
      </c>
      <c r="F2269" t="n">
        <v>2.28</v>
      </c>
      <c r="G2269" t="n">
        <v>16.13</v>
      </c>
      <c r="H2269" t="inlineStr">
        <is>
          <t>Card</t>
        </is>
      </c>
      <c r="I2269" t="inlineStr">
        <is>
          <t>Pending</t>
        </is>
      </c>
      <c r="J2269" t="inlineStr">
        <is>
          <t>Processing</t>
        </is>
      </c>
      <c r="K2269" t="n">
        <v>0</v>
      </c>
      <c r="L2269" t="n">
        <v>130.49</v>
      </c>
      <c r="M2269" t="inlineStr">
        <is>
          <t>INR</t>
        </is>
      </c>
      <c r="N2269" t="inlineStr">
        <is>
          <t>2026-05-24 19:32:30</t>
        </is>
      </c>
    </row>
    <row r="2270">
      <c r="A2270" t="inlineStr">
        <is>
          <t>TXN00244774</t>
        </is>
      </c>
      <c r="B2270" t="inlineStr">
        <is>
          <t>MER00728</t>
        </is>
      </c>
      <c r="C2270" s="8" t="n">
        <v>46169</v>
      </c>
      <c r="D2270" t="inlineStr">
        <is>
          <t>ORD00244774</t>
        </is>
      </c>
      <c r="E2270" t="n">
        <v>860.83</v>
      </c>
      <c r="F2270" t="n">
        <v>2.28</v>
      </c>
      <c r="G2270" t="n">
        <v>19.63</v>
      </c>
      <c r="H2270" t="inlineStr">
        <is>
          <t>NetBanking</t>
        </is>
      </c>
      <c r="I2270" t="inlineStr">
        <is>
          <t>Failed</t>
        </is>
      </c>
      <c r="J2270" t="inlineStr">
        <is>
          <t>Cancelled</t>
        </is>
      </c>
      <c r="K2270" t="n">
        <v>0</v>
      </c>
      <c r="L2270" t="n">
        <v>0</v>
      </c>
      <c r="M2270" t="inlineStr">
        <is>
          <t>INR</t>
        </is>
      </c>
      <c r="N2270" t="inlineStr">
        <is>
          <t>2026-05-27 02:31:21</t>
        </is>
      </c>
    </row>
    <row r="2271">
      <c r="A2271" t="inlineStr">
        <is>
          <t>TXN00245453</t>
        </is>
      </c>
      <c r="B2271" t="inlineStr">
        <is>
          <t>MER00728</t>
        </is>
      </c>
      <c r="C2271" s="8" t="n">
        <v>46171</v>
      </c>
      <c r="D2271" t="inlineStr">
        <is>
          <t>ORD00245453</t>
        </is>
      </c>
      <c r="E2271" t="n">
        <v>774.33</v>
      </c>
      <c r="F2271" t="n">
        <v>2.28</v>
      </c>
      <c r="G2271" t="n">
        <v>17.65</v>
      </c>
      <c r="H2271" t="inlineStr">
        <is>
          <t>Wallet</t>
        </is>
      </c>
      <c r="I2271" t="inlineStr">
        <is>
          <t>Success</t>
        </is>
      </c>
      <c r="J2271" t="inlineStr">
        <is>
          <t>Delivered</t>
        </is>
      </c>
      <c r="K2271" t="n">
        <v>0</v>
      </c>
      <c r="L2271" t="n">
        <v>112.35</v>
      </c>
      <c r="M2271" t="inlineStr">
        <is>
          <t>INR</t>
        </is>
      </c>
      <c r="N2271" t="inlineStr">
        <is>
          <t>2026-05-29 09:55:19</t>
        </is>
      </c>
    </row>
    <row r="2272">
      <c r="A2272" t="inlineStr">
        <is>
          <t>TXN00245841</t>
        </is>
      </c>
      <c r="B2272" t="inlineStr">
        <is>
          <t>MER00728</t>
        </is>
      </c>
      <c r="C2272" s="8" t="n">
        <v>46172</v>
      </c>
      <c r="D2272" t="inlineStr">
        <is>
          <t>ORD00245841</t>
        </is>
      </c>
      <c r="E2272" t="n">
        <v>869.46</v>
      </c>
      <c r="F2272" t="n">
        <v>2.28</v>
      </c>
      <c r="G2272" t="n">
        <v>19.82</v>
      </c>
      <c r="H2272" t="inlineStr">
        <is>
          <t>Wallet</t>
        </is>
      </c>
      <c r="I2272" t="inlineStr">
        <is>
          <t>Success</t>
        </is>
      </c>
      <c r="J2272" t="inlineStr">
        <is>
          <t>Returned</t>
        </is>
      </c>
      <c r="K2272" t="n">
        <v>869.46</v>
      </c>
      <c r="L2272" t="n">
        <v>0</v>
      </c>
      <c r="M2272" t="inlineStr">
        <is>
          <t>INR</t>
        </is>
      </c>
      <c r="N2272" t="inlineStr">
        <is>
          <t>2026-05-30 21:55:26</t>
        </is>
      </c>
    </row>
    <row r="2273">
      <c r="A2273" t="inlineStr">
        <is>
          <t>TXN00246090</t>
        </is>
      </c>
      <c r="B2273" t="inlineStr">
        <is>
          <t>MER00728</t>
        </is>
      </c>
      <c r="C2273" s="8" t="n">
        <v>46173</v>
      </c>
      <c r="D2273" t="inlineStr">
        <is>
          <t>ORD00246090</t>
        </is>
      </c>
      <c r="E2273" t="n">
        <v>731.83</v>
      </c>
      <c r="F2273" t="n">
        <v>2.28</v>
      </c>
      <c r="G2273" t="n">
        <v>16.69</v>
      </c>
      <c r="H2273" t="inlineStr">
        <is>
          <t>NetBanking</t>
        </is>
      </c>
      <c r="I2273" t="inlineStr">
        <is>
          <t>Success</t>
        </is>
      </c>
      <c r="J2273" t="inlineStr">
        <is>
          <t>Delivered</t>
        </is>
      </c>
      <c r="K2273" t="n">
        <v>0</v>
      </c>
      <c r="L2273" t="n">
        <v>0</v>
      </c>
      <c r="M2273" t="inlineStr">
        <is>
          <t>INR</t>
        </is>
      </c>
      <c r="N2273" t="inlineStr">
        <is>
          <t>2026-05-31 01:04:52</t>
        </is>
      </c>
    </row>
    <row r="2274">
      <c r="A2274" t="inlineStr">
        <is>
          <t>TXN00248062</t>
        </is>
      </c>
      <c r="B2274" t="inlineStr">
        <is>
          <t>MER00728</t>
        </is>
      </c>
      <c r="C2274" s="8" t="n">
        <v>46178</v>
      </c>
      <c r="D2274" t="inlineStr">
        <is>
          <t>ORD00248062</t>
        </is>
      </c>
      <c r="E2274" t="n">
        <v>1351.38</v>
      </c>
      <c r="F2274" t="n">
        <v>2.28</v>
      </c>
      <c r="G2274" t="n">
        <v>30.81</v>
      </c>
      <c r="H2274" t="inlineStr">
        <is>
          <t>UPI</t>
        </is>
      </c>
      <c r="I2274" t="inlineStr">
        <is>
          <t>Success</t>
        </is>
      </c>
      <c r="J2274" t="inlineStr">
        <is>
          <t>Processing</t>
        </is>
      </c>
      <c r="K2274" t="n">
        <v>0</v>
      </c>
      <c r="L2274" t="n">
        <v>0</v>
      </c>
      <c r="M2274" t="inlineStr">
        <is>
          <t>INR</t>
        </is>
      </c>
      <c r="N2274" t="inlineStr">
        <is>
          <t>2026-06-05 04:40:03</t>
        </is>
      </c>
    </row>
    <row r="2275">
      <c r="A2275" t="inlineStr">
        <is>
          <t>TXN00251995</t>
        </is>
      </c>
      <c r="B2275" t="inlineStr">
        <is>
          <t>MER00728</t>
        </is>
      </c>
      <c r="C2275" s="8" t="n">
        <v>46188</v>
      </c>
      <c r="D2275" t="inlineStr">
        <is>
          <t>ORD00251995</t>
        </is>
      </c>
      <c r="E2275" t="n">
        <v>866.1900000000001</v>
      </c>
      <c r="F2275" t="n">
        <v>2.61</v>
      </c>
      <c r="G2275" t="n">
        <v>19.75</v>
      </c>
      <c r="H2275" t="inlineStr">
        <is>
          <t>UPI</t>
        </is>
      </c>
      <c r="I2275" t="inlineStr">
        <is>
          <t>Pending</t>
        </is>
      </c>
      <c r="J2275" t="inlineStr">
        <is>
          <t>Processing</t>
        </is>
      </c>
      <c r="K2275" t="n">
        <v>0</v>
      </c>
      <c r="L2275" t="n">
        <v>0</v>
      </c>
      <c r="M2275" t="inlineStr">
        <is>
          <t>INR</t>
        </is>
      </c>
      <c r="N2275" t="inlineStr">
        <is>
          <t>2026-06-15 08:11:08</t>
        </is>
      </c>
    </row>
    <row r="2276">
      <c r="A2276" t="inlineStr">
        <is>
          <t>TXN00252349</t>
        </is>
      </c>
      <c r="B2276" t="inlineStr">
        <is>
          <t>MER00728</t>
        </is>
      </c>
      <c r="C2276" s="8" t="n">
        <v>46189</v>
      </c>
      <c r="D2276" t="inlineStr">
        <is>
          <t>ORD00252349</t>
        </is>
      </c>
      <c r="E2276" t="n">
        <v>1335.14</v>
      </c>
      <c r="F2276" t="n">
        <v>2.28</v>
      </c>
      <c r="G2276" t="n">
        <v>30.44</v>
      </c>
      <c r="H2276" t="inlineStr">
        <is>
          <t>Wallet</t>
        </is>
      </c>
      <c r="I2276" t="inlineStr">
        <is>
          <t>Pending</t>
        </is>
      </c>
      <c r="J2276" t="inlineStr">
        <is>
          <t>Processing</t>
        </is>
      </c>
      <c r="K2276" t="n">
        <v>0</v>
      </c>
      <c r="L2276" t="n">
        <v>0</v>
      </c>
      <c r="M2276" t="inlineStr">
        <is>
          <t>INR</t>
        </is>
      </c>
      <c r="N2276" t="inlineStr">
        <is>
          <t>2026-06-16 00:22:22</t>
        </is>
      </c>
    </row>
    <row r="2277">
      <c r="A2277" t="inlineStr">
        <is>
          <t>TXN00254302</t>
        </is>
      </c>
      <c r="B2277" t="inlineStr">
        <is>
          <t>MER00728</t>
        </is>
      </c>
      <c r="C2277" s="8" t="n">
        <v>46193</v>
      </c>
      <c r="D2277" t="inlineStr">
        <is>
          <t>ORD00254302</t>
        </is>
      </c>
      <c r="E2277" t="n">
        <v>354.24</v>
      </c>
      <c r="F2277" t="n">
        <v>2.28</v>
      </c>
      <c r="G2277" t="n">
        <v>8.08</v>
      </c>
      <c r="H2277" t="inlineStr">
        <is>
          <t>UPI</t>
        </is>
      </c>
      <c r="I2277" t="inlineStr">
        <is>
          <t>Success</t>
        </is>
      </c>
      <c r="J2277" t="inlineStr">
        <is>
          <t>Delivered</t>
        </is>
      </c>
      <c r="K2277" t="n">
        <v>0</v>
      </c>
      <c r="L2277" t="n">
        <v>29.19</v>
      </c>
      <c r="M2277" t="inlineStr">
        <is>
          <t>INR</t>
        </is>
      </c>
      <c r="N2277" t="inlineStr">
        <is>
          <t>2026-06-20 12:04:08</t>
        </is>
      </c>
    </row>
    <row r="2278">
      <c r="A2278" t="inlineStr">
        <is>
          <t>TXN00256066</t>
        </is>
      </c>
      <c r="B2278" t="inlineStr">
        <is>
          <t>MER00728</t>
        </is>
      </c>
      <c r="C2278" s="8" t="n">
        <v>46198</v>
      </c>
      <c r="D2278" t="inlineStr">
        <is>
          <t>ORD00256066</t>
        </is>
      </c>
      <c r="E2278" t="n">
        <v>2497.7</v>
      </c>
      <c r="F2278" t="n">
        <v>2.28</v>
      </c>
      <c r="G2278" t="n">
        <v>56.95</v>
      </c>
      <c r="H2278" t="inlineStr">
        <is>
          <t>UPI</t>
        </is>
      </c>
      <c r="I2278" t="inlineStr">
        <is>
          <t>Success</t>
        </is>
      </c>
      <c r="J2278" t="inlineStr">
        <is>
          <t>Delivered</t>
        </is>
      </c>
      <c r="K2278" t="n">
        <v>0</v>
      </c>
      <c r="L2278" t="n">
        <v>0</v>
      </c>
      <c r="M2278" t="inlineStr">
        <is>
          <t>INR</t>
        </is>
      </c>
      <c r="N2278" t="inlineStr">
        <is>
          <t>2026-06-25 14:54:19</t>
        </is>
      </c>
    </row>
    <row r="2279">
      <c r="A2279" t="inlineStr">
        <is>
          <t>TXN00257541</t>
        </is>
      </c>
      <c r="B2279" t="inlineStr">
        <is>
          <t>MER00728</t>
        </is>
      </c>
      <c r="C2279" s="8" t="n">
        <v>46201</v>
      </c>
      <c r="D2279" t="inlineStr">
        <is>
          <t>ORD00257541</t>
        </is>
      </c>
      <c r="E2279" t="n">
        <v>1631.06</v>
      </c>
      <c r="F2279" t="n">
        <v>2.28</v>
      </c>
      <c r="G2279" t="n">
        <v>37.19</v>
      </c>
      <c r="H2279" t="inlineStr">
        <is>
          <t>UPI</t>
        </is>
      </c>
      <c r="I2279" t="inlineStr">
        <is>
          <t>Failed</t>
        </is>
      </c>
      <c r="J2279" t="inlineStr">
        <is>
          <t>Cancelled</t>
        </is>
      </c>
      <c r="K2279" t="n">
        <v>0</v>
      </c>
      <c r="L2279" t="n">
        <v>269.78</v>
      </c>
      <c r="M2279" t="inlineStr">
        <is>
          <t>INR</t>
        </is>
      </c>
      <c r="N2279" t="inlineStr">
        <is>
          <t>2026-06-28 23:15:44</t>
        </is>
      </c>
    </row>
    <row r="2280">
      <c r="A2280" t="inlineStr">
        <is>
          <t>TXN00257559</t>
        </is>
      </c>
      <c r="B2280" t="inlineStr">
        <is>
          <t>MER00728</t>
        </is>
      </c>
      <c r="C2280" s="8" t="n">
        <v>46201</v>
      </c>
      <c r="D2280" t="inlineStr">
        <is>
          <t>ORD00257559</t>
        </is>
      </c>
      <c r="E2280" t="n">
        <v>667.9400000000001</v>
      </c>
      <c r="F2280" t="n">
        <v>2.28</v>
      </c>
      <c r="G2280" t="n">
        <v>15.23</v>
      </c>
      <c r="H2280" t="inlineStr">
        <is>
          <t>UPI</t>
        </is>
      </c>
      <c r="I2280" t="inlineStr">
        <is>
          <t>Success</t>
        </is>
      </c>
      <c r="J2280" t="inlineStr">
        <is>
          <t>Delivered</t>
        </is>
      </c>
      <c r="K2280" t="n">
        <v>0</v>
      </c>
      <c r="L2280" t="n">
        <v>0</v>
      </c>
      <c r="M2280" t="inlineStr">
        <is>
          <t>INR</t>
        </is>
      </c>
      <c r="N2280" t="inlineStr">
        <is>
          <t>2026-06-28 02:00:52</t>
        </is>
      </c>
    </row>
    <row r="2281">
      <c r="A2281" t="inlineStr">
        <is>
          <t>TXN00260311</t>
        </is>
      </c>
      <c r="B2281" t="inlineStr">
        <is>
          <t>MER00728</t>
        </is>
      </c>
      <c r="C2281" s="8" t="n">
        <v>46208</v>
      </c>
      <c r="D2281" t="inlineStr">
        <is>
          <t>ORD00260311</t>
        </is>
      </c>
      <c r="E2281" t="n">
        <v>394.19</v>
      </c>
      <c r="F2281" t="n">
        <v>2.28</v>
      </c>
      <c r="G2281" t="n">
        <v>8.99</v>
      </c>
      <c r="H2281" t="inlineStr">
        <is>
          <t>UPI</t>
        </is>
      </c>
      <c r="I2281" t="inlineStr">
        <is>
          <t>Success</t>
        </is>
      </c>
      <c r="J2281" t="inlineStr">
        <is>
          <t>Delivered</t>
        </is>
      </c>
      <c r="K2281" t="n">
        <v>0</v>
      </c>
      <c r="L2281" t="n">
        <v>65.09</v>
      </c>
      <c r="M2281" t="inlineStr">
        <is>
          <t>INR</t>
        </is>
      </c>
      <c r="N2281" t="inlineStr">
        <is>
          <t>2026-07-05 03:58:11</t>
        </is>
      </c>
    </row>
    <row r="2282">
      <c r="A2282" t="inlineStr">
        <is>
          <t>TXN00265177</t>
        </is>
      </c>
      <c r="B2282" t="inlineStr">
        <is>
          <t>MER00728</t>
        </is>
      </c>
      <c r="C2282" s="8" t="n">
        <v>46221</v>
      </c>
      <c r="D2282" t="inlineStr">
        <is>
          <t>ORD00265177</t>
        </is>
      </c>
      <c r="E2282" t="n">
        <v>1515.97</v>
      </c>
      <c r="F2282" t="n">
        <v>2.28</v>
      </c>
      <c r="G2282" t="n">
        <v>34.56</v>
      </c>
      <c r="H2282" t="inlineStr">
        <is>
          <t>UPI</t>
        </is>
      </c>
      <c r="I2282" t="inlineStr">
        <is>
          <t>Success</t>
        </is>
      </c>
      <c r="J2282" t="inlineStr">
        <is>
          <t>Delivered</t>
        </is>
      </c>
      <c r="K2282" t="n">
        <v>0</v>
      </c>
      <c r="L2282" t="n">
        <v>0</v>
      </c>
      <c r="M2282" t="inlineStr">
        <is>
          <t>INR</t>
        </is>
      </c>
      <c r="N2282" t="inlineStr">
        <is>
          <t>2026-07-18 03:55:23</t>
        </is>
      </c>
    </row>
    <row r="2283">
      <c r="A2283" t="inlineStr">
        <is>
          <t>TXN00267229</t>
        </is>
      </c>
      <c r="B2283" t="inlineStr">
        <is>
          <t>MER00728</t>
        </is>
      </c>
      <c r="C2283" s="8" t="n">
        <v>46226</v>
      </c>
      <c r="D2283" t="inlineStr">
        <is>
          <t>ORD00267229</t>
        </is>
      </c>
      <c r="E2283" t="n">
        <v>1616.86</v>
      </c>
      <c r="F2283" t="n">
        <v>2.28</v>
      </c>
      <c r="G2283" t="n">
        <v>36.86</v>
      </c>
      <c r="H2283" t="inlineStr">
        <is>
          <t>Card</t>
        </is>
      </c>
      <c r="I2283" t="inlineStr">
        <is>
          <t>Success</t>
        </is>
      </c>
      <c r="J2283" t="inlineStr">
        <is>
          <t>Delivered</t>
        </is>
      </c>
      <c r="K2283" t="n">
        <v>0</v>
      </c>
      <c r="L2283" t="n">
        <v>172.42</v>
      </c>
      <c r="M2283" t="inlineStr">
        <is>
          <t>INR</t>
        </is>
      </c>
      <c r="N2283" t="inlineStr">
        <is>
          <t>2026-07-23 15:17:07</t>
        </is>
      </c>
    </row>
    <row r="2284">
      <c r="A2284" t="inlineStr">
        <is>
          <t>TXN00270531</t>
        </is>
      </c>
      <c r="B2284" t="inlineStr">
        <is>
          <t>MER00728</t>
        </is>
      </c>
      <c r="C2284" s="8" t="n">
        <v>46234</v>
      </c>
      <c r="D2284" t="inlineStr">
        <is>
          <t>ORD00270531</t>
        </is>
      </c>
      <c r="E2284" t="n">
        <v>979.21</v>
      </c>
      <c r="F2284" t="n">
        <v>2.28</v>
      </c>
      <c r="G2284" t="n">
        <v>22.33</v>
      </c>
      <c r="H2284" t="inlineStr">
        <is>
          <t>Card</t>
        </is>
      </c>
      <c r="I2284" t="inlineStr">
        <is>
          <t>Success</t>
        </is>
      </c>
      <c r="J2284" t="inlineStr">
        <is>
          <t>Delivered</t>
        </is>
      </c>
      <c r="K2284" t="n">
        <v>0</v>
      </c>
      <c r="L2284" t="n">
        <v>0</v>
      </c>
      <c r="M2284" t="inlineStr">
        <is>
          <t>INR</t>
        </is>
      </c>
      <c r="N2284" t="inlineStr">
        <is>
          <t>2026-07-31 11:19:17</t>
        </is>
      </c>
    </row>
    <row r="2285">
      <c r="A2285" t="inlineStr">
        <is>
          <t>TXN00002322</t>
        </is>
      </c>
      <c r="B2285" t="inlineStr">
        <is>
          <t>MER00764</t>
        </is>
      </c>
      <c r="C2285" s="8" t="n">
        <v>45514</v>
      </c>
      <c r="D2285" t="inlineStr">
        <is>
          <t>ORD00002322</t>
        </is>
      </c>
      <c r="E2285" t="n">
        <v>1212.86</v>
      </c>
      <c r="F2285" t="n">
        <v>2.5</v>
      </c>
      <c r="G2285" t="n">
        <v>30.32</v>
      </c>
      <c r="H2285" t="inlineStr">
        <is>
          <t>UPI</t>
        </is>
      </c>
      <c r="I2285" t="inlineStr">
        <is>
          <t>Success</t>
        </is>
      </c>
      <c r="J2285" t="inlineStr">
        <is>
          <t>Delivered</t>
        </is>
      </c>
      <c r="K2285" t="n">
        <v>0</v>
      </c>
      <c r="L2285" t="n">
        <v>0</v>
      </c>
      <c r="M2285" t="inlineStr">
        <is>
          <t>INR</t>
        </is>
      </c>
      <c r="N2285" t="inlineStr">
        <is>
          <t>2024-08-10 10:19:36</t>
        </is>
      </c>
    </row>
    <row r="2286">
      <c r="A2286" t="inlineStr">
        <is>
          <t>TXN00006900</t>
        </is>
      </c>
      <c r="B2286" t="inlineStr">
        <is>
          <t>MER00764</t>
        </is>
      </c>
      <c r="C2286" s="8" t="n">
        <v>45533</v>
      </c>
      <c r="D2286" t="inlineStr">
        <is>
          <t>ORD00006900</t>
        </is>
      </c>
      <c r="E2286" t="n">
        <v>840.49</v>
      </c>
      <c r="F2286" t="n">
        <v>2.38</v>
      </c>
      <c r="G2286" t="n">
        <v>20</v>
      </c>
      <c r="H2286" t="inlineStr">
        <is>
          <t>Wallet</t>
        </is>
      </c>
      <c r="I2286" t="inlineStr">
        <is>
          <t>Success</t>
        </is>
      </c>
      <c r="J2286" t="inlineStr">
        <is>
          <t>Delivered</t>
        </is>
      </c>
      <c r="K2286" t="n">
        <v>0</v>
      </c>
      <c r="L2286" t="n">
        <v>0</v>
      </c>
      <c r="M2286" t="inlineStr">
        <is>
          <t>INR</t>
        </is>
      </c>
      <c r="N2286" t="inlineStr">
        <is>
          <t>2024-08-29 13:21:10</t>
        </is>
      </c>
    </row>
    <row r="2287">
      <c r="A2287" t="inlineStr">
        <is>
          <t>TXN00012436</t>
        </is>
      </c>
      <c r="B2287" t="inlineStr">
        <is>
          <t>MER00764</t>
        </is>
      </c>
      <c r="C2287" s="8" t="n">
        <v>45553</v>
      </c>
      <c r="D2287" t="inlineStr">
        <is>
          <t>ORD00012436</t>
        </is>
      </c>
      <c r="E2287" t="n">
        <v>1510.06</v>
      </c>
      <c r="F2287" t="n">
        <v>2.38</v>
      </c>
      <c r="G2287" t="n">
        <v>35.94</v>
      </c>
      <c r="H2287" t="inlineStr">
        <is>
          <t>UPI</t>
        </is>
      </c>
      <c r="I2287" t="inlineStr">
        <is>
          <t>Success</t>
        </is>
      </c>
      <c r="J2287" t="inlineStr">
        <is>
          <t>Delivered</t>
        </is>
      </c>
      <c r="K2287" t="n">
        <v>0</v>
      </c>
      <c r="L2287" t="n">
        <v>0</v>
      </c>
      <c r="M2287" t="inlineStr">
        <is>
          <t>INR</t>
        </is>
      </c>
      <c r="N2287" t="inlineStr">
        <is>
          <t>2024-09-18 06:44:42</t>
        </is>
      </c>
    </row>
    <row r="2288">
      <c r="A2288" t="inlineStr">
        <is>
          <t>TXN00017657</t>
        </is>
      </c>
      <c r="B2288" t="inlineStr">
        <is>
          <t>MER00764</t>
        </is>
      </c>
      <c r="C2288" s="8" t="n">
        <v>45569</v>
      </c>
      <c r="D2288" t="inlineStr">
        <is>
          <t>ORD00017657</t>
        </is>
      </c>
      <c r="E2288" t="n">
        <v>851.96</v>
      </c>
      <c r="F2288" t="n">
        <v>2.38</v>
      </c>
      <c r="G2288" t="n">
        <v>20.28</v>
      </c>
      <c r="H2288" t="inlineStr">
        <is>
          <t>Card</t>
        </is>
      </c>
      <c r="I2288" t="inlineStr">
        <is>
          <t>Success</t>
        </is>
      </c>
      <c r="J2288" t="inlineStr">
        <is>
          <t>Delivered</t>
        </is>
      </c>
      <c r="K2288" t="n">
        <v>0</v>
      </c>
      <c r="L2288" t="n">
        <v>0</v>
      </c>
      <c r="M2288" t="inlineStr">
        <is>
          <t>INR</t>
        </is>
      </c>
      <c r="N2288" t="inlineStr">
        <is>
          <t>2024-10-04 07:27:39</t>
        </is>
      </c>
    </row>
    <row r="2289">
      <c r="A2289" t="inlineStr">
        <is>
          <t>TXN00019576</t>
        </is>
      </c>
      <c r="B2289" t="inlineStr">
        <is>
          <t>MER00764</t>
        </is>
      </c>
      <c r="C2289" s="8" t="n">
        <v>45574</v>
      </c>
      <c r="D2289" t="inlineStr">
        <is>
          <t>ORD00019576</t>
        </is>
      </c>
      <c r="E2289" t="n">
        <v>482.06</v>
      </c>
      <c r="F2289" t="n">
        <v>2.38</v>
      </c>
      <c r="G2289" t="n">
        <v>11.47</v>
      </c>
      <c r="H2289" t="inlineStr">
        <is>
          <t>UPI</t>
        </is>
      </c>
      <c r="I2289" t="inlineStr">
        <is>
          <t>Failed</t>
        </is>
      </c>
      <c r="J2289" t="inlineStr">
        <is>
          <t>Cancelled</t>
        </is>
      </c>
      <c r="K2289" t="n">
        <v>0</v>
      </c>
      <c r="L2289" t="n">
        <v>0</v>
      </c>
      <c r="M2289" t="inlineStr">
        <is>
          <t>INR</t>
        </is>
      </c>
      <c r="N2289" t="inlineStr">
        <is>
          <t>2024-10-09 18:17:21</t>
        </is>
      </c>
    </row>
    <row r="2290">
      <c r="A2290" t="inlineStr">
        <is>
          <t>TXN00031803</t>
        </is>
      </c>
      <c r="B2290" t="inlineStr">
        <is>
          <t>MER00764</t>
        </is>
      </c>
      <c r="C2290" s="8" t="n">
        <v>45605</v>
      </c>
      <c r="D2290" t="inlineStr">
        <is>
          <t>ORD00031803</t>
        </is>
      </c>
      <c r="E2290" t="n">
        <v>1093.86</v>
      </c>
      <c r="F2290" t="n">
        <v>2.38</v>
      </c>
      <c r="G2290" t="n">
        <v>26.03</v>
      </c>
      <c r="H2290" t="inlineStr">
        <is>
          <t>COD</t>
        </is>
      </c>
      <c r="I2290" t="inlineStr">
        <is>
          <t>Success</t>
        </is>
      </c>
      <c r="J2290" t="inlineStr">
        <is>
          <t>Delivered</t>
        </is>
      </c>
      <c r="K2290" t="n">
        <v>0</v>
      </c>
      <c r="L2290" t="n">
        <v>0</v>
      </c>
      <c r="M2290" t="inlineStr">
        <is>
          <t>INR</t>
        </is>
      </c>
      <c r="N2290" t="inlineStr">
        <is>
          <t>2024-11-09 14:16:00</t>
        </is>
      </c>
    </row>
    <row r="2291">
      <c r="A2291" t="inlineStr">
        <is>
          <t>TXN00038279</t>
        </is>
      </c>
      <c r="B2291" t="inlineStr">
        <is>
          <t>MER00764</t>
        </is>
      </c>
      <c r="C2291" s="8" t="n">
        <v>45619</v>
      </c>
      <c r="D2291" t="inlineStr">
        <is>
          <t>ORD00038279</t>
        </is>
      </c>
      <c r="E2291" t="n">
        <v>477.61</v>
      </c>
      <c r="F2291" t="n">
        <v>2.38</v>
      </c>
      <c r="G2291" t="n">
        <v>11.37</v>
      </c>
      <c r="H2291" t="inlineStr">
        <is>
          <t>UPI</t>
        </is>
      </c>
      <c r="I2291" t="inlineStr">
        <is>
          <t>Success</t>
        </is>
      </c>
      <c r="J2291" t="inlineStr">
        <is>
          <t>Delivered</t>
        </is>
      </c>
      <c r="K2291" t="n">
        <v>0</v>
      </c>
      <c r="L2291" t="n">
        <v>0</v>
      </c>
      <c r="M2291" t="inlineStr">
        <is>
          <t>INR</t>
        </is>
      </c>
      <c r="N2291" t="inlineStr">
        <is>
          <t>2024-11-23 06:41:03</t>
        </is>
      </c>
    </row>
    <row r="2292">
      <c r="A2292" t="inlineStr">
        <is>
          <t>TXN00044998</t>
        </is>
      </c>
      <c r="B2292" t="inlineStr">
        <is>
          <t>MER00764</t>
        </is>
      </c>
      <c r="C2292" s="8" t="n">
        <v>45637</v>
      </c>
      <c r="D2292" t="inlineStr">
        <is>
          <t>ORD00044998</t>
        </is>
      </c>
      <c r="E2292" t="n">
        <v>751.5700000000001</v>
      </c>
      <c r="F2292" t="n">
        <v>2.38</v>
      </c>
      <c r="G2292" t="n">
        <v>17.89</v>
      </c>
      <c r="H2292" t="inlineStr">
        <is>
          <t>UPI</t>
        </is>
      </c>
      <c r="I2292" t="inlineStr">
        <is>
          <t>Success</t>
        </is>
      </c>
      <c r="J2292" t="inlineStr">
        <is>
          <t>Returned</t>
        </is>
      </c>
      <c r="K2292" t="n">
        <v>421.32</v>
      </c>
      <c r="L2292" t="n">
        <v>61.79</v>
      </c>
      <c r="M2292" t="inlineStr">
        <is>
          <t>INR</t>
        </is>
      </c>
      <c r="N2292" t="inlineStr">
        <is>
          <t>2024-12-11 23:01:48</t>
        </is>
      </c>
    </row>
    <row r="2293">
      <c r="A2293" t="inlineStr">
        <is>
          <t>TXN00046137</t>
        </is>
      </c>
      <c r="B2293" t="inlineStr">
        <is>
          <t>MER00764</t>
        </is>
      </c>
      <c r="C2293" s="8" t="n">
        <v>45641</v>
      </c>
      <c r="D2293" t="inlineStr">
        <is>
          <t>ORD00046137</t>
        </is>
      </c>
      <c r="E2293" t="n">
        <v>457.57</v>
      </c>
      <c r="F2293" t="n">
        <v>1.85</v>
      </c>
      <c r="G2293" t="n">
        <v>10.89</v>
      </c>
      <c r="H2293" t="inlineStr">
        <is>
          <t>UPI</t>
        </is>
      </c>
      <c r="I2293" t="inlineStr">
        <is>
          <t>Success</t>
        </is>
      </c>
      <c r="J2293" t="inlineStr">
        <is>
          <t>Cancelled</t>
        </is>
      </c>
      <c r="K2293" t="n">
        <v>456.49</v>
      </c>
      <c r="L2293" t="n">
        <v>0</v>
      </c>
      <c r="M2293" t="inlineStr">
        <is>
          <t>INR</t>
        </is>
      </c>
      <c r="N2293" t="inlineStr">
        <is>
          <t>2024-12-15 13:06:47</t>
        </is>
      </c>
    </row>
    <row r="2294">
      <c r="A2294" t="inlineStr">
        <is>
          <t>TXN00052362</t>
        </is>
      </c>
      <c r="B2294" t="inlineStr">
        <is>
          <t>MER00764</t>
        </is>
      </c>
      <c r="C2294" s="8" t="n">
        <v>45660</v>
      </c>
      <c r="D2294" t="inlineStr">
        <is>
          <t>ORD00052362</t>
        </is>
      </c>
      <c r="E2294" t="n">
        <v>915.2</v>
      </c>
      <c r="F2294" t="n">
        <v>2.38</v>
      </c>
      <c r="G2294" t="n">
        <v>21.78</v>
      </c>
      <c r="H2294" t="inlineStr">
        <is>
          <t>UPI</t>
        </is>
      </c>
      <c r="I2294" t="inlineStr">
        <is>
          <t>Success</t>
        </is>
      </c>
      <c r="J2294" t="inlineStr">
        <is>
          <t>Delivered</t>
        </is>
      </c>
      <c r="K2294" t="n">
        <v>0</v>
      </c>
      <c r="L2294" t="n">
        <v>0</v>
      </c>
      <c r="M2294" t="inlineStr">
        <is>
          <t>INR</t>
        </is>
      </c>
      <c r="N2294" t="inlineStr">
        <is>
          <t>2025-01-03 04:12:25</t>
        </is>
      </c>
    </row>
    <row r="2295">
      <c r="A2295" t="inlineStr">
        <is>
          <t>TXN00058726</t>
        </is>
      </c>
      <c r="B2295" t="inlineStr">
        <is>
          <t>MER00764</t>
        </is>
      </c>
      <c r="C2295" s="8" t="n">
        <v>45677</v>
      </c>
      <c r="D2295" t="inlineStr">
        <is>
          <t>ORD00058726</t>
        </is>
      </c>
      <c r="E2295" t="n">
        <v>2982.84</v>
      </c>
      <c r="F2295" t="n">
        <v>2.38</v>
      </c>
      <c r="G2295" t="n">
        <v>70.98999999999999</v>
      </c>
      <c r="H2295" t="inlineStr">
        <is>
          <t>Card</t>
        </is>
      </c>
      <c r="I2295" t="inlineStr">
        <is>
          <t>Success</t>
        </is>
      </c>
      <c r="J2295" t="inlineStr">
        <is>
          <t>Cancelled</t>
        </is>
      </c>
      <c r="K2295" t="n">
        <v>2598.96</v>
      </c>
      <c r="L2295" t="n">
        <v>333.11</v>
      </c>
      <c r="M2295" t="inlineStr">
        <is>
          <t>INR</t>
        </is>
      </c>
      <c r="N2295" t="inlineStr">
        <is>
          <t>2025-01-20 04:54:23</t>
        </is>
      </c>
    </row>
    <row r="2296">
      <c r="A2296" t="inlineStr">
        <is>
          <t>TXN00068066</t>
        </is>
      </c>
      <c r="B2296" t="inlineStr">
        <is>
          <t>MER00764</t>
        </is>
      </c>
      <c r="C2296" s="8" t="n">
        <v>45704</v>
      </c>
      <c r="D2296" t="inlineStr">
        <is>
          <t>ORD00068066</t>
        </is>
      </c>
      <c r="E2296" t="n">
        <v>2406.66</v>
      </c>
      <c r="F2296" t="n">
        <v>2.38</v>
      </c>
      <c r="G2296" t="n">
        <v>57.28</v>
      </c>
      <c r="H2296" t="inlineStr">
        <is>
          <t>Card</t>
        </is>
      </c>
      <c r="I2296" t="inlineStr">
        <is>
          <t>Success</t>
        </is>
      </c>
      <c r="J2296" t="inlineStr">
        <is>
          <t>Returned</t>
        </is>
      </c>
      <c r="K2296" t="n">
        <v>2406.66</v>
      </c>
      <c r="L2296" t="n">
        <v>0</v>
      </c>
      <c r="M2296" t="inlineStr">
        <is>
          <t>INR</t>
        </is>
      </c>
      <c r="N2296" t="inlineStr">
        <is>
          <t>2025-02-16 00:33:47</t>
        </is>
      </c>
    </row>
    <row r="2297">
      <c r="A2297" t="inlineStr">
        <is>
          <t>TXN00068970</t>
        </is>
      </c>
      <c r="B2297" t="inlineStr">
        <is>
          <t>MER00764</t>
        </is>
      </c>
      <c r="C2297" s="8" t="n">
        <v>45706</v>
      </c>
      <c r="D2297" t="inlineStr">
        <is>
          <t>ORD00068970</t>
        </is>
      </c>
      <c r="E2297" t="n">
        <v>984.91</v>
      </c>
      <c r="F2297" t="n">
        <v>2.38</v>
      </c>
      <c r="G2297" t="n">
        <v>23.44</v>
      </c>
      <c r="H2297" t="inlineStr">
        <is>
          <t>UPI</t>
        </is>
      </c>
      <c r="I2297" t="inlineStr">
        <is>
          <t>Success</t>
        </is>
      </c>
      <c r="J2297" t="inlineStr">
        <is>
          <t>Delivered</t>
        </is>
      </c>
      <c r="K2297" t="n">
        <v>0</v>
      </c>
      <c r="L2297" t="n">
        <v>0</v>
      </c>
      <c r="M2297" t="inlineStr">
        <is>
          <t>INR</t>
        </is>
      </c>
      <c r="N2297" t="inlineStr">
        <is>
          <t>2025-02-18 13:46:50</t>
        </is>
      </c>
    </row>
    <row r="2298">
      <c r="A2298" t="inlineStr">
        <is>
          <t>TXN00069408</t>
        </is>
      </c>
      <c r="B2298" t="inlineStr">
        <is>
          <t>MER00764</t>
        </is>
      </c>
      <c r="C2298" s="8" t="n">
        <v>45708</v>
      </c>
      <c r="D2298" t="inlineStr">
        <is>
          <t>ORD00069408</t>
        </is>
      </c>
      <c r="E2298" t="n">
        <v>2185.87</v>
      </c>
      <c r="F2298" t="n">
        <v>2.38</v>
      </c>
      <c r="G2298" t="n">
        <v>52.02</v>
      </c>
      <c r="H2298" t="inlineStr">
        <is>
          <t>UPI</t>
        </is>
      </c>
      <c r="I2298" t="inlineStr">
        <is>
          <t>Success</t>
        </is>
      </c>
      <c r="J2298" t="inlineStr">
        <is>
          <t>Delivered</t>
        </is>
      </c>
      <c r="K2298" t="n">
        <v>0</v>
      </c>
      <c r="L2298" t="n">
        <v>0</v>
      </c>
      <c r="M2298" t="inlineStr">
        <is>
          <t>INR</t>
        </is>
      </c>
      <c r="N2298" t="inlineStr">
        <is>
          <t>2025-02-20 18:49:24</t>
        </is>
      </c>
    </row>
    <row r="2299">
      <c r="A2299" t="inlineStr">
        <is>
          <t>TXN00069928</t>
        </is>
      </c>
      <c r="B2299" t="inlineStr">
        <is>
          <t>MER00764</t>
        </is>
      </c>
      <c r="C2299" s="8" t="n">
        <v>45709</v>
      </c>
      <c r="D2299" t="inlineStr">
        <is>
          <t>ORD00069928</t>
        </is>
      </c>
      <c r="E2299" t="n">
        <v>1278.2</v>
      </c>
      <c r="F2299" t="n">
        <v>2.38</v>
      </c>
      <c r="G2299" t="n">
        <v>30.42</v>
      </c>
      <c r="H2299" t="inlineStr">
        <is>
          <t>UPI</t>
        </is>
      </c>
      <c r="I2299" t="inlineStr">
        <is>
          <t>Failed</t>
        </is>
      </c>
      <c r="J2299" t="inlineStr">
        <is>
          <t>Cancelled</t>
        </is>
      </c>
      <c r="K2299" t="n">
        <v>0</v>
      </c>
      <c r="L2299" t="n">
        <v>99.66</v>
      </c>
      <c r="M2299" t="inlineStr">
        <is>
          <t>INR</t>
        </is>
      </c>
      <c r="N2299" t="inlineStr">
        <is>
          <t>2025-02-21 02:05:31</t>
        </is>
      </c>
    </row>
    <row r="2300">
      <c r="A2300" t="inlineStr">
        <is>
          <t>TXN00077932</t>
        </is>
      </c>
      <c r="B2300" t="inlineStr">
        <is>
          <t>MER00764</t>
        </is>
      </c>
      <c r="C2300" s="8" t="n">
        <v>45734</v>
      </c>
      <c r="D2300" t="inlineStr">
        <is>
          <t>ORD00077932</t>
        </is>
      </c>
      <c r="E2300" t="n">
        <v>1966.76</v>
      </c>
      <c r="F2300" t="n">
        <v>2.38</v>
      </c>
      <c r="G2300" t="n">
        <v>46.81</v>
      </c>
      <c r="H2300" t="inlineStr">
        <is>
          <t>Card</t>
        </is>
      </c>
      <c r="I2300" t="inlineStr">
        <is>
          <t>Success</t>
        </is>
      </c>
      <c r="J2300" t="inlineStr">
        <is>
          <t>Delivered</t>
        </is>
      </c>
      <c r="K2300" t="n">
        <v>0</v>
      </c>
      <c r="L2300" t="n">
        <v>0</v>
      </c>
      <c r="M2300" t="inlineStr">
        <is>
          <t>INR</t>
        </is>
      </c>
      <c r="N2300" t="inlineStr">
        <is>
          <t>2025-03-18 12:48:24</t>
        </is>
      </c>
    </row>
    <row r="2301">
      <c r="A2301" t="inlineStr">
        <is>
          <t>TXN00085680</t>
        </is>
      </c>
      <c r="B2301" t="inlineStr">
        <is>
          <t>MER00764</t>
        </is>
      </c>
      <c r="C2301" s="8" t="n">
        <v>45758</v>
      </c>
      <c r="D2301" t="inlineStr">
        <is>
          <t>ORD00085680</t>
        </is>
      </c>
      <c r="E2301" t="n">
        <v>1230.51</v>
      </c>
      <c r="F2301" t="n">
        <v>2.38</v>
      </c>
      <c r="G2301" t="n">
        <v>29.29</v>
      </c>
      <c r="H2301" t="inlineStr">
        <is>
          <t>Card</t>
        </is>
      </c>
      <c r="I2301" t="inlineStr">
        <is>
          <t>Success</t>
        </is>
      </c>
      <c r="J2301" t="inlineStr">
        <is>
          <t>Delivered</t>
        </is>
      </c>
      <c r="K2301" t="n">
        <v>0</v>
      </c>
      <c r="L2301" t="n">
        <v>0</v>
      </c>
      <c r="M2301" t="inlineStr">
        <is>
          <t>INR</t>
        </is>
      </c>
      <c r="N2301" t="inlineStr">
        <is>
          <t>2025-04-11 13:44:57</t>
        </is>
      </c>
    </row>
    <row r="2302">
      <c r="A2302" t="inlineStr">
        <is>
          <t>TXN00089054</t>
        </is>
      </c>
      <c r="B2302" t="inlineStr">
        <is>
          <t>MER00764</t>
        </is>
      </c>
      <c r="C2302" s="8" t="n">
        <v>45768</v>
      </c>
      <c r="D2302" t="inlineStr">
        <is>
          <t>ORD00089054</t>
        </is>
      </c>
      <c r="E2302" t="n">
        <v>5293.32</v>
      </c>
      <c r="F2302" t="n">
        <v>2.38</v>
      </c>
      <c r="G2302" t="n">
        <v>125.98</v>
      </c>
      <c r="H2302" t="inlineStr">
        <is>
          <t>Card</t>
        </is>
      </c>
      <c r="I2302" t="inlineStr">
        <is>
          <t>Success</t>
        </is>
      </c>
      <c r="J2302" t="inlineStr">
        <is>
          <t>Returned</t>
        </is>
      </c>
      <c r="K2302" t="n">
        <v>5293.32</v>
      </c>
      <c r="L2302" t="n">
        <v>0</v>
      </c>
      <c r="M2302" t="inlineStr">
        <is>
          <t>INR</t>
        </is>
      </c>
      <c r="N2302" t="inlineStr">
        <is>
          <t>2025-04-21 08:29:45</t>
        </is>
      </c>
    </row>
    <row r="2303">
      <c r="A2303" t="inlineStr">
        <is>
          <t>TXN00096153</t>
        </is>
      </c>
      <c r="B2303" t="inlineStr">
        <is>
          <t>MER00764</t>
        </is>
      </c>
      <c r="C2303" s="8" t="n">
        <v>45790</v>
      </c>
      <c r="D2303" t="inlineStr">
        <is>
          <t>ORD00096153</t>
        </is>
      </c>
      <c r="E2303" t="n">
        <v>932.09</v>
      </c>
      <c r="F2303" t="n">
        <v>2.38</v>
      </c>
      <c r="G2303" t="n">
        <v>22.18</v>
      </c>
      <c r="H2303" t="inlineStr">
        <is>
          <t>Card</t>
        </is>
      </c>
      <c r="I2303" t="inlineStr">
        <is>
          <t>Success</t>
        </is>
      </c>
      <c r="J2303" t="inlineStr">
        <is>
          <t>Delivered</t>
        </is>
      </c>
      <c r="K2303" t="n">
        <v>0</v>
      </c>
      <c r="L2303" t="n">
        <v>95.45</v>
      </c>
      <c r="M2303" t="inlineStr">
        <is>
          <t>INR</t>
        </is>
      </c>
      <c r="N2303" t="inlineStr">
        <is>
          <t>2025-05-13 21:59:37</t>
        </is>
      </c>
    </row>
    <row r="2304">
      <c r="A2304" t="inlineStr">
        <is>
          <t>TXN00104004</t>
        </is>
      </c>
      <c r="B2304" t="inlineStr">
        <is>
          <t>MER00764</t>
        </is>
      </c>
      <c r="C2304" s="8" t="n">
        <v>45814</v>
      </c>
      <c r="D2304" t="inlineStr">
        <is>
          <t>ORD00104004</t>
        </is>
      </c>
      <c r="E2304" t="n">
        <v>2411.4</v>
      </c>
      <c r="F2304" t="n">
        <v>2.38</v>
      </c>
      <c r="G2304" t="n">
        <v>57.39</v>
      </c>
      <c r="H2304" t="inlineStr">
        <is>
          <t>Wallet</t>
        </is>
      </c>
      <c r="I2304" t="inlineStr">
        <is>
          <t>Success</t>
        </is>
      </c>
      <c r="J2304" t="inlineStr">
        <is>
          <t>Delivered</t>
        </is>
      </c>
      <c r="K2304" t="n">
        <v>0</v>
      </c>
      <c r="L2304" t="n">
        <v>0</v>
      </c>
      <c r="M2304" t="inlineStr">
        <is>
          <t>INR</t>
        </is>
      </c>
      <c r="N2304" t="inlineStr">
        <is>
          <t>2025-06-06 07:39:37</t>
        </is>
      </c>
    </row>
    <row r="2305">
      <c r="A2305" t="inlineStr">
        <is>
          <t>TXN00104404</t>
        </is>
      </c>
      <c r="B2305" t="inlineStr">
        <is>
          <t>MER00764</t>
        </is>
      </c>
      <c r="C2305" s="8" t="n">
        <v>45815</v>
      </c>
      <c r="D2305" t="inlineStr">
        <is>
          <t>ORD00104404</t>
        </is>
      </c>
      <c r="E2305" t="n">
        <v>1961.43</v>
      </c>
      <c r="F2305" t="n">
        <v>2.38</v>
      </c>
      <c r="G2305" t="n">
        <v>46.68</v>
      </c>
      <c r="H2305" t="inlineStr">
        <is>
          <t>NetBanking</t>
        </is>
      </c>
      <c r="I2305" t="inlineStr">
        <is>
          <t>Success</t>
        </is>
      </c>
      <c r="J2305" t="inlineStr">
        <is>
          <t>Delivered</t>
        </is>
      </c>
      <c r="K2305" t="n">
        <v>0</v>
      </c>
      <c r="L2305" t="n">
        <v>0</v>
      </c>
      <c r="M2305" t="inlineStr">
        <is>
          <t>INR</t>
        </is>
      </c>
      <c r="N2305" t="inlineStr">
        <is>
          <t>2025-06-07 22:56:19</t>
        </is>
      </c>
    </row>
    <row r="2306">
      <c r="A2306" t="inlineStr">
        <is>
          <t>TXN00105502</t>
        </is>
      </c>
      <c r="B2306" t="inlineStr">
        <is>
          <t>MER00764</t>
        </is>
      </c>
      <c r="C2306" s="8" t="n">
        <v>45818</v>
      </c>
      <c r="D2306" t="inlineStr">
        <is>
          <t>ORD00105502</t>
        </is>
      </c>
      <c r="E2306" t="n">
        <v>2414.96</v>
      </c>
      <c r="F2306" t="n">
        <v>2.38</v>
      </c>
      <c r="G2306" t="n">
        <v>57.48</v>
      </c>
      <c r="H2306" t="inlineStr">
        <is>
          <t>UPI</t>
        </is>
      </c>
      <c r="I2306" t="inlineStr">
        <is>
          <t>Success</t>
        </is>
      </c>
      <c r="J2306" t="inlineStr">
        <is>
          <t>Delivered</t>
        </is>
      </c>
      <c r="K2306" t="n">
        <v>0</v>
      </c>
      <c r="L2306" t="n">
        <v>0</v>
      </c>
      <c r="M2306" t="inlineStr">
        <is>
          <t>INR</t>
        </is>
      </c>
      <c r="N2306" t="inlineStr">
        <is>
          <t>2025-06-10 12:43:38</t>
        </is>
      </c>
    </row>
    <row r="2307">
      <c r="A2307" t="inlineStr">
        <is>
          <t>TXN00110992</t>
        </is>
      </c>
      <c r="B2307" t="inlineStr">
        <is>
          <t>MER00764</t>
        </is>
      </c>
      <c r="C2307" s="8" t="n">
        <v>45834</v>
      </c>
      <c r="D2307" t="inlineStr">
        <is>
          <t>ORD00110992</t>
        </is>
      </c>
      <c r="E2307" t="n">
        <v>1379.03</v>
      </c>
      <c r="F2307" t="n">
        <v>2.38</v>
      </c>
      <c r="G2307" t="n">
        <v>32.82</v>
      </c>
      <c r="H2307" t="inlineStr">
        <is>
          <t>UPI</t>
        </is>
      </c>
      <c r="I2307" t="inlineStr">
        <is>
          <t>Success</t>
        </is>
      </c>
      <c r="J2307" t="inlineStr">
        <is>
          <t>Delivered</t>
        </is>
      </c>
      <c r="K2307" t="n">
        <v>0</v>
      </c>
      <c r="L2307" t="n">
        <v>0</v>
      </c>
      <c r="M2307" t="inlineStr">
        <is>
          <t>INR</t>
        </is>
      </c>
      <c r="N2307" t="inlineStr">
        <is>
          <t>2025-06-26 17:47:41</t>
        </is>
      </c>
    </row>
    <row r="2308">
      <c r="A2308" t="inlineStr">
        <is>
          <t>TXN00142064</t>
        </is>
      </c>
      <c r="B2308" t="inlineStr">
        <is>
          <t>MER00764</t>
        </is>
      </c>
      <c r="C2308" s="8" t="n">
        <v>45926</v>
      </c>
      <c r="D2308" t="inlineStr">
        <is>
          <t>ORD00142064</t>
        </is>
      </c>
      <c r="E2308" t="n">
        <v>1372.54</v>
      </c>
      <c r="F2308" t="n">
        <v>2.38</v>
      </c>
      <c r="G2308" t="n">
        <v>32.67</v>
      </c>
      <c r="H2308" t="inlineStr">
        <is>
          <t>UPI</t>
        </is>
      </c>
      <c r="I2308" t="inlineStr">
        <is>
          <t>Success</t>
        </is>
      </c>
      <c r="J2308" t="inlineStr">
        <is>
          <t>Delivered</t>
        </is>
      </c>
      <c r="K2308" t="n">
        <v>0</v>
      </c>
      <c r="L2308" t="n">
        <v>0</v>
      </c>
      <c r="M2308" t="inlineStr">
        <is>
          <t>INR</t>
        </is>
      </c>
      <c r="N2308" t="inlineStr">
        <is>
          <t>2025-09-26 11:04:21</t>
        </is>
      </c>
    </row>
    <row r="2309">
      <c r="A2309" t="inlineStr">
        <is>
          <t>TXN00147626</t>
        </is>
      </c>
      <c r="B2309" t="inlineStr">
        <is>
          <t>MER00764</t>
        </is>
      </c>
      <c r="C2309" s="8" t="n">
        <v>45939</v>
      </c>
      <c r="D2309" t="inlineStr">
        <is>
          <t>ORD00147626</t>
        </is>
      </c>
      <c r="E2309" t="n">
        <v>1583.16</v>
      </c>
      <c r="F2309" t="n">
        <v>2.38</v>
      </c>
      <c r="G2309" t="n">
        <v>37.68</v>
      </c>
      <c r="H2309" t="inlineStr">
        <is>
          <t>UPI</t>
        </is>
      </c>
      <c r="I2309" t="inlineStr">
        <is>
          <t>Success</t>
        </is>
      </c>
      <c r="J2309" t="inlineStr">
        <is>
          <t>Cancelled</t>
        </is>
      </c>
      <c r="K2309" t="n">
        <v>1580.1</v>
      </c>
      <c r="L2309" t="n">
        <v>0</v>
      </c>
      <c r="M2309" t="inlineStr">
        <is>
          <t>INR</t>
        </is>
      </c>
      <c r="N2309" t="inlineStr">
        <is>
          <t>2025-10-09 18:17:31</t>
        </is>
      </c>
    </row>
    <row r="2310">
      <c r="A2310" t="inlineStr">
        <is>
          <t>TXN00164921</t>
        </is>
      </c>
      <c r="B2310" t="inlineStr">
        <is>
          <t>MER00764</t>
        </is>
      </c>
      <c r="C2310" s="8" t="n">
        <v>45974</v>
      </c>
      <c r="D2310" t="inlineStr">
        <is>
          <t>ORD00164921</t>
        </is>
      </c>
      <c r="E2310" t="n">
        <v>550.67</v>
      </c>
      <c r="F2310" t="n">
        <v>2.38</v>
      </c>
      <c r="G2310" t="n">
        <v>13.11</v>
      </c>
      <c r="H2310" t="inlineStr">
        <is>
          <t>Card</t>
        </is>
      </c>
      <c r="I2310" t="inlineStr">
        <is>
          <t>Success</t>
        </is>
      </c>
      <c r="J2310" t="inlineStr">
        <is>
          <t>Delivered</t>
        </is>
      </c>
      <c r="K2310" t="n">
        <v>0</v>
      </c>
      <c r="L2310" t="n">
        <v>0</v>
      </c>
      <c r="M2310" t="inlineStr">
        <is>
          <t>INR</t>
        </is>
      </c>
      <c r="N2310" t="inlineStr">
        <is>
          <t>2025-11-13 11:55:37</t>
        </is>
      </c>
    </row>
    <row r="2311">
      <c r="A2311" t="inlineStr">
        <is>
          <t>TXN00165376</t>
        </is>
      </c>
      <c r="B2311" t="inlineStr">
        <is>
          <t>MER00764</t>
        </is>
      </c>
      <c r="C2311" s="8" t="n">
        <v>45975</v>
      </c>
      <c r="D2311" t="inlineStr">
        <is>
          <t>ORD00165376</t>
        </is>
      </c>
      <c r="E2311" t="n">
        <v>3374.1</v>
      </c>
      <c r="F2311" t="n">
        <v>2.38</v>
      </c>
      <c r="G2311" t="n">
        <v>80.3</v>
      </c>
      <c r="H2311" t="inlineStr">
        <is>
          <t>UPI</t>
        </is>
      </c>
      <c r="I2311" t="inlineStr">
        <is>
          <t>Success</t>
        </is>
      </c>
      <c r="J2311" t="inlineStr">
        <is>
          <t>Delivered</t>
        </is>
      </c>
      <c r="K2311" t="n">
        <v>0</v>
      </c>
      <c r="L2311" t="n">
        <v>0</v>
      </c>
      <c r="M2311" t="inlineStr">
        <is>
          <t>INR</t>
        </is>
      </c>
      <c r="N2311" t="inlineStr">
        <is>
          <t>2025-11-14 08:12:05</t>
        </is>
      </c>
    </row>
    <row r="2312">
      <c r="A2312" t="inlineStr">
        <is>
          <t>TXN00170207</t>
        </is>
      </c>
      <c r="B2312" t="inlineStr">
        <is>
          <t>MER00764</t>
        </is>
      </c>
      <c r="C2312" s="8" t="n">
        <v>45983</v>
      </c>
      <c r="D2312" t="inlineStr">
        <is>
          <t>ORD00170207</t>
        </is>
      </c>
      <c r="E2312" t="n">
        <v>1673.35</v>
      </c>
      <c r="F2312" t="n">
        <v>2.38</v>
      </c>
      <c r="G2312" t="n">
        <v>39.83</v>
      </c>
      <c r="H2312" t="inlineStr">
        <is>
          <t>UPI</t>
        </is>
      </c>
      <c r="I2312" t="inlineStr">
        <is>
          <t>Success</t>
        </is>
      </c>
      <c r="J2312" t="inlineStr">
        <is>
          <t>Returned</t>
        </is>
      </c>
      <c r="K2312" t="n">
        <v>1673.35</v>
      </c>
      <c r="L2312" t="n">
        <v>267.04</v>
      </c>
      <c r="M2312" t="inlineStr">
        <is>
          <t>INR</t>
        </is>
      </c>
      <c r="N2312" t="inlineStr">
        <is>
          <t>2025-11-22 11:14:16</t>
        </is>
      </c>
    </row>
    <row r="2313">
      <c r="A2313" t="inlineStr">
        <is>
          <t>TXN00177928</t>
        </is>
      </c>
      <c r="B2313" t="inlineStr">
        <is>
          <t>MER00764</t>
        </is>
      </c>
      <c r="C2313" s="8" t="n">
        <v>46000</v>
      </c>
      <c r="D2313" t="inlineStr">
        <is>
          <t>ORD00177928</t>
        </is>
      </c>
      <c r="E2313" t="n">
        <v>843.65</v>
      </c>
      <c r="F2313" t="n">
        <v>2.38</v>
      </c>
      <c r="G2313" t="n">
        <v>20.08</v>
      </c>
      <c r="H2313" t="inlineStr">
        <is>
          <t>UPI</t>
        </is>
      </c>
      <c r="I2313" t="inlineStr">
        <is>
          <t>Success</t>
        </is>
      </c>
      <c r="J2313" t="inlineStr">
        <is>
          <t>Delivered</t>
        </is>
      </c>
      <c r="K2313" t="n">
        <v>0</v>
      </c>
      <c r="L2313" t="n">
        <v>0</v>
      </c>
      <c r="M2313" t="inlineStr">
        <is>
          <t>INR</t>
        </is>
      </c>
      <c r="N2313" t="inlineStr">
        <is>
          <t>2025-12-09 06:32:58</t>
        </is>
      </c>
    </row>
    <row r="2314">
      <c r="A2314" t="inlineStr">
        <is>
          <t>TXN00179441</t>
        </is>
      </c>
      <c r="B2314" t="inlineStr">
        <is>
          <t>MER00764</t>
        </is>
      </c>
      <c r="C2314" s="8" t="n">
        <v>46004</v>
      </c>
      <c r="D2314" t="inlineStr">
        <is>
          <t>ORD00179441</t>
        </is>
      </c>
      <c r="E2314" t="n">
        <v>1395.19</v>
      </c>
      <c r="F2314" t="n">
        <v>2.38</v>
      </c>
      <c r="G2314" t="n">
        <v>33.21</v>
      </c>
      <c r="H2314" t="inlineStr">
        <is>
          <t>Card</t>
        </is>
      </c>
      <c r="I2314" t="inlineStr">
        <is>
          <t>Success</t>
        </is>
      </c>
      <c r="J2314" t="inlineStr">
        <is>
          <t>Delivered</t>
        </is>
      </c>
      <c r="K2314" t="n">
        <v>0</v>
      </c>
      <c r="L2314" t="n">
        <v>0</v>
      </c>
      <c r="M2314" t="inlineStr">
        <is>
          <t>INR</t>
        </is>
      </c>
      <c r="N2314" t="inlineStr">
        <is>
          <t>2025-12-13 01:35:56</t>
        </is>
      </c>
    </row>
    <row r="2315">
      <c r="A2315" t="inlineStr">
        <is>
          <t>TXN00185218</t>
        </is>
      </c>
      <c r="B2315" t="inlineStr">
        <is>
          <t>MER00764</t>
        </is>
      </c>
      <c r="C2315" s="8" t="n">
        <v>46020</v>
      </c>
      <c r="D2315" t="inlineStr">
        <is>
          <t>ORD00185218</t>
        </is>
      </c>
      <c r="E2315" t="n">
        <v>7149.74</v>
      </c>
      <c r="F2315" t="n">
        <v>2.38</v>
      </c>
      <c r="G2315" t="n">
        <v>170.16</v>
      </c>
      <c r="H2315" t="inlineStr">
        <is>
          <t>UPI</t>
        </is>
      </c>
      <c r="I2315" t="inlineStr">
        <is>
          <t>Pending</t>
        </is>
      </c>
      <c r="J2315" t="inlineStr">
        <is>
          <t>Processing</t>
        </is>
      </c>
      <c r="K2315" t="n">
        <v>0</v>
      </c>
      <c r="L2315" t="n">
        <v>0</v>
      </c>
      <c r="M2315" t="inlineStr">
        <is>
          <t>INR</t>
        </is>
      </c>
      <c r="N2315" t="inlineStr">
        <is>
          <t>2025-12-29 11:33:06</t>
        </is>
      </c>
    </row>
    <row r="2316">
      <c r="A2316" t="inlineStr">
        <is>
          <t>TXN00192652</t>
        </is>
      </c>
      <c r="B2316" t="inlineStr">
        <is>
          <t>MER00764</t>
        </is>
      </c>
      <c r="C2316" s="8" t="n">
        <v>46036</v>
      </c>
      <c r="D2316" t="inlineStr">
        <is>
          <t>ORD00192652</t>
        </is>
      </c>
      <c r="E2316" t="n">
        <v>736.4299999999999</v>
      </c>
      <c r="F2316" t="n">
        <v>2.38</v>
      </c>
      <c r="G2316" t="n">
        <v>17.53</v>
      </c>
      <c r="H2316" t="inlineStr">
        <is>
          <t>NetBanking</t>
        </is>
      </c>
      <c r="I2316" t="inlineStr">
        <is>
          <t>Success</t>
        </is>
      </c>
      <c r="J2316" t="inlineStr">
        <is>
          <t>Returned</t>
        </is>
      </c>
      <c r="K2316" t="n">
        <v>736.4299999999999</v>
      </c>
      <c r="L2316" t="n">
        <v>0</v>
      </c>
      <c r="M2316" t="inlineStr">
        <is>
          <t>INR</t>
        </is>
      </c>
      <c r="N2316" t="inlineStr">
        <is>
          <t>2026-01-14 08:07:10</t>
        </is>
      </c>
    </row>
    <row r="2317">
      <c r="A2317" t="inlineStr">
        <is>
          <t>TXN00196906</t>
        </is>
      </c>
      <c r="B2317" t="inlineStr">
        <is>
          <t>MER00764</t>
        </is>
      </c>
      <c r="C2317" s="8" t="n">
        <v>46046</v>
      </c>
      <c r="D2317" t="inlineStr">
        <is>
          <t>ORD00196906</t>
        </is>
      </c>
      <c r="E2317" t="n">
        <v>1018.96</v>
      </c>
      <c r="F2317" t="n">
        <v>2.38</v>
      </c>
      <c r="G2317" t="n">
        <v>24.25</v>
      </c>
      <c r="H2317" t="inlineStr">
        <is>
          <t>UPI</t>
        </is>
      </c>
      <c r="I2317" t="inlineStr">
        <is>
          <t>Success</t>
        </is>
      </c>
      <c r="J2317" t="inlineStr">
        <is>
          <t>Delivered</t>
        </is>
      </c>
      <c r="K2317" t="n">
        <v>0</v>
      </c>
      <c r="L2317" t="n">
        <v>0</v>
      </c>
      <c r="M2317" t="inlineStr">
        <is>
          <t>INR</t>
        </is>
      </c>
      <c r="N2317" t="inlineStr">
        <is>
          <t>2026-01-24 21:29:02</t>
        </is>
      </c>
    </row>
    <row r="2318">
      <c r="A2318" t="inlineStr">
        <is>
          <t>TXN00209351</t>
        </is>
      </c>
      <c r="B2318" t="inlineStr">
        <is>
          <t>MER00764</t>
        </is>
      </c>
      <c r="C2318" s="8" t="n">
        <v>46076</v>
      </c>
      <c r="D2318" t="inlineStr">
        <is>
          <t>ORD00209351</t>
        </is>
      </c>
      <c r="E2318" t="n">
        <v>806.01</v>
      </c>
      <c r="F2318" t="n">
        <v>2.38</v>
      </c>
      <c r="G2318" t="n">
        <v>19.18</v>
      </c>
      <c r="H2318" t="inlineStr">
        <is>
          <t>UPI</t>
        </is>
      </c>
      <c r="I2318" t="inlineStr">
        <is>
          <t>Success</t>
        </is>
      </c>
      <c r="J2318" t="inlineStr">
        <is>
          <t>Delivered</t>
        </is>
      </c>
      <c r="K2318" t="n">
        <v>0</v>
      </c>
      <c r="L2318" t="n">
        <v>46.59</v>
      </c>
      <c r="M2318" t="inlineStr">
        <is>
          <t>INR</t>
        </is>
      </c>
      <c r="N2318" t="inlineStr">
        <is>
          <t>2026-02-23 23:43:57</t>
        </is>
      </c>
    </row>
    <row r="2319">
      <c r="A2319" t="inlineStr">
        <is>
          <t>TXN00218436</t>
        </is>
      </c>
      <c r="B2319" t="inlineStr">
        <is>
          <t>MER00764</t>
        </is>
      </c>
      <c r="C2319" s="8" t="n">
        <v>46100</v>
      </c>
      <c r="D2319" t="inlineStr">
        <is>
          <t>ORD00218436</t>
        </is>
      </c>
      <c r="E2319" t="n">
        <v>1747.2</v>
      </c>
      <c r="F2319" t="n">
        <v>2.38</v>
      </c>
      <c r="G2319" t="n">
        <v>41.58</v>
      </c>
      <c r="H2319" t="inlineStr">
        <is>
          <t>UPI</t>
        </is>
      </c>
      <c r="I2319" t="inlineStr">
        <is>
          <t>Success</t>
        </is>
      </c>
      <c r="J2319" t="inlineStr">
        <is>
          <t>Delivered</t>
        </is>
      </c>
      <c r="K2319" t="n">
        <v>0</v>
      </c>
      <c r="L2319" t="n">
        <v>0</v>
      </c>
      <c r="M2319" t="inlineStr">
        <is>
          <t>INR</t>
        </is>
      </c>
      <c r="N2319" t="inlineStr">
        <is>
          <t>2026-03-19 22:54:12</t>
        </is>
      </c>
    </row>
    <row r="2320">
      <c r="A2320" t="inlineStr">
        <is>
          <t>TXN00228018</t>
        </is>
      </c>
      <c r="B2320" t="inlineStr">
        <is>
          <t>MER00764</t>
        </is>
      </c>
      <c r="C2320" s="8" t="n">
        <v>46125</v>
      </c>
      <c r="D2320" t="inlineStr">
        <is>
          <t>ORD00228018</t>
        </is>
      </c>
      <c r="E2320" t="n">
        <v>2195.17</v>
      </c>
      <c r="F2320" t="n">
        <v>2.38</v>
      </c>
      <c r="G2320" t="n">
        <v>52.25</v>
      </c>
      <c r="H2320" t="inlineStr">
        <is>
          <t>Card</t>
        </is>
      </c>
      <c r="I2320" t="inlineStr">
        <is>
          <t>Success</t>
        </is>
      </c>
      <c r="J2320" t="inlineStr">
        <is>
          <t>Returned</t>
        </is>
      </c>
      <c r="K2320" t="n">
        <v>2195.17</v>
      </c>
      <c r="L2320" t="n">
        <v>0</v>
      </c>
      <c r="M2320" t="inlineStr">
        <is>
          <t>INR</t>
        </is>
      </c>
      <c r="N2320" t="inlineStr">
        <is>
          <t>2026-04-13 20:08:38</t>
        </is>
      </c>
    </row>
    <row r="2321">
      <c r="A2321" t="inlineStr">
        <is>
          <t>TXN00233735</t>
        </is>
      </c>
      <c r="B2321" t="inlineStr">
        <is>
          <t>MER00764</t>
        </is>
      </c>
      <c r="C2321" s="8" t="n">
        <v>46140</v>
      </c>
      <c r="D2321" t="inlineStr">
        <is>
          <t>ORD00233735</t>
        </is>
      </c>
      <c r="E2321" t="n">
        <v>682.4400000000001</v>
      </c>
      <c r="F2321" t="n">
        <v>2.38</v>
      </c>
      <c r="G2321" t="n">
        <v>16.24</v>
      </c>
      <c r="H2321" t="inlineStr">
        <is>
          <t>UPI</t>
        </is>
      </c>
      <c r="I2321" t="inlineStr">
        <is>
          <t>Success</t>
        </is>
      </c>
      <c r="J2321" t="inlineStr">
        <is>
          <t>Delivered</t>
        </is>
      </c>
      <c r="K2321" t="n">
        <v>0</v>
      </c>
      <c r="L2321" t="n">
        <v>0</v>
      </c>
      <c r="M2321" t="inlineStr">
        <is>
          <t>INR</t>
        </is>
      </c>
      <c r="N2321" t="inlineStr">
        <is>
          <t>2026-04-28 02:13:12</t>
        </is>
      </c>
    </row>
    <row r="2322">
      <c r="A2322" t="inlineStr">
        <is>
          <t>TXN00235179</t>
        </is>
      </c>
      <c r="B2322" t="inlineStr">
        <is>
          <t>MER00764</t>
        </is>
      </c>
      <c r="C2322" s="8" t="n">
        <v>46144</v>
      </c>
      <c r="D2322" t="inlineStr">
        <is>
          <t>ORD00235179</t>
        </is>
      </c>
      <c r="E2322" t="n">
        <v>507.88</v>
      </c>
      <c r="F2322" t="n">
        <v>3.26</v>
      </c>
      <c r="G2322" t="n">
        <v>12.09</v>
      </c>
      <c r="H2322" t="inlineStr">
        <is>
          <t>UPI</t>
        </is>
      </c>
      <c r="I2322" t="inlineStr">
        <is>
          <t>Success</t>
        </is>
      </c>
      <c r="J2322" t="inlineStr">
        <is>
          <t>Delivered</t>
        </is>
      </c>
      <c r="K2322" t="n">
        <v>0</v>
      </c>
      <c r="L2322" t="n">
        <v>0</v>
      </c>
      <c r="M2322" t="inlineStr">
        <is>
          <t>INR</t>
        </is>
      </c>
      <c r="N2322" t="inlineStr">
        <is>
          <t>2026-05-02 00:14:34</t>
        </is>
      </c>
    </row>
    <row r="2323">
      <c r="A2323" t="inlineStr">
        <is>
          <t>TXN00236219</t>
        </is>
      </c>
      <c r="B2323" t="inlineStr">
        <is>
          <t>MER00764</t>
        </is>
      </c>
      <c r="C2323" s="8" t="n">
        <v>46147</v>
      </c>
      <c r="D2323" t="inlineStr">
        <is>
          <t>ORD00236219</t>
        </is>
      </c>
      <c r="E2323" t="n">
        <v>8906.82</v>
      </c>
      <c r="F2323" t="n">
        <v>2.38</v>
      </c>
      <c r="G2323" t="n">
        <v>211.98</v>
      </c>
      <c r="H2323" t="inlineStr">
        <is>
          <t>UPI</t>
        </is>
      </c>
      <c r="I2323" t="inlineStr">
        <is>
          <t>Success</t>
        </is>
      </c>
      <c r="J2323" t="inlineStr">
        <is>
          <t>Delivered</t>
        </is>
      </c>
      <c r="K2323" t="n">
        <v>0</v>
      </c>
      <c r="L2323" t="n">
        <v>0</v>
      </c>
      <c r="M2323" t="inlineStr">
        <is>
          <t>INR</t>
        </is>
      </c>
      <c r="N2323" t="inlineStr">
        <is>
          <t>2026-05-05 15:21:16</t>
        </is>
      </c>
    </row>
    <row r="2324">
      <c r="A2324" t="inlineStr">
        <is>
          <t>TXN00241663</t>
        </is>
      </c>
      <c r="B2324" t="inlineStr">
        <is>
          <t>MER00764</t>
        </is>
      </c>
      <c r="C2324" s="8" t="n">
        <v>46161</v>
      </c>
      <c r="D2324" t="inlineStr">
        <is>
          <t>ORD00241663</t>
        </is>
      </c>
      <c r="E2324" t="n">
        <v>3154.82</v>
      </c>
      <c r="F2324" t="n">
        <v>2.38</v>
      </c>
      <c r="G2324" t="n">
        <v>75.08</v>
      </c>
      <c r="H2324" t="inlineStr">
        <is>
          <t>Card</t>
        </is>
      </c>
      <c r="I2324" t="inlineStr">
        <is>
          <t>Success</t>
        </is>
      </c>
      <c r="J2324" t="inlineStr">
        <is>
          <t>Delivered</t>
        </is>
      </c>
      <c r="K2324" t="n">
        <v>0</v>
      </c>
      <c r="L2324" t="n">
        <v>0</v>
      </c>
      <c r="M2324" t="inlineStr">
        <is>
          <t>INR</t>
        </is>
      </c>
      <c r="N2324" t="inlineStr">
        <is>
          <t>2026-05-19 18:41:08</t>
        </is>
      </c>
    </row>
    <row r="2325">
      <c r="A2325" t="inlineStr">
        <is>
          <t>TXN00244365</t>
        </is>
      </c>
      <c r="B2325" t="inlineStr">
        <is>
          <t>MER00764</t>
        </is>
      </c>
      <c r="C2325" s="8" t="n">
        <v>46168</v>
      </c>
      <c r="D2325" t="inlineStr">
        <is>
          <t>ORD00244365</t>
        </is>
      </c>
      <c r="E2325" t="n">
        <v>641.34</v>
      </c>
      <c r="F2325" t="n">
        <v>2.38</v>
      </c>
      <c r="G2325" t="n">
        <v>15.26</v>
      </c>
      <c r="H2325" t="inlineStr">
        <is>
          <t>UPI</t>
        </is>
      </c>
      <c r="I2325" t="inlineStr">
        <is>
          <t>Success</t>
        </is>
      </c>
      <c r="J2325" t="inlineStr">
        <is>
          <t>Delivered</t>
        </is>
      </c>
      <c r="K2325" t="n">
        <v>0</v>
      </c>
      <c r="L2325" t="n">
        <v>0</v>
      </c>
      <c r="M2325" t="inlineStr">
        <is>
          <t>INR</t>
        </is>
      </c>
      <c r="N2325" t="inlineStr">
        <is>
          <t>2026-05-26 02:18:14</t>
        </is>
      </c>
    </row>
    <row r="2326">
      <c r="A2326" t="inlineStr">
        <is>
          <t>TXN00249004</t>
        </is>
      </c>
      <c r="B2326" t="inlineStr">
        <is>
          <t>MER00764</t>
        </is>
      </c>
      <c r="C2326" s="8" t="n">
        <v>46180</v>
      </c>
      <c r="D2326" t="inlineStr">
        <is>
          <t>ORD00249004</t>
        </is>
      </c>
      <c r="E2326" t="n">
        <v>1742.7</v>
      </c>
      <c r="F2326" t="n">
        <v>2.38</v>
      </c>
      <c r="G2326" t="n">
        <v>41.48</v>
      </c>
      <c r="H2326" t="inlineStr">
        <is>
          <t>UPI</t>
        </is>
      </c>
      <c r="I2326" t="inlineStr">
        <is>
          <t>Success</t>
        </is>
      </c>
      <c r="J2326" t="inlineStr">
        <is>
          <t>Delivered</t>
        </is>
      </c>
      <c r="K2326" t="n">
        <v>0</v>
      </c>
      <c r="L2326" t="n">
        <v>0</v>
      </c>
      <c r="M2326" t="inlineStr">
        <is>
          <t>INR</t>
        </is>
      </c>
      <c r="N2326" t="inlineStr">
        <is>
          <t>2026-06-07 20:48:09</t>
        </is>
      </c>
    </row>
    <row r="2327">
      <c r="A2327" t="inlineStr">
        <is>
          <t>TXN00250982</t>
        </is>
      </c>
      <c r="B2327" t="inlineStr">
        <is>
          <t>MER00764</t>
        </is>
      </c>
      <c r="C2327" s="8" t="n">
        <v>46185</v>
      </c>
      <c r="D2327" t="inlineStr">
        <is>
          <t>ORD00250982</t>
        </is>
      </c>
      <c r="E2327" t="n">
        <v>1472.55</v>
      </c>
      <c r="F2327" t="n">
        <v>2.38</v>
      </c>
      <c r="G2327" t="n">
        <v>35.05</v>
      </c>
      <c r="H2327" t="inlineStr">
        <is>
          <t>UPI</t>
        </is>
      </c>
      <c r="I2327" t="inlineStr">
        <is>
          <t>Success</t>
        </is>
      </c>
      <c r="J2327" t="inlineStr">
        <is>
          <t>Delivered</t>
        </is>
      </c>
      <c r="K2327" t="n">
        <v>0</v>
      </c>
      <c r="L2327" t="n">
        <v>0</v>
      </c>
      <c r="M2327" t="inlineStr">
        <is>
          <t>INR</t>
        </is>
      </c>
      <c r="N2327" t="inlineStr">
        <is>
          <t>2026-06-12 03:20:24</t>
        </is>
      </c>
    </row>
    <row r="2328">
      <c r="A2328" t="inlineStr">
        <is>
          <t>TXN00251163</t>
        </is>
      </c>
      <c r="B2328" t="inlineStr">
        <is>
          <t>MER00764</t>
        </is>
      </c>
      <c r="C2328" s="8" t="n">
        <v>46186</v>
      </c>
      <c r="D2328" t="inlineStr">
        <is>
          <t>ORD00251163</t>
        </is>
      </c>
      <c r="E2328" t="n">
        <v>3296.14</v>
      </c>
      <c r="F2328" t="n">
        <v>2.38</v>
      </c>
      <c r="G2328" t="n">
        <v>78.45</v>
      </c>
      <c r="H2328" t="inlineStr">
        <is>
          <t>Card</t>
        </is>
      </c>
      <c r="I2328" t="inlineStr">
        <is>
          <t>Success</t>
        </is>
      </c>
      <c r="J2328" t="inlineStr">
        <is>
          <t>Cancelled</t>
        </is>
      </c>
      <c r="K2328" t="n">
        <v>3161.32</v>
      </c>
      <c r="L2328" t="n">
        <v>0</v>
      </c>
      <c r="M2328" t="inlineStr">
        <is>
          <t>INR</t>
        </is>
      </c>
      <c r="N2328" t="inlineStr">
        <is>
          <t>2026-06-13 09:24:43</t>
        </is>
      </c>
    </row>
    <row r="2329">
      <c r="A2329" t="inlineStr">
        <is>
          <t>TXN00256625</t>
        </is>
      </c>
      <c r="B2329" t="inlineStr">
        <is>
          <t>MER00764</t>
        </is>
      </c>
      <c r="C2329" s="8" t="n">
        <v>46199</v>
      </c>
      <c r="D2329" t="inlineStr">
        <is>
          <t>ORD00256625</t>
        </is>
      </c>
      <c r="E2329" t="n">
        <v>2414.77</v>
      </c>
      <c r="F2329" t="n">
        <v>2.38</v>
      </c>
      <c r="G2329" t="n">
        <v>57.47</v>
      </c>
      <c r="H2329" t="inlineStr">
        <is>
          <t>NetBanking</t>
        </is>
      </c>
      <c r="I2329" t="inlineStr">
        <is>
          <t>Success</t>
        </is>
      </c>
      <c r="J2329" t="inlineStr">
        <is>
          <t>Delivered</t>
        </is>
      </c>
      <c r="K2329" t="n">
        <v>0</v>
      </c>
      <c r="L2329" t="n">
        <v>232.42</v>
      </c>
      <c r="M2329" t="inlineStr">
        <is>
          <t>INR</t>
        </is>
      </c>
      <c r="N2329" t="inlineStr">
        <is>
          <t>2026-06-26 23:05:34</t>
        </is>
      </c>
    </row>
    <row r="2330">
      <c r="A2330" t="inlineStr">
        <is>
          <t>TXN00258274</t>
        </is>
      </c>
      <c r="B2330" t="inlineStr">
        <is>
          <t>MER00764</t>
        </is>
      </c>
      <c r="C2330" s="8" t="n">
        <v>46203</v>
      </c>
      <c r="D2330" t="inlineStr">
        <is>
          <t>ORD00258274</t>
        </is>
      </c>
      <c r="E2330" t="n">
        <v>2648.01</v>
      </c>
      <c r="F2330" t="n">
        <v>2.38</v>
      </c>
      <c r="G2330" t="n">
        <v>63.02</v>
      </c>
      <c r="H2330" t="inlineStr">
        <is>
          <t>UPI</t>
        </is>
      </c>
      <c r="I2330" t="inlineStr">
        <is>
          <t>Success</t>
        </is>
      </c>
      <c r="J2330" t="inlineStr">
        <is>
          <t>Delivered</t>
        </is>
      </c>
      <c r="K2330" t="n">
        <v>0</v>
      </c>
      <c r="L2330" t="n">
        <v>0</v>
      </c>
      <c r="M2330" t="inlineStr">
        <is>
          <t>INR</t>
        </is>
      </c>
      <c r="N2330" t="inlineStr">
        <is>
          <t>2026-06-30 11:09:56</t>
        </is>
      </c>
    </row>
    <row r="2331">
      <c r="A2331" t="inlineStr">
        <is>
          <t>TXN00262019</t>
        </is>
      </c>
      <c r="B2331" t="inlineStr">
        <is>
          <t>MER00764</t>
        </is>
      </c>
      <c r="C2331" s="8" t="n">
        <v>46213</v>
      </c>
      <c r="D2331" t="inlineStr">
        <is>
          <t>ORD00262019</t>
        </is>
      </c>
      <c r="E2331" t="n">
        <v>3978.42</v>
      </c>
      <c r="F2331" t="n">
        <v>2.38</v>
      </c>
      <c r="G2331" t="n">
        <v>94.69</v>
      </c>
      <c r="H2331" t="inlineStr">
        <is>
          <t>Wallet</t>
        </is>
      </c>
      <c r="I2331" t="inlineStr">
        <is>
          <t>Success</t>
        </is>
      </c>
      <c r="J2331" t="inlineStr">
        <is>
          <t>Delivered</t>
        </is>
      </c>
      <c r="K2331" t="n">
        <v>0</v>
      </c>
      <c r="L2331" t="n">
        <v>0</v>
      </c>
      <c r="M2331" t="inlineStr">
        <is>
          <t>INR</t>
        </is>
      </c>
      <c r="N2331" t="inlineStr">
        <is>
          <t>2026-07-10 15:21:47</t>
        </is>
      </c>
    </row>
    <row r="2332">
      <c r="A2332" t="inlineStr">
        <is>
          <t>TXN00265161</t>
        </is>
      </c>
      <c r="B2332" t="inlineStr">
        <is>
          <t>MER00764</t>
        </is>
      </c>
      <c r="C2332" s="8" t="n">
        <v>46221</v>
      </c>
      <c r="D2332" t="inlineStr">
        <is>
          <t>ORD00265161</t>
        </is>
      </c>
      <c r="E2332" t="n">
        <v>2171.87</v>
      </c>
      <c r="F2332" t="n">
        <v>2.38</v>
      </c>
      <c r="G2332" t="n">
        <v>51.69</v>
      </c>
      <c r="H2332" t="inlineStr">
        <is>
          <t>UPI</t>
        </is>
      </c>
      <c r="I2332" t="inlineStr">
        <is>
          <t>Success</t>
        </is>
      </c>
      <c r="J2332" t="inlineStr">
        <is>
          <t>Delivered</t>
        </is>
      </c>
      <c r="K2332" t="n">
        <v>0</v>
      </c>
      <c r="L2332" t="n">
        <v>0</v>
      </c>
      <c r="M2332" t="inlineStr">
        <is>
          <t>INR</t>
        </is>
      </c>
      <c r="N2332" t="inlineStr">
        <is>
          <t>2026-07-18 22:31:24</t>
        </is>
      </c>
    </row>
    <row r="2333">
      <c r="A2333" t="inlineStr">
        <is>
          <t>TXN00265960</t>
        </is>
      </c>
      <c r="B2333" t="inlineStr">
        <is>
          <t>MER00764</t>
        </is>
      </c>
      <c r="C2333" s="8" t="n">
        <v>46223</v>
      </c>
      <c r="D2333" t="inlineStr">
        <is>
          <t>ORD00265960</t>
        </is>
      </c>
      <c r="E2333" t="n">
        <v>588.27</v>
      </c>
      <c r="F2333" t="n">
        <v>2.38</v>
      </c>
      <c r="G2333" t="n">
        <v>14</v>
      </c>
      <c r="H2333" t="inlineStr">
        <is>
          <t>Card</t>
        </is>
      </c>
      <c r="I2333" t="inlineStr">
        <is>
          <t>Success</t>
        </is>
      </c>
      <c r="J2333" t="inlineStr">
        <is>
          <t>Delivered</t>
        </is>
      </c>
      <c r="K2333" t="n">
        <v>0</v>
      </c>
      <c r="L2333" t="n">
        <v>0</v>
      </c>
      <c r="M2333" t="inlineStr">
        <is>
          <t>INR</t>
        </is>
      </c>
      <c r="N2333" t="inlineStr">
        <is>
          <t>2026-07-20 16:27:57</t>
        </is>
      </c>
    </row>
    <row r="2334">
      <c r="A2334" t="inlineStr">
        <is>
          <t>TXN00002038</t>
        </is>
      </c>
      <c r="B2334" t="inlineStr">
        <is>
          <t>MER00856</t>
        </is>
      </c>
      <c r="C2334" s="8" t="n">
        <v>45513</v>
      </c>
      <c r="D2334" t="inlineStr">
        <is>
          <t>ORD00002038</t>
        </is>
      </c>
      <c r="E2334" t="n">
        <v>527.84</v>
      </c>
      <c r="F2334" t="n">
        <v>2.5</v>
      </c>
      <c r="G2334" t="n">
        <v>13.2</v>
      </c>
      <c r="H2334" t="inlineStr">
        <is>
          <t>Card</t>
        </is>
      </c>
      <c r="I2334" t="inlineStr">
        <is>
          <t>Success</t>
        </is>
      </c>
      <c r="J2334" t="inlineStr">
        <is>
          <t>Delivered</t>
        </is>
      </c>
      <c r="K2334" t="n">
        <v>0</v>
      </c>
      <c r="L2334" t="n">
        <v>0</v>
      </c>
      <c r="M2334" t="inlineStr">
        <is>
          <t>INR</t>
        </is>
      </c>
      <c r="N2334" t="inlineStr">
        <is>
          <t>2024-08-09 08:43:54</t>
        </is>
      </c>
    </row>
    <row r="2335">
      <c r="A2335" t="inlineStr">
        <is>
          <t>TXN00003320</t>
        </is>
      </c>
      <c r="B2335" t="inlineStr">
        <is>
          <t>MER00856</t>
        </is>
      </c>
      <c r="C2335" s="8" t="n">
        <v>45518</v>
      </c>
      <c r="D2335" t="inlineStr">
        <is>
          <t>ORD00003320</t>
        </is>
      </c>
      <c r="E2335" t="n">
        <v>1158.64</v>
      </c>
      <c r="F2335" t="n">
        <v>2.5</v>
      </c>
      <c r="G2335" t="n">
        <v>28.97</v>
      </c>
      <c r="H2335" t="inlineStr">
        <is>
          <t>NetBanking</t>
        </is>
      </c>
      <c r="I2335" t="inlineStr">
        <is>
          <t>Unknown</t>
        </is>
      </c>
      <c r="J2335" t="inlineStr">
        <is>
          <t>Delivered</t>
        </is>
      </c>
      <c r="K2335" t="n">
        <v>0</v>
      </c>
      <c r="L2335" t="n">
        <v>0</v>
      </c>
      <c r="M2335" t="inlineStr">
        <is>
          <t>INR</t>
        </is>
      </c>
      <c r="N2335" t="inlineStr">
        <is>
          <t>2024-08-14 03:13:51</t>
        </is>
      </c>
    </row>
    <row r="2336">
      <c r="A2336" t="inlineStr">
        <is>
          <t>TXN00012200</t>
        </is>
      </c>
      <c r="B2336" t="inlineStr">
        <is>
          <t>MER00856</t>
        </is>
      </c>
      <c r="C2336" s="8" t="n">
        <v>45552</v>
      </c>
      <c r="D2336" t="inlineStr">
        <is>
          <t>ORD00012200</t>
        </is>
      </c>
      <c r="E2336" t="n">
        <v>852.3200000000001</v>
      </c>
      <c r="F2336" t="n">
        <v>2.31</v>
      </c>
      <c r="G2336" t="n">
        <v>19.69</v>
      </c>
      <c r="H2336" t="inlineStr">
        <is>
          <t>Wallet</t>
        </is>
      </c>
      <c r="I2336" t="inlineStr">
        <is>
          <t>Success</t>
        </is>
      </c>
      <c r="J2336" t="inlineStr">
        <is>
          <t>Delivered</t>
        </is>
      </c>
      <c r="K2336" t="n">
        <v>0</v>
      </c>
      <c r="L2336" t="n">
        <v>0</v>
      </c>
      <c r="M2336" t="inlineStr">
        <is>
          <t>INR</t>
        </is>
      </c>
      <c r="N2336" t="inlineStr">
        <is>
          <t>2024-09-17 04:00:45</t>
        </is>
      </c>
    </row>
    <row r="2337">
      <c r="A2337" t="inlineStr">
        <is>
          <t>TXN00023769</t>
        </is>
      </c>
      <c r="B2337" t="inlineStr">
        <is>
          <t>MER00856</t>
        </is>
      </c>
      <c r="C2337" s="8" t="n">
        <v>45585</v>
      </c>
      <c r="D2337" t="inlineStr">
        <is>
          <t>ORD00023769</t>
        </is>
      </c>
      <c r="E2337" t="n">
        <v>415.71</v>
      </c>
      <c r="F2337" t="n">
        <v>2.31</v>
      </c>
      <c r="G2337" t="n">
        <v>9.6</v>
      </c>
      <c r="H2337" t="inlineStr">
        <is>
          <t>UPI</t>
        </is>
      </c>
      <c r="I2337" t="inlineStr">
        <is>
          <t>Success</t>
        </is>
      </c>
      <c r="J2337" t="inlineStr">
        <is>
          <t>Delivered</t>
        </is>
      </c>
      <c r="K2337" t="n">
        <v>0</v>
      </c>
      <c r="L2337" t="n">
        <v>53.88</v>
      </c>
      <c r="M2337" t="inlineStr">
        <is>
          <t>INR</t>
        </is>
      </c>
      <c r="N2337" t="inlineStr">
        <is>
          <t>2024-10-20 04:31:26</t>
        </is>
      </c>
    </row>
    <row r="2338">
      <c r="A2338" t="inlineStr">
        <is>
          <t>TXN00033504</t>
        </is>
      </c>
      <c r="B2338" t="inlineStr">
        <is>
          <t>MER00856</t>
        </is>
      </c>
      <c r="C2338" s="8" t="n">
        <v>45609</v>
      </c>
      <c r="D2338" t="inlineStr">
        <is>
          <t>ORD00033504</t>
        </is>
      </c>
      <c r="E2338" t="n">
        <v>647.13</v>
      </c>
      <c r="F2338" t="n">
        <v>2.31</v>
      </c>
      <c r="G2338" t="n">
        <v>14.95</v>
      </c>
      <c r="H2338" t="inlineStr">
        <is>
          <t>UPI</t>
        </is>
      </c>
      <c r="I2338" t="inlineStr">
        <is>
          <t>Success</t>
        </is>
      </c>
      <c r="J2338" t="inlineStr">
        <is>
          <t>Processing</t>
        </is>
      </c>
      <c r="K2338" t="n">
        <v>0</v>
      </c>
      <c r="L2338" t="n">
        <v>0</v>
      </c>
      <c r="M2338" t="inlineStr">
        <is>
          <t>INR</t>
        </is>
      </c>
      <c r="N2338" t="inlineStr">
        <is>
          <t>2024-11-13 14:56:12</t>
        </is>
      </c>
    </row>
    <row r="2339">
      <c r="A2339" t="inlineStr">
        <is>
          <t>TXN00063131</t>
        </is>
      </c>
      <c r="B2339" t="inlineStr">
        <is>
          <t>MER00856</t>
        </is>
      </c>
      <c r="C2339" s="8" t="n">
        <v>45689</v>
      </c>
      <c r="D2339" t="inlineStr">
        <is>
          <t>ORD00063131</t>
        </is>
      </c>
      <c r="E2339" t="n">
        <v>627.01</v>
      </c>
      <c r="F2339" t="n">
        <v>2.31</v>
      </c>
      <c r="G2339" t="n">
        <v>14.48</v>
      </c>
      <c r="H2339" t="inlineStr">
        <is>
          <t>UPI</t>
        </is>
      </c>
      <c r="I2339" t="inlineStr">
        <is>
          <t>Success</t>
        </is>
      </c>
      <c r="J2339" t="inlineStr">
        <is>
          <t>Delivered</t>
        </is>
      </c>
      <c r="K2339" t="n">
        <v>0</v>
      </c>
      <c r="L2339" t="n">
        <v>74.48</v>
      </c>
      <c r="M2339" t="inlineStr">
        <is>
          <t>INR</t>
        </is>
      </c>
      <c r="N2339" t="inlineStr">
        <is>
          <t>2025-02-01 17:51:25</t>
        </is>
      </c>
    </row>
    <row r="2340">
      <c r="A2340" t="inlineStr">
        <is>
          <t>TXN00063130</t>
        </is>
      </c>
      <c r="B2340" t="inlineStr">
        <is>
          <t>MER00856</t>
        </is>
      </c>
      <c r="C2340" s="8" t="n">
        <v>45689</v>
      </c>
      <c r="D2340" t="inlineStr">
        <is>
          <t>ORD00063130</t>
        </is>
      </c>
      <c r="E2340" t="n">
        <v>812.86</v>
      </c>
      <c r="F2340" t="n">
        <v>2.31</v>
      </c>
      <c r="G2340" t="n">
        <v>18.78</v>
      </c>
      <c r="H2340" t="inlineStr">
        <is>
          <t>Wallet</t>
        </is>
      </c>
      <c r="I2340" t="inlineStr">
        <is>
          <t>Success</t>
        </is>
      </c>
      <c r="J2340" t="inlineStr">
        <is>
          <t>Delivered</t>
        </is>
      </c>
      <c r="K2340" t="n">
        <v>0</v>
      </c>
      <c r="L2340" t="n">
        <v>0</v>
      </c>
      <c r="M2340" t="inlineStr">
        <is>
          <t>INR</t>
        </is>
      </c>
      <c r="N2340" t="inlineStr">
        <is>
          <t>2025-02-01 00:10:24</t>
        </is>
      </c>
    </row>
    <row r="2341">
      <c r="A2341" t="inlineStr">
        <is>
          <t>TXN00069422</t>
        </is>
      </c>
      <c r="B2341" t="inlineStr">
        <is>
          <t>MER00856</t>
        </is>
      </c>
      <c r="C2341" s="8" t="n">
        <v>45708</v>
      </c>
      <c r="D2341" t="inlineStr">
        <is>
          <t>ORD00069422</t>
        </is>
      </c>
      <c r="E2341" t="n">
        <v>885.12</v>
      </c>
      <c r="F2341" t="n">
        <v>2.31</v>
      </c>
      <c r="G2341" t="n">
        <v>20.45</v>
      </c>
      <c r="H2341" t="inlineStr">
        <is>
          <t>UPI</t>
        </is>
      </c>
      <c r="I2341" t="inlineStr">
        <is>
          <t>Success</t>
        </is>
      </c>
      <c r="J2341" t="inlineStr">
        <is>
          <t>Returned</t>
        </is>
      </c>
      <c r="K2341" t="n">
        <v>466.22</v>
      </c>
      <c r="L2341" t="n">
        <v>0</v>
      </c>
      <c r="M2341" t="inlineStr">
        <is>
          <t>INR</t>
        </is>
      </c>
      <c r="N2341" t="inlineStr">
        <is>
          <t>2025-02-20 13:15:33</t>
        </is>
      </c>
    </row>
    <row r="2342">
      <c r="A2342" t="inlineStr">
        <is>
          <t>TXN00091951</t>
        </is>
      </c>
      <c r="B2342" t="inlineStr">
        <is>
          <t>MER00856</t>
        </is>
      </c>
      <c r="C2342" s="8" t="n">
        <v>45777</v>
      </c>
      <c r="D2342" t="inlineStr">
        <is>
          <t>ORD00091951</t>
        </is>
      </c>
      <c r="E2342" t="n">
        <v>976.02</v>
      </c>
      <c r="F2342" t="n">
        <v>2.31</v>
      </c>
      <c r="G2342" t="n">
        <v>22.55</v>
      </c>
      <c r="H2342" t="inlineStr">
        <is>
          <t>Card</t>
        </is>
      </c>
      <c r="I2342" t="inlineStr">
        <is>
          <t>Success</t>
        </is>
      </c>
      <c r="J2342" t="inlineStr">
        <is>
          <t>Processing</t>
        </is>
      </c>
      <c r="K2342" t="n">
        <v>0</v>
      </c>
      <c r="L2342" t="n">
        <v>107.42</v>
      </c>
      <c r="M2342" t="inlineStr">
        <is>
          <t>INR</t>
        </is>
      </c>
      <c r="N2342" t="inlineStr">
        <is>
          <t>2025-04-30 21:26:25</t>
        </is>
      </c>
    </row>
    <row r="2343">
      <c r="A2343" t="inlineStr">
        <is>
          <t>TXN00097138</t>
        </is>
      </c>
      <c r="B2343" t="inlineStr">
        <is>
          <t>MER00856</t>
        </is>
      </c>
      <c r="C2343" s="8" t="n">
        <v>45793</v>
      </c>
      <c r="D2343" t="inlineStr">
        <is>
          <t>ORD00097138</t>
        </is>
      </c>
      <c r="E2343" t="n">
        <v>370.29</v>
      </c>
      <c r="F2343" t="n">
        <v>2.31</v>
      </c>
      <c r="G2343" t="n">
        <v>8.550000000000001</v>
      </c>
      <c r="H2343" t="inlineStr">
        <is>
          <t>UPI</t>
        </is>
      </c>
      <c r="I2343" t="inlineStr">
        <is>
          <t>Success</t>
        </is>
      </c>
      <c r="J2343" t="inlineStr">
        <is>
          <t>Delivered</t>
        </is>
      </c>
      <c r="K2343" t="n">
        <v>0</v>
      </c>
      <c r="L2343" t="n">
        <v>0</v>
      </c>
      <c r="M2343" t="inlineStr">
        <is>
          <t>INR</t>
        </is>
      </c>
      <c r="N2343" t="inlineStr">
        <is>
          <t>2025-05-16 00:50:00</t>
        </is>
      </c>
    </row>
    <row r="2344">
      <c r="A2344" t="inlineStr">
        <is>
          <t>TXN00105140</t>
        </is>
      </c>
      <c r="B2344" t="inlineStr">
        <is>
          <t>MER00856</t>
        </is>
      </c>
      <c r="C2344" s="8" t="n">
        <v>45817</v>
      </c>
      <c r="D2344" t="inlineStr">
        <is>
          <t>ORD00105140</t>
        </is>
      </c>
      <c r="E2344" t="n">
        <v>1097.17</v>
      </c>
      <c r="F2344" t="n">
        <v>3.16</v>
      </c>
      <c r="G2344" t="n">
        <v>25.34</v>
      </c>
      <c r="H2344" t="inlineStr">
        <is>
          <t>Card</t>
        </is>
      </c>
      <c r="I2344" t="inlineStr">
        <is>
          <t>Failed</t>
        </is>
      </c>
      <c r="J2344" t="inlineStr">
        <is>
          <t>Cancelled</t>
        </is>
      </c>
      <c r="K2344" t="n">
        <v>0</v>
      </c>
      <c r="L2344" t="n">
        <v>0</v>
      </c>
      <c r="M2344" t="inlineStr">
        <is>
          <t>INR</t>
        </is>
      </c>
      <c r="N2344" t="inlineStr">
        <is>
          <t>2025-06-09 17:47:43</t>
        </is>
      </c>
    </row>
    <row r="2345">
      <c r="A2345" t="inlineStr">
        <is>
          <t>TXN00105692</t>
        </is>
      </c>
      <c r="B2345" t="inlineStr">
        <is>
          <t>MER00856</t>
        </is>
      </c>
      <c r="C2345" s="8" t="n">
        <v>45819</v>
      </c>
      <c r="D2345" t="inlineStr">
        <is>
          <t>ORD00105692</t>
        </is>
      </c>
      <c r="E2345" t="n">
        <v>2453.79</v>
      </c>
      <c r="F2345" t="n">
        <v>2.31</v>
      </c>
      <c r="G2345" t="n">
        <v>56.68</v>
      </c>
      <c r="H2345" t="inlineStr">
        <is>
          <t>NetBanking</t>
        </is>
      </c>
      <c r="I2345" t="inlineStr">
        <is>
          <t>Success</t>
        </is>
      </c>
      <c r="J2345" t="inlineStr">
        <is>
          <t>Delivered</t>
        </is>
      </c>
      <c r="K2345" t="n">
        <v>0</v>
      </c>
      <c r="L2345" t="n">
        <v>0</v>
      </c>
      <c r="M2345" t="inlineStr">
        <is>
          <t>INR</t>
        </is>
      </c>
      <c r="N2345" t="inlineStr">
        <is>
          <t>2025-06-11 04:25:26</t>
        </is>
      </c>
    </row>
    <row r="2346">
      <c r="A2346" t="inlineStr">
        <is>
          <t>TXN00130820</t>
        </is>
      </c>
      <c r="B2346" t="inlineStr">
        <is>
          <t>MER00856</t>
        </is>
      </c>
      <c r="C2346" s="8" t="n">
        <v>45894</v>
      </c>
      <c r="D2346" t="inlineStr">
        <is>
          <t>ORD00130820</t>
        </is>
      </c>
      <c r="E2346" t="n">
        <v>990.72</v>
      </c>
      <c r="F2346" t="n">
        <v>2.31</v>
      </c>
      <c r="G2346" t="n">
        <v>22.89</v>
      </c>
      <c r="H2346" t="inlineStr">
        <is>
          <t>Card</t>
        </is>
      </c>
      <c r="I2346" t="inlineStr">
        <is>
          <t>Success</t>
        </is>
      </c>
      <c r="J2346" t="inlineStr">
        <is>
          <t>Delivered</t>
        </is>
      </c>
      <c r="K2346" t="n">
        <v>0</v>
      </c>
      <c r="L2346" t="n">
        <v>0</v>
      </c>
      <c r="M2346" t="inlineStr">
        <is>
          <t>INR</t>
        </is>
      </c>
      <c r="N2346" t="inlineStr">
        <is>
          <t>2025-08-25 13:34:28</t>
        </is>
      </c>
    </row>
    <row r="2347">
      <c r="A2347" t="inlineStr">
        <is>
          <t>TXN00148462</t>
        </is>
      </c>
      <c r="B2347" t="inlineStr">
        <is>
          <t>MER00856</t>
        </is>
      </c>
      <c r="C2347" s="8" t="n">
        <v>45941</v>
      </c>
      <c r="D2347" t="inlineStr">
        <is>
          <t>ORD00148462</t>
        </is>
      </c>
      <c r="E2347" t="n">
        <v>374.17</v>
      </c>
      <c r="F2347" t="n">
        <v>2.03</v>
      </c>
      <c r="G2347" t="n">
        <v>7.6</v>
      </c>
      <c r="H2347" t="inlineStr">
        <is>
          <t>UPI</t>
        </is>
      </c>
      <c r="I2347" t="inlineStr">
        <is>
          <t>Success</t>
        </is>
      </c>
      <c r="J2347" t="inlineStr">
        <is>
          <t>Delivered</t>
        </is>
      </c>
      <c r="K2347" t="n">
        <v>0</v>
      </c>
      <c r="L2347" t="n">
        <v>67.09</v>
      </c>
      <c r="M2347" t="inlineStr">
        <is>
          <t>INR</t>
        </is>
      </c>
      <c r="N2347" t="inlineStr">
        <is>
          <t>2025-10-11 18:54:23</t>
        </is>
      </c>
    </row>
    <row r="2348">
      <c r="A2348" t="inlineStr">
        <is>
          <t>TXN00149623</t>
        </is>
      </c>
      <c r="B2348" t="inlineStr">
        <is>
          <t>MER00856</t>
        </is>
      </c>
      <c r="C2348" s="8" t="n">
        <v>45944</v>
      </c>
      <c r="D2348" t="inlineStr">
        <is>
          <t>ORD00149623</t>
        </is>
      </c>
      <c r="E2348" t="n">
        <v>2205.94</v>
      </c>
      <c r="F2348" t="n">
        <v>2.03</v>
      </c>
      <c r="G2348" t="n">
        <v>44.78</v>
      </c>
      <c r="H2348" t="inlineStr">
        <is>
          <t>UPI</t>
        </is>
      </c>
      <c r="I2348" t="inlineStr">
        <is>
          <t>Success</t>
        </is>
      </c>
      <c r="J2348" t="inlineStr">
        <is>
          <t>Returned</t>
        </is>
      </c>
      <c r="K2348" t="n">
        <v>2205.94</v>
      </c>
      <c r="L2348" t="n">
        <v>0</v>
      </c>
      <c r="M2348" t="inlineStr">
        <is>
          <t>INR</t>
        </is>
      </c>
      <c r="N2348" t="inlineStr">
        <is>
          <t>2025-10-14 06:17:15</t>
        </is>
      </c>
    </row>
    <row r="2349">
      <c r="A2349" t="inlineStr">
        <is>
          <t>TXN00162236</t>
        </is>
      </c>
      <c r="B2349" t="inlineStr">
        <is>
          <t>MER00856</t>
        </is>
      </c>
      <c r="C2349" s="8" t="n">
        <v>45969</v>
      </c>
      <c r="D2349" t="inlineStr">
        <is>
          <t>ORD00162236</t>
        </is>
      </c>
      <c r="E2349" t="n">
        <v>234.2</v>
      </c>
      <c r="F2349" t="n">
        <v>2.03</v>
      </c>
      <c r="G2349" t="n">
        <v>4.75</v>
      </c>
      <c r="H2349" t="inlineStr">
        <is>
          <t>UPI</t>
        </is>
      </c>
      <c r="I2349" t="inlineStr">
        <is>
          <t>Success</t>
        </is>
      </c>
      <c r="J2349" t="inlineStr">
        <is>
          <t>Delivered</t>
        </is>
      </c>
      <c r="K2349" t="n">
        <v>0</v>
      </c>
      <c r="L2349" t="n">
        <v>0</v>
      </c>
      <c r="M2349" t="inlineStr">
        <is>
          <t>INR</t>
        </is>
      </c>
      <c r="N2349" t="inlineStr">
        <is>
          <t>2025-11-08 03:35:28</t>
        </is>
      </c>
    </row>
    <row r="2350">
      <c r="A2350" t="inlineStr">
        <is>
          <t>TXN00170728</t>
        </is>
      </c>
      <c r="B2350" t="inlineStr">
        <is>
          <t>MER00856</t>
        </is>
      </c>
      <c r="C2350" s="8" t="n">
        <v>45985</v>
      </c>
      <c r="D2350" t="inlineStr">
        <is>
          <t>ORD00170728</t>
        </is>
      </c>
      <c r="E2350" t="n">
        <v>2064.26</v>
      </c>
      <c r="F2350" t="n">
        <v>2.03</v>
      </c>
      <c r="G2350" t="n">
        <v>41.9</v>
      </c>
      <c r="H2350" t="inlineStr">
        <is>
          <t>UPI</t>
        </is>
      </c>
      <c r="I2350" t="inlineStr">
        <is>
          <t>Success</t>
        </is>
      </c>
      <c r="J2350" t="inlineStr">
        <is>
          <t>Processing</t>
        </is>
      </c>
      <c r="K2350" t="n">
        <v>0</v>
      </c>
      <c r="L2350" t="n">
        <v>0</v>
      </c>
      <c r="M2350" t="inlineStr">
        <is>
          <t>INR</t>
        </is>
      </c>
      <c r="N2350" t="inlineStr">
        <is>
          <t>2025-11-24 01:41:15</t>
        </is>
      </c>
    </row>
    <row r="2351">
      <c r="A2351" t="inlineStr">
        <is>
          <t>TXN00184431</t>
        </is>
      </c>
      <c r="B2351" t="inlineStr">
        <is>
          <t>MER00856</t>
        </is>
      </c>
      <c r="C2351" s="8" t="n">
        <v>46017</v>
      </c>
      <c r="D2351" t="inlineStr">
        <is>
          <t>ORD00184431</t>
        </is>
      </c>
      <c r="E2351" t="n">
        <v>448.03</v>
      </c>
      <c r="F2351" t="n">
        <v>2.03</v>
      </c>
      <c r="G2351" t="n">
        <v>9.1</v>
      </c>
      <c r="H2351" t="inlineStr">
        <is>
          <t>UPI</t>
        </is>
      </c>
      <c r="I2351" t="inlineStr">
        <is>
          <t>Success</t>
        </is>
      </c>
      <c r="J2351" t="inlineStr">
        <is>
          <t>Delivered</t>
        </is>
      </c>
      <c r="K2351" t="n">
        <v>0</v>
      </c>
      <c r="L2351" t="n">
        <v>0</v>
      </c>
      <c r="M2351" t="inlineStr">
        <is>
          <t>INR</t>
        </is>
      </c>
      <c r="N2351" t="inlineStr">
        <is>
          <t>2025-12-26 18:58:38</t>
        </is>
      </c>
    </row>
    <row r="2352">
      <c r="A2352" t="inlineStr">
        <is>
          <t>TXN00193300</t>
        </is>
      </c>
      <c r="B2352" t="inlineStr">
        <is>
          <t>MER00856</t>
        </is>
      </c>
      <c r="C2352" s="8" t="n">
        <v>46038</v>
      </c>
      <c r="D2352" t="inlineStr">
        <is>
          <t>ORD00193300</t>
        </is>
      </c>
      <c r="E2352" t="n">
        <v>344.6</v>
      </c>
      <c r="F2352" t="n">
        <v>2.03</v>
      </c>
      <c r="G2352" t="n">
        <v>7</v>
      </c>
      <c r="H2352" t="inlineStr">
        <is>
          <t>Card</t>
        </is>
      </c>
      <c r="I2352" t="inlineStr">
        <is>
          <t>Success</t>
        </is>
      </c>
      <c r="J2352" t="inlineStr">
        <is>
          <t>Delivered</t>
        </is>
      </c>
      <c r="K2352" t="n">
        <v>0</v>
      </c>
      <c r="L2352" t="n">
        <v>0</v>
      </c>
      <c r="M2352" t="inlineStr">
        <is>
          <t>INR</t>
        </is>
      </c>
      <c r="N2352" t="inlineStr">
        <is>
          <t>2026-01-16 10:35:09</t>
        </is>
      </c>
    </row>
    <row r="2353">
      <c r="A2353" t="inlineStr">
        <is>
          <t>TXN00198700</t>
        </is>
      </c>
      <c r="B2353" t="inlineStr">
        <is>
          <t>MER00856</t>
        </is>
      </c>
      <c r="C2353" s="8" t="n">
        <v>46050</v>
      </c>
      <c r="D2353" t="inlineStr">
        <is>
          <t>ORD00198700</t>
        </is>
      </c>
      <c r="E2353" t="n">
        <v>650.55</v>
      </c>
      <c r="F2353" t="n">
        <v>2.03</v>
      </c>
      <c r="G2353" t="n">
        <v>13.21</v>
      </c>
      <c r="H2353" t="inlineStr">
        <is>
          <t>UPI</t>
        </is>
      </c>
      <c r="I2353" t="inlineStr">
        <is>
          <t>Success</t>
        </is>
      </c>
      <c r="J2353" t="inlineStr">
        <is>
          <t>Delivered</t>
        </is>
      </c>
      <c r="K2353" t="n">
        <v>0</v>
      </c>
      <c r="L2353" t="n">
        <v>0</v>
      </c>
      <c r="M2353" t="inlineStr">
        <is>
          <t>INR</t>
        </is>
      </c>
      <c r="N2353" t="inlineStr">
        <is>
          <t>2026-01-28 17:46:17</t>
        </is>
      </c>
    </row>
    <row r="2354">
      <c r="A2354" t="inlineStr">
        <is>
          <t>TXN00216658</t>
        </is>
      </c>
      <c r="B2354" t="inlineStr">
        <is>
          <t>MER00856</t>
        </is>
      </c>
      <c r="C2354" s="8" t="n">
        <v>46095</v>
      </c>
      <c r="D2354" t="inlineStr">
        <is>
          <t>ORD00216658</t>
        </is>
      </c>
      <c r="E2354" t="n">
        <v>1165.02</v>
      </c>
      <c r="F2354" t="n">
        <v>2.03</v>
      </c>
      <c r="G2354" t="n">
        <v>23.65</v>
      </c>
      <c r="H2354" t="inlineStr">
        <is>
          <t>UPI</t>
        </is>
      </c>
      <c r="I2354" t="inlineStr">
        <is>
          <t>Success</t>
        </is>
      </c>
      <c r="J2354" t="inlineStr">
        <is>
          <t>Delivered</t>
        </is>
      </c>
      <c r="K2354" t="n">
        <v>0</v>
      </c>
      <c r="L2354" t="n">
        <v>0</v>
      </c>
      <c r="M2354" t="inlineStr">
        <is>
          <t>INR</t>
        </is>
      </c>
      <c r="N2354" t="inlineStr">
        <is>
          <t>2026-03-14 01:04:18</t>
        </is>
      </c>
    </row>
    <row r="2355">
      <c r="A2355" t="inlineStr">
        <is>
          <t>TXN00224268</t>
        </is>
      </c>
      <c r="B2355" t="inlineStr">
        <is>
          <t>MER00856</t>
        </is>
      </c>
      <c r="C2355" s="8" t="n">
        <v>46116</v>
      </c>
      <c r="D2355" t="inlineStr">
        <is>
          <t>ORD00224268</t>
        </is>
      </c>
      <c r="E2355" t="n">
        <v>1027.06</v>
      </c>
      <c r="F2355" t="n">
        <v>2</v>
      </c>
      <c r="G2355" t="n">
        <v>20.54</v>
      </c>
      <c r="H2355" t="inlineStr">
        <is>
          <t>UPI</t>
        </is>
      </c>
      <c r="I2355" t="inlineStr">
        <is>
          <t>Success</t>
        </is>
      </c>
      <c r="J2355" t="inlineStr">
        <is>
          <t>Delivered</t>
        </is>
      </c>
      <c r="K2355" t="n">
        <v>0</v>
      </c>
      <c r="L2355" t="n">
        <v>0</v>
      </c>
      <c r="M2355" t="inlineStr">
        <is>
          <t>INR</t>
        </is>
      </c>
      <c r="N2355" t="inlineStr">
        <is>
          <t>2026-04-04 11:11:50</t>
        </is>
      </c>
    </row>
    <row r="2356">
      <c r="A2356" t="inlineStr">
        <is>
          <t>TXN00226126</t>
        </is>
      </c>
      <c r="B2356" t="inlineStr">
        <is>
          <t>MER00856</t>
        </is>
      </c>
      <c r="C2356" s="8" t="n">
        <v>46120</v>
      </c>
      <c r="D2356" t="inlineStr">
        <is>
          <t>ORD00226126</t>
        </is>
      </c>
      <c r="E2356" t="n">
        <v>811.33</v>
      </c>
      <c r="F2356" t="n">
        <v>2</v>
      </c>
      <c r="G2356" t="n">
        <v>16.23</v>
      </c>
      <c r="H2356" t="inlineStr">
        <is>
          <t>NetBanking</t>
        </is>
      </c>
      <c r="I2356" t="inlineStr">
        <is>
          <t>Success</t>
        </is>
      </c>
      <c r="J2356" t="inlineStr">
        <is>
          <t>Returned</t>
        </is>
      </c>
      <c r="K2356" t="n">
        <v>811.33</v>
      </c>
      <c r="L2356" t="n">
        <v>0</v>
      </c>
      <c r="M2356" t="inlineStr">
        <is>
          <t>INR</t>
        </is>
      </c>
      <c r="N2356" t="inlineStr">
        <is>
          <t>2026-04-08 19:59:36</t>
        </is>
      </c>
    </row>
    <row r="2357">
      <c r="A2357" t="inlineStr">
        <is>
          <t>TXN00246171</t>
        </is>
      </c>
      <c r="B2357" t="inlineStr">
        <is>
          <t>MER00856</t>
        </is>
      </c>
      <c r="C2357" s="8" t="n">
        <v>46173</v>
      </c>
      <c r="D2357" t="inlineStr">
        <is>
          <t>ORD00246171</t>
        </is>
      </c>
      <c r="E2357" t="n">
        <v>2608.65</v>
      </c>
      <c r="F2357" t="n">
        <v>2</v>
      </c>
      <c r="G2357" t="n">
        <v>52.17</v>
      </c>
      <c r="H2357" t="inlineStr">
        <is>
          <t>UPI</t>
        </is>
      </c>
      <c r="I2357" t="inlineStr">
        <is>
          <t>Success</t>
        </is>
      </c>
      <c r="J2357" t="inlineStr">
        <is>
          <t>Delivered</t>
        </is>
      </c>
      <c r="K2357" t="n">
        <v>0</v>
      </c>
      <c r="L2357" t="n">
        <v>0</v>
      </c>
      <c r="M2357" t="inlineStr">
        <is>
          <t>INR</t>
        </is>
      </c>
      <c r="N2357" t="inlineStr">
        <is>
          <t>2026-05-31 01:47:40</t>
        </is>
      </c>
    </row>
    <row r="2358">
      <c r="A2358" t="inlineStr">
        <is>
          <t>TXN00260322</t>
        </is>
      </c>
      <c r="B2358" t="inlineStr">
        <is>
          <t>MER00856</t>
        </is>
      </c>
      <c r="C2358" s="8" t="n">
        <v>46209</v>
      </c>
      <c r="D2358" t="inlineStr">
        <is>
          <t>ORD00260322</t>
        </is>
      </c>
      <c r="E2358" t="n">
        <v>200</v>
      </c>
      <c r="F2358" t="n">
        <v>2</v>
      </c>
      <c r="G2358" t="n">
        <v>4</v>
      </c>
      <c r="H2358" t="inlineStr">
        <is>
          <t>UPI</t>
        </is>
      </c>
      <c r="I2358" t="inlineStr">
        <is>
          <t>Success</t>
        </is>
      </c>
      <c r="J2358" t="inlineStr">
        <is>
          <t>Delivered</t>
        </is>
      </c>
      <c r="K2358" t="n">
        <v>0</v>
      </c>
      <c r="L2358" t="n">
        <v>0</v>
      </c>
      <c r="M2358" t="inlineStr">
        <is>
          <t>INR</t>
        </is>
      </c>
      <c r="N2358" t="inlineStr">
        <is>
          <t>2026-07-06 17:00:28</t>
        </is>
      </c>
    </row>
    <row r="2359">
      <c r="A2359" t="inlineStr">
        <is>
          <t>TXN00263810</t>
        </is>
      </c>
      <c r="B2359" t="inlineStr">
        <is>
          <t>MER00856</t>
        </is>
      </c>
      <c r="C2359" s="8" t="n">
        <v>46218</v>
      </c>
      <c r="D2359" t="inlineStr">
        <is>
          <t>ORD00263810</t>
        </is>
      </c>
      <c r="E2359" t="n">
        <v>1895.67</v>
      </c>
      <c r="F2359" t="n">
        <v>2</v>
      </c>
      <c r="G2359" t="n">
        <v>37.91</v>
      </c>
      <c r="H2359" t="inlineStr">
        <is>
          <t>NetBanking</t>
        </is>
      </c>
      <c r="I2359" t="inlineStr">
        <is>
          <t>Success</t>
        </is>
      </c>
      <c r="J2359" t="inlineStr">
        <is>
          <t>Delivered</t>
        </is>
      </c>
      <c r="K2359" t="n">
        <v>0</v>
      </c>
      <c r="L2359" t="n">
        <v>233.27</v>
      </c>
      <c r="M2359" t="inlineStr">
        <is>
          <t>INR</t>
        </is>
      </c>
      <c r="N2359" t="inlineStr">
        <is>
          <t>2026-07-15 13:31:59</t>
        </is>
      </c>
    </row>
    <row r="2360">
      <c r="A2360" t="inlineStr">
        <is>
          <t>TXN00267097</t>
        </is>
      </c>
      <c r="B2360" t="inlineStr">
        <is>
          <t>MER00856</t>
        </is>
      </c>
      <c r="C2360" s="8" t="n">
        <v>46226</v>
      </c>
      <c r="D2360" t="inlineStr">
        <is>
          <t>ORD00267097</t>
        </is>
      </c>
      <c r="E2360" t="n">
        <v>1242.9</v>
      </c>
      <c r="F2360" t="n">
        <v>2</v>
      </c>
      <c r="G2360" t="n">
        <v>24.86</v>
      </c>
      <c r="H2360" t="inlineStr">
        <is>
          <t>COD</t>
        </is>
      </c>
      <c r="I2360" t="inlineStr">
        <is>
          <t>Success</t>
        </is>
      </c>
      <c r="J2360" t="inlineStr">
        <is>
          <t>Returned</t>
        </is>
      </c>
      <c r="K2360" t="n">
        <v>575.46</v>
      </c>
      <c r="L2360" t="n">
        <v>0</v>
      </c>
      <c r="M2360" t="inlineStr">
        <is>
          <t>INR</t>
        </is>
      </c>
      <c r="N2360" t="inlineStr">
        <is>
          <t>2026-07-23 10:03:46</t>
        </is>
      </c>
    </row>
    <row r="2361">
      <c r="A2361" t="inlineStr">
        <is>
          <t>TXN00000915</t>
        </is>
      </c>
      <c r="B2361" t="inlineStr">
        <is>
          <t>MER00861</t>
        </is>
      </c>
      <c r="C2361" s="8" t="n">
        <v>45508</v>
      </c>
      <c r="D2361" t="inlineStr">
        <is>
          <t>ORD00000915</t>
        </is>
      </c>
      <c r="E2361" t="n">
        <v>4037.01</v>
      </c>
      <c r="F2361" t="n">
        <v>2.5</v>
      </c>
      <c r="G2361" t="n">
        <v>100.93</v>
      </c>
      <c r="H2361" t="inlineStr">
        <is>
          <t>UPI</t>
        </is>
      </c>
      <c r="I2361" t="inlineStr">
        <is>
          <t>Pending</t>
        </is>
      </c>
      <c r="J2361" t="inlineStr">
        <is>
          <t>Processing</t>
        </is>
      </c>
      <c r="K2361" t="n">
        <v>0</v>
      </c>
      <c r="L2361" t="n">
        <v>0</v>
      </c>
      <c r="M2361" t="inlineStr">
        <is>
          <t>INR</t>
        </is>
      </c>
      <c r="N2361" t="inlineStr">
        <is>
          <t>2024-08-04 07:48:07</t>
        </is>
      </c>
    </row>
    <row r="2362">
      <c r="A2362" t="inlineStr">
        <is>
          <t>TXN00001228</t>
        </is>
      </c>
      <c r="B2362" t="inlineStr">
        <is>
          <t>MER00861</t>
        </is>
      </c>
      <c r="C2362" s="8" t="n">
        <v>45510</v>
      </c>
      <c r="D2362" t="inlineStr">
        <is>
          <t>ORD00001228</t>
        </is>
      </c>
      <c r="E2362" t="n">
        <v>2114.92</v>
      </c>
      <c r="F2362" t="n">
        <v>2.5</v>
      </c>
      <c r="G2362" t="n">
        <v>52.87</v>
      </c>
      <c r="H2362" t="inlineStr">
        <is>
          <t>UPI</t>
        </is>
      </c>
      <c r="I2362" t="inlineStr">
        <is>
          <t>Success</t>
        </is>
      </c>
      <c r="J2362" t="inlineStr">
        <is>
          <t>Returned</t>
        </is>
      </c>
      <c r="K2362" t="n">
        <v>2114.92</v>
      </c>
      <c r="L2362" t="n">
        <v>0</v>
      </c>
      <c r="M2362" t="inlineStr">
        <is>
          <t>INR</t>
        </is>
      </c>
      <c r="N2362" t="inlineStr">
        <is>
          <t>2024-08-06 12:20:33</t>
        </is>
      </c>
    </row>
    <row r="2363">
      <c r="A2363" t="inlineStr">
        <is>
          <t>TXN00002543</t>
        </is>
      </c>
      <c r="B2363" t="inlineStr">
        <is>
          <t>MER00861</t>
        </is>
      </c>
      <c r="C2363" s="8" t="n">
        <v>45515</v>
      </c>
      <c r="D2363" t="inlineStr">
        <is>
          <t>ORD00002543</t>
        </is>
      </c>
      <c r="E2363" t="n">
        <v>3263.63</v>
      </c>
      <c r="F2363" t="n">
        <v>2.5</v>
      </c>
      <c r="G2363" t="n">
        <v>81.59</v>
      </c>
      <c r="H2363" t="inlineStr">
        <is>
          <t>Wallet</t>
        </is>
      </c>
      <c r="I2363" t="inlineStr">
        <is>
          <t>Success</t>
        </is>
      </c>
      <c r="J2363" t="inlineStr">
        <is>
          <t>Delivered</t>
        </is>
      </c>
      <c r="K2363" t="n">
        <v>0</v>
      </c>
      <c r="L2363" t="n">
        <v>0</v>
      </c>
      <c r="M2363" t="inlineStr">
        <is>
          <t>INR</t>
        </is>
      </c>
      <c r="N2363" t="inlineStr">
        <is>
          <t>2024-08-11 09:40:48</t>
        </is>
      </c>
    </row>
    <row r="2364">
      <c r="A2364" t="inlineStr">
        <is>
          <t>TXN00003322</t>
        </is>
      </c>
      <c r="B2364" t="inlineStr">
        <is>
          <t>MER00861</t>
        </is>
      </c>
      <c r="C2364" s="8" t="n">
        <v>45518</v>
      </c>
      <c r="D2364" t="inlineStr">
        <is>
          <t>ORD00003322</t>
        </is>
      </c>
      <c r="E2364" t="n">
        <v>670.74</v>
      </c>
      <c r="F2364" t="n">
        <v>2.4</v>
      </c>
      <c r="G2364" t="n">
        <v>16.1</v>
      </c>
      <c r="H2364" t="inlineStr">
        <is>
          <t>Wallet</t>
        </is>
      </c>
      <c r="I2364" t="inlineStr">
        <is>
          <t>Success</t>
        </is>
      </c>
      <c r="J2364" t="inlineStr">
        <is>
          <t>Delivered</t>
        </is>
      </c>
      <c r="K2364" t="n">
        <v>0</v>
      </c>
      <c r="L2364" t="n">
        <v>0</v>
      </c>
      <c r="M2364" t="inlineStr">
        <is>
          <t>INR</t>
        </is>
      </c>
      <c r="N2364" t="inlineStr">
        <is>
          <t>2024-08-14 19:51:28</t>
        </is>
      </c>
    </row>
    <row r="2365">
      <c r="A2365" t="inlineStr">
        <is>
          <t>TXN00004254</t>
        </is>
      </c>
      <c r="B2365" t="inlineStr">
        <is>
          <t>MER00861</t>
        </is>
      </c>
      <c r="C2365" s="8" t="n">
        <v>45522</v>
      </c>
      <c r="D2365" t="inlineStr">
        <is>
          <t>ORD00004254</t>
        </is>
      </c>
      <c r="E2365" t="n">
        <v>11475.41</v>
      </c>
      <c r="F2365" t="n">
        <v>2.4</v>
      </c>
      <c r="G2365" t="n">
        <v>275.41</v>
      </c>
      <c r="H2365" t="inlineStr">
        <is>
          <t>Wallet</t>
        </is>
      </c>
      <c r="I2365" t="inlineStr">
        <is>
          <t>Success</t>
        </is>
      </c>
      <c r="J2365" t="inlineStr">
        <is>
          <t>Returned</t>
        </is>
      </c>
      <c r="K2365" t="n">
        <v>11475.41</v>
      </c>
      <c r="L2365" t="n">
        <v>0</v>
      </c>
      <c r="M2365" t="inlineStr">
        <is>
          <t>INR</t>
        </is>
      </c>
      <c r="N2365" t="inlineStr">
        <is>
          <t>2024-08-18 17:36:56</t>
        </is>
      </c>
    </row>
    <row r="2366">
      <c r="A2366" t="inlineStr">
        <is>
          <t>TXN00008130</t>
        </is>
      </c>
      <c r="B2366" t="inlineStr">
        <is>
          <t>MER00861</t>
        </is>
      </c>
      <c r="C2366" s="8" t="n">
        <v>45538</v>
      </c>
      <c r="D2366" t="inlineStr">
        <is>
          <t>ORD00008130</t>
        </is>
      </c>
      <c r="E2366" t="n">
        <v>3755.34</v>
      </c>
      <c r="F2366" t="n">
        <v>2.4</v>
      </c>
      <c r="G2366" t="n">
        <v>90.13</v>
      </c>
      <c r="H2366" t="inlineStr">
        <is>
          <t>UPI</t>
        </is>
      </c>
      <c r="I2366" t="inlineStr">
        <is>
          <t>Success</t>
        </is>
      </c>
      <c r="J2366" t="inlineStr">
        <is>
          <t>Cancelled</t>
        </is>
      </c>
      <c r="K2366" t="n">
        <v>3277.58</v>
      </c>
      <c r="L2366" t="n">
        <v>0</v>
      </c>
      <c r="M2366" t="inlineStr">
        <is>
          <t>INR</t>
        </is>
      </c>
      <c r="N2366" t="inlineStr">
        <is>
          <t>2024-09-03 10:32:35</t>
        </is>
      </c>
    </row>
    <row r="2367">
      <c r="A2367" t="inlineStr">
        <is>
          <t>TXN00014339</t>
        </is>
      </c>
      <c r="B2367" t="inlineStr">
        <is>
          <t>MER00861</t>
        </is>
      </c>
      <c r="C2367" s="8" t="n">
        <v>45559</v>
      </c>
      <c r="D2367" t="inlineStr">
        <is>
          <t>ORD00014339</t>
        </is>
      </c>
      <c r="E2367" t="n">
        <v>935.8200000000001</v>
      </c>
      <c r="F2367" t="n">
        <v>2.4</v>
      </c>
      <c r="G2367" t="n">
        <v>22.46</v>
      </c>
      <c r="H2367" t="inlineStr">
        <is>
          <t>UPI</t>
        </is>
      </c>
      <c r="I2367" t="inlineStr">
        <is>
          <t>Success</t>
        </is>
      </c>
      <c r="J2367" t="inlineStr">
        <is>
          <t>Delivered</t>
        </is>
      </c>
      <c r="K2367" t="n">
        <v>0</v>
      </c>
      <c r="L2367" t="n">
        <v>0</v>
      </c>
      <c r="M2367" t="inlineStr">
        <is>
          <t>INR</t>
        </is>
      </c>
      <c r="N2367" t="inlineStr">
        <is>
          <t>2024-09-24 10:57:59</t>
        </is>
      </c>
    </row>
    <row r="2368">
      <c r="A2368" t="inlineStr">
        <is>
          <t>TXN00016673</t>
        </is>
      </c>
      <c r="B2368" t="inlineStr">
        <is>
          <t>MER00861</t>
        </is>
      </c>
      <c r="C2368" s="8" t="n">
        <v>45567</v>
      </c>
      <c r="D2368" t="inlineStr">
        <is>
          <t>ORD00016673</t>
        </is>
      </c>
      <c r="E2368" t="n">
        <v>1459.16</v>
      </c>
      <c r="F2368" t="n">
        <v>2.4</v>
      </c>
      <c r="G2368" t="n">
        <v>35.02</v>
      </c>
      <c r="H2368" t="inlineStr">
        <is>
          <t>Card</t>
        </is>
      </c>
      <c r="I2368" t="inlineStr">
        <is>
          <t>Success</t>
        </is>
      </c>
      <c r="J2368" t="inlineStr">
        <is>
          <t>Delivered</t>
        </is>
      </c>
      <c r="K2368" t="n">
        <v>0</v>
      </c>
      <c r="L2368" t="n">
        <v>0</v>
      </c>
      <c r="M2368" t="inlineStr">
        <is>
          <t>INR</t>
        </is>
      </c>
      <c r="N2368" t="inlineStr">
        <is>
          <t>2024-10-02 15:46:58</t>
        </is>
      </c>
    </row>
    <row r="2369">
      <c r="A2369" t="inlineStr">
        <is>
          <t>TXN00034592</t>
        </is>
      </c>
      <c r="B2369" t="inlineStr">
        <is>
          <t>MER00861</t>
        </is>
      </c>
      <c r="C2369" s="8" t="n">
        <v>45611</v>
      </c>
      <c r="D2369" t="inlineStr">
        <is>
          <t>ORD00034592</t>
        </is>
      </c>
      <c r="E2369" t="n">
        <v>2330.08</v>
      </c>
      <c r="F2369" t="n">
        <v>2.4</v>
      </c>
      <c r="G2369" t="n">
        <v>55.92</v>
      </c>
      <c r="H2369" t="inlineStr">
        <is>
          <t>UPI</t>
        </is>
      </c>
      <c r="I2369" t="inlineStr">
        <is>
          <t>Success</t>
        </is>
      </c>
      <c r="J2369" t="inlineStr">
        <is>
          <t>Processing</t>
        </is>
      </c>
      <c r="K2369" t="n">
        <v>0</v>
      </c>
      <c r="L2369" t="n">
        <v>0</v>
      </c>
      <c r="M2369" t="inlineStr">
        <is>
          <t>INR</t>
        </is>
      </c>
      <c r="N2369" t="inlineStr">
        <is>
          <t>2024-11-15 19:12:41</t>
        </is>
      </c>
    </row>
    <row r="2370">
      <c r="A2370" t="inlineStr">
        <is>
          <t>TXN00035772</t>
        </is>
      </c>
      <c r="B2370" t="inlineStr">
        <is>
          <t>MER00861</t>
        </is>
      </c>
      <c r="C2370" s="8" t="n">
        <v>45614</v>
      </c>
      <c r="D2370" t="inlineStr">
        <is>
          <t>ORD00035772</t>
        </is>
      </c>
      <c r="E2370" t="n">
        <v>2341.75</v>
      </c>
      <c r="F2370" t="n">
        <v>2.82</v>
      </c>
      <c r="G2370" t="n">
        <v>56.2</v>
      </c>
      <c r="H2370" t="inlineStr">
        <is>
          <t>Card</t>
        </is>
      </c>
      <c r="I2370" t="inlineStr">
        <is>
          <t>Success</t>
        </is>
      </c>
      <c r="J2370" t="inlineStr">
        <is>
          <t>Returned</t>
        </is>
      </c>
      <c r="K2370" t="n">
        <v>1966.4</v>
      </c>
      <c r="L2370" t="n">
        <v>0</v>
      </c>
      <c r="M2370" t="inlineStr">
        <is>
          <t>INR</t>
        </is>
      </c>
      <c r="N2370" t="inlineStr">
        <is>
          <t>2024-11-18 16:53:23</t>
        </is>
      </c>
    </row>
    <row r="2371">
      <c r="A2371" t="inlineStr">
        <is>
          <t>TXN00037676</t>
        </is>
      </c>
      <c r="B2371" t="inlineStr">
        <is>
          <t>MER00861</t>
        </is>
      </c>
      <c r="C2371" s="8" t="n">
        <v>45618</v>
      </c>
      <c r="D2371" t="inlineStr">
        <is>
          <t>ORD00037676</t>
        </is>
      </c>
      <c r="E2371" t="n">
        <v>2339.19</v>
      </c>
      <c r="F2371" t="n">
        <v>2.4</v>
      </c>
      <c r="G2371" t="n">
        <v>56.14</v>
      </c>
      <c r="H2371" t="inlineStr">
        <is>
          <t>NetBanking</t>
        </is>
      </c>
      <c r="I2371" t="inlineStr">
        <is>
          <t>Success</t>
        </is>
      </c>
      <c r="J2371" t="inlineStr">
        <is>
          <t>Delivered</t>
        </is>
      </c>
      <c r="K2371" t="n">
        <v>0</v>
      </c>
      <c r="L2371" t="n">
        <v>0</v>
      </c>
      <c r="M2371" t="inlineStr">
        <is>
          <t>INR</t>
        </is>
      </c>
      <c r="N2371" t="inlineStr">
        <is>
          <t>2024-11-22 11:54:11</t>
        </is>
      </c>
    </row>
    <row r="2372">
      <c r="A2372" t="inlineStr">
        <is>
          <t>TXN00045726</t>
        </is>
      </c>
      <c r="B2372" t="inlineStr">
        <is>
          <t>MER00861</t>
        </is>
      </c>
      <c r="C2372" s="8" t="n">
        <v>45640</v>
      </c>
      <c r="D2372" t="inlineStr">
        <is>
          <t>ORD00045726</t>
        </is>
      </c>
      <c r="E2372" t="n">
        <v>4642.43</v>
      </c>
      <c r="F2372" t="n">
        <v>2.4</v>
      </c>
      <c r="G2372" t="n">
        <v>111.42</v>
      </c>
      <c r="H2372" t="inlineStr">
        <is>
          <t>Card</t>
        </is>
      </c>
      <c r="I2372" t="inlineStr">
        <is>
          <t>Success</t>
        </is>
      </c>
      <c r="J2372" t="inlineStr">
        <is>
          <t>Returned</t>
        </is>
      </c>
      <c r="K2372" t="n">
        <v>4642.43</v>
      </c>
      <c r="L2372" t="n">
        <v>0</v>
      </c>
      <c r="M2372" t="inlineStr">
        <is>
          <t>INR</t>
        </is>
      </c>
      <c r="N2372" t="inlineStr">
        <is>
          <t>2024-12-14 10:21:38</t>
        </is>
      </c>
    </row>
    <row r="2373">
      <c r="A2373" t="inlineStr">
        <is>
          <t>TXN00049520</t>
        </is>
      </c>
      <c r="B2373" t="inlineStr">
        <is>
          <t>MER00861</t>
        </is>
      </c>
      <c r="C2373" s="8" t="n">
        <v>45652</v>
      </c>
      <c r="D2373" t="inlineStr">
        <is>
          <t>ORD00049520</t>
        </is>
      </c>
      <c r="E2373" t="n">
        <v>4671.58</v>
      </c>
      <c r="F2373" t="n">
        <v>2.4</v>
      </c>
      <c r="G2373" t="n">
        <v>112.12</v>
      </c>
      <c r="H2373" t="inlineStr">
        <is>
          <t>NetBanking</t>
        </is>
      </c>
      <c r="I2373" t="inlineStr">
        <is>
          <t>Success</t>
        </is>
      </c>
      <c r="J2373" t="inlineStr">
        <is>
          <t>Delivered</t>
        </is>
      </c>
      <c r="K2373" t="n">
        <v>0</v>
      </c>
      <c r="L2373" t="n">
        <v>624.65</v>
      </c>
      <c r="M2373" t="inlineStr">
        <is>
          <t>INR</t>
        </is>
      </c>
      <c r="N2373" t="inlineStr">
        <is>
          <t>2024-12-26 12:09:24</t>
        </is>
      </c>
    </row>
    <row r="2374">
      <c r="A2374" t="inlineStr">
        <is>
          <t>TXN00053034</t>
        </is>
      </c>
      <c r="B2374" t="inlineStr">
        <is>
          <t>MER00861</t>
        </is>
      </c>
      <c r="C2374" s="8" t="n">
        <v>45662</v>
      </c>
      <c r="D2374" t="inlineStr">
        <is>
          <t>ORD00053034</t>
        </is>
      </c>
      <c r="E2374" t="n">
        <v>3307.23</v>
      </c>
      <c r="F2374" t="n">
        <v>2.4</v>
      </c>
      <c r="G2374" t="n">
        <v>79.37</v>
      </c>
      <c r="H2374" t="inlineStr">
        <is>
          <t>UPI</t>
        </is>
      </c>
      <c r="I2374" t="inlineStr">
        <is>
          <t>Success</t>
        </is>
      </c>
      <c r="J2374" t="inlineStr">
        <is>
          <t>Delivered</t>
        </is>
      </c>
      <c r="K2374" t="n">
        <v>0</v>
      </c>
      <c r="L2374" t="n">
        <v>0</v>
      </c>
      <c r="M2374" t="inlineStr">
        <is>
          <t>INR</t>
        </is>
      </c>
      <c r="N2374" t="inlineStr">
        <is>
          <t>2025-01-05 05:55:46</t>
        </is>
      </c>
    </row>
    <row r="2375">
      <c r="A2375" t="inlineStr">
        <is>
          <t>TXN00056959</t>
        </is>
      </c>
      <c r="B2375" t="inlineStr">
        <is>
          <t>MER00861</t>
        </is>
      </c>
      <c r="C2375" s="8" t="n">
        <v>45673</v>
      </c>
      <c r="D2375" t="inlineStr">
        <is>
          <t>ORD00056959</t>
        </is>
      </c>
      <c r="E2375" t="n">
        <v>4240.61</v>
      </c>
      <c r="F2375" t="n">
        <v>2.4</v>
      </c>
      <c r="G2375" t="n">
        <v>101.77</v>
      </c>
      <c r="H2375" t="inlineStr">
        <is>
          <t>UPI</t>
        </is>
      </c>
      <c r="I2375" t="inlineStr">
        <is>
          <t>Success</t>
        </is>
      </c>
      <c r="J2375" t="inlineStr">
        <is>
          <t>Returned</t>
        </is>
      </c>
      <c r="K2375" t="n">
        <v>4240.61</v>
      </c>
      <c r="L2375" t="n">
        <v>0</v>
      </c>
      <c r="M2375" t="inlineStr">
        <is>
          <t>INR</t>
        </is>
      </c>
      <c r="N2375" t="inlineStr">
        <is>
          <t>2025-01-16 15:06:26</t>
        </is>
      </c>
    </row>
    <row r="2376">
      <c r="A2376" t="inlineStr">
        <is>
          <t>TXN00063469</t>
        </is>
      </c>
      <c r="B2376" t="inlineStr">
        <is>
          <t>MER00861</t>
        </is>
      </c>
      <c r="C2376" s="8" t="n">
        <v>45690</v>
      </c>
      <c r="D2376" t="inlineStr">
        <is>
          <t>ORD00063469</t>
        </is>
      </c>
      <c r="E2376" t="n">
        <v>3523.63</v>
      </c>
      <c r="F2376" t="n">
        <v>2.4</v>
      </c>
      <c r="G2376" t="n">
        <v>84.56999999999999</v>
      </c>
      <c r="H2376" t="inlineStr">
        <is>
          <t>UPI</t>
        </is>
      </c>
      <c r="I2376" t="inlineStr">
        <is>
          <t>Success</t>
        </is>
      </c>
      <c r="J2376" t="inlineStr">
        <is>
          <t>Returned</t>
        </is>
      </c>
      <c r="K2376" t="n">
        <v>3036.17</v>
      </c>
      <c r="L2376" t="n">
        <v>0</v>
      </c>
      <c r="M2376" t="inlineStr">
        <is>
          <t>INR</t>
        </is>
      </c>
      <c r="N2376" t="inlineStr">
        <is>
          <t>2025-02-02 14:29:00</t>
        </is>
      </c>
    </row>
    <row r="2377">
      <c r="A2377" t="inlineStr">
        <is>
          <t>TXN00064786</t>
        </is>
      </c>
      <c r="B2377" t="inlineStr">
        <is>
          <t>MER00861</t>
        </is>
      </c>
      <c r="C2377" s="8" t="n">
        <v>45694</v>
      </c>
      <c r="D2377" t="inlineStr">
        <is>
          <t>ORD00064786</t>
        </is>
      </c>
      <c r="E2377" t="n">
        <v>5384.81</v>
      </c>
      <c r="F2377" t="n">
        <v>2.4</v>
      </c>
      <c r="G2377" t="n">
        <v>129.24</v>
      </c>
      <c r="H2377" t="inlineStr">
        <is>
          <t>COD</t>
        </is>
      </c>
      <c r="I2377" t="inlineStr">
        <is>
          <t>Success</t>
        </is>
      </c>
      <c r="J2377" t="inlineStr">
        <is>
          <t>Delivered</t>
        </is>
      </c>
      <c r="K2377" t="n">
        <v>0</v>
      </c>
      <c r="L2377" t="n">
        <v>0</v>
      </c>
      <c r="M2377" t="inlineStr">
        <is>
          <t>INR</t>
        </is>
      </c>
      <c r="N2377" t="inlineStr">
        <is>
          <t>2025-02-06 18:31:29</t>
        </is>
      </c>
    </row>
    <row r="2378">
      <c r="A2378" t="inlineStr">
        <is>
          <t>TXN00073699</t>
        </is>
      </c>
      <c r="B2378" t="inlineStr">
        <is>
          <t>MER00861</t>
        </is>
      </c>
      <c r="C2378" s="8" t="n">
        <v>45721</v>
      </c>
      <c r="D2378" t="inlineStr">
        <is>
          <t>ORD00073699</t>
        </is>
      </c>
      <c r="E2378" t="n">
        <v>3027.68</v>
      </c>
      <c r="F2378" t="n">
        <v>2.4</v>
      </c>
      <c r="G2378" t="n">
        <v>72.66</v>
      </c>
      <c r="H2378" t="inlineStr">
        <is>
          <t>UPI</t>
        </is>
      </c>
      <c r="I2378" t="inlineStr">
        <is>
          <t>Success</t>
        </is>
      </c>
      <c r="J2378" t="inlineStr">
        <is>
          <t>Delivered</t>
        </is>
      </c>
      <c r="K2378" t="n">
        <v>0</v>
      </c>
      <c r="L2378" t="n">
        <v>0</v>
      </c>
      <c r="M2378" t="inlineStr">
        <is>
          <t>INR</t>
        </is>
      </c>
      <c r="N2378" t="inlineStr">
        <is>
          <t>2025-03-05 11:11:01</t>
        </is>
      </c>
    </row>
    <row r="2379">
      <c r="A2379" t="inlineStr">
        <is>
          <t>TXN00075719</t>
        </is>
      </c>
      <c r="B2379" t="inlineStr">
        <is>
          <t>MER00861</t>
        </is>
      </c>
      <c r="C2379" s="8" t="n">
        <v>45727</v>
      </c>
      <c r="D2379" t="inlineStr">
        <is>
          <t>ORD00075719</t>
        </is>
      </c>
      <c r="E2379" t="n">
        <v>3023.34</v>
      </c>
      <c r="F2379" t="n">
        <v>2.4</v>
      </c>
      <c r="G2379" t="n">
        <v>72.56</v>
      </c>
      <c r="H2379" t="inlineStr">
        <is>
          <t>Wallet</t>
        </is>
      </c>
      <c r="I2379" t="inlineStr">
        <is>
          <t>Success</t>
        </is>
      </c>
      <c r="J2379" t="inlineStr">
        <is>
          <t>Delivered</t>
        </is>
      </c>
      <c r="K2379" t="n">
        <v>0</v>
      </c>
      <c r="L2379" t="n">
        <v>0</v>
      </c>
      <c r="M2379" t="inlineStr">
        <is>
          <t>INR</t>
        </is>
      </c>
      <c r="N2379" t="inlineStr">
        <is>
          <t>2025-03-11 09:05:47</t>
        </is>
      </c>
    </row>
    <row r="2380">
      <c r="A2380" t="inlineStr">
        <is>
          <t>TXN00077137</t>
        </is>
      </c>
      <c r="B2380" t="inlineStr">
        <is>
          <t>MER00861</t>
        </is>
      </c>
      <c r="C2380" s="8" t="n">
        <v>45732</v>
      </c>
      <c r="D2380" t="inlineStr">
        <is>
          <t>ORD00077137</t>
        </is>
      </c>
      <c r="E2380" t="n">
        <v>3405.26</v>
      </c>
      <c r="F2380" t="n">
        <v>2.4</v>
      </c>
      <c r="G2380" t="n">
        <v>81.73</v>
      </c>
      <c r="H2380" t="inlineStr">
        <is>
          <t>NetBanking</t>
        </is>
      </c>
      <c r="I2380" t="inlineStr">
        <is>
          <t>Failed</t>
        </is>
      </c>
      <c r="J2380" t="inlineStr">
        <is>
          <t>Cancelled</t>
        </is>
      </c>
      <c r="K2380" t="n">
        <v>0</v>
      </c>
      <c r="L2380" t="n">
        <v>0</v>
      </c>
      <c r="M2380" t="inlineStr">
        <is>
          <t>INR</t>
        </is>
      </c>
      <c r="N2380" t="inlineStr">
        <is>
          <t>2025-03-16 09:23:46</t>
        </is>
      </c>
    </row>
    <row r="2381">
      <c r="A2381" t="inlineStr">
        <is>
          <t>TXN00079909</t>
        </is>
      </c>
      <c r="B2381" t="inlineStr">
        <is>
          <t>MER00861</t>
        </is>
      </c>
      <c r="C2381" s="8" t="n">
        <v>45741</v>
      </c>
      <c r="D2381" t="inlineStr">
        <is>
          <t>ORD00079909</t>
        </is>
      </c>
      <c r="E2381" t="n">
        <v>3552.25</v>
      </c>
      <c r="F2381" t="n">
        <v>2.4</v>
      </c>
      <c r="G2381" t="n">
        <v>85.25</v>
      </c>
      <c r="H2381" t="inlineStr">
        <is>
          <t>Card</t>
        </is>
      </c>
      <c r="I2381" t="inlineStr">
        <is>
          <t>Success</t>
        </is>
      </c>
      <c r="J2381" t="inlineStr">
        <is>
          <t>Delivered</t>
        </is>
      </c>
      <c r="K2381" t="n">
        <v>0</v>
      </c>
      <c r="L2381" t="n">
        <v>0</v>
      </c>
      <c r="M2381" t="inlineStr">
        <is>
          <t>INR</t>
        </is>
      </c>
      <c r="N2381" t="inlineStr">
        <is>
          <t>2025-03-25 12:16:15</t>
        </is>
      </c>
    </row>
    <row r="2382">
      <c r="A2382" t="inlineStr">
        <is>
          <t>TXN00083121</t>
        </is>
      </c>
      <c r="B2382" t="inlineStr">
        <is>
          <t>MER00861</t>
        </is>
      </c>
      <c r="C2382" s="8" t="n">
        <v>45750</v>
      </c>
      <c r="D2382" t="inlineStr">
        <is>
          <t>ORD00083121</t>
        </is>
      </c>
      <c r="E2382" t="n">
        <v>3110</v>
      </c>
      <c r="F2382" t="n">
        <v>2.4</v>
      </c>
      <c r="G2382" t="n">
        <v>74.64</v>
      </c>
      <c r="H2382" t="inlineStr">
        <is>
          <t>Card</t>
        </is>
      </c>
      <c r="I2382" t="inlineStr">
        <is>
          <t>Failed</t>
        </is>
      </c>
      <c r="J2382" t="inlineStr">
        <is>
          <t>Processing</t>
        </is>
      </c>
      <c r="K2382" t="n">
        <v>0</v>
      </c>
      <c r="L2382" t="n">
        <v>0</v>
      </c>
      <c r="M2382" t="inlineStr">
        <is>
          <t>INR</t>
        </is>
      </c>
      <c r="N2382" t="inlineStr">
        <is>
          <t>2025-04-03 19:03:17</t>
        </is>
      </c>
    </row>
    <row r="2383">
      <c r="A2383" t="inlineStr">
        <is>
          <t>TXN00092721</t>
        </is>
      </c>
      <c r="B2383" t="inlineStr">
        <is>
          <t>MER00861</t>
        </is>
      </c>
      <c r="C2383" s="8" t="n">
        <v>45779</v>
      </c>
      <c r="D2383" t="inlineStr">
        <is>
          <t>ORD00092721</t>
        </is>
      </c>
      <c r="E2383" t="n">
        <v>4551.97</v>
      </c>
      <c r="F2383" t="n">
        <v>2.4</v>
      </c>
      <c r="G2383" t="n">
        <v>109.25</v>
      </c>
      <c r="H2383" t="inlineStr">
        <is>
          <t>UPI</t>
        </is>
      </c>
      <c r="I2383" t="inlineStr">
        <is>
          <t>Success</t>
        </is>
      </c>
      <c r="J2383" t="inlineStr">
        <is>
          <t>Delivered</t>
        </is>
      </c>
      <c r="K2383" t="n">
        <v>0</v>
      </c>
      <c r="L2383" t="n">
        <v>0</v>
      </c>
      <c r="M2383" t="inlineStr">
        <is>
          <t>INR</t>
        </is>
      </c>
      <c r="N2383" t="inlineStr">
        <is>
          <t>2025-05-02 05:38:30</t>
        </is>
      </c>
    </row>
    <row r="2384">
      <c r="A2384" t="inlineStr">
        <is>
          <t>TXN00100464</t>
        </is>
      </c>
      <c r="B2384" t="inlineStr">
        <is>
          <t>MER00861</t>
        </is>
      </c>
      <c r="C2384" s="8" t="n">
        <v>45803</v>
      </c>
      <c r="D2384" t="inlineStr">
        <is>
          <t>ORD00100464</t>
        </is>
      </c>
      <c r="E2384" t="n">
        <v>10557.18</v>
      </c>
      <c r="F2384" t="n">
        <v>2.4</v>
      </c>
      <c r="G2384" t="n">
        <v>253.37</v>
      </c>
      <c r="H2384" t="inlineStr">
        <is>
          <t>NetBanking</t>
        </is>
      </c>
      <c r="I2384" t="inlineStr">
        <is>
          <t>Success</t>
        </is>
      </c>
      <c r="J2384" t="inlineStr">
        <is>
          <t>Delivered</t>
        </is>
      </c>
      <c r="K2384" t="n">
        <v>0</v>
      </c>
      <c r="L2384" t="n">
        <v>0</v>
      </c>
      <c r="M2384" t="inlineStr">
        <is>
          <t>INR</t>
        </is>
      </c>
      <c r="N2384" t="inlineStr">
        <is>
          <t>2025-05-26 01:25:32</t>
        </is>
      </c>
    </row>
    <row r="2385">
      <c r="A2385" t="inlineStr">
        <is>
          <t>TXN00109282</t>
        </is>
      </c>
      <c r="B2385" t="inlineStr">
        <is>
          <t>MER00861</t>
        </is>
      </c>
      <c r="C2385" s="8" t="n">
        <v>45829</v>
      </c>
      <c r="D2385" t="inlineStr">
        <is>
          <t>ORD00109282</t>
        </is>
      </c>
      <c r="E2385" t="n">
        <v>5260.24</v>
      </c>
      <c r="F2385" t="n">
        <v>2.04</v>
      </c>
      <c r="G2385" t="n">
        <v>107.31</v>
      </c>
      <c r="H2385" t="inlineStr">
        <is>
          <t>UPI</t>
        </is>
      </c>
      <c r="I2385" t="inlineStr">
        <is>
          <t>Success</t>
        </is>
      </c>
      <c r="J2385" t="inlineStr">
        <is>
          <t>Delivered</t>
        </is>
      </c>
      <c r="K2385" t="n">
        <v>0</v>
      </c>
      <c r="L2385" t="n">
        <v>0</v>
      </c>
      <c r="M2385" t="inlineStr">
        <is>
          <t>INR</t>
        </is>
      </c>
      <c r="N2385" t="inlineStr">
        <is>
          <t>2025-06-21 09:17:03</t>
        </is>
      </c>
    </row>
    <row r="2386">
      <c r="A2386" t="inlineStr">
        <is>
          <t>TXN00119674</t>
        </is>
      </c>
      <c r="B2386" t="inlineStr">
        <is>
          <t>MER00861</t>
        </is>
      </c>
      <c r="C2386" s="8" t="n">
        <v>45861</v>
      </c>
      <c r="D2386" t="inlineStr">
        <is>
          <t>ORD00119674</t>
        </is>
      </c>
      <c r="E2386" t="n">
        <v>1573.28</v>
      </c>
      <c r="F2386" t="n">
        <v>2.04</v>
      </c>
      <c r="G2386" t="n">
        <v>32.09</v>
      </c>
      <c r="H2386" t="inlineStr">
        <is>
          <t>NetBanking</t>
        </is>
      </c>
      <c r="I2386" t="inlineStr">
        <is>
          <t>Failed</t>
        </is>
      </c>
      <c r="J2386" t="inlineStr">
        <is>
          <t>Cancelled</t>
        </is>
      </c>
      <c r="K2386" t="n">
        <v>0</v>
      </c>
      <c r="L2386" t="n">
        <v>0</v>
      </c>
      <c r="M2386" t="inlineStr">
        <is>
          <t>INR</t>
        </is>
      </c>
      <c r="N2386" t="inlineStr">
        <is>
          <t>2025-07-23 02:36:44</t>
        </is>
      </c>
    </row>
    <row r="2387">
      <c r="A2387" t="inlineStr">
        <is>
          <t>TXN00123449</t>
        </is>
      </c>
      <c r="B2387" t="inlineStr">
        <is>
          <t>MER00861</t>
        </is>
      </c>
      <c r="C2387" s="8" t="n">
        <v>45872</v>
      </c>
      <c r="D2387" t="inlineStr">
        <is>
          <t>ORD00123449</t>
        </is>
      </c>
      <c r="E2387" t="n">
        <v>2861.03</v>
      </c>
      <c r="F2387" t="n">
        <v>2.04</v>
      </c>
      <c r="G2387" t="n">
        <v>58.37</v>
      </c>
      <c r="H2387" t="inlineStr">
        <is>
          <t>Card</t>
        </is>
      </c>
      <c r="I2387" t="inlineStr">
        <is>
          <t>Success</t>
        </is>
      </c>
      <c r="J2387" t="inlineStr">
        <is>
          <t>Returned</t>
        </is>
      </c>
      <c r="K2387" t="n">
        <v>2861.03</v>
      </c>
      <c r="L2387" t="n">
        <v>337.04</v>
      </c>
      <c r="M2387" t="inlineStr">
        <is>
          <t>INR</t>
        </is>
      </c>
      <c r="N2387" t="inlineStr">
        <is>
          <t>2025-08-03 10:12:16</t>
        </is>
      </c>
    </row>
    <row r="2388">
      <c r="A2388" t="inlineStr">
        <is>
          <t>TXN00128087</t>
        </is>
      </c>
      <c r="B2388" t="inlineStr">
        <is>
          <t>MER00861</t>
        </is>
      </c>
      <c r="C2388" s="8" t="n">
        <v>45885</v>
      </c>
      <c r="D2388" t="inlineStr">
        <is>
          <t>ORD00128087</t>
        </is>
      </c>
      <c r="E2388" t="n">
        <v>1499.59</v>
      </c>
      <c r="F2388" t="n">
        <v>2.04</v>
      </c>
      <c r="G2388" t="n">
        <v>30.59</v>
      </c>
      <c r="H2388" t="inlineStr">
        <is>
          <t>UPI</t>
        </is>
      </c>
      <c r="I2388" t="inlineStr">
        <is>
          <t>Success</t>
        </is>
      </c>
      <c r="J2388" t="inlineStr">
        <is>
          <t>Delivered</t>
        </is>
      </c>
      <c r="K2388" t="n">
        <v>0</v>
      </c>
      <c r="L2388" t="n">
        <v>0</v>
      </c>
      <c r="M2388" t="inlineStr">
        <is>
          <t>INR</t>
        </is>
      </c>
      <c r="N2388" t="inlineStr">
        <is>
          <t>2025-08-16 03:04:12</t>
        </is>
      </c>
    </row>
    <row r="2389">
      <c r="A2389" t="inlineStr">
        <is>
          <t>TXN00134120</t>
        </is>
      </c>
      <c r="B2389" t="inlineStr">
        <is>
          <t>MER00861</t>
        </is>
      </c>
      <c r="C2389" s="8" t="n">
        <v>45904</v>
      </c>
      <c r="D2389" t="inlineStr">
        <is>
          <t>ORD00134120</t>
        </is>
      </c>
      <c r="E2389" t="n">
        <v>2204.43</v>
      </c>
      <c r="F2389" t="n">
        <v>2.04</v>
      </c>
      <c r="G2389" t="n">
        <v>44.97</v>
      </c>
      <c r="H2389" t="inlineStr">
        <is>
          <t>UPI</t>
        </is>
      </c>
      <c r="I2389" t="inlineStr">
        <is>
          <t>Success</t>
        </is>
      </c>
      <c r="J2389" t="inlineStr">
        <is>
          <t>Delivered</t>
        </is>
      </c>
      <c r="K2389" t="n">
        <v>0</v>
      </c>
      <c r="L2389" t="n">
        <v>0</v>
      </c>
      <c r="M2389" t="inlineStr">
        <is>
          <t>INR</t>
        </is>
      </c>
      <c r="N2389" t="inlineStr">
        <is>
          <t>2025-09-04 16:24:31</t>
        </is>
      </c>
    </row>
    <row r="2390">
      <c r="A2390" t="inlineStr">
        <is>
          <t>TXN00135064</t>
        </is>
      </c>
      <c r="B2390" t="inlineStr">
        <is>
          <t>MER00861</t>
        </is>
      </c>
      <c r="C2390" s="8" t="n">
        <v>45906</v>
      </c>
      <c r="D2390" t="inlineStr">
        <is>
          <t>ORD00135064</t>
        </is>
      </c>
      <c r="E2390" t="n">
        <v>2248.08</v>
      </c>
      <c r="F2390" t="n">
        <v>2.04</v>
      </c>
      <c r="G2390" t="n">
        <v>45.86</v>
      </c>
      <c r="H2390" t="inlineStr">
        <is>
          <t>UPI</t>
        </is>
      </c>
      <c r="I2390" t="inlineStr">
        <is>
          <t>Success</t>
        </is>
      </c>
      <c r="J2390" t="inlineStr">
        <is>
          <t>Delivered</t>
        </is>
      </c>
      <c r="K2390" t="n">
        <v>0</v>
      </c>
      <c r="L2390" t="n">
        <v>0</v>
      </c>
      <c r="M2390" t="inlineStr">
        <is>
          <t>INR</t>
        </is>
      </c>
      <c r="N2390" t="inlineStr">
        <is>
          <t>2025-09-06 13:40:47</t>
        </is>
      </c>
    </row>
    <row r="2391">
      <c r="A2391" t="inlineStr">
        <is>
          <t>TXN00147146</t>
        </is>
      </c>
      <c r="B2391" t="inlineStr">
        <is>
          <t>MER00861</t>
        </is>
      </c>
      <c r="C2391" s="8" t="n">
        <v>45938</v>
      </c>
      <c r="D2391" t="inlineStr">
        <is>
          <t>ORD00147146</t>
        </is>
      </c>
      <c r="E2391" t="n">
        <v>1043.73</v>
      </c>
      <c r="F2391" t="n">
        <v>2.04</v>
      </c>
      <c r="G2391" t="n">
        <v>21.29</v>
      </c>
      <c r="H2391" t="inlineStr">
        <is>
          <t>UPI</t>
        </is>
      </c>
      <c r="I2391" t="inlineStr">
        <is>
          <t>Success</t>
        </is>
      </c>
      <c r="J2391" t="inlineStr">
        <is>
          <t>Delivered</t>
        </is>
      </c>
      <c r="K2391" t="n">
        <v>0</v>
      </c>
      <c r="L2391" t="n">
        <v>0</v>
      </c>
      <c r="M2391" t="inlineStr">
        <is>
          <t>INR</t>
        </is>
      </c>
      <c r="N2391" t="inlineStr">
        <is>
          <t>2025-10-08 17:56:22</t>
        </is>
      </c>
    </row>
    <row r="2392">
      <c r="A2392" t="inlineStr">
        <is>
          <t>TXN00147867</t>
        </is>
      </c>
      <c r="B2392" t="inlineStr">
        <is>
          <t>MER00861</t>
        </is>
      </c>
      <c r="C2392" s="8" t="n">
        <v>45940</v>
      </c>
      <c r="D2392" t="inlineStr">
        <is>
          <t>ORD00147867</t>
        </is>
      </c>
      <c r="E2392" t="n">
        <v>1738.51</v>
      </c>
      <c r="F2392" t="n">
        <v>2.04</v>
      </c>
      <c r="G2392" t="n">
        <v>35.47</v>
      </c>
      <c r="H2392" t="inlineStr">
        <is>
          <t>UPI</t>
        </is>
      </c>
      <c r="I2392" t="inlineStr">
        <is>
          <t>Success</t>
        </is>
      </c>
      <c r="J2392" t="inlineStr">
        <is>
          <t>Delivered</t>
        </is>
      </c>
      <c r="K2392" t="n">
        <v>0</v>
      </c>
      <c r="L2392" t="n">
        <v>344</v>
      </c>
      <c r="M2392" t="inlineStr">
        <is>
          <t>INR</t>
        </is>
      </c>
      <c r="N2392" t="inlineStr">
        <is>
          <t>2025-10-10 19:53:40</t>
        </is>
      </c>
    </row>
    <row r="2393">
      <c r="A2393" t="inlineStr">
        <is>
          <t>TXN00148463</t>
        </is>
      </c>
      <c r="B2393" t="inlineStr">
        <is>
          <t>MER00861</t>
        </is>
      </c>
      <c r="C2393" s="8" t="n">
        <v>45941</v>
      </c>
      <c r="D2393" t="inlineStr">
        <is>
          <t>ORD00148463</t>
        </is>
      </c>
      <c r="E2393" t="n">
        <v>2562.53</v>
      </c>
      <c r="F2393" t="n">
        <v>2.04</v>
      </c>
      <c r="G2393" t="n">
        <v>52.28</v>
      </c>
      <c r="H2393" t="inlineStr">
        <is>
          <t>Wallet</t>
        </is>
      </c>
      <c r="I2393" t="inlineStr">
        <is>
          <t>Success</t>
        </is>
      </c>
      <c r="J2393" t="inlineStr">
        <is>
          <t>Delivered</t>
        </is>
      </c>
      <c r="K2393" t="n">
        <v>0</v>
      </c>
      <c r="L2393" t="n">
        <v>0</v>
      </c>
      <c r="M2393" t="inlineStr">
        <is>
          <t>INR</t>
        </is>
      </c>
      <c r="N2393" t="inlineStr">
        <is>
          <t>2025-10-11 22:05:41</t>
        </is>
      </c>
    </row>
    <row r="2394">
      <c r="A2394" t="inlineStr">
        <is>
          <t>TXN00148456</t>
        </is>
      </c>
      <c r="B2394" t="inlineStr">
        <is>
          <t>MER00861</t>
        </is>
      </c>
      <c r="C2394" s="8" t="n">
        <v>45941</v>
      </c>
      <c r="D2394" t="inlineStr">
        <is>
          <t>ORD00148456</t>
        </is>
      </c>
      <c r="E2394" t="n">
        <v>5916.39</v>
      </c>
      <c r="F2394" t="n">
        <v>2.04</v>
      </c>
      <c r="G2394" t="n">
        <v>120.69</v>
      </c>
      <c r="H2394" t="inlineStr">
        <is>
          <t>UPI</t>
        </is>
      </c>
      <c r="I2394" t="inlineStr">
        <is>
          <t>Success</t>
        </is>
      </c>
      <c r="J2394" t="inlineStr">
        <is>
          <t>Delivered</t>
        </is>
      </c>
      <c r="K2394" t="n">
        <v>0</v>
      </c>
      <c r="L2394" t="n">
        <v>0</v>
      </c>
      <c r="M2394" t="inlineStr">
        <is>
          <t>INR</t>
        </is>
      </c>
      <c r="N2394" t="inlineStr">
        <is>
          <t>2025-10-11 12:08:13</t>
        </is>
      </c>
    </row>
    <row r="2395">
      <c r="A2395" t="inlineStr">
        <is>
          <t>TXN00150558</t>
        </is>
      </c>
      <c r="B2395" t="inlineStr">
        <is>
          <t>MER00861</t>
        </is>
      </c>
      <c r="C2395" s="8" t="n">
        <v>45946</v>
      </c>
      <c r="D2395" t="inlineStr">
        <is>
          <t>ORD00150558</t>
        </is>
      </c>
      <c r="E2395" t="n">
        <v>540.37</v>
      </c>
      <c r="F2395" t="n">
        <v>2.04</v>
      </c>
      <c r="G2395" t="n">
        <v>11.02</v>
      </c>
      <c r="H2395" t="inlineStr">
        <is>
          <t>Card</t>
        </is>
      </c>
      <c r="I2395" t="inlineStr">
        <is>
          <t>Success</t>
        </is>
      </c>
      <c r="J2395" t="inlineStr">
        <is>
          <t>Delivered</t>
        </is>
      </c>
      <c r="K2395" t="n">
        <v>0</v>
      </c>
      <c r="L2395" t="n">
        <v>0</v>
      </c>
      <c r="M2395" t="inlineStr">
        <is>
          <t>INR</t>
        </is>
      </c>
      <c r="N2395" t="inlineStr">
        <is>
          <t>2025-10-16 04:13:16</t>
        </is>
      </c>
    </row>
    <row r="2396">
      <c r="A2396" t="inlineStr">
        <is>
          <t>TXN00168479</t>
        </is>
      </c>
      <c r="B2396" t="inlineStr">
        <is>
          <t>MER00861</t>
        </is>
      </c>
      <c r="C2396" s="8" t="n">
        <v>45980</v>
      </c>
      <c r="D2396" t="inlineStr">
        <is>
          <t>ORD00168479</t>
        </is>
      </c>
      <c r="E2396" t="n">
        <v>19008.91</v>
      </c>
      <c r="F2396" t="n">
        <v>2.04</v>
      </c>
      <c r="G2396" t="n">
        <v>387.78</v>
      </c>
      <c r="H2396" t="inlineStr">
        <is>
          <t>UPI</t>
        </is>
      </c>
      <c r="I2396" t="inlineStr">
        <is>
          <t>Failed</t>
        </is>
      </c>
      <c r="J2396" t="inlineStr">
        <is>
          <t>Cancelled</t>
        </is>
      </c>
      <c r="K2396" t="n">
        <v>0</v>
      </c>
      <c r="L2396" t="n">
        <v>0</v>
      </c>
      <c r="M2396" t="inlineStr">
        <is>
          <t>INR</t>
        </is>
      </c>
      <c r="N2396" t="inlineStr">
        <is>
          <t>2025-11-19 08:34:51</t>
        </is>
      </c>
    </row>
    <row r="2397">
      <c r="A2397" t="inlineStr">
        <is>
          <t>TXN00170753</t>
        </is>
      </c>
      <c r="B2397" t="inlineStr">
        <is>
          <t>MER00861</t>
        </is>
      </c>
      <c r="C2397" s="8" t="n">
        <v>45985</v>
      </c>
      <c r="D2397" t="inlineStr">
        <is>
          <t>ORD00170753</t>
        </is>
      </c>
      <c r="E2397" t="n">
        <v>2221.23</v>
      </c>
      <c r="F2397" t="n">
        <v>2.04</v>
      </c>
      <c r="G2397" t="n">
        <v>45.31</v>
      </c>
      <c r="H2397" t="inlineStr">
        <is>
          <t>UPI</t>
        </is>
      </c>
      <c r="I2397" t="inlineStr">
        <is>
          <t>Failed</t>
        </is>
      </c>
      <c r="J2397" t="inlineStr">
        <is>
          <t>Cancelled</t>
        </is>
      </c>
      <c r="K2397" t="n">
        <v>0</v>
      </c>
      <c r="L2397" t="n">
        <v>0</v>
      </c>
      <c r="M2397" t="inlineStr">
        <is>
          <t>INR</t>
        </is>
      </c>
      <c r="N2397" t="inlineStr">
        <is>
          <t>2025-11-24 01:05:59</t>
        </is>
      </c>
    </row>
    <row r="2398">
      <c r="A2398" t="inlineStr">
        <is>
          <t>TXN00171491</t>
        </is>
      </c>
      <c r="B2398" t="inlineStr">
        <is>
          <t>MER00861</t>
        </is>
      </c>
      <c r="C2398" s="8" t="n">
        <v>45986</v>
      </c>
      <c r="D2398" t="inlineStr">
        <is>
          <t>ORD00171491</t>
        </is>
      </c>
      <c r="E2398" t="n">
        <v>1726.17</v>
      </c>
      <c r="F2398" t="n">
        <v>2.04</v>
      </c>
      <c r="G2398" t="n">
        <v>35.21</v>
      </c>
      <c r="H2398" t="inlineStr">
        <is>
          <t>NetBanking</t>
        </is>
      </c>
      <c r="I2398" t="inlineStr">
        <is>
          <t>Success</t>
        </is>
      </c>
      <c r="J2398" t="inlineStr">
        <is>
          <t>Delivered</t>
        </is>
      </c>
      <c r="K2398" t="n">
        <v>0</v>
      </c>
      <c r="L2398" t="n">
        <v>148.79</v>
      </c>
      <c r="M2398" t="inlineStr">
        <is>
          <t>INR</t>
        </is>
      </c>
      <c r="N2398" t="inlineStr">
        <is>
          <t>2025-11-25 09:49:12</t>
        </is>
      </c>
    </row>
    <row r="2399">
      <c r="A2399" t="inlineStr">
        <is>
          <t>TXN00172103</t>
        </is>
      </c>
      <c r="B2399" t="inlineStr">
        <is>
          <t>MER00861</t>
        </is>
      </c>
      <c r="C2399" s="8" t="n">
        <v>45987</v>
      </c>
      <c r="D2399" t="inlineStr">
        <is>
          <t>ORD00172103</t>
        </is>
      </c>
      <c r="E2399" t="n">
        <v>3564.65</v>
      </c>
      <c r="F2399" t="n">
        <v>2.04</v>
      </c>
      <c r="G2399" t="n">
        <v>72.72</v>
      </c>
      <c r="H2399" t="inlineStr">
        <is>
          <t>Card</t>
        </is>
      </c>
      <c r="I2399" t="inlineStr">
        <is>
          <t>Success</t>
        </is>
      </c>
      <c r="J2399" t="inlineStr">
        <is>
          <t>Delivered</t>
        </is>
      </c>
      <c r="K2399" t="n">
        <v>0</v>
      </c>
      <c r="L2399" t="n">
        <v>0</v>
      </c>
      <c r="M2399" t="inlineStr">
        <is>
          <t>INR</t>
        </is>
      </c>
      <c r="N2399" t="inlineStr">
        <is>
          <t>2025-11-26 06:24:06</t>
        </is>
      </c>
    </row>
    <row r="2400">
      <c r="A2400" t="inlineStr">
        <is>
          <t>TXN00173350</t>
        </is>
      </c>
      <c r="B2400" t="inlineStr">
        <is>
          <t>MER00861</t>
        </is>
      </c>
      <c r="C2400" s="8" t="n">
        <v>45989</v>
      </c>
      <c r="D2400" t="inlineStr">
        <is>
          <t>ORD00173350</t>
        </is>
      </c>
      <c r="E2400" t="n">
        <v>4884.7</v>
      </c>
      <c r="F2400" t="n">
        <v>2.04</v>
      </c>
      <c r="G2400" t="n">
        <v>99.65000000000001</v>
      </c>
      <c r="H2400" t="inlineStr">
        <is>
          <t>Card</t>
        </is>
      </c>
      <c r="I2400" t="inlineStr">
        <is>
          <t>Success</t>
        </is>
      </c>
      <c r="J2400" t="inlineStr">
        <is>
          <t>Delivered</t>
        </is>
      </c>
      <c r="K2400" t="n">
        <v>0</v>
      </c>
      <c r="L2400" t="n">
        <v>0</v>
      </c>
      <c r="M2400" t="inlineStr">
        <is>
          <t>INR</t>
        </is>
      </c>
      <c r="N2400" t="inlineStr">
        <is>
          <t>2025-11-28 20:34:07</t>
        </is>
      </c>
    </row>
    <row r="2401">
      <c r="A2401" t="inlineStr">
        <is>
          <t>TXN00173345</t>
        </is>
      </c>
      <c r="B2401" t="inlineStr">
        <is>
          <t>MER00861</t>
        </is>
      </c>
      <c r="C2401" s="8" t="n">
        <v>45989</v>
      </c>
      <c r="D2401" t="inlineStr">
        <is>
          <t>ORD00173345</t>
        </is>
      </c>
      <c r="E2401" t="n">
        <v>3983.63</v>
      </c>
      <c r="F2401" t="n">
        <v>2.04</v>
      </c>
      <c r="G2401" t="n">
        <v>81.27</v>
      </c>
      <c r="H2401" t="inlineStr">
        <is>
          <t>UPI</t>
        </is>
      </c>
      <c r="I2401" t="inlineStr">
        <is>
          <t>Failed</t>
        </is>
      </c>
      <c r="J2401" t="inlineStr">
        <is>
          <t>Cancelled</t>
        </is>
      </c>
      <c r="K2401" t="n">
        <v>0</v>
      </c>
      <c r="L2401" t="n">
        <v>0</v>
      </c>
      <c r="M2401" t="inlineStr">
        <is>
          <t>INR</t>
        </is>
      </c>
      <c r="N2401" t="inlineStr">
        <is>
          <t>2025-11-28 08:32:38</t>
        </is>
      </c>
    </row>
    <row r="2402">
      <c r="A2402" t="inlineStr">
        <is>
          <t>TXN00176476</t>
        </is>
      </c>
      <c r="B2402" t="inlineStr">
        <is>
          <t>MER00861</t>
        </is>
      </c>
      <c r="C2402" s="8" t="n">
        <v>45996</v>
      </c>
      <c r="D2402" t="inlineStr">
        <is>
          <t>ORD00176476</t>
        </is>
      </c>
      <c r="E2402" t="n">
        <v>1389.78</v>
      </c>
      <c r="F2402" t="n">
        <v>2.04</v>
      </c>
      <c r="G2402" t="n">
        <v>28.35</v>
      </c>
      <c r="H2402" t="inlineStr">
        <is>
          <t>UPI</t>
        </is>
      </c>
      <c r="I2402" t="inlineStr">
        <is>
          <t>Success</t>
        </is>
      </c>
      <c r="J2402" t="inlineStr">
        <is>
          <t>Delivered</t>
        </is>
      </c>
      <c r="K2402" t="n">
        <v>0</v>
      </c>
      <c r="L2402" t="n">
        <v>0</v>
      </c>
      <c r="M2402" t="inlineStr">
        <is>
          <t>INR</t>
        </is>
      </c>
      <c r="N2402" t="inlineStr">
        <is>
          <t>2025-12-05 14:15:18</t>
        </is>
      </c>
    </row>
    <row r="2403">
      <c r="A2403" t="inlineStr">
        <is>
          <t>TXN00182116</t>
        </is>
      </c>
      <c r="B2403" t="inlineStr">
        <is>
          <t>MER00861</t>
        </is>
      </c>
      <c r="C2403" s="8" t="n">
        <v>46011</v>
      </c>
      <c r="D2403" t="inlineStr">
        <is>
          <t>ORD00182116</t>
        </is>
      </c>
      <c r="E2403" t="n">
        <v>4660.55</v>
      </c>
      <c r="F2403" t="n">
        <v>2.04</v>
      </c>
      <c r="G2403" t="n">
        <v>95.08</v>
      </c>
      <c r="H2403" t="inlineStr">
        <is>
          <t>UPI</t>
        </is>
      </c>
      <c r="I2403" t="inlineStr">
        <is>
          <t>Success</t>
        </is>
      </c>
      <c r="J2403" t="inlineStr">
        <is>
          <t>Delivered</t>
        </is>
      </c>
      <c r="K2403" t="n">
        <v>0</v>
      </c>
      <c r="L2403" t="n">
        <v>625.05</v>
      </c>
      <c r="M2403" t="inlineStr">
        <is>
          <t>INR</t>
        </is>
      </c>
      <c r="N2403" t="inlineStr">
        <is>
          <t>2025-12-20 07:11:14</t>
        </is>
      </c>
    </row>
    <row r="2404">
      <c r="A2404" t="inlineStr">
        <is>
          <t>TXN00187374</t>
        </is>
      </c>
      <c r="B2404" t="inlineStr">
        <is>
          <t>MER00861</t>
        </is>
      </c>
      <c r="C2404" s="8" t="n">
        <v>46025</v>
      </c>
      <c r="D2404" t="inlineStr">
        <is>
          <t>ORD00187374</t>
        </is>
      </c>
      <c r="E2404" t="n">
        <v>2706.94</v>
      </c>
      <c r="F2404" t="n">
        <v>2.04</v>
      </c>
      <c r="G2404" t="n">
        <v>55.22</v>
      </c>
      <c r="H2404" t="inlineStr">
        <is>
          <t>COD</t>
        </is>
      </c>
      <c r="I2404" t="inlineStr">
        <is>
          <t>Success</t>
        </is>
      </c>
      <c r="J2404" t="inlineStr">
        <is>
          <t>Delivered</t>
        </is>
      </c>
      <c r="K2404" t="n">
        <v>0</v>
      </c>
      <c r="L2404" t="n">
        <v>0</v>
      </c>
      <c r="M2404" t="inlineStr">
        <is>
          <t>INR</t>
        </is>
      </c>
      <c r="N2404" t="inlineStr">
        <is>
          <t>2026-01-03 05:46:03</t>
        </is>
      </c>
    </row>
    <row r="2405">
      <c r="A2405" t="inlineStr">
        <is>
          <t>TXN00191009</t>
        </is>
      </c>
      <c r="B2405" t="inlineStr">
        <is>
          <t>MER00861</t>
        </is>
      </c>
      <c r="C2405" s="8" t="n">
        <v>46033</v>
      </c>
      <c r="D2405" t="inlineStr">
        <is>
          <t>ORD00191009</t>
        </is>
      </c>
      <c r="E2405" t="n">
        <v>9899.290000000001</v>
      </c>
      <c r="F2405" t="n">
        <v>2.04</v>
      </c>
      <c r="G2405" t="n">
        <v>201.95</v>
      </c>
      <c r="H2405" t="inlineStr">
        <is>
          <t>UPI</t>
        </is>
      </c>
      <c r="I2405" t="inlineStr">
        <is>
          <t>Success</t>
        </is>
      </c>
      <c r="J2405" t="inlineStr">
        <is>
          <t>Delivered</t>
        </is>
      </c>
      <c r="K2405" t="n">
        <v>0</v>
      </c>
      <c r="L2405" t="n">
        <v>1649.19</v>
      </c>
      <c r="M2405" t="inlineStr">
        <is>
          <t>INR</t>
        </is>
      </c>
      <c r="N2405" t="inlineStr">
        <is>
          <t>2026-01-11 02:55:54</t>
        </is>
      </c>
    </row>
    <row r="2406">
      <c r="A2406" t="inlineStr">
        <is>
          <t>TXN00193031</t>
        </is>
      </c>
      <c r="B2406" t="inlineStr">
        <is>
          <t>MER00861</t>
        </is>
      </c>
      <c r="C2406" s="8" t="n">
        <v>46037</v>
      </c>
      <c r="D2406" t="inlineStr">
        <is>
          <t>ORD00193031</t>
        </is>
      </c>
      <c r="E2406" t="n">
        <v>1920.16</v>
      </c>
      <c r="F2406" t="n">
        <v>2.04</v>
      </c>
      <c r="G2406" t="n">
        <v>39.17</v>
      </c>
      <c r="H2406" t="inlineStr">
        <is>
          <t>UPI</t>
        </is>
      </c>
      <c r="I2406" t="inlineStr">
        <is>
          <t>Success</t>
        </is>
      </c>
      <c r="J2406" t="inlineStr">
        <is>
          <t>Delivered</t>
        </is>
      </c>
      <c r="K2406" t="n">
        <v>0</v>
      </c>
      <c r="L2406" t="n">
        <v>0</v>
      </c>
      <c r="M2406" t="inlineStr">
        <is>
          <t>INR</t>
        </is>
      </c>
      <c r="N2406" t="inlineStr">
        <is>
          <t>2026-01-15 22:32:30</t>
        </is>
      </c>
    </row>
    <row r="2407">
      <c r="A2407" t="inlineStr">
        <is>
          <t>TXN00194863</t>
        </is>
      </c>
      <c r="B2407" t="inlineStr">
        <is>
          <t>MER00861</t>
        </is>
      </c>
      <c r="C2407" s="8" t="n">
        <v>46041</v>
      </c>
      <c r="D2407" t="inlineStr">
        <is>
          <t>ORD00194863</t>
        </is>
      </c>
      <c r="E2407" t="n">
        <v>3700.57</v>
      </c>
      <c r="F2407" t="n">
        <v>2.04</v>
      </c>
      <c r="G2407" t="n">
        <v>75.48999999999999</v>
      </c>
      <c r="H2407" t="inlineStr">
        <is>
          <t>COD</t>
        </is>
      </c>
      <c r="I2407" t="inlineStr">
        <is>
          <t>Success</t>
        </is>
      </c>
      <c r="J2407" t="inlineStr">
        <is>
          <t>Delivered</t>
        </is>
      </c>
      <c r="K2407" t="n">
        <v>0</v>
      </c>
      <c r="L2407" t="n">
        <v>464.2</v>
      </c>
      <c r="M2407" t="inlineStr">
        <is>
          <t>INR</t>
        </is>
      </c>
      <c r="N2407" t="inlineStr">
        <is>
          <t>2026-01-19 05:28:03</t>
        </is>
      </c>
    </row>
    <row r="2408">
      <c r="A2408" t="inlineStr">
        <is>
          <t>TXN00195064</t>
        </is>
      </c>
      <c r="B2408" t="inlineStr">
        <is>
          <t>MER00861</t>
        </is>
      </c>
      <c r="C2408" s="8" t="n">
        <v>46042</v>
      </c>
      <c r="D2408" t="inlineStr">
        <is>
          <t>ORD00195064</t>
        </is>
      </c>
      <c r="E2408" t="n">
        <v>1834.59</v>
      </c>
      <c r="F2408" t="n">
        <v>2.04</v>
      </c>
      <c r="G2408" t="n">
        <v>37.43</v>
      </c>
      <c r="H2408" t="inlineStr">
        <is>
          <t>UPI</t>
        </is>
      </c>
      <c r="I2408" t="inlineStr">
        <is>
          <t>Success</t>
        </is>
      </c>
      <c r="J2408" t="inlineStr">
        <is>
          <t>Delivered</t>
        </is>
      </c>
      <c r="K2408" t="n">
        <v>0</v>
      </c>
      <c r="L2408" t="n">
        <v>0</v>
      </c>
      <c r="M2408" t="inlineStr">
        <is>
          <t>INR</t>
        </is>
      </c>
      <c r="N2408" t="inlineStr">
        <is>
          <t>2026-01-20 09:44:08</t>
        </is>
      </c>
    </row>
    <row r="2409">
      <c r="A2409" t="inlineStr">
        <is>
          <t>TXN00201536</t>
        </is>
      </c>
      <c r="B2409" t="inlineStr">
        <is>
          <t>MER00861</t>
        </is>
      </c>
      <c r="C2409" s="8" t="n">
        <v>46056</v>
      </c>
      <c r="D2409" t="inlineStr">
        <is>
          <t>ORD00201536</t>
        </is>
      </c>
      <c r="E2409" t="n">
        <v>2102.11</v>
      </c>
      <c r="F2409" t="n">
        <v>2.04</v>
      </c>
      <c r="G2409" t="n">
        <v>42.88</v>
      </c>
      <c r="H2409" t="inlineStr">
        <is>
          <t>UPI</t>
        </is>
      </c>
      <c r="I2409" t="inlineStr">
        <is>
          <t>Success</t>
        </is>
      </c>
      <c r="J2409" t="inlineStr">
        <is>
          <t>Delivered</t>
        </is>
      </c>
      <c r="K2409" t="n">
        <v>0</v>
      </c>
      <c r="L2409" t="n">
        <v>0</v>
      </c>
      <c r="M2409" t="inlineStr">
        <is>
          <t>INR</t>
        </is>
      </c>
      <c r="N2409" t="inlineStr">
        <is>
          <t>2026-02-03 01:22:38</t>
        </is>
      </c>
    </row>
    <row r="2410">
      <c r="A2410" t="inlineStr">
        <is>
          <t>TXN00202050</t>
        </is>
      </c>
      <c r="B2410" t="inlineStr">
        <is>
          <t>MER00861</t>
        </is>
      </c>
      <c r="C2410" s="8" t="n">
        <v>46058</v>
      </c>
      <c r="D2410" t="inlineStr">
        <is>
          <t>ORD00202050</t>
        </is>
      </c>
      <c r="E2410" t="n">
        <v>4340.94</v>
      </c>
      <c r="F2410" t="n">
        <v>2.04</v>
      </c>
      <c r="G2410" t="n">
        <v>88.56</v>
      </c>
      <c r="H2410" t="inlineStr">
        <is>
          <t>UPI</t>
        </is>
      </c>
      <c r="I2410" t="inlineStr">
        <is>
          <t>Success</t>
        </is>
      </c>
      <c r="J2410" t="inlineStr">
        <is>
          <t>Delivered</t>
        </is>
      </c>
      <c r="K2410" t="n">
        <v>0</v>
      </c>
      <c r="L2410" t="n">
        <v>0</v>
      </c>
      <c r="M2410" t="inlineStr">
        <is>
          <t>INR</t>
        </is>
      </c>
      <c r="N2410" t="inlineStr">
        <is>
          <t>2026-02-05 05:52:54</t>
        </is>
      </c>
    </row>
    <row r="2411">
      <c r="A2411" t="inlineStr">
        <is>
          <t>TXN00204516</t>
        </is>
      </c>
      <c r="B2411" t="inlineStr">
        <is>
          <t>MER00861</t>
        </is>
      </c>
      <c r="C2411" s="8" t="n">
        <v>46064</v>
      </c>
      <c r="D2411" t="inlineStr">
        <is>
          <t>ORD00204516</t>
        </is>
      </c>
      <c r="E2411" t="n">
        <v>3438.35</v>
      </c>
      <c r="F2411" t="n">
        <v>2.04</v>
      </c>
      <c r="G2411" t="n">
        <v>70.14</v>
      </c>
      <c r="H2411" t="inlineStr">
        <is>
          <t>NetBanking</t>
        </is>
      </c>
      <c r="I2411" t="inlineStr">
        <is>
          <t>Failed</t>
        </is>
      </c>
      <c r="J2411" t="inlineStr">
        <is>
          <t>Cancelled</t>
        </is>
      </c>
      <c r="K2411" t="n">
        <v>0</v>
      </c>
      <c r="L2411" t="n">
        <v>0</v>
      </c>
      <c r="M2411" t="inlineStr">
        <is>
          <t>INR</t>
        </is>
      </c>
      <c r="N2411" t="inlineStr">
        <is>
          <t>2026-02-11 10:16:09</t>
        </is>
      </c>
    </row>
    <row r="2412">
      <c r="A2412" t="inlineStr">
        <is>
          <t>TXN00214017</t>
        </is>
      </c>
      <c r="B2412" t="inlineStr">
        <is>
          <t>MER00861</t>
        </is>
      </c>
      <c r="C2412" s="8" t="n">
        <v>46088</v>
      </c>
      <c r="D2412" t="inlineStr">
        <is>
          <t>ORD00214017</t>
        </is>
      </c>
      <c r="E2412" t="n">
        <v>2454.68</v>
      </c>
      <c r="F2412" t="n">
        <v>2.04</v>
      </c>
      <c r="G2412" t="n">
        <v>50.08</v>
      </c>
      <c r="H2412" t="inlineStr">
        <is>
          <t>UPI</t>
        </is>
      </c>
      <c r="I2412" t="inlineStr">
        <is>
          <t>Success</t>
        </is>
      </c>
      <c r="J2412" t="inlineStr">
        <is>
          <t>Delivered</t>
        </is>
      </c>
      <c r="K2412" t="n">
        <v>0</v>
      </c>
      <c r="L2412" t="n">
        <v>0</v>
      </c>
      <c r="M2412" t="inlineStr">
        <is>
          <t>INR</t>
        </is>
      </c>
      <c r="N2412" t="inlineStr">
        <is>
          <t>2026-03-07 11:54:56</t>
        </is>
      </c>
    </row>
    <row r="2413">
      <c r="A2413" t="inlineStr">
        <is>
          <t>TXN00215377</t>
        </is>
      </c>
      <c r="B2413" t="inlineStr">
        <is>
          <t>MER00861</t>
        </is>
      </c>
      <c r="C2413" s="8" t="n">
        <v>46092</v>
      </c>
      <c r="D2413" t="inlineStr">
        <is>
          <t>ORD00215377</t>
        </is>
      </c>
      <c r="E2413" t="n">
        <v>6275.28</v>
      </c>
      <c r="F2413" t="n">
        <v>2.04</v>
      </c>
      <c r="G2413" t="n">
        <v>128.02</v>
      </c>
      <c r="H2413" t="inlineStr">
        <is>
          <t>Card</t>
        </is>
      </c>
      <c r="I2413" t="inlineStr">
        <is>
          <t>Success</t>
        </is>
      </c>
      <c r="J2413" t="inlineStr">
        <is>
          <t>Returned</t>
        </is>
      </c>
      <c r="K2413" t="n">
        <v>3209.59</v>
      </c>
      <c r="L2413" t="n">
        <v>0</v>
      </c>
      <c r="M2413" t="inlineStr">
        <is>
          <t>INR</t>
        </is>
      </c>
      <c r="N2413" t="inlineStr">
        <is>
          <t>2026-03-11 13:23:50</t>
        </is>
      </c>
    </row>
    <row r="2414">
      <c r="A2414" t="inlineStr">
        <is>
          <t>TXN00223935</t>
        </is>
      </c>
      <c r="B2414" t="inlineStr">
        <is>
          <t>MER00861</t>
        </is>
      </c>
      <c r="C2414" s="8" t="n">
        <v>46115</v>
      </c>
      <c r="D2414" t="inlineStr">
        <is>
          <t>ORD00223935</t>
        </is>
      </c>
      <c r="E2414" t="n">
        <v>6389.25</v>
      </c>
      <c r="F2414" t="n">
        <v>2.04</v>
      </c>
      <c r="G2414" t="n">
        <v>130.34</v>
      </c>
      <c r="H2414" t="inlineStr">
        <is>
          <t>Card</t>
        </is>
      </c>
      <c r="I2414" t="inlineStr">
        <is>
          <t>Success</t>
        </is>
      </c>
      <c r="J2414" t="inlineStr">
        <is>
          <t>Delivered</t>
        </is>
      </c>
      <c r="K2414" t="n">
        <v>0</v>
      </c>
      <c r="L2414" t="n">
        <v>0</v>
      </c>
      <c r="M2414" t="inlineStr">
        <is>
          <t>INR</t>
        </is>
      </c>
      <c r="N2414" t="inlineStr">
        <is>
          <t>2026-04-03 08:44:22</t>
        </is>
      </c>
    </row>
    <row r="2415">
      <c r="A2415" t="inlineStr">
        <is>
          <t>TXN00228084</t>
        </is>
      </c>
      <c r="B2415" t="inlineStr">
        <is>
          <t>MER00861</t>
        </is>
      </c>
      <c r="C2415" s="8" t="n">
        <v>46125</v>
      </c>
      <c r="D2415" t="inlineStr">
        <is>
          <t>ORD00228084</t>
        </is>
      </c>
      <c r="E2415" t="n">
        <v>3849.2</v>
      </c>
      <c r="F2415" t="n">
        <v>2.04</v>
      </c>
      <c r="G2415" t="n">
        <v>78.52</v>
      </c>
      <c r="H2415" t="inlineStr">
        <is>
          <t>UPI</t>
        </is>
      </c>
      <c r="I2415" t="inlineStr">
        <is>
          <t>Success</t>
        </is>
      </c>
      <c r="J2415" t="inlineStr">
        <is>
          <t>Delivered</t>
        </is>
      </c>
      <c r="K2415" t="n">
        <v>0</v>
      </c>
      <c r="L2415" t="n">
        <v>0</v>
      </c>
      <c r="M2415" t="inlineStr">
        <is>
          <t>INR</t>
        </is>
      </c>
      <c r="N2415" t="inlineStr">
        <is>
          <t>2026-04-13 21:53:41</t>
        </is>
      </c>
    </row>
    <row r="2416">
      <c r="A2416" t="inlineStr">
        <is>
          <t>TXN00238825</t>
        </is>
      </c>
      <c r="B2416" t="inlineStr">
        <is>
          <t>MER00861</t>
        </is>
      </c>
      <c r="C2416" s="8" t="n">
        <v>46154</v>
      </c>
      <c r="D2416" t="inlineStr">
        <is>
          <t>ORD00238825</t>
        </is>
      </c>
      <c r="E2416" t="n">
        <v>3275.56</v>
      </c>
      <c r="F2416" t="n">
        <v>2.04</v>
      </c>
      <c r="G2416" t="n">
        <v>66.81999999999999</v>
      </c>
      <c r="H2416" t="inlineStr">
        <is>
          <t>UPI</t>
        </is>
      </c>
      <c r="I2416" t="inlineStr">
        <is>
          <t>Success</t>
        </is>
      </c>
      <c r="J2416" t="inlineStr">
        <is>
          <t>Returned</t>
        </is>
      </c>
      <c r="K2416" t="n">
        <v>3275.56</v>
      </c>
      <c r="L2416" t="n">
        <v>0</v>
      </c>
      <c r="M2416" t="inlineStr">
        <is>
          <t>INR</t>
        </is>
      </c>
      <c r="N2416" t="inlineStr">
        <is>
          <t>2026-05-12 15:47:50</t>
        </is>
      </c>
    </row>
    <row r="2417">
      <c r="A2417" t="inlineStr">
        <is>
          <t>TXN00244556</t>
        </is>
      </c>
      <c r="B2417" t="inlineStr">
        <is>
          <t>MER00861</t>
        </is>
      </c>
      <c r="C2417" s="8" t="n">
        <v>46169</v>
      </c>
      <c r="D2417" t="inlineStr">
        <is>
          <t>ORD00244556</t>
        </is>
      </c>
      <c r="E2417" t="n">
        <v>2491.58</v>
      </c>
      <c r="F2417" t="n">
        <v>2.04</v>
      </c>
      <c r="G2417" t="n">
        <v>50.83</v>
      </c>
      <c r="H2417" t="inlineStr">
        <is>
          <t>UPI</t>
        </is>
      </c>
      <c r="I2417" t="inlineStr">
        <is>
          <t>Success</t>
        </is>
      </c>
      <c r="J2417" t="inlineStr">
        <is>
          <t>Delivered</t>
        </is>
      </c>
      <c r="K2417" t="n">
        <v>0</v>
      </c>
      <c r="L2417" t="n">
        <v>282.41</v>
      </c>
      <c r="M2417" t="inlineStr">
        <is>
          <t>INR</t>
        </is>
      </c>
      <c r="N2417" t="inlineStr">
        <is>
          <t>2026-05-27 04:20:21</t>
        </is>
      </c>
    </row>
    <row r="2418">
      <c r="A2418" t="inlineStr">
        <is>
          <t>TXN00244557</t>
        </is>
      </c>
      <c r="B2418" t="inlineStr">
        <is>
          <t>MER00861</t>
        </is>
      </c>
      <c r="C2418" s="8" t="n">
        <v>46169</v>
      </c>
      <c r="D2418" t="inlineStr">
        <is>
          <t>ORD00244557</t>
        </is>
      </c>
      <c r="E2418" t="n">
        <v>4583.73</v>
      </c>
      <c r="F2418" t="n">
        <v>2.04</v>
      </c>
      <c r="G2418" t="n">
        <v>93.51000000000001</v>
      </c>
      <c r="H2418" t="inlineStr">
        <is>
          <t>NetBanking</t>
        </is>
      </c>
      <c r="I2418" t="inlineStr">
        <is>
          <t>Success</t>
        </is>
      </c>
      <c r="J2418" t="inlineStr">
        <is>
          <t>Returned</t>
        </is>
      </c>
      <c r="K2418" t="n">
        <v>4583.73</v>
      </c>
      <c r="L2418" t="n">
        <v>0</v>
      </c>
      <c r="M2418" t="inlineStr">
        <is>
          <t>INR</t>
        </is>
      </c>
      <c r="N2418" t="inlineStr">
        <is>
          <t>2026-05-27 11:06:05</t>
        </is>
      </c>
    </row>
    <row r="2419">
      <c r="A2419" t="inlineStr">
        <is>
          <t>TXN00248754</t>
        </is>
      </c>
      <c r="B2419" t="inlineStr">
        <is>
          <t>MER00861</t>
        </is>
      </c>
      <c r="C2419" s="8" t="n">
        <v>46180</v>
      </c>
      <c r="D2419" t="inlineStr">
        <is>
          <t>ORD00248754</t>
        </is>
      </c>
      <c r="E2419" t="n">
        <v>1812.35</v>
      </c>
      <c r="F2419" t="n">
        <v>2.04</v>
      </c>
      <c r="G2419" t="n">
        <v>36.97</v>
      </c>
      <c r="H2419" t="inlineStr">
        <is>
          <t>Wallet</t>
        </is>
      </c>
      <c r="I2419" t="inlineStr">
        <is>
          <t>Success</t>
        </is>
      </c>
      <c r="J2419" t="inlineStr">
        <is>
          <t>Returned</t>
        </is>
      </c>
      <c r="K2419" t="n">
        <v>1567.41</v>
      </c>
      <c r="L2419" t="n">
        <v>0</v>
      </c>
      <c r="M2419" t="inlineStr">
        <is>
          <t>INR</t>
        </is>
      </c>
      <c r="N2419" t="inlineStr">
        <is>
          <t>2026-06-07 05:43:22</t>
        </is>
      </c>
    </row>
    <row r="2420">
      <c r="A2420" t="inlineStr">
        <is>
          <t>TXN00250266</t>
        </is>
      </c>
      <c r="B2420" t="inlineStr">
        <is>
          <t>MER00861</t>
        </is>
      </c>
      <c r="C2420" s="8" t="n">
        <v>46183</v>
      </c>
      <c r="D2420" t="inlineStr">
        <is>
          <t>ORD00250266</t>
        </is>
      </c>
      <c r="E2420" t="n">
        <v>2718.09</v>
      </c>
      <c r="F2420" t="n">
        <v>2.04</v>
      </c>
      <c r="G2420" t="n">
        <v>55.45</v>
      </c>
      <c r="H2420" t="inlineStr">
        <is>
          <t>UPI</t>
        </is>
      </c>
      <c r="I2420" t="inlineStr">
        <is>
          <t>Success</t>
        </is>
      </c>
      <c r="J2420" t="inlineStr">
        <is>
          <t>Delivered</t>
        </is>
      </c>
      <c r="K2420" t="n">
        <v>0</v>
      </c>
      <c r="L2420" t="n">
        <v>0</v>
      </c>
      <c r="M2420" t="inlineStr">
        <is>
          <t>INR</t>
        </is>
      </c>
      <c r="N2420" t="inlineStr">
        <is>
          <t>2026-06-10 20:38:19</t>
        </is>
      </c>
    </row>
    <row r="2421">
      <c r="A2421" t="inlineStr">
        <is>
          <t>TXN00259616</t>
        </is>
      </c>
      <c r="B2421" t="inlineStr">
        <is>
          <t>MER00861</t>
        </is>
      </c>
      <c r="C2421" s="8" t="n">
        <v>46207</v>
      </c>
      <c r="D2421" t="inlineStr">
        <is>
          <t>ORD00259616</t>
        </is>
      </c>
      <c r="E2421" t="n">
        <v>6934.94</v>
      </c>
      <c r="F2421" t="n">
        <v>2.04</v>
      </c>
      <c r="G2421" t="n">
        <v>141.47</v>
      </c>
      <c r="H2421" t="inlineStr">
        <is>
          <t>UPI</t>
        </is>
      </c>
      <c r="I2421" t="inlineStr">
        <is>
          <t>Success</t>
        </is>
      </c>
      <c r="J2421" t="inlineStr">
        <is>
          <t>Returned</t>
        </is>
      </c>
      <c r="K2421" t="n">
        <v>4131.43</v>
      </c>
      <c r="L2421" t="n">
        <v>0</v>
      </c>
      <c r="M2421" t="inlineStr">
        <is>
          <t>INR</t>
        </is>
      </c>
      <c r="N2421" t="inlineStr">
        <is>
          <t>2026-07-04 10:58:40</t>
        </is>
      </c>
    </row>
    <row r="2422">
      <c r="A2422" t="inlineStr">
        <is>
          <t>TXN00266588</t>
        </is>
      </c>
      <c r="B2422" t="inlineStr">
        <is>
          <t>MER00861</t>
        </is>
      </c>
      <c r="C2422" s="8" t="n">
        <v>46225</v>
      </c>
      <c r="D2422" t="inlineStr">
        <is>
          <t>ORD00266588</t>
        </is>
      </c>
      <c r="E2422" t="n">
        <v>1696.05</v>
      </c>
      <c r="F2422" t="n">
        <v>2.04</v>
      </c>
      <c r="G2422" t="n">
        <v>34.6</v>
      </c>
      <c r="H2422" t="inlineStr">
        <is>
          <t>Wallet</t>
        </is>
      </c>
      <c r="I2422" t="inlineStr">
        <is>
          <t>Success</t>
        </is>
      </c>
      <c r="J2422" t="inlineStr">
        <is>
          <t>Delivered</t>
        </is>
      </c>
      <c r="K2422" t="n">
        <v>0</v>
      </c>
      <c r="L2422" t="n">
        <v>0</v>
      </c>
      <c r="M2422" t="inlineStr">
        <is>
          <t>INR</t>
        </is>
      </c>
      <c r="N2422" t="inlineStr">
        <is>
          <t>2026-07-22 18:57:33</t>
        </is>
      </c>
    </row>
    <row r="2423">
      <c r="A2423" t="inlineStr">
        <is>
          <t>TXN00012301</t>
        </is>
      </c>
      <c r="B2423" t="inlineStr">
        <is>
          <t>MER00870</t>
        </is>
      </c>
      <c r="C2423" s="8" t="n">
        <v>45552</v>
      </c>
      <c r="D2423" t="inlineStr">
        <is>
          <t>ORD00012301</t>
        </is>
      </c>
      <c r="E2423" t="n">
        <v>2873.45</v>
      </c>
      <c r="F2423" t="n">
        <v>2.86</v>
      </c>
      <c r="G2423" t="n">
        <v>82.18000000000001</v>
      </c>
      <c r="H2423" t="inlineStr">
        <is>
          <t>UPI</t>
        </is>
      </c>
      <c r="I2423" t="inlineStr">
        <is>
          <t>Success</t>
        </is>
      </c>
      <c r="J2423" t="inlineStr">
        <is>
          <t>Returned</t>
        </is>
      </c>
      <c r="K2423" t="n">
        <v>2873.45</v>
      </c>
      <c r="L2423" t="n">
        <v>438.56</v>
      </c>
      <c r="M2423" t="inlineStr">
        <is>
          <t>INR</t>
        </is>
      </c>
      <c r="N2423" t="inlineStr">
        <is>
          <t>2024-09-17 03:24:53</t>
        </is>
      </c>
    </row>
    <row r="2424">
      <c r="A2424" t="inlineStr">
        <is>
          <t>TXN00026053</t>
        </is>
      </c>
      <c r="B2424" t="inlineStr">
        <is>
          <t>MER00870</t>
        </is>
      </c>
      <c r="C2424" s="8" t="n">
        <v>45592</v>
      </c>
      <c r="D2424" t="inlineStr">
        <is>
          <t>ORD00026053</t>
        </is>
      </c>
      <c r="E2424" t="n">
        <v>1289.81</v>
      </c>
      <c r="F2424" t="n">
        <v>2.86</v>
      </c>
      <c r="G2424" t="n">
        <v>36.89</v>
      </c>
      <c r="H2424" t="inlineStr">
        <is>
          <t>Card</t>
        </is>
      </c>
      <c r="I2424" t="inlineStr">
        <is>
          <t>Success</t>
        </is>
      </c>
      <c r="J2424" t="inlineStr">
        <is>
          <t>Delivered</t>
        </is>
      </c>
      <c r="K2424" t="n">
        <v>0</v>
      </c>
      <c r="L2424" t="n">
        <v>0</v>
      </c>
      <c r="M2424" t="inlineStr">
        <is>
          <t>INR</t>
        </is>
      </c>
      <c r="N2424" t="inlineStr">
        <is>
          <t>2024-10-27 12:07:24</t>
        </is>
      </c>
    </row>
    <row r="2425">
      <c r="A2425" t="inlineStr">
        <is>
          <t>TXN00032422</t>
        </is>
      </c>
      <c r="B2425" t="inlineStr">
        <is>
          <t>MER00870</t>
        </is>
      </c>
      <c r="C2425" s="8" t="n">
        <v>45606</v>
      </c>
      <c r="D2425" t="inlineStr">
        <is>
          <t>ORD00032422</t>
        </is>
      </c>
      <c r="E2425" t="n">
        <v>1020.98</v>
      </c>
      <c r="F2425" t="n">
        <v>2.86</v>
      </c>
      <c r="G2425" t="n">
        <v>29.2</v>
      </c>
      <c r="H2425" t="inlineStr">
        <is>
          <t>UPI</t>
        </is>
      </c>
      <c r="I2425" t="inlineStr">
        <is>
          <t>Success</t>
        </is>
      </c>
      <c r="J2425" t="inlineStr">
        <is>
          <t>Delivered</t>
        </is>
      </c>
      <c r="K2425" t="n">
        <v>0</v>
      </c>
      <c r="L2425" t="n">
        <v>0</v>
      </c>
      <c r="M2425" t="inlineStr">
        <is>
          <t>INR</t>
        </is>
      </c>
      <c r="N2425" t="inlineStr">
        <is>
          <t>2024-11-10 18:31:25</t>
        </is>
      </c>
    </row>
    <row r="2426">
      <c r="A2426" t="inlineStr">
        <is>
          <t>TXN00066634</t>
        </is>
      </c>
      <c r="B2426" t="inlineStr">
        <is>
          <t>MER00870</t>
        </is>
      </c>
      <c r="C2426" s="8" t="n">
        <v>45699</v>
      </c>
      <c r="D2426" t="inlineStr">
        <is>
          <t>ORD00066634</t>
        </is>
      </c>
      <c r="E2426" t="n">
        <v>2639.34</v>
      </c>
      <c r="F2426" t="n">
        <v>2.86</v>
      </c>
      <c r="G2426" t="n">
        <v>75.48999999999999</v>
      </c>
      <c r="H2426" t="inlineStr">
        <is>
          <t>UPI</t>
        </is>
      </c>
      <c r="I2426" t="inlineStr">
        <is>
          <t>Success</t>
        </is>
      </c>
      <c r="J2426" t="inlineStr">
        <is>
          <t>Returned</t>
        </is>
      </c>
      <c r="K2426" t="n">
        <v>2639.34</v>
      </c>
      <c r="L2426" t="n">
        <v>0</v>
      </c>
      <c r="M2426" t="inlineStr">
        <is>
          <t>INR</t>
        </is>
      </c>
      <c r="N2426" t="inlineStr">
        <is>
          <t>2025-02-11 16:43:13</t>
        </is>
      </c>
    </row>
    <row r="2427">
      <c r="A2427" t="inlineStr">
        <is>
          <t>TXN00067775</t>
        </is>
      </c>
      <c r="B2427" t="inlineStr">
        <is>
          <t>MER00870</t>
        </is>
      </c>
      <c r="C2427" s="8" t="n">
        <v>45703</v>
      </c>
      <c r="D2427" t="inlineStr">
        <is>
          <t>ORD00067775</t>
        </is>
      </c>
      <c r="E2427" t="n">
        <v>892.95</v>
      </c>
      <c r="F2427" t="n">
        <v>2.86</v>
      </c>
      <c r="G2427" t="n">
        <v>25.54</v>
      </c>
      <c r="H2427" t="inlineStr">
        <is>
          <t>Card</t>
        </is>
      </c>
      <c r="I2427" t="inlineStr">
        <is>
          <t>Success</t>
        </is>
      </c>
      <c r="J2427" t="inlineStr">
        <is>
          <t>Delivered</t>
        </is>
      </c>
      <c r="K2427" t="n">
        <v>0</v>
      </c>
      <c r="L2427" t="n">
        <v>113.53</v>
      </c>
      <c r="M2427" t="inlineStr">
        <is>
          <t>INR</t>
        </is>
      </c>
      <c r="N2427" t="inlineStr">
        <is>
          <t>2025-02-15 09:43:59</t>
        </is>
      </c>
    </row>
    <row r="2428">
      <c r="A2428" t="inlineStr">
        <is>
          <t>TXN00075780</t>
        </is>
      </c>
      <c r="B2428" t="inlineStr">
        <is>
          <t>MER00870</t>
        </is>
      </c>
      <c r="C2428" s="8" t="n">
        <v>45727</v>
      </c>
      <c r="D2428" t="inlineStr">
        <is>
          <t>ORD00075780</t>
        </is>
      </c>
      <c r="E2428" t="n">
        <v>4211.31</v>
      </c>
      <c r="F2428" t="n">
        <v>2.86</v>
      </c>
      <c r="G2428" t="n">
        <v>120.44</v>
      </c>
      <c r="H2428" t="inlineStr">
        <is>
          <t>COD</t>
        </is>
      </c>
      <c r="I2428" t="inlineStr">
        <is>
          <t>Success</t>
        </is>
      </c>
      <c r="J2428" t="inlineStr">
        <is>
          <t>Delivered</t>
        </is>
      </c>
      <c r="K2428" t="n">
        <v>0</v>
      </c>
      <c r="L2428" t="n">
        <v>0</v>
      </c>
      <c r="M2428" t="inlineStr">
        <is>
          <t>INR</t>
        </is>
      </c>
      <c r="N2428" t="inlineStr">
        <is>
          <t>2025-03-11 06:33:25</t>
        </is>
      </c>
    </row>
    <row r="2429">
      <c r="A2429" t="inlineStr">
        <is>
          <t>TXN00100407</t>
        </is>
      </c>
      <c r="B2429" t="inlineStr">
        <is>
          <t>MER00870</t>
        </is>
      </c>
      <c r="C2429" s="8" t="n">
        <v>45803</v>
      </c>
      <c r="D2429" t="inlineStr">
        <is>
          <t>ORD00100407</t>
        </is>
      </c>
      <c r="E2429" t="n">
        <v>1285.35</v>
      </c>
      <c r="F2429" t="n">
        <v>2.86</v>
      </c>
      <c r="G2429" t="n">
        <v>36.76</v>
      </c>
      <c r="H2429" t="inlineStr">
        <is>
          <t>Card</t>
        </is>
      </c>
      <c r="I2429" t="inlineStr">
        <is>
          <t>Success</t>
        </is>
      </c>
      <c r="J2429" t="inlineStr">
        <is>
          <t>Delivered</t>
        </is>
      </c>
      <c r="K2429" t="n">
        <v>0</v>
      </c>
      <c r="L2429" t="n">
        <v>0</v>
      </c>
      <c r="M2429" t="inlineStr">
        <is>
          <t>INR</t>
        </is>
      </c>
      <c r="N2429" t="inlineStr">
        <is>
          <t>2025-05-26 11:33:11</t>
        </is>
      </c>
    </row>
    <row r="2430">
      <c r="A2430" t="inlineStr">
        <is>
          <t>TXN00106998</t>
        </is>
      </c>
      <c r="B2430" t="inlineStr">
        <is>
          <t>MER00870</t>
        </is>
      </c>
      <c r="C2430" s="8" t="n">
        <v>45823</v>
      </c>
      <c r="D2430" t="inlineStr">
        <is>
          <t>ORD00106998</t>
        </is>
      </c>
      <c r="E2430" t="n">
        <v>744.45</v>
      </c>
      <c r="F2430" t="n">
        <v>2.86</v>
      </c>
      <c r="G2430" t="n">
        <v>21.29</v>
      </c>
      <c r="H2430" t="inlineStr">
        <is>
          <t>Card</t>
        </is>
      </c>
      <c r="I2430" t="inlineStr">
        <is>
          <t>Success</t>
        </is>
      </c>
      <c r="J2430" t="inlineStr">
        <is>
          <t>Delivered</t>
        </is>
      </c>
      <c r="K2430" t="n">
        <v>0</v>
      </c>
      <c r="L2430" t="n">
        <v>0</v>
      </c>
      <c r="M2430" t="inlineStr">
        <is>
          <t>INR</t>
        </is>
      </c>
      <c r="N2430" t="inlineStr">
        <is>
          <t>2025-06-15 06:03:35</t>
        </is>
      </c>
    </row>
    <row r="2431">
      <c r="A2431" t="inlineStr">
        <is>
          <t>TXN00110546</t>
        </is>
      </c>
      <c r="B2431" t="inlineStr">
        <is>
          <t>MER00870</t>
        </is>
      </c>
      <c r="C2431" s="8" t="n">
        <v>45833</v>
      </c>
      <c r="D2431" t="inlineStr">
        <is>
          <t>ORD00110546</t>
        </is>
      </c>
      <c r="E2431" t="n">
        <v>1513.38</v>
      </c>
      <c r="F2431" t="n">
        <v>2.86</v>
      </c>
      <c r="G2431" t="n">
        <v>43.28</v>
      </c>
      <c r="H2431" t="inlineStr">
        <is>
          <t>COD</t>
        </is>
      </c>
      <c r="I2431" t="inlineStr">
        <is>
          <t>Success</t>
        </is>
      </c>
      <c r="J2431" t="inlineStr">
        <is>
          <t>Delivered</t>
        </is>
      </c>
      <c r="K2431" t="n">
        <v>0</v>
      </c>
      <c r="L2431" t="n">
        <v>0</v>
      </c>
      <c r="M2431" t="inlineStr">
        <is>
          <t>INR</t>
        </is>
      </c>
      <c r="N2431" t="inlineStr">
        <is>
          <t>2025-06-25 22:12:40</t>
        </is>
      </c>
    </row>
    <row r="2432">
      <c r="A2432" t="inlineStr">
        <is>
          <t>TXN00146254</t>
        </is>
      </c>
      <c r="B2432" t="inlineStr">
        <is>
          <t>MER00870</t>
        </is>
      </c>
      <c r="C2432" s="8" t="n">
        <v>45936</v>
      </c>
      <c r="D2432" t="inlineStr">
        <is>
          <t>ORD00146254</t>
        </is>
      </c>
      <c r="E2432" t="n">
        <v>2305.17</v>
      </c>
      <c r="F2432" t="n">
        <v>1.99</v>
      </c>
      <c r="G2432" t="n">
        <v>65.93000000000001</v>
      </c>
      <c r="H2432" t="inlineStr">
        <is>
          <t>NetBanking</t>
        </is>
      </c>
      <c r="I2432" t="inlineStr">
        <is>
          <t>Success</t>
        </is>
      </c>
      <c r="J2432" t="inlineStr">
        <is>
          <t>Delivered</t>
        </is>
      </c>
      <c r="K2432" t="n">
        <v>0</v>
      </c>
      <c r="L2432" t="n">
        <v>0</v>
      </c>
      <c r="M2432" t="inlineStr">
        <is>
          <t>INR</t>
        </is>
      </c>
      <c r="N2432" t="inlineStr">
        <is>
          <t>2025-10-06 17:26:09</t>
        </is>
      </c>
    </row>
    <row r="2433">
      <c r="A2433" t="inlineStr">
        <is>
          <t>TXN00159947</t>
        </is>
      </c>
      <c r="B2433" t="inlineStr">
        <is>
          <t>MER00870</t>
        </is>
      </c>
      <c r="C2433" s="8" t="n">
        <v>45965</v>
      </c>
      <c r="D2433" t="inlineStr">
        <is>
          <t>ORD00159947</t>
        </is>
      </c>
      <c r="E2433" t="n">
        <v>1818.12</v>
      </c>
      <c r="F2433" t="n">
        <v>2.86</v>
      </c>
      <c r="G2433" t="n">
        <v>52</v>
      </c>
      <c r="H2433" t="inlineStr">
        <is>
          <t>Card</t>
        </is>
      </c>
      <c r="I2433" t="inlineStr">
        <is>
          <t>Success</t>
        </is>
      </c>
      <c r="J2433" t="inlineStr">
        <is>
          <t>Delivered</t>
        </is>
      </c>
      <c r="K2433" t="n">
        <v>0</v>
      </c>
      <c r="L2433" t="n">
        <v>0</v>
      </c>
      <c r="M2433" t="inlineStr">
        <is>
          <t>INR</t>
        </is>
      </c>
      <c r="N2433" t="inlineStr">
        <is>
          <t>2025-11-04 22:46:56</t>
        </is>
      </c>
    </row>
    <row r="2434">
      <c r="A2434" t="inlineStr">
        <is>
          <t>TXN00167495</t>
        </is>
      </c>
      <c r="B2434" t="inlineStr">
        <is>
          <t>MER00870</t>
        </is>
      </c>
      <c r="C2434" s="8" t="n">
        <v>45978</v>
      </c>
      <c r="D2434" t="inlineStr">
        <is>
          <t>ORD00167495</t>
        </is>
      </c>
      <c r="E2434" t="n">
        <v>885.53</v>
      </c>
      <c r="F2434" t="n">
        <v>2.86</v>
      </c>
      <c r="G2434" t="n">
        <v>25.33</v>
      </c>
      <c r="H2434" t="inlineStr">
        <is>
          <t>Wallet</t>
        </is>
      </c>
      <c r="I2434" t="inlineStr">
        <is>
          <t>Success</t>
        </is>
      </c>
      <c r="J2434" t="inlineStr">
        <is>
          <t>Delivered</t>
        </is>
      </c>
      <c r="K2434" t="n">
        <v>0</v>
      </c>
      <c r="L2434" t="n">
        <v>0</v>
      </c>
      <c r="M2434" t="inlineStr">
        <is>
          <t>INR</t>
        </is>
      </c>
      <c r="N2434" t="inlineStr">
        <is>
          <t>2025-11-17 00:09:50</t>
        </is>
      </c>
    </row>
    <row r="2435">
      <c r="A2435" t="inlineStr">
        <is>
          <t>TXN00217612</t>
        </is>
      </c>
      <c r="B2435" t="inlineStr">
        <is>
          <t>MER00870</t>
        </is>
      </c>
      <c r="C2435" s="8" t="n">
        <v>46098</v>
      </c>
      <c r="D2435" t="inlineStr">
        <is>
          <t>ORD00217612</t>
        </is>
      </c>
      <c r="E2435" t="n">
        <v>897.9400000000001</v>
      </c>
      <c r="F2435" t="n">
        <v>2.86</v>
      </c>
      <c r="G2435" t="n">
        <v>25.68</v>
      </c>
      <c r="H2435" t="inlineStr">
        <is>
          <t>Wallet</t>
        </is>
      </c>
      <c r="I2435" t="inlineStr">
        <is>
          <t>Success</t>
        </is>
      </c>
      <c r="J2435" t="inlineStr">
        <is>
          <t>Delivered</t>
        </is>
      </c>
      <c r="K2435" t="n">
        <v>0</v>
      </c>
      <c r="L2435" t="n">
        <v>0</v>
      </c>
      <c r="M2435" t="inlineStr">
        <is>
          <t>INR</t>
        </is>
      </c>
      <c r="N2435" t="inlineStr">
        <is>
          <t>2026-03-17 06:48:34</t>
        </is>
      </c>
    </row>
    <row r="2436">
      <c r="A2436" t="inlineStr">
        <is>
          <t>TXN00244583</t>
        </is>
      </c>
      <c r="B2436" t="inlineStr">
        <is>
          <t>MER00870</t>
        </is>
      </c>
      <c r="C2436" s="8" t="n">
        <v>46169</v>
      </c>
      <c r="D2436" t="inlineStr">
        <is>
          <t>ORD00244583</t>
        </is>
      </c>
      <c r="E2436" t="n">
        <v>2634.32</v>
      </c>
      <c r="F2436" t="n">
        <v>2.86</v>
      </c>
      <c r="G2436" t="n">
        <v>75.34</v>
      </c>
      <c r="H2436" t="inlineStr">
        <is>
          <t>Wallet</t>
        </is>
      </c>
      <c r="I2436" t="inlineStr">
        <is>
          <t>Success</t>
        </is>
      </c>
      <c r="J2436" t="inlineStr">
        <is>
          <t>Delivered</t>
        </is>
      </c>
      <c r="K2436" t="n">
        <v>0</v>
      </c>
      <c r="L2436" t="n">
        <v>0</v>
      </c>
      <c r="M2436" t="inlineStr">
        <is>
          <t>INR</t>
        </is>
      </c>
      <c r="N2436" t="inlineStr">
        <is>
          <t>2026-05-27 18:02:54</t>
        </is>
      </c>
    </row>
    <row r="2437">
      <c r="A2437" t="inlineStr">
        <is>
          <t>TXN00260124</t>
        </is>
      </c>
      <c r="B2437" t="inlineStr">
        <is>
          <t>MER00870</t>
        </is>
      </c>
      <c r="C2437" s="8" t="n">
        <v>46208</v>
      </c>
      <c r="D2437" t="inlineStr">
        <is>
          <t>ORD00260124</t>
        </is>
      </c>
      <c r="E2437" t="n">
        <v>1749.64</v>
      </c>
      <c r="F2437" t="n">
        <v>2.86</v>
      </c>
      <c r="G2437" t="n">
        <v>50.04</v>
      </c>
      <c r="H2437" t="inlineStr">
        <is>
          <t>Card</t>
        </is>
      </c>
      <c r="I2437" t="inlineStr">
        <is>
          <t>Success</t>
        </is>
      </c>
      <c r="J2437" t="inlineStr">
        <is>
          <t>Delivered</t>
        </is>
      </c>
      <c r="K2437" t="n">
        <v>0</v>
      </c>
      <c r="L2437" t="n">
        <v>0</v>
      </c>
      <c r="M2437" t="inlineStr">
        <is>
          <t>INR</t>
        </is>
      </c>
      <c r="N2437" t="inlineStr">
        <is>
          <t>2026-07-05 09:54:03</t>
        </is>
      </c>
    </row>
    <row r="2438">
      <c r="A2438" t="inlineStr">
        <is>
          <t>TXN00270137</t>
        </is>
      </c>
      <c r="B2438" t="inlineStr">
        <is>
          <t>MER00870</t>
        </is>
      </c>
      <c r="C2438" s="8" t="n">
        <v>46233</v>
      </c>
      <c r="D2438" t="inlineStr">
        <is>
          <t>ORD00270137</t>
        </is>
      </c>
      <c r="E2438" t="n">
        <v>1853.3</v>
      </c>
      <c r="F2438" t="n">
        <v>2.86</v>
      </c>
      <c r="G2438" t="n">
        <v>53</v>
      </c>
      <c r="H2438" t="inlineStr">
        <is>
          <t>Card</t>
        </is>
      </c>
      <c r="I2438" t="inlineStr">
        <is>
          <t>Success</t>
        </is>
      </c>
      <c r="J2438" t="inlineStr">
        <is>
          <t>Delivered</t>
        </is>
      </c>
      <c r="K2438" t="n">
        <v>0</v>
      </c>
      <c r="L2438" t="n">
        <v>0</v>
      </c>
      <c r="M2438" t="inlineStr">
        <is>
          <t>INR</t>
        </is>
      </c>
      <c r="N2438" t="inlineStr">
        <is>
          <t>2026-07-30 20:19:05</t>
        </is>
      </c>
    </row>
    <row r="2439">
      <c r="A2439" t="inlineStr">
        <is>
          <t>TXN00001821</t>
        </is>
      </c>
      <c r="B2439" t="inlineStr">
        <is>
          <t>MER00902</t>
        </is>
      </c>
      <c r="C2439" s="8" t="n">
        <v>45512</v>
      </c>
      <c r="D2439" t="inlineStr">
        <is>
          <t>ORD00001821</t>
        </is>
      </c>
      <c r="E2439" t="n">
        <v>3036</v>
      </c>
      <c r="F2439" t="n">
        <v>2.5</v>
      </c>
      <c r="G2439" t="n">
        <v>75.90000000000001</v>
      </c>
      <c r="H2439" t="inlineStr">
        <is>
          <t>UPI</t>
        </is>
      </c>
      <c r="I2439" t="inlineStr">
        <is>
          <t>Success</t>
        </is>
      </c>
      <c r="J2439" t="inlineStr">
        <is>
          <t>Delivered</t>
        </is>
      </c>
      <c r="K2439" t="n">
        <v>0</v>
      </c>
      <c r="L2439" t="n">
        <v>0</v>
      </c>
      <c r="M2439" t="inlineStr">
        <is>
          <t>INR</t>
        </is>
      </c>
      <c r="N2439" t="inlineStr">
        <is>
          <t>2024-08-08 01:50:38</t>
        </is>
      </c>
    </row>
    <row r="2440">
      <c r="A2440" t="inlineStr">
        <is>
          <t>TXN00007414</t>
        </is>
      </c>
      <c r="B2440" t="inlineStr">
        <is>
          <t>MER00902</t>
        </is>
      </c>
      <c r="C2440" s="8" t="n">
        <v>45535</v>
      </c>
      <c r="D2440" t="inlineStr">
        <is>
          <t>ORD00007414</t>
        </is>
      </c>
      <c r="E2440" t="n">
        <v>5095.46</v>
      </c>
      <c r="F2440" t="n">
        <v>1.86</v>
      </c>
      <c r="G2440" t="n">
        <v>94.78</v>
      </c>
      <c r="H2440" t="inlineStr">
        <is>
          <t>UPI</t>
        </is>
      </c>
      <c r="I2440" t="inlineStr">
        <is>
          <t>Success</t>
        </is>
      </c>
      <c r="J2440" t="inlineStr">
        <is>
          <t>Delivered</t>
        </is>
      </c>
      <c r="K2440" t="n">
        <v>0</v>
      </c>
      <c r="L2440" t="n">
        <v>0</v>
      </c>
      <c r="M2440" t="inlineStr">
        <is>
          <t>INR</t>
        </is>
      </c>
      <c r="N2440" t="inlineStr">
        <is>
          <t>2024-08-31 07:51:16</t>
        </is>
      </c>
    </row>
    <row r="2441">
      <c r="A2441" t="inlineStr">
        <is>
          <t>TXN00007686</t>
        </is>
      </c>
      <c r="B2441" t="inlineStr">
        <is>
          <t>MER00902</t>
        </is>
      </c>
      <c r="C2441" s="8" t="n">
        <v>45536</v>
      </c>
      <c r="D2441" t="inlineStr">
        <is>
          <t>ORD00007686</t>
        </is>
      </c>
      <c r="E2441" t="n">
        <v>1358.65</v>
      </c>
      <c r="F2441" t="n">
        <v>1.86</v>
      </c>
      <c r="G2441" t="n">
        <v>25.27</v>
      </c>
      <c r="H2441" t="inlineStr">
        <is>
          <t>UPI</t>
        </is>
      </c>
      <c r="I2441" t="inlineStr">
        <is>
          <t>Success</t>
        </is>
      </c>
      <c r="J2441" t="inlineStr">
        <is>
          <t>Delivered</t>
        </is>
      </c>
      <c r="K2441" t="n">
        <v>0</v>
      </c>
      <c r="L2441" t="n">
        <v>0</v>
      </c>
      <c r="M2441" t="inlineStr">
        <is>
          <t>INR</t>
        </is>
      </c>
      <c r="N2441" t="inlineStr">
        <is>
          <t>2024-09-01 03:02:16</t>
        </is>
      </c>
    </row>
    <row r="2442">
      <c r="A2442" t="inlineStr">
        <is>
          <t>TXN00013692</t>
        </is>
      </c>
      <c r="B2442" t="inlineStr">
        <is>
          <t>MER00902</t>
        </is>
      </c>
      <c r="C2442" s="8" t="n">
        <v>45557</v>
      </c>
      <c r="D2442" t="inlineStr">
        <is>
          <t>ORD00013692</t>
        </is>
      </c>
      <c r="E2442" t="n">
        <v>1567.98</v>
      </c>
      <c r="F2442" t="n">
        <v>1.86</v>
      </c>
      <c r="G2442" t="n">
        <v>29.16</v>
      </c>
      <c r="H2442" t="inlineStr">
        <is>
          <t>UPI</t>
        </is>
      </c>
      <c r="I2442" t="inlineStr">
        <is>
          <t>Success</t>
        </is>
      </c>
      <c r="J2442" t="inlineStr">
        <is>
          <t>Delivered</t>
        </is>
      </c>
      <c r="K2442" t="n">
        <v>0</v>
      </c>
      <c r="L2442" t="n">
        <v>0</v>
      </c>
      <c r="M2442" t="inlineStr">
        <is>
          <t>INR</t>
        </is>
      </c>
      <c r="N2442" t="inlineStr">
        <is>
          <t>2024-09-22 08:02:08</t>
        </is>
      </c>
    </row>
    <row r="2443">
      <c r="A2443" t="inlineStr">
        <is>
          <t>TXN00013984</t>
        </is>
      </c>
      <c r="B2443" t="inlineStr">
        <is>
          <t>MER00902</t>
        </is>
      </c>
      <c r="C2443" s="8" t="n">
        <v>45558</v>
      </c>
      <c r="D2443" t="inlineStr">
        <is>
          <t>ORD00013984</t>
        </is>
      </c>
      <c r="E2443" t="n">
        <v>1432.53</v>
      </c>
      <c r="F2443" t="n">
        <v>1.86</v>
      </c>
      <c r="G2443" t="n">
        <v>26.65</v>
      </c>
      <c r="H2443" t="inlineStr">
        <is>
          <t>NetBanking</t>
        </is>
      </c>
      <c r="I2443" t="inlineStr">
        <is>
          <t>Success</t>
        </is>
      </c>
      <c r="J2443" t="inlineStr">
        <is>
          <t>Delivered</t>
        </is>
      </c>
      <c r="K2443" t="n">
        <v>0</v>
      </c>
      <c r="L2443" t="n">
        <v>0</v>
      </c>
      <c r="M2443" t="inlineStr">
        <is>
          <t>INR</t>
        </is>
      </c>
      <c r="N2443" t="inlineStr">
        <is>
          <t>2024-09-23 03:57:09</t>
        </is>
      </c>
    </row>
    <row r="2444">
      <c r="A2444" t="inlineStr">
        <is>
          <t>TXN00014046</t>
        </is>
      </c>
      <c r="B2444" t="inlineStr">
        <is>
          <t>MER00902</t>
        </is>
      </c>
      <c r="C2444" s="8" t="n">
        <v>45559</v>
      </c>
      <c r="D2444" t="inlineStr">
        <is>
          <t>ORD00014046</t>
        </is>
      </c>
      <c r="E2444" t="n">
        <v>1996.84</v>
      </c>
      <c r="F2444" t="n">
        <v>1.86</v>
      </c>
      <c r="G2444" t="n">
        <v>37.14</v>
      </c>
      <c r="H2444" t="inlineStr">
        <is>
          <t>UPI</t>
        </is>
      </c>
      <c r="I2444" t="inlineStr">
        <is>
          <t>Success</t>
        </is>
      </c>
      <c r="J2444" t="inlineStr">
        <is>
          <t>Delivered</t>
        </is>
      </c>
      <c r="K2444" t="n">
        <v>0</v>
      </c>
      <c r="L2444" t="n">
        <v>0</v>
      </c>
      <c r="M2444" t="inlineStr">
        <is>
          <t>INR</t>
        </is>
      </c>
      <c r="N2444" t="inlineStr">
        <is>
          <t>2024-09-24 05:28:24</t>
        </is>
      </c>
    </row>
    <row r="2445">
      <c r="A2445" t="inlineStr">
        <is>
          <t>TXN00020192</t>
        </is>
      </c>
      <c r="B2445" t="inlineStr">
        <is>
          <t>MER00902</t>
        </is>
      </c>
      <c r="C2445" s="8" t="n">
        <v>45576</v>
      </c>
      <c r="D2445" t="inlineStr">
        <is>
          <t>ORD00020192</t>
        </is>
      </c>
      <c r="E2445" t="n">
        <v>2831.23</v>
      </c>
      <c r="F2445" t="n">
        <v>1.86</v>
      </c>
      <c r="G2445" t="n">
        <v>52.66</v>
      </c>
      <c r="H2445" t="inlineStr">
        <is>
          <t>Card</t>
        </is>
      </c>
      <c r="I2445" t="inlineStr">
        <is>
          <t>Success</t>
        </is>
      </c>
      <c r="J2445" t="inlineStr">
        <is>
          <t>Cancelled</t>
        </is>
      </c>
      <c r="K2445" t="n">
        <v>2482.31</v>
      </c>
      <c r="L2445" t="n">
        <v>0</v>
      </c>
      <c r="M2445" t="inlineStr">
        <is>
          <t>INR</t>
        </is>
      </c>
      <c r="N2445" t="inlineStr">
        <is>
          <t>2024-10-11 14:22:44</t>
        </is>
      </c>
    </row>
    <row r="2446">
      <c r="A2446" t="inlineStr">
        <is>
          <t>TXN00040133</t>
        </is>
      </c>
      <c r="B2446" t="inlineStr">
        <is>
          <t>MER00902</t>
        </is>
      </c>
      <c r="C2446" s="8" t="n">
        <v>45623</v>
      </c>
      <c r="D2446" t="inlineStr">
        <is>
          <t>ORD00040133</t>
        </is>
      </c>
      <c r="E2446" t="n">
        <v>2066.84</v>
      </c>
      <c r="F2446" t="n">
        <v>1.54</v>
      </c>
      <c r="G2446" t="n">
        <v>38.44</v>
      </c>
      <c r="H2446" t="inlineStr">
        <is>
          <t>UPI</t>
        </is>
      </c>
      <c r="I2446" t="inlineStr">
        <is>
          <t>Pending</t>
        </is>
      </c>
      <c r="J2446" t="inlineStr">
        <is>
          <t>Cancelled</t>
        </is>
      </c>
      <c r="K2446" t="n">
        <v>0</v>
      </c>
      <c r="L2446" t="n">
        <v>0</v>
      </c>
      <c r="M2446" t="inlineStr">
        <is>
          <t>INR</t>
        </is>
      </c>
      <c r="N2446" t="inlineStr">
        <is>
          <t>2024-11-27 11:53:12</t>
        </is>
      </c>
    </row>
    <row r="2447">
      <c r="A2447" t="inlineStr">
        <is>
          <t>TXN00041696</t>
        </is>
      </c>
      <c r="B2447" t="inlineStr">
        <is>
          <t>MER00902</t>
        </is>
      </c>
      <c r="C2447" s="8" t="n">
        <v>45627</v>
      </c>
      <c r="D2447" t="inlineStr">
        <is>
          <t>ORD00041696</t>
        </is>
      </c>
      <c r="E2447" t="n">
        <v>3027.68</v>
      </c>
      <c r="F2447" t="n">
        <v>1.86</v>
      </c>
      <c r="G2447" t="n">
        <v>56.31</v>
      </c>
      <c r="H2447" t="inlineStr">
        <is>
          <t>Card</t>
        </is>
      </c>
      <c r="I2447" t="inlineStr">
        <is>
          <t>Success</t>
        </is>
      </c>
      <c r="J2447" t="inlineStr">
        <is>
          <t>Returned</t>
        </is>
      </c>
      <c r="K2447" t="n">
        <v>2374.61</v>
      </c>
      <c r="L2447" t="n">
        <v>0</v>
      </c>
      <c r="M2447" t="inlineStr">
        <is>
          <t>INR</t>
        </is>
      </c>
      <c r="N2447" t="inlineStr">
        <is>
          <t>2024-12-01 01:49:52</t>
        </is>
      </c>
    </row>
    <row r="2448">
      <c r="A2448" t="inlineStr">
        <is>
          <t>TXN00043932</t>
        </is>
      </c>
      <c r="B2448" t="inlineStr">
        <is>
          <t>MER00902</t>
        </is>
      </c>
      <c r="C2448" s="8" t="n">
        <v>45634</v>
      </c>
      <c r="D2448" t="inlineStr">
        <is>
          <t>ORD00043932</t>
        </is>
      </c>
      <c r="E2448" t="n">
        <v>2857.5</v>
      </c>
      <c r="F2448" t="n">
        <v>1.86</v>
      </c>
      <c r="G2448" t="n">
        <v>53.15</v>
      </c>
      <c r="H2448" t="inlineStr">
        <is>
          <t>NetBanking</t>
        </is>
      </c>
      <c r="I2448" t="inlineStr">
        <is>
          <t>Success</t>
        </is>
      </c>
      <c r="J2448" t="inlineStr">
        <is>
          <t>Delivered</t>
        </is>
      </c>
      <c r="K2448" t="n">
        <v>0</v>
      </c>
      <c r="L2448" t="n">
        <v>0</v>
      </c>
      <c r="M2448" t="inlineStr">
        <is>
          <t>INR</t>
        </is>
      </c>
      <c r="N2448" t="inlineStr">
        <is>
          <t>2024-12-08 00:59:27</t>
        </is>
      </c>
    </row>
    <row r="2449">
      <c r="A2449" t="inlineStr">
        <is>
          <t>TXN00049448</t>
        </is>
      </c>
      <c r="B2449" t="inlineStr">
        <is>
          <t>MER00902</t>
        </is>
      </c>
      <c r="C2449" s="8" t="n">
        <v>45652</v>
      </c>
      <c r="D2449" t="inlineStr">
        <is>
          <t>ORD00049448</t>
        </is>
      </c>
      <c r="E2449" t="n">
        <v>1061.92</v>
      </c>
      <c r="F2449" t="n">
        <v>1.86</v>
      </c>
      <c r="G2449" t="n">
        <v>19.75</v>
      </c>
      <c r="H2449" t="inlineStr">
        <is>
          <t>UPI</t>
        </is>
      </c>
      <c r="I2449" t="inlineStr">
        <is>
          <t>Success</t>
        </is>
      </c>
      <c r="J2449" t="inlineStr">
        <is>
          <t>Delivered</t>
        </is>
      </c>
      <c r="K2449" t="n">
        <v>0</v>
      </c>
      <c r="L2449" t="n">
        <v>0</v>
      </c>
      <c r="M2449" t="inlineStr">
        <is>
          <t>INR</t>
        </is>
      </c>
      <c r="N2449" t="inlineStr">
        <is>
          <t>2024-12-26 01:30:26</t>
        </is>
      </c>
    </row>
    <row r="2450">
      <c r="A2450" t="inlineStr">
        <is>
          <t>TXN00050838</t>
        </is>
      </c>
      <c r="B2450" t="inlineStr">
        <is>
          <t>MER00902</t>
        </is>
      </c>
      <c r="C2450" s="8" t="n">
        <v>45656</v>
      </c>
      <c r="D2450" t="inlineStr">
        <is>
          <t>ORD00050838</t>
        </is>
      </c>
      <c r="E2450" t="n">
        <v>1622.37</v>
      </c>
      <c r="F2450" t="n">
        <v>1.86</v>
      </c>
      <c r="G2450" t="n">
        <v>30.18</v>
      </c>
      <c r="H2450" t="inlineStr">
        <is>
          <t>NetBanking</t>
        </is>
      </c>
      <c r="I2450" t="inlineStr">
        <is>
          <t>Success</t>
        </is>
      </c>
      <c r="J2450" t="inlineStr">
        <is>
          <t>Delivered</t>
        </is>
      </c>
      <c r="K2450" t="n">
        <v>0</v>
      </c>
      <c r="L2450" t="n">
        <v>0</v>
      </c>
      <c r="M2450" t="inlineStr">
        <is>
          <t>INR</t>
        </is>
      </c>
      <c r="N2450" t="inlineStr">
        <is>
          <t>2024-12-30 10:55:53</t>
        </is>
      </c>
    </row>
    <row r="2451">
      <c r="A2451" t="inlineStr">
        <is>
          <t>TXN00064726</t>
        </is>
      </c>
      <c r="B2451" t="inlineStr">
        <is>
          <t>MER00902</t>
        </is>
      </c>
      <c r="C2451" s="8" t="n">
        <v>45694</v>
      </c>
      <c r="D2451" t="inlineStr">
        <is>
          <t>ORD00064726</t>
        </is>
      </c>
      <c r="E2451" t="n">
        <v>1882.45</v>
      </c>
      <c r="F2451" t="n">
        <v>1.86</v>
      </c>
      <c r="G2451" t="n">
        <v>35.01</v>
      </c>
      <c r="H2451" t="inlineStr">
        <is>
          <t>UPI</t>
        </is>
      </c>
      <c r="I2451" t="inlineStr">
        <is>
          <t>Success</t>
        </is>
      </c>
      <c r="J2451" t="inlineStr">
        <is>
          <t>Delivered</t>
        </is>
      </c>
      <c r="K2451" t="n">
        <v>0</v>
      </c>
      <c r="L2451" t="n">
        <v>0</v>
      </c>
      <c r="M2451" t="inlineStr">
        <is>
          <t>INR</t>
        </is>
      </c>
      <c r="N2451" t="inlineStr">
        <is>
          <t>2025-02-06 04:30:35</t>
        </is>
      </c>
    </row>
    <row r="2452">
      <c r="A2452" t="inlineStr">
        <is>
          <t>TXN00067546</t>
        </is>
      </c>
      <c r="B2452" t="inlineStr">
        <is>
          <t>MER00902</t>
        </is>
      </c>
      <c r="C2452" s="8" t="n">
        <v>45702</v>
      </c>
      <c r="D2452" t="inlineStr">
        <is>
          <t>ORD00067546</t>
        </is>
      </c>
      <c r="E2452" t="n">
        <v>2607.52</v>
      </c>
      <c r="F2452" t="n">
        <v>1.86</v>
      </c>
      <c r="G2452" t="n">
        <v>48.5</v>
      </c>
      <c r="H2452" t="inlineStr">
        <is>
          <t>UPI</t>
        </is>
      </c>
      <c r="I2452" t="inlineStr">
        <is>
          <t>Unknown</t>
        </is>
      </c>
      <c r="J2452" t="inlineStr">
        <is>
          <t>Delivered</t>
        </is>
      </c>
      <c r="K2452" t="n">
        <v>0</v>
      </c>
      <c r="L2452" t="n">
        <v>0</v>
      </c>
      <c r="M2452" t="inlineStr">
        <is>
          <t>INR</t>
        </is>
      </c>
      <c r="N2452" t="inlineStr">
        <is>
          <t>2025-02-14 02:12:44</t>
        </is>
      </c>
    </row>
    <row r="2453">
      <c r="A2453" t="inlineStr">
        <is>
          <t>TXN00082356</t>
        </is>
      </c>
      <c r="B2453" t="inlineStr">
        <is>
          <t>MER00902</t>
        </is>
      </c>
      <c r="C2453" s="8" t="n">
        <v>45748</v>
      </c>
      <c r="D2453" t="inlineStr">
        <is>
          <t>ORD00082356</t>
        </is>
      </c>
      <c r="E2453" t="n">
        <v>1121.84</v>
      </c>
      <c r="F2453" t="n">
        <v>1.86</v>
      </c>
      <c r="G2453" t="n">
        <v>20.87</v>
      </c>
      <c r="H2453" t="inlineStr">
        <is>
          <t>NetBanking</t>
        </is>
      </c>
      <c r="I2453" t="inlineStr">
        <is>
          <t>Success</t>
        </is>
      </c>
      <c r="J2453" t="inlineStr">
        <is>
          <t>Cancelled</t>
        </is>
      </c>
      <c r="K2453" t="n">
        <v>1033.15</v>
      </c>
      <c r="L2453" t="n">
        <v>0</v>
      </c>
      <c r="M2453" t="inlineStr">
        <is>
          <t>INR</t>
        </is>
      </c>
      <c r="N2453" t="inlineStr">
        <is>
          <t>2025-04-01 09:26:20</t>
        </is>
      </c>
    </row>
    <row r="2454">
      <c r="A2454" t="inlineStr">
        <is>
          <t>TXN00083057</t>
        </is>
      </c>
      <c r="B2454" t="inlineStr">
        <is>
          <t>MER00902</t>
        </is>
      </c>
      <c r="C2454" s="8" t="n">
        <v>45750</v>
      </c>
      <c r="D2454" t="inlineStr">
        <is>
          <t>ORD00083057</t>
        </is>
      </c>
      <c r="E2454" t="n">
        <v>1248.29</v>
      </c>
      <c r="F2454" t="n">
        <v>1.86</v>
      </c>
      <c r="G2454" t="n">
        <v>23.22</v>
      </c>
      <c r="H2454" t="inlineStr">
        <is>
          <t>UPI</t>
        </is>
      </c>
      <c r="I2454" t="inlineStr">
        <is>
          <t>Success</t>
        </is>
      </c>
      <c r="J2454" t="inlineStr">
        <is>
          <t>Delivered</t>
        </is>
      </c>
      <c r="K2454" t="n">
        <v>0</v>
      </c>
      <c r="L2454" t="n">
        <v>0</v>
      </c>
      <c r="M2454" t="inlineStr">
        <is>
          <t>INR</t>
        </is>
      </c>
      <c r="N2454" t="inlineStr">
        <is>
          <t>2025-04-03 08:38:08</t>
        </is>
      </c>
    </row>
    <row r="2455">
      <c r="A2455" t="inlineStr">
        <is>
          <t>TXN00089391</t>
        </is>
      </c>
      <c r="B2455" t="inlineStr">
        <is>
          <t>MER00902</t>
        </is>
      </c>
      <c r="C2455" s="8" t="n">
        <v>45770</v>
      </c>
      <c r="D2455" t="inlineStr">
        <is>
          <t>ORD00089391</t>
        </is>
      </c>
      <c r="E2455" t="n">
        <v>1264.8</v>
      </c>
      <c r="F2455" t="n">
        <v>1.86</v>
      </c>
      <c r="G2455" t="n">
        <v>23.53</v>
      </c>
      <c r="H2455" t="inlineStr">
        <is>
          <t>Card</t>
        </is>
      </c>
      <c r="I2455" t="inlineStr">
        <is>
          <t>Success</t>
        </is>
      </c>
      <c r="J2455" t="inlineStr">
        <is>
          <t>Delivered</t>
        </is>
      </c>
      <c r="K2455" t="n">
        <v>0</v>
      </c>
      <c r="L2455" t="n">
        <v>90.15000000000001</v>
      </c>
      <c r="M2455" t="inlineStr">
        <is>
          <t>INR</t>
        </is>
      </c>
      <c r="N2455" t="inlineStr">
        <is>
          <t>2025-04-23 10:06:31</t>
        </is>
      </c>
    </row>
    <row r="2456">
      <c r="A2456" t="inlineStr">
        <is>
          <t>TXN00093659</t>
        </is>
      </c>
      <c r="B2456" t="inlineStr">
        <is>
          <t>MER00902</t>
        </is>
      </c>
      <c r="C2456" s="8" t="n">
        <v>45782</v>
      </c>
      <c r="D2456" t="inlineStr">
        <is>
          <t>ORD00093659</t>
        </is>
      </c>
      <c r="E2456" t="n">
        <v>968.9</v>
      </c>
      <c r="F2456" t="n">
        <v>1.86</v>
      </c>
      <c r="G2456" t="n">
        <v>18.02</v>
      </c>
      <c r="H2456" t="inlineStr">
        <is>
          <t>Card</t>
        </is>
      </c>
      <c r="I2456" t="inlineStr">
        <is>
          <t>Success</t>
        </is>
      </c>
      <c r="J2456" t="inlineStr">
        <is>
          <t>Returned</t>
        </is>
      </c>
      <c r="K2456" t="n">
        <v>415.41</v>
      </c>
      <c r="L2456" t="n">
        <v>52.09</v>
      </c>
      <c r="M2456" t="inlineStr">
        <is>
          <t>INR</t>
        </is>
      </c>
      <c r="N2456" t="inlineStr">
        <is>
          <t>2025-05-05 20:00:03</t>
        </is>
      </c>
    </row>
    <row r="2457">
      <c r="A2457" t="inlineStr">
        <is>
          <t>TXN00093789</t>
        </is>
      </c>
      <c r="B2457" t="inlineStr">
        <is>
          <t>MER00902</t>
        </is>
      </c>
      <c r="C2457" s="8" t="n">
        <v>45783</v>
      </c>
      <c r="D2457" t="inlineStr">
        <is>
          <t>ORD00093789</t>
        </is>
      </c>
      <c r="E2457" t="n">
        <v>856.75</v>
      </c>
      <c r="F2457" t="n">
        <v>1.86</v>
      </c>
      <c r="G2457" t="n">
        <v>15.94</v>
      </c>
      <c r="H2457" t="inlineStr">
        <is>
          <t>UPI</t>
        </is>
      </c>
      <c r="I2457" t="inlineStr">
        <is>
          <t>Success</t>
        </is>
      </c>
      <c r="J2457" t="inlineStr">
        <is>
          <t>Delivered</t>
        </is>
      </c>
      <c r="K2457" t="n">
        <v>0</v>
      </c>
      <c r="L2457" t="n">
        <v>50.62</v>
      </c>
      <c r="M2457" t="inlineStr">
        <is>
          <t>INR</t>
        </is>
      </c>
      <c r="N2457" t="inlineStr">
        <is>
          <t>2025-05-06 00:03:48</t>
        </is>
      </c>
    </row>
    <row r="2458">
      <c r="A2458" t="inlineStr">
        <is>
          <t>TXN00098506</t>
        </is>
      </c>
      <c r="B2458" t="inlineStr">
        <is>
          <t>MER00902</t>
        </is>
      </c>
      <c r="C2458" s="8" t="n">
        <v>45797</v>
      </c>
      <c r="D2458" t="inlineStr">
        <is>
          <t>ORD00098506</t>
        </is>
      </c>
      <c r="E2458" t="n">
        <v>631.49</v>
      </c>
      <c r="F2458" t="n">
        <v>1.86</v>
      </c>
      <c r="G2458" t="n">
        <v>11.75</v>
      </c>
      <c r="H2458" t="inlineStr">
        <is>
          <t>UPI</t>
        </is>
      </c>
      <c r="I2458" t="inlineStr">
        <is>
          <t>Success</t>
        </is>
      </c>
      <c r="J2458" t="inlineStr">
        <is>
          <t>Delivered</t>
        </is>
      </c>
      <c r="K2458" t="n">
        <v>0</v>
      </c>
      <c r="L2458" t="n">
        <v>0</v>
      </c>
      <c r="M2458" t="inlineStr">
        <is>
          <t>INR</t>
        </is>
      </c>
      <c r="N2458" t="inlineStr">
        <is>
          <t>2025-05-20 04:22:09</t>
        </is>
      </c>
    </row>
    <row r="2459">
      <c r="A2459" t="inlineStr">
        <is>
          <t>TXN00101263</t>
        </is>
      </c>
      <c r="B2459" t="inlineStr">
        <is>
          <t>MER00902</t>
        </is>
      </c>
      <c r="C2459" s="8" t="n">
        <v>45806</v>
      </c>
      <c r="D2459" t="inlineStr">
        <is>
          <t>ORD00101263</t>
        </is>
      </c>
      <c r="E2459" t="n">
        <v>631.33</v>
      </c>
      <c r="F2459" t="n">
        <v>1.86</v>
      </c>
      <c r="G2459" t="n">
        <v>11.74</v>
      </c>
      <c r="H2459" t="inlineStr">
        <is>
          <t>UPI</t>
        </is>
      </c>
      <c r="I2459" t="inlineStr">
        <is>
          <t>Success</t>
        </is>
      </c>
      <c r="J2459" t="inlineStr">
        <is>
          <t>Delivered</t>
        </is>
      </c>
      <c r="K2459" t="n">
        <v>0</v>
      </c>
      <c r="L2459" t="n">
        <v>0</v>
      </c>
      <c r="M2459" t="inlineStr">
        <is>
          <t>INR</t>
        </is>
      </c>
      <c r="N2459" t="inlineStr">
        <is>
          <t>2025-05-29 22:19:30</t>
        </is>
      </c>
    </row>
    <row r="2460">
      <c r="A2460" t="inlineStr">
        <is>
          <t>TXN00102586</t>
        </is>
      </c>
      <c r="B2460" t="inlineStr">
        <is>
          <t>MER00902</t>
        </is>
      </c>
      <c r="C2460" s="8" t="n">
        <v>45810</v>
      </c>
      <c r="D2460" t="inlineStr">
        <is>
          <t>ORD00102586</t>
        </is>
      </c>
      <c r="E2460" t="n">
        <v>1939.15</v>
      </c>
      <c r="F2460" t="n">
        <v>1.86</v>
      </c>
      <c r="G2460" t="n">
        <v>36.07</v>
      </c>
      <c r="H2460" t="inlineStr">
        <is>
          <t>COD</t>
        </is>
      </c>
      <c r="I2460" t="inlineStr">
        <is>
          <t>Success</t>
        </is>
      </c>
      <c r="J2460" t="inlineStr">
        <is>
          <t>Returned</t>
        </is>
      </c>
      <c r="K2460" t="n">
        <v>1939.15</v>
      </c>
      <c r="L2460" t="n">
        <v>0</v>
      </c>
      <c r="M2460" t="inlineStr">
        <is>
          <t>INR</t>
        </is>
      </c>
      <c r="N2460" t="inlineStr">
        <is>
          <t>2025-06-02 04:28:24</t>
        </is>
      </c>
    </row>
    <row r="2461">
      <c r="A2461" t="inlineStr">
        <is>
          <t>TXN00104289</t>
        </is>
      </c>
      <c r="B2461" t="inlineStr">
        <is>
          <t>MER00902</t>
        </is>
      </c>
      <c r="C2461" s="8" t="n">
        <v>45815</v>
      </c>
      <c r="D2461" t="inlineStr">
        <is>
          <t>ORD00104289</t>
        </is>
      </c>
      <c r="E2461" t="n">
        <v>2977.74</v>
      </c>
      <c r="F2461" t="n">
        <v>1.86</v>
      </c>
      <c r="G2461" t="n">
        <v>55.39</v>
      </c>
      <c r="H2461" t="inlineStr">
        <is>
          <t>COD</t>
        </is>
      </c>
      <c r="I2461" t="inlineStr">
        <is>
          <t>Failed</t>
        </is>
      </c>
      <c r="J2461" t="inlineStr">
        <is>
          <t>Cancelled</t>
        </is>
      </c>
      <c r="K2461" t="n">
        <v>0</v>
      </c>
      <c r="L2461" t="n">
        <v>0</v>
      </c>
      <c r="M2461" t="inlineStr">
        <is>
          <t>INR</t>
        </is>
      </c>
      <c r="N2461" t="inlineStr">
        <is>
          <t>2025-06-07 01:36:31</t>
        </is>
      </c>
    </row>
    <row r="2462">
      <c r="A2462" t="inlineStr">
        <is>
          <t>TXN00105944</t>
        </is>
      </c>
      <c r="B2462" t="inlineStr">
        <is>
          <t>MER00902</t>
        </is>
      </c>
      <c r="C2462" s="8" t="n">
        <v>45819</v>
      </c>
      <c r="D2462" t="inlineStr">
        <is>
          <t>ORD00105944</t>
        </is>
      </c>
      <c r="E2462" t="n">
        <v>1864.97</v>
      </c>
      <c r="F2462" t="n">
        <v>1.86</v>
      </c>
      <c r="G2462" t="n">
        <v>34.69</v>
      </c>
      <c r="H2462" t="inlineStr">
        <is>
          <t>Card</t>
        </is>
      </c>
      <c r="I2462" t="inlineStr">
        <is>
          <t>Success</t>
        </is>
      </c>
      <c r="J2462" t="inlineStr">
        <is>
          <t>Cancelled</t>
        </is>
      </c>
      <c r="K2462" t="n">
        <v>1650.78</v>
      </c>
      <c r="L2462" t="n">
        <v>0</v>
      </c>
      <c r="M2462" t="inlineStr">
        <is>
          <t>INR</t>
        </is>
      </c>
      <c r="N2462" t="inlineStr">
        <is>
          <t>2025-06-11 12:06:16</t>
        </is>
      </c>
    </row>
    <row r="2463">
      <c r="A2463" t="inlineStr">
        <is>
          <t>TXN00107152</t>
        </is>
      </c>
      <c r="B2463" t="inlineStr">
        <is>
          <t>MER00902</t>
        </is>
      </c>
      <c r="C2463" s="8" t="n">
        <v>45823</v>
      </c>
      <c r="D2463" t="inlineStr">
        <is>
          <t>ORD00107152</t>
        </is>
      </c>
      <c r="E2463" t="n">
        <v>897.58</v>
      </c>
      <c r="F2463" t="n">
        <v>1.86</v>
      </c>
      <c r="G2463" t="n">
        <v>16.69</v>
      </c>
      <c r="H2463" t="inlineStr">
        <is>
          <t>Wallet</t>
        </is>
      </c>
      <c r="I2463" t="inlineStr">
        <is>
          <t>Success</t>
        </is>
      </c>
      <c r="J2463" t="inlineStr">
        <is>
          <t>Delivered</t>
        </is>
      </c>
      <c r="K2463" t="n">
        <v>0</v>
      </c>
      <c r="L2463" t="n">
        <v>0</v>
      </c>
      <c r="M2463" t="inlineStr">
        <is>
          <t>INR</t>
        </is>
      </c>
      <c r="N2463" t="inlineStr">
        <is>
          <t>2025-06-15 10:10:14</t>
        </is>
      </c>
    </row>
    <row r="2464">
      <c r="A2464" t="inlineStr">
        <is>
          <t>TXN00108524</t>
        </is>
      </c>
      <c r="B2464" t="inlineStr">
        <is>
          <t>MER00902</t>
        </is>
      </c>
      <c r="C2464" s="8" t="n">
        <v>45827</v>
      </c>
      <c r="D2464" t="inlineStr">
        <is>
          <t>ORD00108524</t>
        </is>
      </c>
      <c r="E2464" t="n">
        <v>2392.81</v>
      </c>
      <c r="F2464" t="n">
        <v>1.86</v>
      </c>
      <c r="G2464" t="n">
        <v>44.51</v>
      </c>
      <c r="H2464" t="inlineStr">
        <is>
          <t>UPI</t>
        </is>
      </c>
      <c r="I2464" t="inlineStr">
        <is>
          <t>Success</t>
        </is>
      </c>
      <c r="J2464" t="inlineStr">
        <is>
          <t>Delivered</t>
        </is>
      </c>
      <c r="K2464" t="n">
        <v>0</v>
      </c>
      <c r="L2464" t="n">
        <v>0</v>
      </c>
      <c r="M2464" t="inlineStr">
        <is>
          <t>INR</t>
        </is>
      </c>
      <c r="N2464" t="inlineStr">
        <is>
          <t>2025-06-19 11:59:07</t>
        </is>
      </c>
    </row>
    <row r="2465">
      <c r="A2465" t="inlineStr">
        <is>
          <t>TXN00110351</t>
        </is>
      </c>
      <c r="B2465" t="inlineStr">
        <is>
          <t>MER00902</t>
        </is>
      </c>
      <c r="C2465" s="8" t="n">
        <v>45832</v>
      </c>
      <c r="D2465" t="inlineStr">
        <is>
          <t>ORD00110351</t>
        </is>
      </c>
      <c r="E2465" t="n">
        <v>2226.34</v>
      </c>
      <c r="F2465" t="n">
        <v>1.86</v>
      </c>
      <c r="G2465" t="n">
        <v>41.41</v>
      </c>
      <c r="H2465" t="inlineStr">
        <is>
          <t>UPI</t>
        </is>
      </c>
      <c r="I2465" t="inlineStr">
        <is>
          <t>Success</t>
        </is>
      </c>
      <c r="J2465" t="inlineStr">
        <is>
          <t>Returned</t>
        </is>
      </c>
      <c r="K2465" t="n">
        <v>2226.34</v>
      </c>
      <c r="L2465" t="n">
        <v>0</v>
      </c>
      <c r="M2465" t="inlineStr">
        <is>
          <t>INR</t>
        </is>
      </c>
      <c r="N2465" t="inlineStr">
        <is>
          <t>2025-06-24 23:25:29</t>
        </is>
      </c>
    </row>
    <row r="2466">
      <c r="A2466" t="inlineStr">
        <is>
          <t>TXN00112290</t>
        </is>
      </c>
      <c r="B2466" t="inlineStr">
        <is>
          <t>MER00902</t>
        </is>
      </c>
      <c r="C2466" s="8" t="n">
        <v>45838</v>
      </c>
      <c r="D2466" t="inlineStr">
        <is>
          <t>ORD00112290</t>
        </is>
      </c>
      <c r="E2466" t="n">
        <v>1452.93</v>
      </c>
      <c r="F2466" t="n">
        <v>1.86</v>
      </c>
      <c r="G2466" t="n">
        <v>27.02</v>
      </c>
      <c r="H2466" t="inlineStr">
        <is>
          <t>UPI</t>
        </is>
      </c>
      <c r="I2466" t="inlineStr">
        <is>
          <t>Success</t>
        </is>
      </c>
      <c r="J2466" t="inlineStr">
        <is>
          <t>Delivered</t>
        </is>
      </c>
      <c r="K2466" t="n">
        <v>0</v>
      </c>
      <c r="L2466" t="n">
        <v>0</v>
      </c>
      <c r="M2466" t="inlineStr">
        <is>
          <t>INR</t>
        </is>
      </c>
      <c r="N2466" t="inlineStr">
        <is>
          <t>2025-06-30 14:27:03</t>
        </is>
      </c>
    </row>
    <row r="2467">
      <c r="A2467" t="inlineStr">
        <is>
          <t>TXN00112036</t>
        </is>
      </c>
      <c r="B2467" t="inlineStr">
        <is>
          <t>MER00902</t>
        </is>
      </c>
      <c r="C2467" s="8" t="n">
        <v>45838</v>
      </c>
      <c r="D2467" t="inlineStr">
        <is>
          <t>ORD00112036</t>
        </is>
      </c>
      <c r="E2467" t="n">
        <v>1028.47</v>
      </c>
      <c r="F2467" t="n">
        <v>1.86</v>
      </c>
      <c r="G2467" t="n">
        <v>19.13</v>
      </c>
      <c r="H2467" t="inlineStr">
        <is>
          <t>UPI</t>
        </is>
      </c>
      <c r="I2467" t="inlineStr">
        <is>
          <t>Success</t>
        </is>
      </c>
      <c r="J2467" t="inlineStr">
        <is>
          <t>Delivered</t>
        </is>
      </c>
      <c r="K2467" t="n">
        <v>0</v>
      </c>
      <c r="L2467" t="n">
        <v>0</v>
      </c>
      <c r="M2467" t="inlineStr">
        <is>
          <t>INR</t>
        </is>
      </c>
      <c r="N2467" t="inlineStr">
        <is>
          <t>2025-06-30 01:52:32</t>
        </is>
      </c>
    </row>
    <row r="2468">
      <c r="A2468" t="inlineStr">
        <is>
          <t>TXN00117366</t>
        </is>
      </c>
      <c r="B2468" t="inlineStr">
        <is>
          <t>MER00902</t>
        </is>
      </c>
      <c r="C2468" s="8" t="n">
        <v>45854</v>
      </c>
      <c r="D2468" t="inlineStr">
        <is>
          <t>ORD00117366</t>
        </is>
      </c>
      <c r="E2468" t="n">
        <v>3875.01</v>
      </c>
      <c r="F2468" t="n">
        <v>1.86</v>
      </c>
      <c r="G2468" t="n">
        <v>72.08</v>
      </c>
      <c r="H2468" t="inlineStr">
        <is>
          <t>Wallet</t>
        </is>
      </c>
      <c r="I2468" t="inlineStr">
        <is>
          <t>Success</t>
        </is>
      </c>
      <c r="J2468" t="inlineStr">
        <is>
          <t>Delivered</t>
        </is>
      </c>
      <c r="K2468" t="n">
        <v>0</v>
      </c>
      <c r="L2468" t="n">
        <v>0</v>
      </c>
      <c r="M2468" t="inlineStr">
        <is>
          <t>INR</t>
        </is>
      </c>
      <c r="N2468" t="inlineStr">
        <is>
          <t>2025-07-16 06:24:25</t>
        </is>
      </c>
    </row>
    <row r="2469">
      <c r="A2469" t="inlineStr">
        <is>
          <t>TXN00117371</t>
        </is>
      </c>
      <c r="B2469" t="inlineStr">
        <is>
          <t>MER00902</t>
        </is>
      </c>
      <c r="C2469" s="8" t="n">
        <v>45854</v>
      </c>
      <c r="D2469" t="inlineStr">
        <is>
          <t>ORD00117371</t>
        </is>
      </c>
      <c r="E2469" t="n">
        <v>810.65</v>
      </c>
      <c r="F2469" t="n">
        <v>1.86</v>
      </c>
      <c r="G2469" t="n">
        <v>15.08</v>
      </c>
      <c r="H2469" t="inlineStr">
        <is>
          <t>Card</t>
        </is>
      </c>
      <c r="I2469" t="inlineStr">
        <is>
          <t>Success</t>
        </is>
      </c>
      <c r="J2469" t="inlineStr">
        <is>
          <t>Returned</t>
        </is>
      </c>
      <c r="K2469" t="n">
        <v>810.65</v>
      </c>
      <c r="L2469" t="n">
        <v>0</v>
      </c>
      <c r="M2469" t="inlineStr">
        <is>
          <t>INR</t>
        </is>
      </c>
      <c r="N2469" t="inlineStr">
        <is>
          <t>2025-07-16 12:30:32</t>
        </is>
      </c>
    </row>
    <row r="2470">
      <c r="A2470" t="inlineStr">
        <is>
          <t>TXN00122253</t>
        </is>
      </c>
      <c r="B2470" t="inlineStr">
        <is>
          <t>MER00902</t>
        </is>
      </c>
      <c r="C2470" s="8" t="n">
        <v>45868</v>
      </c>
      <c r="D2470" t="inlineStr">
        <is>
          <t>ORD00122253</t>
        </is>
      </c>
      <c r="E2470" t="n">
        <v>1405.44</v>
      </c>
      <c r="F2470" t="n">
        <v>1.86</v>
      </c>
      <c r="G2470" t="n">
        <v>26.14</v>
      </c>
      <c r="H2470" t="inlineStr">
        <is>
          <t>Card</t>
        </is>
      </c>
      <c r="I2470" t="inlineStr">
        <is>
          <t>Pending</t>
        </is>
      </c>
      <c r="J2470" t="inlineStr">
        <is>
          <t>Processing</t>
        </is>
      </c>
      <c r="K2470" t="n">
        <v>0</v>
      </c>
      <c r="L2470" t="n">
        <v>0</v>
      </c>
      <c r="M2470" t="inlineStr">
        <is>
          <t>INR</t>
        </is>
      </c>
      <c r="N2470" t="inlineStr">
        <is>
          <t>2025-07-30 20:28:07</t>
        </is>
      </c>
    </row>
    <row r="2471">
      <c r="A2471" t="inlineStr">
        <is>
          <t>TXN00125097</t>
        </is>
      </c>
      <c r="B2471" t="inlineStr">
        <is>
          <t>MER00902</t>
        </is>
      </c>
      <c r="C2471" s="8" t="n">
        <v>45877</v>
      </c>
      <c r="D2471" t="inlineStr">
        <is>
          <t>ORD00125097</t>
        </is>
      </c>
      <c r="E2471" t="n">
        <v>2030.02</v>
      </c>
      <c r="F2471" t="n">
        <v>1.86</v>
      </c>
      <c r="G2471" t="n">
        <v>37.76</v>
      </c>
      <c r="H2471" t="inlineStr">
        <is>
          <t>UPI</t>
        </is>
      </c>
      <c r="I2471" t="inlineStr">
        <is>
          <t>Success</t>
        </is>
      </c>
      <c r="J2471" t="inlineStr">
        <is>
          <t>Delivered</t>
        </is>
      </c>
      <c r="K2471" t="n">
        <v>0</v>
      </c>
      <c r="L2471" t="n">
        <v>0</v>
      </c>
      <c r="M2471" t="inlineStr">
        <is>
          <t>INR</t>
        </is>
      </c>
      <c r="N2471" t="inlineStr">
        <is>
          <t>2025-08-08 01:56:28</t>
        </is>
      </c>
    </row>
    <row r="2472">
      <c r="A2472" t="inlineStr">
        <is>
          <t>TXN00126123</t>
        </is>
      </c>
      <c r="B2472" t="inlineStr">
        <is>
          <t>MER00902</t>
        </is>
      </c>
      <c r="C2472" s="8" t="n">
        <v>45880</v>
      </c>
      <c r="D2472" t="inlineStr">
        <is>
          <t>ORD00126123</t>
        </is>
      </c>
      <c r="E2472" t="n">
        <v>1490.72</v>
      </c>
      <c r="F2472" t="n">
        <v>1.86</v>
      </c>
      <c r="G2472" t="n">
        <v>27.73</v>
      </c>
      <c r="H2472" t="inlineStr">
        <is>
          <t>UPI</t>
        </is>
      </c>
      <c r="I2472" t="inlineStr">
        <is>
          <t>Success</t>
        </is>
      </c>
      <c r="J2472" t="inlineStr">
        <is>
          <t>Delivered</t>
        </is>
      </c>
      <c r="K2472" t="n">
        <v>0</v>
      </c>
      <c r="L2472" t="n">
        <v>0</v>
      </c>
      <c r="M2472" t="inlineStr">
        <is>
          <t>INR</t>
        </is>
      </c>
      <c r="N2472" t="inlineStr">
        <is>
          <t>2025-08-11 19:40:40</t>
        </is>
      </c>
    </row>
    <row r="2473">
      <c r="A2473" t="inlineStr">
        <is>
          <t>TXN00126404</t>
        </is>
      </c>
      <c r="B2473" t="inlineStr">
        <is>
          <t>MER00902</t>
        </is>
      </c>
      <c r="C2473" s="8" t="n">
        <v>45881</v>
      </c>
      <c r="D2473" t="inlineStr">
        <is>
          <t>ORD00126404</t>
        </is>
      </c>
      <c r="E2473" t="n">
        <v>3018.21</v>
      </c>
      <c r="F2473" t="n">
        <v>1.86</v>
      </c>
      <c r="G2473" t="n">
        <v>56.14</v>
      </c>
      <c r="H2473" t="inlineStr">
        <is>
          <t>UPI</t>
        </is>
      </c>
      <c r="I2473" t="inlineStr">
        <is>
          <t>Success</t>
        </is>
      </c>
      <c r="J2473" t="inlineStr">
        <is>
          <t>Delivered</t>
        </is>
      </c>
      <c r="K2473" t="n">
        <v>0</v>
      </c>
      <c r="L2473" t="n">
        <v>568.6799999999999</v>
      </c>
      <c r="M2473" t="inlineStr">
        <is>
          <t>INR</t>
        </is>
      </c>
      <c r="N2473" t="inlineStr">
        <is>
          <t>2025-08-12 21:29:59</t>
        </is>
      </c>
    </row>
    <row r="2474">
      <c r="A2474" t="inlineStr">
        <is>
          <t>TXN00129752</t>
        </is>
      </c>
      <c r="B2474" t="inlineStr">
        <is>
          <t>MER00902</t>
        </is>
      </c>
      <c r="C2474" s="8" t="n">
        <v>45891</v>
      </c>
      <c r="D2474" t="inlineStr">
        <is>
          <t>ORD00129752</t>
        </is>
      </c>
      <c r="E2474" t="n">
        <v>1339.32</v>
      </c>
      <c r="F2474" t="n">
        <v>1.86</v>
      </c>
      <c r="G2474" t="n">
        <v>24.91</v>
      </c>
      <c r="H2474" t="inlineStr">
        <is>
          <t>Card</t>
        </is>
      </c>
      <c r="I2474" t="inlineStr">
        <is>
          <t>Success</t>
        </is>
      </c>
      <c r="J2474" t="inlineStr">
        <is>
          <t>Delivered</t>
        </is>
      </c>
      <c r="K2474" t="n">
        <v>0</v>
      </c>
      <c r="L2474" t="n">
        <v>0</v>
      </c>
      <c r="M2474" t="inlineStr">
        <is>
          <t>INR</t>
        </is>
      </c>
      <c r="N2474" t="inlineStr">
        <is>
          <t>2025-08-22 04:49:52</t>
        </is>
      </c>
    </row>
    <row r="2475">
      <c r="A2475" t="inlineStr">
        <is>
          <t>TXN00140771</t>
        </is>
      </c>
      <c r="B2475" t="inlineStr">
        <is>
          <t>MER00902</t>
        </is>
      </c>
      <c r="C2475" s="8" t="n">
        <v>45922</v>
      </c>
      <c r="D2475" t="inlineStr">
        <is>
          <t>ORD00140771</t>
        </is>
      </c>
      <c r="E2475" t="n">
        <v>976.75</v>
      </c>
      <c r="F2475" t="n">
        <v>1.86</v>
      </c>
      <c r="G2475" t="n">
        <v>18.17</v>
      </c>
      <c r="H2475" t="inlineStr">
        <is>
          <t>UPI</t>
        </is>
      </c>
      <c r="I2475" t="inlineStr">
        <is>
          <t>Success</t>
        </is>
      </c>
      <c r="J2475" t="inlineStr">
        <is>
          <t>Delivered</t>
        </is>
      </c>
      <c r="K2475" t="n">
        <v>0</v>
      </c>
      <c r="L2475" t="n">
        <v>0</v>
      </c>
      <c r="M2475" t="inlineStr">
        <is>
          <t>INR</t>
        </is>
      </c>
      <c r="N2475" t="inlineStr">
        <is>
          <t>2025-09-22 00:11:09</t>
        </is>
      </c>
    </row>
    <row r="2476">
      <c r="A2476" t="inlineStr">
        <is>
          <t>TXN00142166</t>
        </is>
      </c>
      <c r="B2476" t="inlineStr">
        <is>
          <t>MER00902</t>
        </is>
      </c>
      <c r="C2476" s="8" t="n">
        <v>45926</v>
      </c>
      <c r="D2476" t="inlineStr">
        <is>
          <t>ORD00142166</t>
        </is>
      </c>
      <c r="E2476" t="n">
        <v>2776.56</v>
      </c>
      <c r="F2476" t="n">
        <v>1.86</v>
      </c>
      <c r="G2476" t="n">
        <v>51.64</v>
      </c>
      <c r="H2476" t="inlineStr">
        <is>
          <t>UPI</t>
        </is>
      </c>
      <c r="I2476" t="inlineStr">
        <is>
          <t>Success</t>
        </is>
      </c>
      <c r="J2476" t="inlineStr">
        <is>
          <t>Delivered</t>
        </is>
      </c>
      <c r="K2476" t="n">
        <v>0</v>
      </c>
      <c r="L2476" t="n">
        <v>0</v>
      </c>
      <c r="M2476" t="inlineStr">
        <is>
          <t>INR</t>
        </is>
      </c>
      <c r="N2476" t="inlineStr">
        <is>
          <t>2025-09-26 13:24:30</t>
        </is>
      </c>
    </row>
    <row r="2477">
      <c r="A2477" t="inlineStr">
        <is>
          <t>TXN00145599</t>
        </is>
      </c>
      <c r="B2477" t="inlineStr">
        <is>
          <t>MER00902</t>
        </is>
      </c>
      <c r="C2477" s="8" t="n">
        <v>45935</v>
      </c>
      <c r="D2477" t="inlineStr">
        <is>
          <t>ORD00145599</t>
        </is>
      </c>
      <c r="E2477" t="n">
        <v>2769.39</v>
      </c>
      <c r="F2477" t="n">
        <v>1.86</v>
      </c>
      <c r="G2477" t="n">
        <v>51.51</v>
      </c>
      <c r="H2477" t="inlineStr">
        <is>
          <t>UPI</t>
        </is>
      </c>
      <c r="I2477" t="inlineStr">
        <is>
          <t>Success</t>
        </is>
      </c>
      <c r="J2477" t="inlineStr">
        <is>
          <t>Delivered</t>
        </is>
      </c>
      <c r="K2477" t="n">
        <v>0</v>
      </c>
      <c r="L2477" t="n">
        <v>0</v>
      </c>
      <c r="M2477" t="inlineStr">
        <is>
          <t>INR</t>
        </is>
      </c>
      <c r="N2477" t="inlineStr">
        <is>
          <t>2025-10-05 21:59:31</t>
        </is>
      </c>
    </row>
    <row r="2478">
      <c r="A2478" t="inlineStr">
        <is>
          <t>TXN00146209</t>
        </is>
      </c>
      <c r="B2478" t="inlineStr">
        <is>
          <t>MER00902</t>
        </is>
      </c>
      <c r="C2478" s="8" t="n">
        <v>45936</v>
      </c>
      <c r="D2478" t="inlineStr">
        <is>
          <t>ORD00146209</t>
        </is>
      </c>
      <c r="E2478" t="n">
        <v>1279.88</v>
      </c>
      <c r="F2478" t="n">
        <v>1.86</v>
      </c>
      <c r="G2478" t="n">
        <v>23.81</v>
      </c>
      <c r="H2478" t="inlineStr">
        <is>
          <t>Card</t>
        </is>
      </c>
      <c r="I2478" t="inlineStr">
        <is>
          <t>Success</t>
        </is>
      </c>
      <c r="J2478" t="inlineStr">
        <is>
          <t>Delivered</t>
        </is>
      </c>
      <c r="K2478" t="n">
        <v>0</v>
      </c>
      <c r="L2478" t="n">
        <v>0</v>
      </c>
      <c r="M2478" t="inlineStr">
        <is>
          <t>INR</t>
        </is>
      </c>
      <c r="N2478" t="inlineStr">
        <is>
          <t>2025-10-06 19:07:31</t>
        </is>
      </c>
    </row>
    <row r="2479">
      <c r="A2479" t="inlineStr">
        <is>
          <t>TXN00158447</t>
        </is>
      </c>
      <c r="B2479" t="inlineStr">
        <is>
          <t>MER00902</t>
        </is>
      </c>
      <c r="C2479" s="8" t="n">
        <v>45962</v>
      </c>
      <c r="D2479" t="inlineStr">
        <is>
          <t>ORD00158447</t>
        </is>
      </c>
      <c r="E2479" t="n">
        <v>1698.84</v>
      </c>
      <c r="F2479" t="n">
        <v>1.86</v>
      </c>
      <c r="G2479" t="n">
        <v>31.6</v>
      </c>
      <c r="H2479" t="inlineStr">
        <is>
          <t>UPI</t>
        </is>
      </c>
      <c r="I2479" t="inlineStr">
        <is>
          <t>Success</t>
        </is>
      </c>
      <c r="J2479" t="inlineStr">
        <is>
          <t>Delivered</t>
        </is>
      </c>
      <c r="K2479" t="n">
        <v>0</v>
      </c>
      <c r="L2479" t="n">
        <v>0</v>
      </c>
      <c r="M2479" t="inlineStr">
        <is>
          <t>INR</t>
        </is>
      </c>
      <c r="N2479" t="inlineStr">
        <is>
          <t>2025-11-01 22:44:24</t>
        </is>
      </c>
    </row>
    <row r="2480">
      <c r="A2480" t="inlineStr">
        <is>
          <t>TXN00159252</t>
        </is>
      </c>
      <c r="B2480" t="inlineStr">
        <is>
          <t>MER00902</t>
        </is>
      </c>
      <c r="C2480" s="8" t="n">
        <v>45964</v>
      </c>
      <c r="D2480" t="inlineStr">
        <is>
          <t>ORD00159252</t>
        </is>
      </c>
      <c r="E2480" t="n">
        <v>1726.7</v>
      </c>
      <c r="F2480" t="n">
        <v>1.86</v>
      </c>
      <c r="G2480" t="n">
        <v>32.12</v>
      </c>
      <c r="H2480" t="inlineStr">
        <is>
          <t>UPI</t>
        </is>
      </c>
      <c r="I2480" t="inlineStr">
        <is>
          <t>Pending</t>
        </is>
      </c>
      <c r="J2480" t="inlineStr">
        <is>
          <t>Processing</t>
        </is>
      </c>
      <c r="K2480" t="n">
        <v>0</v>
      </c>
      <c r="L2480" t="n">
        <v>0</v>
      </c>
      <c r="M2480" t="inlineStr">
        <is>
          <t>INR</t>
        </is>
      </c>
      <c r="N2480" t="inlineStr">
        <is>
          <t>2025-11-03 04:25:13</t>
        </is>
      </c>
    </row>
    <row r="2481">
      <c r="A2481" t="inlineStr">
        <is>
          <t>TXN00163171</t>
        </is>
      </c>
      <c r="B2481" t="inlineStr">
        <is>
          <t>MER00902</t>
        </is>
      </c>
      <c r="C2481" s="8" t="n">
        <v>45971</v>
      </c>
      <c r="D2481" t="inlineStr">
        <is>
          <t>ORD00163171</t>
        </is>
      </c>
      <c r="E2481" t="n">
        <v>3032.18</v>
      </c>
      <c r="F2481" t="n">
        <v>1.86</v>
      </c>
      <c r="G2481" t="n">
        <v>56.4</v>
      </c>
      <c r="H2481" t="inlineStr">
        <is>
          <t>Card</t>
        </is>
      </c>
      <c r="I2481" t="inlineStr">
        <is>
          <t>Success</t>
        </is>
      </c>
      <c r="J2481" t="inlineStr">
        <is>
          <t>Delivered</t>
        </is>
      </c>
      <c r="K2481" t="n">
        <v>0</v>
      </c>
      <c r="L2481" t="n">
        <v>0</v>
      </c>
      <c r="M2481" t="inlineStr">
        <is>
          <t>INR</t>
        </is>
      </c>
      <c r="N2481" t="inlineStr">
        <is>
          <t>2025-11-10 19:18:02</t>
        </is>
      </c>
    </row>
    <row r="2482">
      <c r="A2482" t="inlineStr">
        <is>
          <t>TXN00164881</t>
        </is>
      </c>
      <c r="B2482" t="inlineStr">
        <is>
          <t>MER00902</t>
        </is>
      </c>
      <c r="C2482" s="8" t="n">
        <v>45974</v>
      </c>
      <c r="D2482" t="inlineStr">
        <is>
          <t>ORD00164881</t>
        </is>
      </c>
      <c r="E2482" t="n">
        <v>1507.5</v>
      </c>
      <c r="F2482" t="n">
        <v>1.86</v>
      </c>
      <c r="G2482" t="n">
        <v>28.04</v>
      </c>
      <c r="H2482" t="inlineStr">
        <is>
          <t>UPI</t>
        </is>
      </c>
      <c r="I2482" t="inlineStr">
        <is>
          <t>Success</t>
        </is>
      </c>
      <c r="J2482" t="inlineStr">
        <is>
          <t>Delivered</t>
        </is>
      </c>
      <c r="K2482" t="n">
        <v>0</v>
      </c>
      <c r="L2482" t="n">
        <v>0</v>
      </c>
      <c r="M2482" t="inlineStr">
        <is>
          <t>INR</t>
        </is>
      </c>
      <c r="N2482" t="inlineStr">
        <is>
          <t>2025-11-13 11:59:05</t>
        </is>
      </c>
    </row>
    <row r="2483">
      <c r="A2483" t="inlineStr">
        <is>
          <t>TXN00173828</t>
        </is>
      </c>
      <c r="B2483" t="inlineStr">
        <is>
          <t>MER00902</t>
        </is>
      </c>
      <c r="C2483" s="8" t="n">
        <v>45990</v>
      </c>
      <c r="D2483" t="inlineStr">
        <is>
          <t>ORD00173828</t>
        </is>
      </c>
      <c r="E2483" t="n">
        <v>2893.2</v>
      </c>
      <c r="F2483" t="n">
        <v>1.86</v>
      </c>
      <c r="G2483" t="n">
        <v>53.81</v>
      </c>
      <c r="H2483" t="inlineStr">
        <is>
          <t>UPI</t>
        </is>
      </c>
      <c r="I2483" t="inlineStr">
        <is>
          <t>Success</t>
        </is>
      </c>
      <c r="J2483" t="inlineStr">
        <is>
          <t>Delivered</t>
        </is>
      </c>
      <c r="K2483" t="n">
        <v>0</v>
      </c>
      <c r="L2483" t="n">
        <v>0</v>
      </c>
      <c r="M2483" t="inlineStr">
        <is>
          <t>INR</t>
        </is>
      </c>
      <c r="N2483" t="inlineStr">
        <is>
          <t>2025-11-29 06:26:08</t>
        </is>
      </c>
    </row>
    <row r="2484">
      <c r="A2484" t="inlineStr">
        <is>
          <t>TXN00174621</t>
        </is>
      </c>
      <c r="B2484" t="inlineStr">
        <is>
          <t>MER00902</t>
        </is>
      </c>
      <c r="C2484" s="8" t="n">
        <v>45992</v>
      </c>
      <c r="D2484" t="inlineStr">
        <is>
          <t>ORD00174621</t>
        </is>
      </c>
      <c r="E2484" t="n">
        <v>1563.8</v>
      </c>
      <c r="F2484" t="n">
        <v>1.86</v>
      </c>
      <c r="G2484" t="n">
        <v>29.09</v>
      </c>
      <c r="H2484" t="inlineStr">
        <is>
          <t>UPI</t>
        </is>
      </c>
      <c r="I2484" t="inlineStr">
        <is>
          <t>Success</t>
        </is>
      </c>
      <c r="J2484" t="inlineStr">
        <is>
          <t>Delivered</t>
        </is>
      </c>
      <c r="K2484" t="n">
        <v>0</v>
      </c>
      <c r="L2484" t="n">
        <v>0</v>
      </c>
      <c r="M2484" t="inlineStr">
        <is>
          <t>INR</t>
        </is>
      </c>
      <c r="N2484" t="inlineStr">
        <is>
          <t>2025-12-01 04:36:32</t>
        </is>
      </c>
    </row>
    <row r="2485">
      <c r="A2485" t="inlineStr">
        <is>
          <t>TXN00175766</t>
        </is>
      </c>
      <c r="B2485" t="inlineStr">
        <is>
          <t>MER00902</t>
        </is>
      </c>
      <c r="C2485" s="8" t="n">
        <v>45995</v>
      </c>
      <c r="D2485" t="inlineStr">
        <is>
          <t>ORD00175766</t>
        </is>
      </c>
      <c r="E2485" t="n">
        <v>2014.32</v>
      </c>
      <c r="F2485" t="n">
        <v>1.86</v>
      </c>
      <c r="G2485" t="n">
        <v>37.47</v>
      </c>
      <c r="H2485" t="inlineStr">
        <is>
          <t>Wallet</t>
        </is>
      </c>
      <c r="I2485" t="inlineStr">
        <is>
          <t>Success</t>
        </is>
      </c>
      <c r="J2485" t="inlineStr">
        <is>
          <t>Returned</t>
        </is>
      </c>
      <c r="K2485" t="n">
        <v>2014.32</v>
      </c>
      <c r="L2485" t="n">
        <v>0</v>
      </c>
      <c r="M2485" t="inlineStr">
        <is>
          <t>INR</t>
        </is>
      </c>
      <c r="N2485" t="inlineStr">
        <is>
          <t>2025-12-04 15:21:55</t>
        </is>
      </c>
    </row>
    <row r="2486">
      <c r="A2486" t="inlineStr">
        <is>
          <t>TXN00183027</t>
        </is>
      </c>
      <c r="B2486" t="inlineStr">
        <is>
          <t>MER00902</t>
        </is>
      </c>
      <c r="C2486" s="8" t="n">
        <v>46014</v>
      </c>
      <c r="D2486" t="inlineStr">
        <is>
          <t>ORD00183027</t>
        </is>
      </c>
      <c r="E2486" t="n">
        <v>1086.96</v>
      </c>
      <c r="F2486" t="n">
        <v>1.86</v>
      </c>
      <c r="G2486" t="n">
        <v>20.22</v>
      </c>
      <c r="H2486" t="inlineStr">
        <is>
          <t>Wallet</t>
        </is>
      </c>
      <c r="I2486" t="inlineStr">
        <is>
          <t>Success</t>
        </is>
      </c>
      <c r="J2486" t="inlineStr">
        <is>
          <t>Delivered</t>
        </is>
      </c>
      <c r="K2486" t="n">
        <v>0</v>
      </c>
      <c r="L2486" t="n">
        <v>0</v>
      </c>
      <c r="M2486" t="inlineStr">
        <is>
          <t>INR</t>
        </is>
      </c>
      <c r="N2486" t="inlineStr">
        <is>
          <t>2025-12-23 18:14:59</t>
        </is>
      </c>
    </row>
    <row r="2487">
      <c r="A2487" t="inlineStr">
        <is>
          <t>TXN00191262</t>
        </is>
      </c>
      <c r="B2487" t="inlineStr">
        <is>
          <t>MER00902</t>
        </is>
      </c>
      <c r="C2487" s="8" t="n">
        <v>46033</v>
      </c>
      <c r="D2487" t="inlineStr">
        <is>
          <t>ORD00191262</t>
        </is>
      </c>
      <c r="E2487" t="n">
        <v>1612.66</v>
      </c>
      <c r="F2487" t="n">
        <v>1.86</v>
      </c>
      <c r="G2487" t="n">
        <v>30</v>
      </c>
      <c r="H2487" t="inlineStr">
        <is>
          <t>UPI</t>
        </is>
      </c>
      <c r="I2487" t="inlineStr">
        <is>
          <t>Success</t>
        </is>
      </c>
      <c r="J2487" t="inlineStr">
        <is>
          <t>Delivered</t>
        </is>
      </c>
      <c r="K2487" t="n">
        <v>0</v>
      </c>
      <c r="L2487" t="n">
        <v>0</v>
      </c>
      <c r="M2487" t="inlineStr">
        <is>
          <t>INR</t>
        </is>
      </c>
      <c r="N2487" t="inlineStr">
        <is>
          <t>2026-01-11 16:32:33</t>
        </is>
      </c>
    </row>
    <row r="2488">
      <c r="A2488" t="inlineStr">
        <is>
          <t>TXN00191436</t>
        </is>
      </c>
      <c r="B2488" t="inlineStr">
        <is>
          <t>MER00902</t>
        </is>
      </c>
      <c r="C2488" s="8" t="n">
        <v>46034</v>
      </c>
      <c r="D2488" t="inlineStr">
        <is>
          <t>ORD00191436</t>
        </is>
      </c>
      <c r="E2488" t="n">
        <v>1887.38</v>
      </c>
      <c r="F2488" t="n">
        <v>1.86</v>
      </c>
      <c r="G2488" t="n">
        <v>35.11</v>
      </c>
      <c r="H2488" t="inlineStr">
        <is>
          <t>UPI</t>
        </is>
      </c>
      <c r="I2488" t="inlineStr">
        <is>
          <t>Success</t>
        </is>
      </c>
      <c r="J2488" t="inlineStr">
        <is>
          <t>Delivered</t>
        </is>
      </c>
      <c r="K2488" t="n">
        <v>0</v>
      </c>
      <c r="L2488" t="n">
        <v>0</v>
      </c>
      <c r="M2488" t="inlineStr">
        <is>
          <t>INR</t>
        </is>
      </c>
      <c r="N2488" t="inlineStr">
        <is>
          <t>2026-01-12 17:38:17</t>
        </is>
      </c>
    </row>
    <row r="2489">
      <c r="A2489" t="inlineStr">
        <is>
          <t>TXN00194317</t>
        </is>
      </c>
      <c r="B2489" t="inlineStr">
        <is>
          <t>MER00902</t>
        </is>
      </c>
      <c r="C2489" s="8" t="n">
        <v>46040</v>
      </c>
      <c r="D2489" t="inlineStr">
        <is>
          <t>ORD00194317</t>
        </is>
      </c>
      <c r="E2489" t="n">
        <v>6904.68</v>
      </c>
      <c r="F2489" t="n">
        <v>1.86</v>
      </c>
      <c r="G2489" t="n">
        <v>128.43</v>
      </c>
      <c r="H2489" t="inlineStr">
        <is>
          <t>Card</t>
        </is>
      </c>
      <c r="I2489" t="inlineStr">
        <is>
          <t>Success</t>
        </is>
      </c>
      <c r="J2489" t="inlineStr">
        <is>
          <t>Cancelled</t>
        </is>
      </c>
      <c r="K2489" t="n">
        <v>6253.44</v>
      </c>
      <c r="L2489" t="n">
        <v>0</v>
      </c>
      <c r="M2489" t="inlineStr">
        <is>
          <t>INR</t>
        </is>
      </c>
      <c r="N2489" t="inlineStr">
        <is>
          <t>2026-01-18 08:35:08</t>
        </is>
      </c>
    </row>
    <row r="2490">
      <c r="A2490" t="inlineStr">
        <is>
          <t>TXN00199663</t>
        </is>
      </c>
      <c r="B2490" t="inlineStr">
        <is>
          <t>MER00902</t>
        </is>
      </c>
      <c r="C2490" s="8" t="n">
        <v>46052</v>
      </c>
      <c r="D2490" t="inlineStr">
        <is>
          <t>ORD00199663</t>
        </is>
      </c>
      <c r="E2490" t="n">
        <v>2375.76</v>
      </c>
      <c r="F2490" t="n">
        <v>1.86</v>
      </c>
      <c r="G2490" t="n">
        <v>44.19</v>
      </c>
      <c r="H2490" t="inlineStr">
        <is>
          <t>Card</t>
        </is>
      </c>
      <c r="I2490" t="inlineStr">
        <is>
          <t>Success</t>
        </is>
      </c>
      <c r="J2490" t="inlineStr">
        <is>
          <t>Delivered</t>
        </is>
      </c>
      <c r="K2490" t="n">
        <v>0</v>
      </c>
      <c r="L2490" t="n">
        <v>0</v>
      </c>
      <c r="M2490" t="inlineStr">
        <is>
          <t>INR</t>
        </is>
      </c>
      <c r="N2490" t="inlineStr">
        <is>
          <t>2026-01-30 16:37:14</t>
        </is>
      </c>
    </row>
    <row r="2491">
      <c r="A2491" t="inlineStr">
        <is>
          <t>TXN00199838</t>
        </is>
      </c>
      <c r="B2491" t="inlineStr">
        <is>
          <t>MER00902</t>
        </is>
      </c>
      <c r="C2491" s="8" t="n">
        <v>46052</v>
      </c>
      <c r="D2491" t="inlineStr">
        <is>
          <t>ORD00199838</t>
        </is>
      </c>
      <c r="E2491" t="n">
        <v>1059.64</v>
      </c>
      <c r="F2491" t="n">
        <v>1.86</v>
      </c>
      <c r="G2491" t="n">
        <v>19.71</v>
      </c>
      <c r="H2491" t="inlineStr">
        <is>
          <t>UPI</t>
        </is>
      </c>
      <c r="I2491" t="inlineStr">
        <is>
          <t>Success</t>
        </is>
      </c>
      <c r="J2491" t="inlineStr">
        <is>
          <t>Delivered</t>
        </is>
      </c>
      <c r="K2491" t="n">
        <v>0</v>
      </c>
      <c r="L2491" t="n">
        <v>131.45</v>
      </c>
      <c r="M2491" t="inlineStr">
        <is>
          <t>INR</t>
        </is>
      </c>
      <c r="N2491" t="inlineStr">
        <is>
          <t>2026-01-30 00:50:48</t>
        </is>
      </c>
    </row>
    <row r="2492">
      <c r="A2492" t="inlineStr">
        <is>
          <t>TXN00202843</t>
        </is>
      </c>
      <c r="B2492" t="inlineStr">
        <is>
          <t>MER00902</t>
        </is>
      </c>
      <c r="C2492" s="8" t="n">
        <v>46060</v>
      </c>
      <c r="D2492" t="inlineStr">
        <is>
          <t>ORD00202843</t>
        </is>
      </c>
      <c r="E2492" t="n">
        <v>1637.64</v>
      </c>
      <c r="F2492" t="n">
        <v>1.86</v>
      </c>
      <c r="G2492" t="n">
        <v>30.46</v>
      </c>
      <c r="H2492" t="inlineStr">
        <is>
          <t>UPI</t>
        </is>
      </c>
      <c r="I2492" t="inlineStr">
        <is>
          <t>Success</t>
        </is>
      </c>
      <c r="J2492" t="inlineStr">
        <is>
          <t>Delivered</t>
        </is>
      </c>
      <c r="K2492" t="n">
        <v>0</v>
      </c>
      <c r="L2492" t="n">
        <v>0</v>
      </c>
      <c r="M2492" t="inlineStr">
        <is>
          <t>INR</t>
        </is>
      </c>
      <c r="N2492" t="inlineStr">
        <is>
          <t>2026-02-07 14:12:32</t>
        </is>
      </c>
    </row>
    <row r="2493">
      <c r="A2493" t="inlineStr">
        <is>
          <t>TXN00207457</t>
        </is>
      </c>
      <c r="B2493" t="inlineStr">
        <is>
          <t>MER00902</t>
        </is>
      </c>
      <c r="C2493" s="8" t="n">
        <v>46071</v>
      </c>
      <c r="D2493" t="inlineStr">
        <is>
          <t>ORD00207457</t>
        </is>
      </c>
      <c r="E2493" t="n">
        <v>2061.28</v>
      </c>
      <c r="F2493" t="n">
        <v>1.86</v>
      </c>
      <c r="G2493" t="n">
        <v>38.34</v>
      </c>
      <c r="H2493" t="inlineStr">
        <is>
          <t>UPI</t>
        </is>
      </c>
      <c r="I2493" t="inlineStr">
        <is>
          <t>Success</t>
        </is>
      </c>
      <c r="J2493" t="inlineStr">
        <is>
          <t>Delivered</t>
        </is>
      </c>
      <c r="K2493" t="n">
        <v>0</v>
      </c>
      <c r="L2493" t="n">
        <v>0</v>
      </c>
      <c r="M2493" t="inlineStr">
        <is>
          <t>INR</t>
        </is>
      </c>
      <c r="N2493" t="inlineStr">
        <is>
          <t>2026-02-18 13:24:23</t>
        </is>
      </c>
    </row>
    <row r="2494">
      <c r="A2494" t="inlineStr">
        <is>
          <t>TXN00214571</t>
        </is>
      </c>
      <c r="B2494" t="inlineStr">
        <is>
          <t>MER00902</t>
        </is>
      </c>
      <c r="C2494" s="8" t="n">
        <v>46090</v>
      </c>
      <c r="D2494" t="inlineStr">
        <is>
          <t>ORD00214571</t>
        </is>
      </c>
      <c r="E2494" t="n">
        <v>913.24</v>
      </c>
      <c r="F2494" t="n">
        <v>1.86</v>
      </c>
      <c r="G2494" t="n">
        <v>16.99</v>
      </c>
      <c r="H2494" t="inlineStr">
        <is>
          <t>UPI</t>
        </is>
      </c>
      <c r="I2494" t="inlineStr">
        <is>
          <t>Success</t>
        </is>
      </c>
      <c r="J2494" t="inlineStr">
        <is>
          <t>Delivered</t>
        </is>
      </c>
      <c r="K2494" t="n">
        <v>0</v>
      </c>
      <c r="L2494" t="n">
        <v>0</v>
      </c>
      <c r="M2494" t="inlineStr">
        <is>
          <t>INR</t>
        </is>
      </c>
      <c r="N2494" t="inlineStr">
        <is>
          <t>2026-03-09 10:07:22</t>
        </is>
      </c>
    </row>
    <row r="2495">
      <c r="A2495" t="inlineStr">
        <is>
          <t>TXN00224946</t>
        </is>
      </c>
      <c r="B2495" t="inlineStr">
        <is>
          <t>MER00902</t>
        </is>
      </c>
      <c r="C2495" s="8" t="n">
        <v>46117</v>
      </c>
      <c r="D2495" t="inlineStr">
        <is>
          <t>ORD00224946</t>
        </is>
      </c>
      <c r="E2495" t="n">
        <v>3452.91</v>
      </c>
      <c r="F2495" t="n">
        <v>1.86</v>
      </c>
      <c r="G2495" t="n">
        <v>64.22</v>
      </c>
      <c r="H2495" t="inlineStr">
        <is>
          <t>Card</t>
        </is>
      </c>
      <c r="I2495" t="inlineStr">
        <is>
          <t>Success</t>
        </is>
      </c>
      <c r="J2495" t="inlineStr">
        <is>
          <t>Processing</t>
        </is>
      </c>
      <c r="K2495" t="n">
        <v>0</v>
      </c>
      <c r="L2495" t="n">
        <v>0</v>
      </c>
      <c r="M2495" t="inlineStr">
        <is>
          <t>INR</t>
        </is>
      </c>
      <c r="N2495" t="inlineStr">
        <is>
          <t>2026-04-05 03:20:48</t>
        </is>
      </c>
    </row>
    <row r="2496">
      <c r="A2496" t="inlineStr">
        <is>
          <t>TXN00230821</t>
        </is>
      </c>
      <c r="B2496" t="inlineStr">
        <is>
          <t>MER00902</t>
        </is>
      </c>
      <c r="C2496" s="8" t="n">
        <v>46133</v>
      </c>
      <c r="D2496" t="inlineStr">
        <is>
          <t>ORD00230821</t>
        </is>
      </c>
      <c r="E2496" t="n">
        <v>782.5700000000001</v>
      </c>
      <c r="F2496" t="n">
        <v>1.86</v>
      </c>
      <c r="G2496" t="n">
        <v>14.56</v>
      </c>
      <c r="H2496" t="inlineStr">
        <is>
          <t>Card</t>
        </is>
      </c>
      <c r="I2496" t="inlineStr">
        <is>
          <t>Success</t>
        </is>
      </c>
      <c r="J2496" t="inlineStr">
        <is>
          <t>Returned</t>
        </is>
      </c>
      <c r="K2496" t="n">
        <v>782.5700000000001</v>
      </c>
      <c r="L2496" t="n">
        <v>0</v>
      </c>
      <c r="M2496" t="inlineStr">
        <is>
          <t>INR</t>
        </is>
      </c>
      <c r="N2496" t="inlineStr">
        <is>
          <t>2026-04-21 02:44:20</t>
        </is>
      </c>
    </row>
    <row r="2497">
      <c r="A2497" t="inlineStr">
        <is>
          <t>TXN00237547</t>
        </is>
      </c>
      <c r="B2497" t="inlineStr">
        <is>
          <t>MER00902</t>
        </is>
      </c>
      <c r="C2497" s="8" t="n">
        <v>46150</v>
      </c>
      <c r="D2497" t="inlineStr">
        <is>
          <t>ORD00237547</t>
        </is>
      </c>
      <c r="E2497" t="n">
        <v>2621.72</v>
      </c>
      <c r="F2497" t="n">
        <v>1.86</v>
      </c>
      <c r="G2497" t="n">
        <v>48.76</v>
      </c>
      <c r="H2497" t="inlineStr">
        <is>
          <t>UPI</t>
        </is>
      </c>
      <c r="I2497" t="inlineStr">
        <is>
          <t>Success</t>
        </is>
      </c>
      <c r="J2497" t="inlineStr">
        <is>
          <t>Returned</t>
        </is>
      </c>
      <c r="K2497" t="n">
        <v>2621.72</v>
      </c>
      <c r="L2497" t="n">
        <v>0</v>
      </c>
      <c r="M2497" t="inlineStr">
        <is>
          <t>INR</t>
        </is>
      </c>
      <c r="N2497" t="inlineStr">
        <is>
          <t>2026-05-08 14:09:31</t>
        </is>
      </c>
    </row>
    <row r="2498">
      <c r="A2498" t="inlineStr">
        <is>
          <t>TXN00240601</t>
        </is>
      </c>
      <c r="B2498" t="inlineStr">
        <is>
          <t>MER00902</t>
        </is>
      </c>
      <c r="C2498" s="8" t="n">
        <v>46158</v>
      </c>
      <c r="D2498" t="inlineStr">
        <is>
          <t>ORD00240601</t>
        </is>
      </c>
      <c r="E2498" t="n">
        <v>1891.63</v>
      </c>
      <c r="F2498" t="n">
        <v>1.86</v>
      </c>
      <c r="G2498" t="n">
        <v>35.18</v>
      </c>
      <c r="H2498" t="inlineStr">
        <is>
          <t>UPI</t>
        </is>
      </c>
      <c r="I2498" t="inlineStr">
        <is>
          <t>Success</t>
        </is>
      </c>
      <c r="J2498" t="inlineStr">
        <is>
          <t>Returned</t>
        </is>
      </c>
      <c r="K2498" t="n">
        <v>1589.5</v>
      </c>
      <c r="L2498" t="n">
        <v>0</v>
      </c>
      <c r="M2498" t="inlineStr">
        <is>
          <t>INR</t>
        </is>
      </c>
      <c r="N2498" t="inlineStr">
        <is>
          <t>2026-05-16 18:50:53</t>
        </is>
      </c>
    </row>
    <row r="2499">
      <c r="A2499" t="inlineStr">
        <is>
          <t>TXN00242487</t>
        </is>
      </c>
      <c r="B2499" t="inlineStr">
        <is>
          <t>MER00902</t>
        </is>
      </c>
      <c r="C2499" s="8" t="n">
        <v>46163</v>
      </c>
      <c r="D2499" t="inlineStr">
        <is>
          <t>ORD00242487</t>
        </is>
      </c>
      <c r="E2499" t="n">
        <v>3221.6</v>
      </c>
      <c r="F2499" t="n">
        <v>1.86</v>
      </c>
      <c r="G2499" t="n">
        <v>59.92</v>
      </c>
      <c r="H2499" t="inlineStr">
        <is>
          <t>UPI</t>
        </is>
      </c>
      <c r="I2499" t="inlineStr">
        <is>
          <t>Success</t>
        </is>
      </c>
      <c r="J2499" t="inlineStr">
        <is>
          <t>Delivered</t>
        </is>
      </c>
      <c r="K2499" t="n">
        <v>0</v>
      </c>
      <c r="L2499" t="n">
        <v>0</v>
      </c>
      <c r="M2499" t="inlineStr">
        <is>
          <t>INR</t>
        </is>
      </c>
      <c r="N2499" t="inlineStr">
        <is>
          <t>2026-05-21 05:26:31</t>
        </is>
      </c>
    </row>
    <row r="2500">
      <c r="A2500" t="inlineStr">
        <is>
          <t>TXN00251856</t>
        </is>
      </c>
      <c r="B2500" t="inlineStr">
        <is>
          <t>MER00902</t>
        </is>
      </c>
      <c r="C2500" s="8" t="n">
        <v>46187</v>
      </c>
      <c r="D2500" t="inlineStr">
        <is>
          <t>ORD00251856</t>
        </is>
      </c>
      <c r="E2500" t="n">
        <v>4336.85</v>
      </c>
      <c r="F2500" t="n">
        <v>1.86</v>
      </c>
      <c r="G2500" t="n">
        <v>80.67</v>
      </c>
      <c r="H2500" t="inlineStr">
        <is>
          <t>UPI</t>
        </is>
      </c>
      <c r="I2500" t="inlineStr">
        <is>
          <t>Success</t>
        </is>
      </c>
      <c r="J2500" t="inlineStr">
        <is>
          <t>Delivered</t>
        </is>
      </c>
      <c r="K2500" t="n">
        <v>0</v>
      </c>
      <c r="L2500" t="n">
        <v>393.91</v>
      </c>
      <c r="M2500" t="inlineStr">
        <is>
          <t>INR</t>
        </is>
      </c>
      <c r="N2500" t="inlineStr">
        <is>
          <t>2026-06-14 20:43:08</t>
        </is>
      </c>
    </row>
    <row r="2501">
      <c r="A2501" t="inlineStr">
        <is>
          <t>TXN00251871</t>
        </is>
      </c>
      <c r="B2501" t="inlineStr">
        <is>
          <t>MER00902</t>
        </is>
      </c>
      <c r="C2501" s="8" t="n">
        <v>46187</v>
      </c>
      <c r="D2501" t="inlineStr">
        <is>
          <t>ORD00251871</t>
        </is>
      </c>
      <c r="E2501" t="n">
        <v>809.8099999999999</v>
      </c>
      <c r="F2501" t="n">
        <v>1.86</v>
      </c>
      <c r="G2501" t="n">
        <v>15.06</v>
      </c>
      <c r="H2501" t="inlineStr">
        <is>
          <t>NetBanking</t>
        </is>
      </c>
      <c r="I2501" t="inlineStr">
        <is>
          <t>Success</t>
        </is>
      </c>
      <c r="J2501" t="inlineStr">
        <is>
          <t>Delivered</t>
        </is>
      </c>
      <c r="K2501" t="n">
        <v>0</v>
      </c>
      <c r="L2501" t="n">
        <v>0</v>
      </c>
      <c r="M2501" t="inlineStr">
        <is>
          <t>INR</t>
        </is>
      </c>
      <c r="N2501" t="inlineStr">
        <is>
          <t>2026-06-14 06:58:41</t>
        </is>
      </c>
    </row>
    <row r="2502">
      <c r="A2502" t="inlineStr">
        <is>
          <t>TXN00260807</t>
        </is>
      </c>
      <c r="B2502" t="inlineStr">
        <is>
          <t>MER00902</t>
        </is>
      </c>
      <c r="C2502" s="8" t="n">
        <v>46210</v>
      </c>
      <c r="D2502" t="inlineStr">
        <is>
          <t>ORD00260807</t>
        </is>
      </c>
      <c r="E2502" t="n">
        <v>1607.53</v>
      </c>
      <c r="F2502" t="n">
        <v>1.86</v>
      </c>
      <c r="G2502" t="n">
        <v>29.9</v>
      </c>
      <c r="H2502" t="inlineStr">
        <is>
          <t>Wallet</t>
        </is>
      </c>
      <c r="I2502" t="inlineStr">
        <is>
          <t>Success</t>
        </is>
      </c>
      <c r="J2502" t="inlineStr">
        <is>
          <t>Delivered</t>
        </is>
      </c>
      <c r="K2502" t="n">
        <v>0</v>
      </c>
      <c r="L2502" t="n">
        <v>0</v>
      </c>
      <c r="M2502" t="inlineStr">
        <is>
          <t>INR</t>
        </is>
      </c>
      <c r="N2502" t="inlineStr">
        <is>
          <t>2026-07-07 12:17:04</t>
        </is>
      </c>
    </row>
    <row r="2503">
      <c r="A2503" t="inlineStr">
        <is>
          <t>TXN00263343</t>
        </is>
      </c>
      <c r="B2503" t="inlineStr">
        <is>
          <t>MER00902</t>
        </is>
      </c>
      <c r="C2503" s="8" t="n">
        <v>46216</v>
      </c>
      <c r="D2503" t="inlineStr">
        <is>
          <t>ORD00263343</t>
        </is>
      </c>
      <c r="E2503" t="n">
        <v>2513.65</v>
      </c>
      <c r="F2503" t="n">
        <v>1.86</v>
      </c>
      <c r="G2503" t="n">
        <v>46.75</v>
      </c>
      <c r="H2503" t="inlineStr">
        <is>
          <t>UPI</t>
        </is>
      </c>
      <c r="I2503" t="inlineStr">
        <is>
          <t>Success</t>
        </is>
      </c>
      <c r="J2503" t="inlineStr">
        <is>
          <t>Delivered</t>
        </is>
      </c>
      <c r="K2503" t="n">
        <v>0</v>
      </c>
      <c r="L2503" t="n">
        <v>0</v>
      </c>
      <c r="M2503" t="inlineStr">
        <is>
          <t>INR</t>
        </is>
      </c>
      <c r="N2503" t="inlineStr">
        <is>
          <t>2026-07-13 16:35:18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6" t="inlineStr">
        <is>
          <t>Invoices</t>
        </is>
      </c>
    </row>
    <row r="3">
      <c r="A3" s="7" t="inlineStr">
        <is>
          <t>invoice_id</t>
        </is>
      </c>
      <c r="B3" s="7" t="inlineStr">
        <is>
          <t>merchant_id</t>
        </is>
      </c>
      <c r="C3" s="7" t="inlineStr">
        <is>
          <t>billing_period_start</t>
        </is>
      </c>
      <c r="D3" s="7" t="inlineStr">
        <is>
          <t>billing_period_end</t>
        </is>
      </c>
      <c r="E3" s="7" t="inlineStr">
        <is>
          <t>invoice_date</t>
        </is>
      </c>
      <c r="F3" s="7" t="inlineStr">
        <is>
          <t>due_date</t>
        </is>
      </c>
      <c r="G3" s="7" t="inlineStr">
        <is>
          <t>subtotal</t>
        </is>
      </c>
      <c r="H3" s="7" t="inlineStr">
        <is>
          <t>discount</t>
        </is>
      </c>
      <c r="I3" s="7" t="inlineStr">
        <is>
          <t>taxable_amount</t>
        </is>
      </c>
      <c r="J3" s="7" t="inlineStr">
        <is>
          <t>tax_rate</t>
        </is>
      </c>
      <c r="K3" s="7" t="inlineStr">
        <is>
          <t>tax_amount</t>
        </is>
      </c>
      <c r="L3" s="7" t="inlineStr">
        <is>
          <t>total_invoice_amount</t>
        </is>
      </c>
      <c r="M3" s="7" t="inlineStr">
        <is>
          <t>currency</t>
        </is>
      </c>
      <c r="N3" s="7" t="inlineStr">
        <is>
          <t>invoice_status</t>
        </is>
      </c>
      <c r="O3" s="7" t="inlineStr">
        <is>
          <t>payment_status</t>
        </is>
      </c>
      <c r="P3" s="7" t="inlineStr">
        <is>
          <t>expected_fee</t>
        </is>
      </c>
      <c r="Q3" s="7" t="inlineStr">
        <is>
          <t>billed_fee</t>
        </is>
      </c>
      <c r="R3" s="7" t="inlineStr">
        <is>
          <t>invoice_error_flag</t>
        </is>
      </c>
    </row>
    <row r="4">
      <c r="A4" t="inlineStr">
        <is>
          <t>INV0000956</t>
        </is>
      </c>
      <c r="B4" t="inlineStr">
        <is>
          <t>MER00048</t>
        </is>
      </c>
      <c r="C4" t="inlineStr">
        <is>
          <t>2024-08-01</t>
        </is>
      </c>
      <c r="D4" t="inlineStr">
        <is>
          <t>2024-08-31</t>
        </is>
      </c>
      <c r="E4" s="8" t="n">
        <v>45537</v>
      </c>
      <c r="F4" s="8" t="n">
        <v>45552</v>
      </c>
      <c r="G4" t="n">
        <v>80.15000000000001</v>
      </c>
      <c r="H4" t="n">
        <v>0</v>
      </c>
      <c r="I4" t="n">
        <v>80.15000000000001</v>
      </c>
      <c r="J4" t="n">
        <v>0.18</v>
      </c>
      <c r="K4" t="n">
        <v>14.43</v>
      </c>
      <c r="L4" t="n">
        <v>94.58</v>
      </c>
      <c r="M4" t="inlineStr">
        <is>
          <t>INR</t>
        </is>
      </c>
      <c r="N4" t="inlineStr">
        <is>
          <t>Paid</t>
        </is>
      </c>
      <c r="O4" t="inlineStr">
        <is>
          <t>Paid</t>
        </is>
      </c>
      <c r="P4" t="n">
        <v>80.15000000000001</v>
      </c>
      <c r="Q4" t="n">
        <v>80.15000000000001</v>
      </c>
      <c r="R4" t="b">
        <v>0</v>
      </c>
    </row>
    <row r="5">
      <c r="A5" t="inlineStr">
        <is>
          <t>INV0000957</t>
        </is>
      </c>
      <c r="B5" t="inlineStr">
        <is>
          <t>MER00048</t>
        </is>
      </c>
      <c r="C5" t="inlineStr">
        <is>
          <t>2024-09-01</t>
        </is>
      </c>
      <c r="D5" t="inlineStr">
        <is>
          <t>2024-09-30</t>
        </is>
      </c>
      <c r="E5" s="8" t="n">
        <v>45567</v>
      </c>
      <c r="F5" s="8" t="n">
        <v>45582</v>
      </c>
      <c r="G5" t="n">
        <v>326.04</v>
      </c>
      <c r="H5" t="n">
        <v>0</v>
      </c>
      <c r="I5" t="n">
        <v>326.04</v>
      </c>
      <c r="J5" t="n">
        <v>0.18</v>
      </c>
      <c r="K5" t="n">
        <v>58.69</v>
      </c>
      <c r="L5" t="n">
        <v>384.73</v>
      </c>
      <c r="M5" t="inlineStr">
        <is>
          <t>INR</t>
        </is>
      </c>
      <c r="N5" t="inlineStr">
        <is>
          <t>Paid</t>
        </is>
      </c>
      <c r="O5" t="inlineStr">
        <is>
          <t>Paid</t>
        </is>
      </c>
      <c r="P5" t="n">
        <v>326.04</v>
      </c>
      <c r="Q5" t="n">
        <v>326.04</v>
      </c>
      <c r="R5" t="b">
        <v>0</v>
      </c>
    </row>
    <row r="6">
      <c r="A6" t="inlineStr">
        <is>
          <t>INV0000958</t>
        </is>
      </c>
      <c r="B6" t="inlineStr">
        <is>
          <t>MER00048</t>
        </is>
      </c>
      <c r="C6" t="inlineStr">
        <is>
          <t>2024-10-01</t>
        </is>
      </c>
      <c r="D6" t="inlineStr">
        <is>
          <t>2024-10-31</t>
        </is>
      </c>
      <c r="E6" s="8" t="n">
        <v>45598</v>
      </c>
      <c r="F6" s="8" t="n">
        <v>45613</v>
      </c>
      <c r="G6" t="n">
        <v>258.85</v>
      </c>
      <c r="H6" t="n">
        <v>0</v>
      </c>
      <c r="I6" t="n">
        <v>258.85</v>
      </c>
      <c r="J6" t="n">
        <v>0.18</v>
      </c>
      <c r="K6" t="n">
        <v>46.59</v>
      </c>
      <c r="L6" t="n">
        <v>305.44</v>
      </c>
      <c r="M6" t="inlineStr">
        <is>
          <t>INR</t>
        </is>
      </c>
      <c r="N6" t="inlineStr">
        <is>
          <t>Paid</t>
        </is>
      </c>
      <c r="O6" t="inlineStr">
        <is>
          <t>Paid</t>
        </is>
      </c>
      <c r="P6" t="n">
        <v>258.85</v>
      </c>
      <c r="Q6" t="n">
        <v>258.85</v>
      </c>
      <c r="R6" t="b">
        <v>0</v>
      </c>
    </row>
    <row r="7">
      <c r="A7" t="inlineStr">
        <is>
          <t>INV0000959</t>
        </is>
      </c>
      <c r="B7" t="inlineStr">
        <is>
          <t>MER00048</t>
        </is>
      </c>
      <c r="C7" t="inlineStr">
        <is>
          <t>2024-11-01</t>
        </is>
      </c>
      <c r="D7" t="inlineStr">
        <is>
          <t>2024-11-30</t>
        </is>
      </c>
      <c r="E7" s="8" t="n">
        <v>45628</v>
      </c>
      <c r="F7" s="8" t="n">
        <v>45643</v>
      </c>
      <c r="G7" t="n">
        <v>511.05</v>
      </c>
      <c r="H7" t="n">
        <v>0</v>
      </c>
      <c r="I7" t="n">
        <v>511.05</v>
      </c>
      <c r="J7" t="n">
        <v>0.18</v>
      </c>
      <c r="K7" t="n">
        <v>91.98999999999999</v>
      </c>
      <c r="L7" t="n">
        <v>603.04</v>
      </c>
      <c r="M7" t="inlineStr">
        <is>
          <t>INR</t>
        </is>
      </c>
      <c r="N7" t="inlineStr">
        <is>
          <t>Paid</t>
        </is>
      </c>
      <c r="O7" t="inlineStr">
        <is>
          <t>Paid</t>
        </is>
      </c>
      <c r="P7" t="n">
        <v>511.05</v>
      </c>
      <c r="Q7" t="n">
        <v>511.05</v>
      </c>
      <c r="R7" t="b">
        <v>0</v>
      </c>
    </row>
    <row r="8">
      <c r="A8" t="inlineStr">
        <is>
          <t>INV0000960</t>
        </is>
      </c>
      <c r="B8" t="inlineStr">
        <is>
          <t>MER00048</t>
        </is>
      </c>
      <c r="C8" t="inlineStr">
        <is>
          <t>2024-12-01</t>
        </is>
      </c>
      <c r="D8" t="inlineStr">
        <is>
          <t>2024-12-31</t>
        </is>
      </c>
      <c r="E8" s="8" t="n">
        <v>45659</v>
      </c>
      <c r="F8" s="8" t="n">
        <v>45674</v>
      </c>
      <c r="G8" t="n">
        <v>55.69</v>
      </c>
      <c r="H8" t="n">
        <v>0</v>
      </c>
      <c r="I8" t="n">
        <v>55.69</v>
      </c>
      <c r="J8" t="n">
        <v>0.18</v>
      </c>
      <c r="K8" t="n">
        <v>10.02</v>
      </c>
      <c r="L8" t="n">
        <v>65.70999999999999</v>
      </c>
      <c r="M8" t="inlineStr">
        <is>
          <t>INR</t>
        </is>
      </c>
      <c r="N8" t="inlineStr">
        <is>
          <t>Paid</t>
        </is>
      </c>
      <c r="O8" t="inlineStr">
        <is>
          <t>Paid</t>
        </is>
      </c>
      <c r="P8" t="n">
        <v>67.41</v>
      </c>
      <c r="Q8" t="n">
        <v>55.69</v>
      </c>
      <c r="R8" t="b">
        <v>1</v>
      </c>
    </row>
    <row r="9">
      <c r="A9" t="inlineStr">
        <is>
          <t>INV0000961</t>
        </is>
      </c>
      <c r="B9" t="inlineStr">
        <is>
          <t>MER00048</t>
        </is>
      </c>
      <c r="C9" t="inlineStr">
        <is>
          <t>2025-01-01</t>
        </is>
      </c>
      <c r="D9" t="inlineStr">
        <is>
          <t>2025-01-31</t>
        </is>
      </c>
      <c r="E9" s="8" t="n">
        <v>45690</v>
      </c>
      <c r="F9" s="8" t="n">
        <v>45705</v>
      </c>
      <c r="G9" t="n">
        <v>160.14</v>
      </c>
      <c r="H9" t="n">
        <v>12.49</v>
      </c>
      <c r="I9" t="n">
        <v>147.65</v>
      </c>
      <c r="J9" t="n">
        <v>0.18</v>
      </c>
      <c r="K9" t="n">
        <v>26.58</v>
      </c>
      <c r="L9" t="n">
        <v>174.23</v>
      </c>
      <c r="M9" t="inlineStr">
        <is>
          <t>INR</t>
        </is>
      </c>
      <c r="N9" t="inlineStr">
        <is>
          <t>Paid</t>
        </is>
      </c>
      <c r="O9" t="inlineStr">
        <is>
          <t>Paid</t>
        </is>
      </c>
      <c r="P9" t="n">
        <v>160.14</v>
      </c>
      <c r="Q9" t="n">
        <v>160.14</v>
      </c>
      <c r="R9" t="b">
        <v>0</v>
      </c>
    </row>
    <row r="10">
      <c r="A10" t="inlineStr">
        <is>
          <t>INV0000962</t>
        </is>
      </c>
      <c r="B10" t="inlineStr">
        <is>
          <t>MER00048</t>
        </is>
      </c>
      <c r="C10" t="inlineStr">
        <is>
          <t>2025-02-01</t>
        </is>
      </c>
      <c r="D10" t="inlineStr">
        <is>
          <t>2025-02-28</t>
        </is>
      </c>
      <c r="E10" s="8" t="n">
        <v>45718</v>
      </c>
      <c r="F10" s="8" t="n">
        <v>45733</v>
      </c>
      <c r="G10" t="n">
        <v>162.38</v>
      </c>
      <c r="H10" t="n">
        <v>0</v>
      </c>
      <c r="I10" t="n">
        <v>162.38</v>
      </c>
      <c r="J10" t="n">
        <v>0.18</v>
      </c>
      <c r="K10" t="n">
        <v>29.23</v>
      </c>
      <c r="L10" t="n">
        <v>191.61</v>
      </c>
      <c r="M10" t="inlineStr">
        <is>
          <t>INR</t>
        </is>
      </c>
      <c r="N10" t="inlineStr">
        <is>
          <t>Paid</t>
        </is>
      </c>
      <c r="O10" t="inlineStr">
        <is>
          <t>Paid</t>
        </is>
      </c>
      <c r="P10" t="n">
        <v>162.38</v>
      </c>
      <c r="Q10" t="n">
        <v>162.38</v>
      </c>
      <c r="R10" t="b">
        <v>0</v>
      </c>
    </row>
    <row r="11">
      <c r="A11" t="inlineStr">
        <is>
          <t>INV0000963</t>
        </is>
      </c>
      <c r="B11" t="inlineStr">
        <is>
          <t>MER00048</t>
        </is>
      </c>
      <c r="C11" t="inlineStr">
        <is>
          <t>2025-03-01</t>
        </is>
      </c>
      <c r="D11" t="inlineStr">
        <is>
          <t>2025-03-31</t>
        </is>
      </c>
      <c r="E11" s="8" t="n">
        <v>45749</v>
      </c>
      <c r="F11" s="8" t="n">
        <v>45764</v>
      </c>
      <c r="G11" t="n">
        <v>101.64</v>
      </c>
      <c r="H11" t="n">
        <v>0</v>
      </c>
      <c r="I11" t="n">
        <v>101.64</v>
      </c>
      <c r="J11" t="n">
        <v>0.18</v>
      </c>
      <c r="K11" t="n">
        <v>18.3</v>
      </c>
      <c r="L11" t="n">
        <v>119.94</v>
      </c>
      <c r="M11" t="inlineStr">
        <is>
          <t>INR</t>
        </is>
      </c>
      <c r="N11" t="inlineStr">
        <is>
          <t>Paid</t>
        </is>
      </c>
      <c r="O11" t="inlineStr">
        <is>
          <t>Paid</t>
        </is>
      </c>
      <c r="P11" t="n">
        <v>101.64</v>
      </c>
      <c r="Q11" t="n">
        <v>101.64</v>
      </c>
      <c r="R11" t="b">
        <v>0</v>
      </c>
    </row>
    <row r="12">
      <c r="A12" t="inlineStr">
        <is>
          <t>INV0000964</t>
        </is>
      </c>
      <c r="B12" t="inlineStr">
        <is>
          <t>MER00048</t>
        </is>
      </c>
      <c r="C12" t="inlineStr">
        <is>
          <t>2025-04-01</t>
        </is>
      </c>
      <c r="D12" t="inlineStr">
        <is>
          <t>2025-04-30</t>
        </is>
      </c>
      <c r="E12" s="8" t="n">
        <v>45779</v>
      </c>
      <c r="F12" s="8" t="n">
        <v>45794</v>
      </c>
      <c r="G12" t="n">
        <v>315.45</v>
      </c>
      <c r="H12" t="n">
        <v>43.53</v>
      </c>
      <c r="I12" t="n">
        <v>271.92</v>
      </c>
      <c r="J12" t="n">
        <v>0.18</v>
      </c>
      <c r="K12" t="n">
        <v>48.95</v>
      </c>
      <c r="L12" t="n">
        <v>320.87</v>
      </c>
      <c r="M12" t="inlineStr">
        <is>
          <t>INR</t>
        </is>
      </c>
      <c r="N12" t="inlineStr">
        <is>
          <t>Paid</t>
        </is>
      </c>
      <c r="O12" t="inlineStr">
        <is>
          <t>Paid</t>
        </is>
      </c>
      <c r="P12" t="n">
        <v>315.45</v>
      </c>
      <c r="Q12" t="n">
        <v>315.45</v>
      </c>
      <c r="R12" t="b">
        <v>0</v>
      </c>
    </row>
    <row r="13">
      <c r="A13" t="inlineStr">
        <is>
          <t>INV0000965</t>
        </is>
      </c>
      <c r="B13" t="inlineStr">
        <is>
          <t>MER00048</t>
        </is>
      </c>
      <c r="C13" t="inlineStr">
        <is>
          <t>2025-05-01</t>
        </is>
      </c>
      <c r="D13" t="inlineStr">
        <is>
          <t>2025-05-31</t>
        </is>
      </c>
      <c r="E13" s="8" t="n">
        <v>45810</v>
      </c>
      <c r="F13" s="8" t="n">
        <v>45825</v>
      </c>
      <c r="G13" t="n">
        <v>287.68</v>
      </c>
      <c r="H13" t="n">
        <v>0</v>
      </c>
      <c r="I13" t="n">
        <v>287.68</v>
      </c>
      <c r="J13" t="n">
        <v>0.18</v>
      </c>
      <c r="K13" t="n">
        <v>51.78</v>
      </c>
      <c r="L13" t="n">
        <v>339.46</v>
      </c>
      <c r="M13" t="inlineStr">
        <is>
          <t>INR</t>
        </is>
      </c>
      <c r="N13" t="inlineStr">
        <is>
          <t>Paid</t>
        </is>
      </c>
      <c r="O13" t="inlineStr">
        <is>
          <t>Paid</t>
        </is>
      </c>
      <c r="P13" t="n">
        <v>287.68</v>
      </c>
      <c r="Q13" t="n">
        <v>287.68</v>
      </c>
      <c r="R13" t="b">
        <v>0</v>
      </c>
    </row>
    <row r="14">
      <c r="A14" t="inlineStr">
        <is>
          <t>INV0000966</t>
        </is>
      </c>
      <c r="B14" t="inlineStr">
        <is>
          <t>MER00048</t>
        </is>
      </c>
      <c r="C14" t="inlineStr">
        <is>
          <t>2025-07-01</t>
        </is>
      </c>
      <c r="D14" t="inlineStr">
        <is>
          <t>2025-07-31</t>
        </is>
      </c>
      <c r="E14" s="8" t="n">
        <v>45871</v>
      </c>
      <c r="F14" s="8" t="n">
        <v>45886</v>
      </c>
      <c r="G14" t="n">
        <v>168.49</v>
      </c>
      <c r="H14" t="n">
        <v>0</v>
      </c>
      <c r="I14" t="n">
        <v>168.49</v>
      </c>
      <c r="J14" t="n">
        <v>0.18</v>
      </c>
      <c r="K14" t="n">
        <v>30.33</v>
      </c>
      <c r="L14" t="n">
        <v>198.82</v>
      </c>
      <c r="M14" t="inlineStr">
        <is>
          <t>INR</t>
        </is>
      </c>
      <c r="N14" t="inlineStr">
        <is>
          <t>Paid</t>
        </is>
      </c>
      <c r="O14" t="inlineStr">
        <is>
          <t>Paid</t>
        </is>
      </c>
      <c r="P14" t="n">
        <v>168.49</v>
      </c>
      <c r="Q14" t="n">
        <v>168.49</v>
      </c>
      <c r="R14" t="b">
        <v>0</v>
      </c>
    </row>
    <row r="15">
      <c r="A15" t="inlineStr">
        <is>
          <t>INV0000967</t>
        </is>
      </c>
      <c r="B15" t="inlineStr">
        <is>
          <t>MER00048</t>
        </is>
      </c>
      <c r="C15" t="inlineStr">
        <is>
          <t>2025-08-01</t>
        </is>
      </c>
      <c r="D15" t="inlineStr">
        <is>
          <t>2025-08-31</t>
        </is>
      </c>
      <c r="E15" s="8" t="n">
        <v>45902</v>
      </c>
      <c r="F15" s="8" t="n">
        <v>45917</v>
      </c>
      <c r="G15" t="n">
        <v>166.18</v>
      </c>
      <c r="H15" t="n">
        <v>19.78</v>
      </c>
      <c r="I15" t="n">
        <v>146.4</v>
      </c>
      <c r="J15" t="n">
        <v>0.18</v>
      </c>
      <c r="K15" t="n">
        <v>26.35</v>
      </c>
      <c r="L15" t="n">
        <v>172.75</v>
      </c>
      <c r="M15" t="inlineStr">
        <is>
          <t>INR</t>
        </is>
      </c>
      <c r="N15" t="inlineStr">
        <is>
          <t>Paid</t>
        </is>
      </c>
      <c r="O15" t="inlineStr">
        <is>
          <t>Paid</t>
        </is>
      </c>
      <c r="P15" t="n">
        <v>166.18</v>
      </c>
      <c r="Q15" t="n">
        <v>166.18</v>
      </c>
      <c r="R15" t="b">
        <v>0</v>
      </c>
    </row>
    <row r="16">
      <c r="A16" t="inlineStr">
        <is>
          <t>INV0000968</t>
        </is>
      </c>
      <c r="B16" t="inlineStr">
        <is>
          <t>MER00048</t>
        </is>
      </c>
      <c r="C16" t="inlineStr">
        <is>
          <t>2025-09-01</t>
        </is>
      </c>
      <c r="D16" t="inlineStr">
        <is>
          <t>2025-09-30</t>
        </is>
      </c>
      <c r="E16" s="8" t="n">
        <v>45932</v>
      </c>
      <c r="F16" s="8" t="n">
        <v>45947</v>
      </c>
      <c r="G16" t="n">
        <v>292.59</v>
      </c>
      <c r="H16" t="n">
        <v>0</v>
      </c>
      <c r="I16" t="n">
        <v>292.59</v>
      </c>
      <c r="J16" t="n">
        <v>0.18</v>
      </c>
      <c r="K16" t="n">
        <v>52.67</v>
      </c>
      <c r="L16" t="n">
        <v>345.26</v>
      </c>
      <c r="M16" t="inlineStr">
        <is>
          <t>INR</t>
        </is>
      </c>
      <c r="N16" t="inlineStr">
        <is>
          <t>Paid</t>
        </is>
      </c>
      <c r="O16" t="inlineStr">
        <is>
          <t>Paid</t>
        </is>
      </c>
      <c r="P16" t="n">
        <v>292.59</v>
      </c>
      <c r="Q16" t="n">
        <v>292.59</v>
      </c>
      <c r="R16" t="b">
        <v>0</v>
      </c>
    </row>
    <row r="17">
      <c r="A17" t="inlineStr">
        <is>
          <t>INV0000969</t>
        </is>
      </c>
      <c r="B17" t="inlineStr">
        <is>
          <t>MER00048</t>
        </is>
      </c>
      <c r="C17" t="inlineStr">
        <is>
          <t>2025-10-01</t>
        </is>
      </c>
      <c r="D17" t="inlineStr">
        <is>
          <t>2025-10-31</t>
        </is>
      </c>
      <c r="E17" s="8" t="n">
        <v>45963</v>
      </c>
      <c r="F17" s="8" t="n">
        <v>45978</v>
      </c>
      <c r="G17" t="n">
        <v>193.74</v>
      </c>
      <c r="H17" t="n">
        <v>0</v>
      </c>
      <c r="I17" t="n">
        <v>193.74</v>
      </c>
      <c r="J17" t="n">
        <v>0.18</v>
      </c>
      <c r="K17" t="n">
        <v>34.87</v>
      </c>
      <c r="L17" t="n">
        <v>228.61</v>
      </c>
      <c r="M17" t="inlineStr">
        <is>
          <t>INR</t>
        </is>
      </c>
      <c r="N17" t="inlineStr">
        <is>
          <t>Paid</t>
        </is>
      </c>
      <c r="O17" t="inlineStr">
        <is>
          <t>Paid</t>
        </is>
      </c>
      <c r="P17" t="n">
        <v>193.74</v>
      </c>
      <c r="Q17" t="n">
        <v>193.74</v>
      </c>
      <c r="R17" t="b">
        <v>0</v>
      </c>
    </row>
    <row r="18">
      <c r="A18" t="inlineStr">
        <is>
          <t>INV0000970</t>
        </is>
      </c>
      <c r="B18" t="inlineStr">
        <is>
          <t>MER00048</t>
        </is>
      </c>
      <c r="C18" t="inlineStr">
        <is>
          <t>2025-11-01</t>
        </is>
      </c>
      <c r="D18" t="inlineStr">
        <is>
          <t>2025-11-30</t>
        </is>
      </c>
      <c r="E18" s="8" t="n">
        <v>45993</v>
      </c>
      <c r="F18" s="8" t="n">
        <v>46008</v>
      </c>
      <c r="G18" t="n">
        <v>291.84</v>
      </c>
      <c r="H18" t="n">
        <v>0</v>
      </c>
      <c r="I18" t="n">
        <v>291.84</v>
      </c>
      <c r="J18" t="n">
        <v>0.18</v>
      </c>
      <c r="K18" t="n">
        <v>52.53</v>
      </c>
      <c r="L18" t="n">
        <v>344.37</v>
      </c>
      <c r="M18" t="inlineStr">
        <is>
          <t>INR</t>
        </is>
      </c>
      <c r="N18" t="inlineStr">
        <is>
          <t>Paid</t>
        </is>
      </c>
      <c r="O18" t="inlineStr">
        <is>
          <t>Paid</t>
        </is>
      </c>
      <c r="P18" t="n">
        <v>291.84</v>
      </c>
      <c r="Q18" t="n">
        <v>291.84</v>
      </c>
      <c r="R18" t="b">
        <v>0</v>
      </c>
    </row>
    <row r="19">
      <c r="A19" t="inlineStr">
        <is>
          <t>INV0000971</t>
        </is>
      </c>
      <c r="B19" t="inlineStr">
        <is>
          <t>MER00048</t>
        </is>
      </c>
      <c r="C19" t="inlineStr">
        <is>
          <t>2025-12-01</t>
        </is>
      </c>
      <c r="D19" t="inlineStr">
        <is>
          <t>2025-12-31</t>
        </is>
      </c>
      <c r="E19" s="8" t="n">
        <v>46024</v>
      </c>
      <c r="F19" s="8" t="n">
        <v>46039</v>
      </c>
      <c r="G19" t="n">
        <v>44.3</v>
      </c>
      <c r="H19" t="n">
        <v>0</v>
      </c>
      <c r="I19" t="n">
        <v>44.3</v>
      </c>
      <c r="J19" t="n">
        <v>0.18</v>
      </c>
      <c r="K19" t="n">
        <v>7.97</v>
      </c>
      <c r="L19" t="n">
        <v>52.27</v>
      </c>
      <c r="M19" t="inlineStr">
        <is>
          <t>INR</t>
        </is>
      </c>
      <c r="N19" t="inlineStr">
        <is>
          <t>Paid</t>
        </is>
      </c>
      <c r="O19" t="inlineStr">
        <is>
          <t>Paid</t>
        </is>
      </c>
      <c r="P19" t="n">
        <v>44.3</v>
      </c>
      <c r="Q19" t="n">
        <v>44.3</v>
      </c>
      <c r="R19" t="b">
        <v>0</v>
      </c>
    </row>
    <row r="20">
      <c r="A20" t="inlineStr">
        <is>
          <t>INV0000972</t>
        </is>
      </c>
      <c r="B20" t="inlineStr">
        <is>
          <t>MER00048</t>
        </is>
      </c>
      <c r="C20" t="inlineStr">
        <is>
          <t>2026-01-01</t>
        </is>
      </c>
      <c r="D20" t="inlineStr">
        <is>
          <t>2026-01-31</t>
        </is>
      </c>
      <c r="E20" s="8" t="n">
        <v>46055</v>
      </c>
      <c r="F20" s="8" t="n">
        <v>46070</v>
      </c>
      <c r="G20" t="n">
        <v>272.03</v>
      </c>
      <c r="H20" t="n">
        <v>0</v>
      </c>
      <c r="I20" t="n">
        <v>272.03</v>
      </c>
      <c r="J20" t="n">
        <v>0.18</v>
      </c>
      <c r="K20" t="n">
        <v>48.97</v>
      </c>
      <c r="L20" t="n">
        <v>321</v>
      </c>
      <c r="M20" t="inlineStr">
        <is>
          <t>INR</t>
        </is>
      </c>
      <c r="N20" t="inlineStr">
        <is>
          <t>Paid</t>
        </is>
      </c>
      <c r="O20" t="inlineStr">
        <is>
          <t>Paid</t>
        </is>
      </c>
      <c r="P20" t="n">
        <v>272.03</v>
      </c>
      <c r="Q20" t="n">
        <v>272.03</v>
      </c>
      <c r="R20" t="b">
        <v>0</v>
      </c>
    </row>
    <row r="21">
      <c r="A21" t="inlineStr">
        <is>
          <t>INV0000973</t>
        </is>
      </c>
      <c r="B21" t="inlineStr">
        <is>
          <t>MER00048</t>
        </is>
      </c>
      <c r="C21" t="inlineStr">
        <is>
          <t>2026-02-01</t>
        </is>
      </c>
      <c r="D21" t="inlineStr">
        <is>
          <t>2026-02-28</t>
        </is>
      </c>
      <c r="E21" s="8" t="n">
        <v>46083</v>
      </c>
      <c r="F21" s="8" t="n">
        <v>46098</v>
      </c>
      <c r="G21" t="n">
        <v>315.53</v>
      </c>
      <c r="H21" t="n">
        <v>0</v>
      </c>
      <c r="I21" t="n">
        <v>315.53</v>
      </c>
      <c r="J21" t="n">
        <v>0.18</v>
      </c>
      <c r="K21" t="n">
        <v>56.8</v>
      </c>
      <c r="L21" t="n">
        <v>372.33</v>
      </c>
      <c r="M21" t="inlineStr">
        <is>
          <t>INR</t>
        </is>
      </c>
      <c r="N21" t="inlineStr">
        <is>
          <t>Paid</t>
        </is>
      </c>
      <c r="O21" t="inlineStr">
        <is>
          <t>Paid</t>
        </is>
      </c>
      <c r="P21" t="n">
        <v>315.53</v>
      </c>
      <c r="Q21" t="n">
        <v>315.53</v>
      </c>
      <c r="R21" t="b">
        <v>0</v>
      </c>
    </row>
    <row r="22">
      <c r="A22" t="inlineStr">
        <is>
          <t>INV0000974</t>
        </is>
      </c>
      <c r="B22" t="inlineStr">
        <is>
          <t>MER00048</t>
        </is>
      </c>
      <c r="C22" t="inlineStr">
        <is>
          <t>2026-03-01</t>
        </is>
      </c>
      <c r="D22" t="inlineStr">
        <is>
          <t>2026-03-31</t>
        </is>
      </c>
      <c r="E22" s="8" t="n">
        <v>46114</v>
      </c>
      <c r="F22" s="8" t="n">
        <v>46129</v>
      </c>
      <c r="G22" t="n">
        <v>86.59999999999999</v>
      </c>
      <c r="H22" t="n">
        <v>7.19</v>
      </c>
      <c r="I22" t="n">
        <v>79.41</v>
      </c>
      <c r="J22" t="n">
        <v>0.18</v>
      </c>
      <c r="K22" t="n">
        <v>14.29</v>
      </c>
      <c r="L22" t="n">
        <v>93.7</v>
      </c>
      <c r="M22" t="inlineStr">
        <is>
          <t>INR</t>
        </is>
      </c>
      <c r="N22" t="inlineStr">
        <is>
          <t>Paid</t>
        </is>
      </c>
      <c r="O22" t="inlineStr">
        <is>
          <t>Paid</t>
        </is>
      </c>
      <c r="P22" t="n">
        <v>86.59999999999999</v>
      </c>
      <c r="Q22" t="n">
        <v>86.59999999999999</v>
      </c>
      <c r="R22" t="b">
        <v>0</v>
      </c>
    </row>
    <row r="23">
      <c r="A23" t="inlineStr">
        <is>
          <t>INV0000975</t>
        </is>
      </c>
      <c r="B23" t="inlineStr">
        <is>
          <t>MER00048</t>
        </is>
      </c>
      <c r="C23" t="inlineStr">
        <is>
          <t>2026-04-01</t>
        </is>
      </c>
      <c r="D23" t="inlineStr">
        <is>
          <t>2026-04-30</t>
        </is>
      </c>
      <c r="E23" s="8" t="n">
        <v>46144</v>
      </c>
      <c r="F23" s="8" t="n">
        <v>46159</v>
      </c>
      <c r="G23" t="n">
        <v>443.28</v>
      </c>
      <c r="H23" t="n">
        <v>0</v>
      </c>
      <c r="I23" t="n">
        <v>443.28</v>
      </c>
      <c r="J23" t="n">
        <v>0.18</v>
      </c>
      <c r="K23" t="n">
        <v>79.79000000000001</v>
      </c>
      <c r="L23" t="n">
        <v>523.0700000000001</v>
      </c>
      <c r="M23" t="inlineStr">
        <is>
          <t>INR</t>
        </is>
      </c>
      <c r="N23" t="inlineStr">
        <is>
          <t>Paid</t>
        </is>
      </c>
      <c r="O23" t="inlineStr">
        <is>
          <t>Paid</t>
        </is>
      </c>
      <c r="P23" t="n">
        <v>443.28</v>
      </c>
      <c r="Q23" t="n">
        <v>443.28</v>
      </c>
      <c r="R23" t="b">
        <v>0</v>
      </c>
    </row>
    <row r="24">
      <c r="A24" t="inlineStr">
        <is>
          <t>INV0000976</t>
        </is>
      </c>
      <c r="B24" t="inlineStr">
        <is>
          <t>MER00048</t>
        </is>
      </c>
      <c r="C24" t="inlineStr">
        <is>
          <t>2026-05-01</t>
        </is>
      </c>
      <c r="D24" t="inlineStr">
        <is>
          <t>2026-05-31</t>
        </is>
      </c>
      <c r="E24" s="8" t="n">
        <v>46175</v>
      </c>
      <c r="F24" s="8" t="n">
        <v>46190</v>
      </c>
      <c r="G24" t="n">
        <v>110.19</v>
      </c>
      <c r="H24" t="n">
        <v>0</v>
      </c>
      <c r="I24" t="n">
        <v>110.19</v>
      </c>
      <c r="J24" t="n">
        <v>0.18</v>
      </c>
      <c r="K24" t="n">
        <v>19.83</v>
      </c>
      <c r="L24" t="n">
        <v>130.02</v>
      </c>
      <c r="M24" t="inlineStr">
        <is>
          <t>INR</t>
        </is>
      </c>
      <c r="N24" t="inlineStr">
        <is>
          <t>Paid</t>
        </is>
      </c>
      <c r="O24" t="inlineStr">
        <is>
          <t>Paid</t>
        </is>
      </c>
      <c r="P24" t="n">
        <v>110.19</v>
      </c>
      <c r="Q24" t="n">
        <v>110.19</v>
      </c>
      <c r="R24" t="b">
        <v>0</v>
      </c>
    </row>
    <row r="25">
      <c r="A25" t="inlineStr">
        <is>
          <t>INV0000977</t>
        </is>
      </c>
      <c r="B25" t="inlineStr">
        <is>
          <t>MER00048</t>
        </is>
      </c>
      <c r="C25" t="inlineStr">
        <is>
          <t>2026-06-01</t>
        </is>
      </c>
      <c r="D25" t="inlineStr">
        <is>
          <t>2026-06-30</t>
        </is>
      </c>
      <c r="E25" s="8" t="n">
        <v>46205</v>
      </c>
      <c r="F25" s="8" t="n">
        <v>46220</v>
      </c>
      <c r="G25" t="n">
        <v>195.09</v>
      </c>
      <c r="H25" t="n">
        <v>0</v>
      </c>
      <c r="I25" t="n">
        <v>195.09</v>
      </c>
      <c r="J25" t="n">
        <v>0.18</v>
      </c>
      <c r="K25" t="n">
        <v>35.12</v>
      </c>
      <c r="L25" t="n">
        <v>230.21</v>
      </c>
      <c r="M25" t="inlineStr">
        <is>
          <t>INR</t>
        </is>
      </c>
      <c r="N25" t="inlineStr">
        <is>
          <t>Paid</t>
        </is>
      </c>
      <c r="O25" t="inlineStr">
        <is>
          <t>Paid</t>
        </is>
      </c>
      <c r="P25" t="n">
        <v>154.12</v>
      </c>
      <c r="Q25" t="n">
        <v>195.09</v>
      </c>
      <c r="R25" t="b">
        <v>1</v>
      </c>
    </row>
    <row r="26">
      <c r="A26" t="inlineStr">
        <is>
          <t>INV0000978</t>
        </is>
      </c>
      <c r="B26" t="inlineStr">
        <is>
          <t>MER00048</t>
        </is>
      </c>
      <c r="C26" t="inlineStr">
        <is>
          <t>2026-07-01</t>
        </is>
      </c>
      <c r="D26" t="inlineStr">
        <is>
          <t>2026-07-31</t>
        </is>
      </c>
      <c r="E26" s="8" t="n">
        <v>46236</v>
      </c>
      <c r="F26" s="8" t="n">
        <v>46251</v>
      </c>
      <c r="G26" t="n">
        <v>298.14</v>
      </c>
      <c r="H26" t="n">
        <v>0</v>
      </c>
      <c r="I26" t="n">
        <v>298.14</v>
      </c>
      <c r="J26" t="n">
        <v>0.18</v>
      </c>
      <c r="K26" t="n">
        <v>53.67</v>
      </c>
      <c r="L26" t="n">
        <v>351.81</v>
      </c>
      <c r="M26" t="inlineStr">
        <is>
          <t>INR</t>
        </is>
      </c>
      <c r="N26" t="inlineStr">
        <is>
          <t>Paid</t>
        </is>
      </c>
      <c r="O26" t="inlineStr">
        <is>
          <t>Paid</t>
        </is>
      </c>
      <c r="P26" t="n">
        <v>298.14</v>
      </c>
      <c r="Q26" t="n">
        <v>298.14</v>
      </c>
      <c r="R26" t="b">
        <v>0</v>
      </c>
    </row>
    <row r="27">
      <c r="A27" t="inlineStr">
        <is>
          <t>INV0001101</t>
        </is>
      </c>
      <c r="B27" t="inlineStr">
        <is>
          <t>MER00055</t>
        </is>
      </c>
      <c r="C27" t="inlineStr">
        <is>
          <t>2024-08-01</t>
        </is>
      </c>
      <c r="D27" t="inlineStr">
        <is>
          <t>2024-08-31</t>
        </is>
      </c>
      <c r="E27" s="8" t="n">
        <v>45537</v>
      </c>
      <c r="F27" s="8" t="n">
        <v>45567</v>
      </c>
      <c r="G27" t="n">
        <v>467.85</v>
      </c>
      <c r="H27" t="n">
        <v>0</v>
      </c>
      <c r="I27" t="n">
        <v>467.85</v>
      </c>
      <c r="J27" t="n">
        <v>0.18</v>
      </c>
      <c r="K27" t="n">
        <v>84.20999999999999</v>
      </c>
      <c r="L27" t="n">
        <v>552.0599999999999</v>
      </c>
      <c r="M27" t="inlineStr">
        <is>
          <t>INR</t>
        </is>
      </c>
      <c r="N27" t="inlineStr">
        <is>
          <t>Overdue</t>
        </is>
      </c>
      <c r="O27" t="inlineStr">
        <is>
          <t>Partially Paid</t>
        </is>
      </c>
      <c r="P27" t="n">
        <v>467.85</v>
      </c>
      <c r="Q27" t="n">
        <v>467.85</v>
      </c>
      <c r="R27" t="b">
        <v>0</v>
      </c>
    </row>
    <row r="28">
      <c r="A28" t="inlineStr">
        <is>
          <t>INV0001102</t>
        </is>
      </c>
      <c r="B28" t="inlineStr">
        <is>
          <t>MER00055</t>
        </is>
      </c>
      <c r="C28" t="inlineStr">
        <is>
          <t>2024-09-01</t>
        </is>
      </c>
      <c r="D28" t="inlineStr">
        <is>
          <t>2024-09-30</t>
        </is>
      </c>
      <c r="E28" s="8" t="n">
        <v>45567</v>
      </c>
      <c r="F28" s="8" t="n">
        <v>45597</v>
      </c>
      <c r="G28" t="n">
        <v>715.6900000000001</v>
      </c>
      <c r="H28" t="n">
        <v>0</v>
      </c>
      <c r="I28" t="n">
        <v>715.6900000000001</v>
      </c>
      <c r="J28" t="n">
        <v>0.18</v>
      </c>
      <c r="K28" t="n">
        <v>128.82</v>
      </c>
      <c r="L28" t="n">
        <v>844.51</v>
      </c>
      <c r="M28" t="inlineStr">
        <is>
          <t>INR</t>
        </is>
      </c>
      <c r="N28" t="inlineStr">
        <is>
          <t>Overdue</t>
        </is>
      </c>
      <c r="O28" t="inlineStr">
        <is>
          <t>Unpaid</t>
        </is>
      </c>
      <c r="P28" t="n">
        <v>715.6900000000001</v>
      </c>
      <c r="Q28" t="n">
        <v>715.6900000000001</v>
      </c>
      <c r="R28" t="b">
        <v>0</v>
      </c>
    </row>
    <row r="29">
      <c r="A29" t="inlineStr">
        <is>
          <t>INV0001103</t>
        </is>
      </c>
      <c r="B29" t="inlineStr">
        <is>
          <t>MER00055</t>
        </is>
      </c>
      <c r="C29" t="inlineStr">
        <is>
          <t>2024-10-01</t>
        </is>
      </c>
      <c r="D29" t="inlineStr">
        <is>
          <t>2024-10-31</t>
        </is>
      </c>
      <c r="E29" s="8" t="n">
        <v>45598</v>
      </c>
      <c r="F29" s="8" t="n">
        <v>45628</v>
      </c>
      <c r="G29" t="n">
        <v>1197.76</v>
      </c>
      <c r="H29" t="n">
        <v>0</v>
      </c>
      <c r="I29" t="n">
        <v>1197.76</v>
      </c>
      <c r="J29" t="n">
        <v>0.18</v>
      </c>
      <c r="K29" t="n">
        <v>215.6</v>
      </c>
      <c r="L29" t="n">
        <v>1413.36</v>
      </c>
      <c r="M29" t="inlineStr">
        <is>
          <t>INR</t>
        </is>
      </c>
      <c r="N29" t="inlineStr">
        <is>
          <t>Overdue</t>
        </is>
      </c>
      <c r="O29" t="inlineStr">
        <is>
          <t>Unpaid</t>
        </is>
      </c>
      <c r="P29" t="n">
        <v>1197.76</v>
      </c>
      <c r="Q29" t="n">
        <v>1197.76</v>
      </c>
      <c r="R29" t="b">
        <v>0</v>
      </c>
    </row>
    <row r="30">
      <c r="A30" t="inlineStr">
        <is>
          <t>INV0001104</t>
        </is>
      </c>
      <c r="B30" t="inlineStr">
        <is>
          <t>MER00055</t>
        </is>
      </c>
      <c r="C30" t="inlineStr">
        <is>
          <t>2024-11-01</t>
        </is>
      </c>
      <c r="D30" t="inlineStr">
        <is>
          <t>2024-11-30</t>
        </is>
      </c>
      <c r="E30" s="8" t="n">
        <v>45628</v>
      </c>
      <c r="F30" s="8" t="n">
        <v>45658</v>
      </c>
      <c r="G30" t="n">
        <v>628.11</v>
      </c>
      <c r="H30" t="n">
        <v>0</v>
      </c>
      <c r="I30" t="n">
        <v>628.11</v>
      </c>
      <c r="J30" t="n">
        <v>0.18</v>
      </c>
      <c r="K30" t="n">
        <v>113.06</v>
      </c>
      <c r="L30" t="n">
        <v>741.17</v>
      </c>
      <c r="M30" t="inlineStr">
        <is>
          <t>INR</t>
        </is>
      </c>
      <c r="N30" t="inlineStr">
        <is>
          <t>Paid</t>
        </is>
      </c>
      <c r="O30" t="inlineStr">
        <is>
          <t>Paid</t>
        </is>
      </c>
      <c r="P30" t="n">
        <v>628.11</v>
      </c>
      <c r="Q30" t="n">
        <v>628.11</v>
      </c>
      <c r="R30" t="b">
        <v>0</v>
      </c>
    </row>
    <row r="31">
      <c r="A31" t="inlineStr">
        <is>
          <t>INV0001105</t>
        </is>
      </c>
      <c r="B31" t="inlineStr">
        <is>
          <t>MER00055</t>
        </is>
      </c>
      <c r="C31" t="inlineStr">
        <is>
          <t>2024-12-01</t>
        </is>
      </c>
      <c r="D31" t="inlineStr">
        <is>
          <t>2024-12-31</t>
        </is>
      </c>
      <c r="E31" s="8" t="n">
        <v>45659</v>
      </c>
      <c r="F31" s="8" t="n">
        <v>45689</v>
      </c>
      <c r="G31" t="n">
        <v>542.9400000000001</v>
      </c>
      <c r="H31" t="n">
        <v>0</v>
      </c>
      <c r="I31" t="n">
        <v>542.9400000000001</v>
      </c>
      <c r="J31" t="n">
        <v>0.18</v>
      </c>
      <c r="K31" t="n">
        <v>97.73</v>
      </c>
      <c r="L31" t="n">
        <v>640.67</v>
      </c>
      <c r="M31" t="inlineStr">
        <is>
          <t>INR</t>
        </is>
      </c>
      <c r="N31" t="inlineStr">
        <is>
          <t>Paid</t>
        </is>
      </c>
      <c r="O31" t="inlineStr">
        <is>
          <t>Paid</t>
        </is>
      </c>
      <c r="P31" t="n">
        <v>542.9400000000001</v>
      </c>
      <c r="Q31" t="n">
        <v>542.9400000000001</v>
      </c>
      <c r="R31" t="b">
        <v>0</v>
      </c>
    </row>
    <row r="32">
      <c r="A32" t="inlineStr">
        <is>
          <t>INV0001106</t>
        </is>
      </c>
      <c r="B32" t="inlineStr">
        <is>
          <t>MER00055</t>
        </is>
      </c>
      <c r="C32" t="inlineStr">
        <is>
          <t>2025-02-01</t>
        </is>
      </c>
      <c r="D32" t="inlineStr">
        <is>
          <t>2025-02-28</t>
        </is>
      </c>
      <c r="E32" s="8" t="n">
        <v>45718</v>
      </c>
      <c r="F32" s="8" t="n">
        <v>45748</v>
      </c>
      <c r="G32" t="n">
        <v>338.8</v>
      </c>
      <c r="H32" t="n">
        <v>0</v>
      </c>
      <c r="I32" t="n">
        <v>338.8</v>
      </c>
      <c r="J32" t="n">
        <v>0.18</v>
      </c>
      <c r="K32" t="n">
        <v>60.98</v>
      </c>
      <c r="L32" t="n">
        <v>399.78</v>
      </c>
      <c r="M32" t="inlineStr">
        <is>
          <t>INR</t>
        </is>
      </c>
      <c r="N32" t="inlineStr">
        <is>
          <t>Paid</t>
        </is>
      </c>
      <c r="O32" t="inlineStr">
        <is>
          <t>Paid</t>
        </is>
      </c>
      <c r="P32" t="n">
        <v>338.8</v>
      </c>
      <c r="Q32" t="n">
        <v>338.8</v>
      </c>
      <c r="R32" t="b">
        <v>0</v>
      </c>
    </row>
    <row r="33">
      <c r="A33" t="inlineStr">
        <is>
          <t>INV0001107</t>
        </is>
      </c>
      <c r="B33" t="inlineStr">
        <is>
          <t>MER00055</t>
        </is>
      </c>
      <c r="C33" t="inlineStr">
        <is>
          <t>2025-03-01</t>
        </is>
      </c>
      <c r="D33" t="inlineStr">
        <is>
          <t>2025-03-31</t>
        </is>
      </c>
      <c r="E33" s="8" t="n">
        <v>45749</v>
      </c>
      <c r="F33" s="8" t="n">
        <v>45779</v>
      </c>
      <c r="G33" t="n">
        <v>370.06</v>
      </c>
      <c r="H33" t="n">
        <v>0</v>
      </c>
      <c r="I33" t="n">
        <v>370.06</v>
      </c>
      <c r="J33" t="n">
        <v>0.18</v>
      </c>
      <c r="K33" t="n">
        <v>66.61</v>
      </c>
      <c r="L33" t="n">
        <v>436.67</v>
      </c>
      <c r="M33" t="inlineStr">
        <is>
          <t>INR</t>
        </is>
      </c>
      <c r="N33" t="inlineStr">
        <is>
          <t>Paid</t>
        </is>
      </c>
      <c r="O33" t="inlineStr">
        <is>
          <t>Paid</t>
        </is>
      </c>
      <c r="P33" t="n">
        <v>370.06</v>
      </c>
      <c r="Q33" t="n">
        <v>370.06</v>
      </c>
      <c r="R33" t="b">
        <v>0</v>
      </c>
    </row>
    <row r="34">
      <c r="A34" t="inlineStr">
        <is>
          <t>INV0001108</t>
        </is>
      </c>
      <c r="B34" t="inlineStr">
        <is>
          <t>MER00055</t>
        </is>
      </c>
      <c r="C34" t="inlineStr">
        <is>
          <t>2025-04-01</t>
        </is>
      </c>
      <c r="D34" t="inlineStr">
        <is>
          <t>2025-04-30</t>
        </is>
      </c>
      <c r="E34" s="8" t="n">
        <v>45779</v>
      </c>
      <c r="F34" s="8" t="n">
        <v>45809</v>
      </c>
      <c r="G34" t="n">
        <v>692.74</v>
      </c>
      <c r="H34" t="n">
        <v>0</v>
      </c>
      <c r="I34" t="n">
        <v>692.74</v>
      </c>
      <c r="J34" t="n">
        <v>0.18</v>
      </c>
      <c r="K34" t="n">
        <v>124.69</v>
      </c>
      <c r="L34" t="n">
        <v>817.4299999999999</v>
      </c>
      <c r="M34" t="inlineStr">
        <is>
          <t>INR</t>
        </is>
      </c>
      <c r="N34" t="inlineStr">
        <is>
          <t>Paid</t>
        </is>
      </c>
      <c r="O34" t="inlineStr">
        <is>
          <t>Paid</t>
        </is>
      </c>
      <c r="P34" t="n">
        <v>692.74</v>
      </c>
      <c r="Q34" t="n">
        <v>692.74</v>
      </c>
      <c r="R34" t="b">
        <v>0</v>
      </c>
    </row>
    <row r="35">
      <c r="A35" t="inlineStr">
        <is>
          <t>INV0001109</t>
        </is>
      </c>
      <c r="B35" t="inlineStr">
        <is>
          <t>MER00055</t>
        </is>
      </c>
      <c r="C35" t="inlineStr">
        <is>
          <t>2025-05-01</t>
        </is>
      </c>
      <c r="D35" t="inlineStr">
        <is>
          <t>2025-05-31</t>
        </is>
      </c>
      <c r="E35" s="8" t="n">
        <v>45810</v>
      </c>
      <c r="F35" s="8" t="n">
        <v>45840</v>
      </c>
      <c r="G35" t="n">
        <v>554.62</v>
      </c>
      <c r="H35" t="n">
        <v>0</v>
      </c>
      <c r="I35" t="n">
        <v>554.62</v>
      </c>
      <c r="J35" t="n">
        <v>0.18</v>
      </c>
      <c r="K35" t="n">
        <v>99.83</v>
      </c>
      <c r="L35" t="n">
        <v>654.45</v>
      </c>
      <c r="M35" t="inlineStr">
        <is>
          <t>INR</t>
        </is>
      </c>
      <c r="N35" t="inlineStr">
        <is>
          <t>Overdue</t>
        </is>
      </c>
      <c r="O35" t="inlineStr">
        <is>
          <t>Unpaid</t>
        </is>
      </c>
      <c r="P35" t="n">
        <v>554.62</v>
      </c>
      <c r="Q35" t="n">
        <v>554.62</v>
      </c>
      <c r="R35" t="b">
        <v>0</v>
      </c>
    </row>
    <row r="36">
      <c r="A36" t="inlineStr">
        <is>
          <t>INV0001110</t>
        </is>
      </c>
      <c r="B36" t="inlineStr">
        <is>
          <t>MER00055</t>
        </is>
      </c>
      <c r="C36" t="inlineStr">
        <is>
          <t>2025-06-01</t>
        </is>
      </c>
      <c r="D36" t="inlineStr">
        <is>
          <t>2025-06-30</t>
        </is>
      </c>
      <c r="E36" s="8" t="n">
        <v>45840</v>
      </c>
      <c r="F36" s="8" t="n">
        <v>45870</v>
      </c>
      <c r="G36" t="n">
        <v>470.63</v>
      </c>
      <c r="H36" t="n">
        <v>0</v>
      </c>
      <c r="I36" t="n">
        <v>470.63</v>
      </c>
      <c r="J36" t="n">
        <v>0.18</v>
      </c>
      <c r="K36" t="n">
        <v>84.70999999999999</v>
      </c>
      <c r="L36" t="n">
        <v>555.34</v>
      </c>
      <c r="M36" t="inlineStr">
        <is>
          <t>INR</t>
        </is>
      </c>
      <c r="N36" t="inlineStr">
        <is>
          <t>Overdue</t>
        </is>
      </c>
      <c r="O36" t="inlineStr">
        <is>
          <t>Partially Paid</t>
        </is>
      </c>
      <c r="P36" t="n">
        <v>470.63</v>
      </c>
      <c r="Q36" t="n">
        <v>470.63</v>
      </c>
      <c r="R36" t="b">
        <v>0</v>
      </c>
    </row>
    <row r="37">
      <c r="A37" t="inlineStr">
        <is>
          <t>INV0001111</t>
        </is>
      </c>
      <c r="B37" t="inlineStr">
        <is>
          <t>MER00055</t>
        </is>
      </c>
      <c r="C37" t="inlineStr">
        <is>
          <t>2025-07-01</t>
        </is>
      </c>
      <c r="D37" t="inlineStr">
        <is>
          <t>2025-07-31</t>
        </is>
      </c>
      <c r="E37" s="8" t="n">
        <v>45871</v>
      </c>
      <c r="F37" s="8" t="n">
        <v>45901</v>
      </c>
      <c r="G37" t="n">
        <v>337.88</v>
      </c>
      <c r="H37" t="n">
        <v>0</v>
      </c>
      <c r="I37" t="n">
        <v>337.88</v>
      </c>
      <c r="J37" t="n">
        <v>0.18</v>
      </c>
      <c r="K37" t="n">
        <v>60.82</v>
      </c>
      <c r="L37" t="n">
        <v>398.7</v>
      </c>
      <c r="M37" t="inlineStr">
        <is>
          <t>INR</t>
        </is>
      </c>
      <c r="N37" t="inlineStr">
        <is>
          <t>Paid</t>
        </is>
      </c>
      <c r="O37" t="inlineStr">
        <is>
          <t>Paid</t>
        </is>
      </c>
      <c r="P37" t="n">
        <v>337.88</v>
      </c>
      <c r="Q37" t="n">
        <v>337.88</v>
      </c>
      <c r="R37" t="b">
        <v>0</v>
      </c>
    </row>
    <row r="38">
      <c r="A38" t="inlineStr">
        <is>
          <t>INV0001112</t>
        </is>
      </c>
      <c r="B38" t="inlineStr">
        <is>
          <t>MER00055</t>
        </is>
      </c>
      <c r="C38" t="inlineStr">
        <is>
          <t>2025-08-01</t>
        </is>
      </c>
      <c r="D38" t="inlineStr">
        <is>
          <t>2025-08-31</t>
        </is>
      </c>
      <c r="E38" s="8" t="n">
        <v>45902</v>
      </c>
      <c r="F38" s="8" t="n">
        <v>45932</v>
      </c>
      <c r="G38" t="n">
        <v>801.5700000000001</v>
      </c>
      <c r="H38" t="n">
        <v>0</v>
      </c>
      <c r="I38" t="n">
        <v>801.5700000000001</v>
      </c>
      <c r="J38" t="n">
        <v>0.18</v>
      </c>
      <c r="K38" t="n">
        <v>144.28</v>
      </c>
      <c r="L38" t="n">
        <v>945.85</v>
      </c>
      <c r="M38" t="inlineStr">
        <is>
          <t>INR</t>
        </is>
      </c>
      <c r="N38" t="inlineStr">
        <is>
          <t>Overdue</t>
        </is>
      </c>
      <c r="O38" t="inlineStr">
        <is>
          <t>Unpaid</t>
        </is>
      </c>
      <c r="P38" t="n">
        <v>801.5700000000001</v>
      </c>
      <c r="Q38" t="n">
        <v>801.5700000000001</v>
      </c>
      <c r="R38" t="b">
        <v>0</v>
      </c>
    </row>
    <row r="39">
      <c r="A39" t="inlineStr">
        <is>
          <t>INV0001113</t>
        </is>
      </c>
      <c r="B39" t="inlineStr">
        <is>
          <t>MER00055</t>
        </is>
      </c>
      <c r="C39" t="inlineStr">
        <is>
          <t>2025-09-01</t>
        </is>
      </c>
      <c r="D39" t="inlineStr">
        <is>
          <t>2025-09-30</t>
        </is>
      </c>
      <c r="E39" s="8" t="n">
        <v>45932</v>
      </c>
      <c r="F39" s="8" t="n">
        <v>45962</v>
      </c>
      <c r="G39" t="n">
        <v>393.3</v>
      </c>
      <c r="H39" t="n">
        <v>29.1</v>
      </c>
      <c r="I39" t="n">
        <v>364.2</v>
      </c>
      <c r="J39" t="n">
        <v>0.18</v>
      </c>
      <c r="K39" t="n">
        <v>65.56</v>
      </c>
      <c r="L39" t="n">
        <v>429.76</v>
      </c>
      <c r="M39" t="inlineStr">
        <is>
          <t>INR</t>
        </is>
      </c>
      <c r="N39" t="inlineStr">
        <is>
          <t>Paid</t>
        </is>
      </c>
      <c r="O39" t="inlineStr">
        <is>
          <t>Paid</t>
        </is>
      </c>
      <c r="P39" t="n">
        <v>393.3</v>
      </c>
      <c r="Q39" t="n">
        <v>393.3</v>
      </c>
      <c r="R39" t="b">
        <v>0</v>
      </c>
    </row>
    <row r="40">
      <c r="A40" t="inlineStr">
        <is>
          <t>INV0001114</t>
        </is>
      </c>
      <c r="B40" t="inlineStr">
        <is>
          <t>MER00055</t>
        </is>
      </c>
      <c r="C40" t="inlineStr">
        <is>
          <t>2025-10-01</t>
        </is>
      </c>
      <c r="D40" t="inlineStr">
        <is>
          <t>2025-10-31</t>
        </is>
      </c>
      <c r="E40" s="8" t="n">
        <v>45963</v>
      </c>
      <c r="F40" s="8" t="n">
        <v>45993</v>
      </c>
      <c r="G40" t="n">
        <v>1263.46</v>
      </c>
      <c r="H40" t="n">
        <v>0</v>
      </c>
      <c r="I40" t="n">
        <v>1263.46</v>
      </c>
      <c r="J40" t="n">
        <v>0.18</v>
      </c>
      <c r="K40" t="n">
        <v>227.42</v>
      </c>
      <c r="L40" t="n">
        <v>1490.88</v>
      </c>
      <c r="M40" t="inlineStr">
        <is>
          <t>INR</t>
        </is>
      </c>
      <c r="N40" t="inlineStr">
        <is>
          <t>Overdue</t>
        </is>
      </c>
      <c r="O40" t="inlineStr">
        <is>
          <t>Unpaid</t>
        </is>
      </c>
      <c r="P40" t="n">
        <v>1263.46</v>
      </c>
      <c r="Q40" t="n">
        <v>1263.46</v>
      </c>
      <c r="R40" t="b">
        <v>0</v>
      </c>
    </row>
    <row r="41">
      <c r="A41" t="inlineStr">
        <is>
          <t>INV0001115</t>
        </is>
      </c>
      <c r="B41" t="inlineStr">
        <is>
          <t>MER00055</t>
        </is>
      </c>
      <c r="C41" t="inlineStr">
        <is>
          <t>2025-11-01</t>
        </is>
      </c>
      <c r="D41" t="inlineStr">
        <is>
          <t>2025-11-30</t>
        </is>
      </c>
      <c r="E41" s="8" t="n">
        <v>45993</v>
      </c>
      <c r="F41" s="8" t="n">
        <v>46023</v>
      </c>
      <c r="G41" t="n">
        <v>466.41</v>
      </c>
      <c r="H41" t="n">
        <v>58.77</v>
      </c>
      <c r="I41" t="n">
        <v>407.64</v>
      </c>
      <c r="J41" t="n">
        <v>0.18</v>
      </c>
      <c r="K41" t="n">
        <v>73.38</v>
      </c>
      <c r="L41" t="n">
        <v>481.02</v>
      </c>
      <c r="M41" t="inlineStr">
        <is>
          <t>INR</t>
        </is>
      </c>
      <c r="N41" t="inlineStr">
        <is>
          <t>Paid</t>
        </is>
      </c>
      <c r="O41" t="inlineStr">
        <is>
          <t>Paid</t>
        </is>
      </c>
      <c r="P41" t="n">
        <v>466.41</v>
      </c>
      <c r="Q41" t="n">
        <v>466.41</v>
      </c>
      <c r="R41" t="b">
        <v>0</v>
      </c>
    </row>
    <row r="42">
      <c r="A42" t="inlineStr">
        <is>
          <t>INV0001116</t>
        </is>
      </c>
      <c r="B42" t="inlineStr">
        <is>
          <t>MER00055</t>
        </is>
      </c>
      <c r="C42" t="inlineStr">
        <is>
          <t>2025-12-01</t>
        </is>
      </c>
      <c r="D42" t="inlineStr">
        <is>
          <t>2025-12-31</t>
        </is>
      </c>
      <c r="E42" s="8" t="n">
        <v>46024</v>
      </c>
      <c r="F42" s="8" t="n">
        <v>46054</v>
      </c>
      <c r="G42" t="n">
        <v>1226.32</v>
      </c>
      <c r="H42" t="n">
        <v>0</v>
      </c>
      <c r="I42" t="n">
        <v>1226.32</v>
      </c>
      <c r="J42" t="n">
        <v>0.18</v>
      </c>
      <c r="K42" t="n">
        <v>220.74</v>
      </c>
      <c r="L42" t="n">
        <v>1447.06</v>
      </c>
      <c r="M42" t="inlineStr">
        <is>
          <t>INR</t>
        </is>
      </c>
      <c r="N42" t="inlineStr">
        <is>
          <t>Paid</t>
        </is>
      </c>
      <c r="O42" t="inlineStr">
        <is>
          <t>Paid</t>
        </is>
      </c>
      <c r="P42" t="n">
        <v>1226.32</v>
      </c>
      <c r="Q42" t="n">
        <v>1226.32</v>
      </c>
      <c r="R42" t="b">
        <v>0</v>
      </c>
    </row>
    <row r="43">
      <c r="A43" t="inlineStr">
        <is>
          <t>INV0001117</t>
        </is>
      </c>
      <c r="B43" t="inlineStr">
        <is>
          <t>MER00055</t>
        </is>
      </c>
      <c r="C43" t="inlineStr">
        <is>
          <t>2026-01-01</t>
        </is>
      </c>
      <c r="D43" t="inlineStr">
        <is>
          <t>2026-01-31</t>
        </is>
      </c>
      <c r="E43" s="8" t="n">
        <v>46055</v>
      </c>
      <c r="F43" s="8" t="n">
        <v>46085</v>
      </c>
      <c r="G43" t="n">
        <v>924.23</v>
      </c>
      <c r="H43" t="n">
        <v>0</v>
      </c>
      <c r="I43" t="n">
        <v>924.23</v>
      </c>
      <c r="J43" t="n">
        <v>0.18</v>
      </c>
      <c r="K43" t="n">
        <v>166.36</v>
      </c>
      <c r="L43" t="n">
        <v>1090.59</v>
      </c>
      <c r="M43" t="inlineStr">
        <is>
          <t>INR</t>
        </is>
      </c>
      <c r="N43" t="inlineStr">
        <is>
          <t>Paid</t>
        </is>
      </c>
      <c r="O43" t="inlineStr">
        <is>
          <t>Paid</t>
        </is>
      </c>
      <c r="P43" t="n">
        <v>1058.18</v>
      </c>
      <c r="Q43" t="n">
        <v>924.23</v>
      </c>
      <c r="R43" t="b">
        <v>1</v>
      </c>
    </row>
    <row r="44">
      <c r="A44" t="inlineStr">
        <is>
          <t>INV0001118</t>
        </is>
      </c>
      <c r="B44" t="inlineStr">
        <is>
          <t>MER00055</t>
        </is>
      </c>
      <c r="C44" t="inlineStr">
        <is>
          <t>2026-02-01</t>
        </is>
      </c>
      <c r="D44" t="inlineStr">
        <is>
          <t>2026-02-28</t>
        </is>
      </c>
      <c r="E44" s="8" t="n">
        <v>46083</v>
      </c>
      <c r="F44" s="8" t="n">
        <v>46113</v>
      </c>
      <c r="G44" t="n">
        <v>867.1900000000001</v>
      </c>
      <c r="H44" t="n">
        <v>0</v>
      </c>
      <c r="I44" t="n">
        <v>867.1900000000001</v>
      </c>
      <c r="J44" t="n">
        <v>0.18</v>
      </c>
      <c r="K44" t="n">
        <v>156.09</v>
      </c>
      <c r="L44" t="n">
        <v>1023.28</v>
      </c>
      <c r="M44" t="inlineStr">
        <is>
          <t>INR</t>
        </is>
      </c>
      <c r="N44" t="inlineStr">
        <is>
          <t>Paid</t>
        </is>
      </c>
      <c r="O44" t="inlineStr">
        <is>
          <t>Paid</t>
        </is>
      </c>
      <c r="P44" t="n">
        <v>867.1900000000001</v>
      </c>
      <c r="Q44" t="n">
        <v>867.1900000000001</v>
      </c>
      <c r="R44" t="b">
        <v>0</v>
      </c>
    </row>
    <row r="45">
      <c r="A45" t="inlineStr">
        <is>
          <t>INV0001119</t>
        </is>
      </c>
      <c r="B45" t="inlineStr">
        <is>
          <t>MER00055</t>
        </is>
      </c>
      <c r="C45" t="inlineStr">
        <is>
          <t>2026-03-01</t>
        </is>
      </c>
      <c r="D45" t="inlineStr">
        <is>
          <t>2026-03-31</t>
        </is>
      </c>
      <c r="E45" s="8" t="n">
        <v>46114</v>
      </c>
      <c r="F45" s="8" t="n">
        <v>46144</v>
      </c>
      <c r="G45" t="n">
        <v>1733.13</v>
      </c>
      <c r="H45" t="n">
        <v>0</v>
      </c>
      <c r="I45" t="n">
        <v>1733.13</v>
      </c>
      <c r="J45" t="n">
        <v>0.18</v>
      </c>
      <c r="K45" t="n">
        <v>311.96</v>
      </c>
      <c r="L45" t="n">
        <v>2045.09</v>
      </c>
      <c r="M45" t="inlineStr">
        <is>
          <t>INR</t>
        </is>
      </c>
      <c r="N45" t="inlineStr">
        <is>
          <t>Paid</t>
        </is>
      </c>
      <c r="O45" t="inlineStr">
        <is>
          <t>Paid</t>
        </is>
      </c>
      <c r="P45" t="n">
        <v>1733.13</v>
      </c>
      <c r="Q45" t="n">
        <v>1733.13</v>
      </c>
      <c r="R45" t="b">
        <v>0</v>
      </c>
    </row>
    <row r="46">
      <c r="A46" t="inlineStr">
        <is>
          <t>INV0001120</t>
        </is>
      </c>
      <c r="B46" t="inlineStr">
        <is>
          <t>MER00055</t>
        </is>
      </c>
      <c r="C46" t="inlineStr">
        <is>
          <t>2026-04-01</t>
        </is>
      </c>
      <c r="D46" t="inlineStr">
        <is>
          <t>2026-04-30</t>
        </is>
      </c>
      <c r="E46" s="8" t="n">
        <v>46144</v>
      </c>
      <c r="F46" s="8" t="n">
        <v>46174</v>
      </c>
      <c r="G46" t="n">
        <v>1209.7</v>
      </c>
      <c r="H46" t="n">
        <v>0</v>
      </c>
      <c r="I46" t="n">
        <v>1209.7</v>
      </c>
      <c r="J46" t="n">
        <v>0.18</v>
      </c>
      <c r="K46" t="n">
        <v>217.75</v>
      </c>
      <c r="L46" t="n">
        <v>1427.45</v>
      </c>
      <c r="M46" t="inlineStr">
        <is>
          <t>INR</t>
        </is>
      </c>
      <c r="N46" t="inlineStr">
        <is>
          <t>Overdue</t>
        </is>
      </c>
      <c r="O46" t="inlineStr">
        <is>
          <t>Unpaid</t>
        </is>
      </c>
      <c r="P46" t="n">
        <v>1209.7</v>
      </c>
      <c r="Q46" t="n">
        <v>1209.7</v>
      </c>
      <c r="R46" t="b">
        <v>0</v>
      </c>
    </row>
    <row r="47">
      <c r="A47" t="inlineStr">
        <is>
          <t>INV0001121</t>
        </is>
      </c>
      <c r="B47" t="inlineStr">
        <is>
          <t>MER00055</t>
        </is>
      </c>
      <c r="C47" t="inlineStr">
        <is>
          <t>2026-05-01</t>
        </is>
      </c>
      <c r="D47" t="inlineStr">
        <is>
          <t>2026-05-31</t>
        </is>
      </c>
      <c r="E47" s="8" t="n">
        <v>46175</v>
      </c>
      <c r="F47" s="8" t="n">
        <v>46205</v>
      </c>
      <c r="G47" t="n">
        <v>1425.19</v>
      </c>
      <c r="H47" t="n">
        <v>0</v>
      </c>
      <c r="I47" t="n">
        <v>1425.19</v>
      </c>
      <c r="J47" t="n">
        <v>0.18</v>
      </c>
      <c r="K47" t="n">
        <v>256.53</v>
      </c>
      <c r="L47" t="n">
        <v>1681.72</v>
      </c>
      <c r="M47" t="inlineStr">
        <is>
          <t>INR</t>
        </is>
      </c>
      <c r="N47" t="inlineStr">
        <is>
          <t>Paid</t>
        </is>
      </c>
      <c r="O47" t="inlineStr">
        <is>
          <t>Paid</t>
        </is>
      </c>
      <c r="P47" t="n">
        <v>1425.19</v>
      </c>
      <c r="Q47" t="n">
        <v>1425.19</v>
      </c>
      <c r="R47" t="b">
        <v>0</v>
      </c>
    </row>
    <row r="48">
      <c r="A48" t="inlineStr">
        <is>
          <t>INV0001122</t>
        </is>
      </c>
      <c r="B48" t="inlineStr">
        <is>
          <t>MER00055</t>
        </is>
      </c>
      <c r="C48" t="inlineStr">
        <is>
          <t>2026-06-01</t>
        </is>
      </c>
      <c r="D48" t="inlineStr">
        <is>
          <t>2026-06-30</t>
        </is>
      </c>
      <c r="E48" s="8" t="n">
        <v>46205</v>
      </c>
      <c r="F48" s="8" t="n">
        <v>46235</v>
      </c>
      <c r="G48" t="n">
        <v>1444.31</v>
      </c>
      <c r="H48" t="n">
        <v>0</v>
      </c>
      <c r="I48" t="n">
        <v>1444.31</v>
      </c>
      <c r="J48" t="n">
        <v>0.18</v>
      </c>
      <c r="K48" t="n">
        <v>259.98</v>
      </c>
      <c r="L48" t="n">
        <v>1704.29</v>
      </c>
      <c r="M48" t="inlineStr">
        <is>
          <t>INR</t>
        </is>
      </c>
      <c r="N48" t="inlineStr">
        <is>
          <t>Overdue</t>
        </is>
      </c>
      <c r="O48" t="inlineStr">
        <is>
          <t>Unpaid</t>
        </is>
      </c>
      <c r="P48" t="n">
        <v>1444.31</v>
      </c>
      <c r="Q48" t="n">
        <v>1444.31</v>
      </c>
      <c r="R48" t="b">
        <v>0</v>
      </c>
    </row>
    <row r="49">
      <c r="A49" t="inlineStr">
        <is>
          <t>INV0001123</t>
        </is>
      </c>
      <c r="B49" t="inlineStr">
        <is>
          <t>MER00055</t>
        </is>
      </c>
      <c r="C49" t="inlineStr">
        <is>
          <t>2026-07-01</t>
        </is>
      </c>
      <c r="D49" t="inlineStr">
        <is>
          <t>2026-07-31</t>
        </is>
      </c>
      <c r="E49" s="8" t="n">
        <v>46236</v>
      </c>
      <c r="F49" s="8" t="n">
        <v>46266</v>
      </c>
      <c r="G49" t="n">
        <v>899.91</v>
      </c>
      <c r="H49" t="n">
        <v>0</v>
      </c>
      <c r="I49" t="n">
        <v>899.91</v>
      </c>
      <c r="J49" t="n">
        <v>0.18</v>
      </c>
      <c r="K49" t="n">
        <v>161.98</v>
      </c>
      <c r="L49" t="n">
        <v>1061.89</v>
      </c>
      <c r="M49" t="inlineStr">
        <is>
          <t>INR</t>
        </is>
      </c>
      <c r="N49" t="inlineStr">
        <is>
          <t>Paid</t>
        </is>
      </c>
      <c r="O49" t="inlineStr">
        <is>
          <t>Paid</t>
        </is>
      </c>
      <c r="P49" t="n">
        <v>899.91</v>
      </c>
      <c r="Q49" t="n">
        <v>899.91</v>
      </c>
      <c r="R49" t="b">
        <v>0</v>
      </c>
    </row>
    <row r="50">
      <c r="A50" t="inlineStr">
        <is>
          <t>INV0001540</t>
        </is>
      </c>
      <c r="B50" t="inlineStr">
        <is>
          <t>MER00074</t>
        </is>
      </c>
      <c r="C50" t="inlineStr">
        <is>
          <t>2024-09-01</t>
        </is>
      </c>
      <c r="D50" t="inlineStr">
        <is>
          <t>2024-09-30</t>
        </is>
      </c>
      <c r="E50" s="8" t="n">
        <v>45567</v>
      </c>
      <c r="F50" s="8" t="n">
        <v>45612</v>
      </c>
      <c r="G50" t="n">
        <v>787.13</v>
      </c>
      <c r="H50" t="n">
        <v>0</v>
      </c>
      <c r="I50" t="n">
        <v>787.13</v>
      </c>
      <c r="J50" t="n">
        <v>0.18</v>
      </c>
      <c r="K50" t="n">
        <v>141.68</v>
      </c>
      <c r="L50" t="n">
        <v>928.8099999999999</v>
      </c>
      <c r="M50" t="inlineStr">
        <is>
          <t>INR</t>
        </is>
      </c>
      <c r="N50" t="inlineStr">
        <is>
          <t>Paid</t>
        </is>
      </c>
      <c r="O50" t="inlineStr">
        <is>
          <t>Paid</t>
        </is>
      </c>
      <c r="P50" t="n">
        <v>787.13</v>
      </c>
      <c r="Q50" t="n">
        <v>787.13</v>
      </c>
      <c r="R50" t="b">
        <v>0</v>
      </c>
    </row>
    <row r="51">
      <c r="A51" t="inlineStr">
        <is>
          <t>INV0001541</t>
        </is>
      </c>
      <c r="B51" t="inlineStr">
        <is>
          <t>MER00074</t>
        </is>
      </c>
      <c r="C51" t="inlineStr">
        <is>
          <t>2024-10-01</t>
        </is>
      </c>
      <c r="D51" t="inlineStr">
        <is>
          <t>2024-10-31</t>
        </is>
      </c>
      <c r="E51" s="8" t="n">
        <v>45598</v>
      </c>
      <c r="F51" s="8" t="n">
        <v>45643</v>
      </c>
      <c r="G51" t="n">
        <v>701.64</v>
      </c>
      <c r="H51" t="n">
        <v>0</v>
      </c>
      <c r="I51" t="n">
        <v>701.64</v>
      </c>
      <c r="J51" t="n">
        <v>0.18</v>
      </c>
      <c r="K51" t="n">
        <v>126.3</v>
      </c>
      <c r="L51" t="n">
        <v>827.9400000000001</v>
      </c>
      <c r="M51" t="inlineStr">
        <is>
          <t>INR</t>
        </is>
      </c>
      <c r="N51" t="inlineStr">
        <is>
          <t>Paid</t>
        </is>
      </c>
      <c r="O51" t="inlineStr">
        <is>
          <t>Paid</t>
        </is>
      </c>
      <c r="P51" t="n">
        <v>832.83</v>
      </c>
      <c r="Q51" t="n">
        <v>701.64</v>
      </c>
      <c r="R51" t="b">
        <v>1</v>
      </c>
    </row>
    <row r="52">
      <c r="A52" t="inlineStr">
        <is>
          <t>INV0001542</t>
        </is>
      </c>
      <c r="B52" t="inlineStr">
        <is>
          <t>MER00074</t>
        </is>
      </c>
      <c r="C52" t="inlineStr">
        <is>
          <t>2024-11-01</t>
        </is>
      </c>
      <c r="D52" t="inlineStr">
        <is>
          <t>2024-11-30</t>
        </is>
      </c>
      <c r="E52" s="8" t="n">
        <v>45628</v>
      </c>
      <c r="F52" s="8" t="n">
        <v>45673</v>
      </c>
      <c r="G52" t="n">
        <v>1445.54</v>
      </c>
      <c r="H52" t="n">
        <v>0</v>
      </c>
      <c r="I52" t="n">
        <v>1445.54</v>
      </c>
      <c r="J52" t="n">
        <v>0.18</v>
      </c>
      <c r="K52" t="n">
        <v>260.2</v>
      </c>
      <c r="L52" t="n">
        <v>1705.74</v>
      </c>
      <c r="M52" t="inlineStr">
        <is>
          <t>INR</t>
        </is>
      </c>
      <c r="N52" t="inlineStr">
        <is>
          <t>Paid</t>
        </is>
      </c>
      <c r="O52" t="inlineStr">
        <is>
          <t>Paid</t>
        </is>
      </c>
      <c r="P52" t="n">
        <v>1445.54</v>
      </c>
      <c r="Q52" t="n">
        <v>1445.54</v>
      </c>
      <c r="R52" t="b">
        <v>0</v>
      </c>
    </row>
    <row r="53">
      <c r="A53" t="inlineStr">
        <is>
          <t>INV0001543</t>
        </is>
      </c>
      <c r="B53" t="inlineStr">
        <is>
          <t>MER00074</t>
        </is>
      </c>
      <c r="C53" t="inlineStr">
        <is>
          <t>2024-12-01</t>
        </is>
      </c>
      <c r="D53" t="inlineStr">
        <is>
          <t>2024-12-31</t>
        </is>
      </c>
      <c r="E53" s="8" t="n">
        <v>45659</v>
      </c>
      <c r="F53" s="8" t="n">
        <v>45704</v>
      </c>
      <c r="G53" t="n">
        <v>1226.65</v>
      </c>
      <c r="H53" t="n">
        <v>0</v>
      </c>
      <c r="I53" t="n">
        <v>1226.65</v>
      </c>
      <c r="J53" t="n">
        <v>0.18</v>
      </c>
      <c r="K53" t="n">
        <v>220.8</v>
      </c>
      <c r="L53" t="n">
        <v>1447.45</v>
      </c>
      <c r="M53" t="inlineStr">
        <is>
          <t>INR</t>
        </is>
      </c>
      <c r="N53" t="inlineStr">
        <is>
          <t>Paid</t>
        </is>
      </c>
      <c r="O53" t="inlineStr">
        <is>
          <t>Paid</t>
        </is>
      </c>
      <c r="P53" t="n">
        <v>1226.65</v>
      </c>
      <c r="Q53" t="n">
        <v>1226.65</v>
      </c>
      <c r="R53" t="b">
        <v>0</v>
      </c>
    </row>
    <row r="54">
      <c r="A54" t="inlineStr">
        <is>
          <t>INV0001544</t>
        </is>
      </c>
      <c r="B54" t="inlineStr">
        <is>
          <t>MER00074</t>
        </is>
      </c>
      <c r="C54" t="inlineStr">
        <is>
          <t>2025-01-01</t>
        </is>
      </c>
      <c r="D54" t="inlineStr">
        <is>
          <t>2025-01-31</t>
        </is>
      </c>
      <c r="E54" s="8" t="n">
        <v>45690</v>
      </c>
      <c r="F54" s="8" t="n">
        <v>45735</v>
      </c>
      <c r="G54" t="n">
        <v>694.33</v>
      </c>
      <c r="H54" t="n">
        <v>0</v>
      </c>
      <c r="I54" t="n">
        <v>694.33</v>
      </c>
      <c r="J54" t="n">
        <v>0.18</v>
      </c>
      <c r="K54" t="n">
        <v>124.98</v>
      </c>
      <c r="L54" t="n">
        <v>819.3099999999999</v>
      </c>
      <c r="M54" t="inlineStr">
        <is>
          <t>INR</t>
        </is>
      </c>
      <c r="N54" t="inlineStr">
        <is>
          <t>Paid</t>
        </is>
      </c>
      <c r="O54" t="inlineStr">
        <is>
          <t>Paid</t>
        </is>
      </c>
      <c r="P54" t="n">
        <v>694.33</v>
      </c>
      <c r="Q54" t="n">
        <v>694.33</v>
      </c>
      <c r="R54" t="b">
        <v>0</v>
      </c>
    </row>
    <row r="55">
      <c r="A55" t="inlineStr">
        <is>
          <t>INV0001545</t>
        </is>
      </c>
      <c r="B55" t="inlineStr">
        <is>
          <t>MER00074</t>
        </is>
      </c>
      <c r="C55" t="inlineStr">
        <is>
          <t>2025-02-01</t>
        </is>
      </c>
      <c r="D55" t="inlineStr">
        <is>
          <t>2025-02-28</t>
        </is>
      </c>
      <c r="E55" s="8" t="n">
        <v>45718</v>
      </c>
      <c r="F55" s="8" t="n">
        <v>45763</v>
      </c>
      <c r="G55" t="n">
        <v>949.95</v>
      </c>
      <c r="H55" t="n">
        <v>0</v>
      </c>
      <c r="I55" t="n">
        <v>949.95</v>
      </c>
      <c r="J55" t="n">
        <v>0.18</v>
      </c>
      <c r="K55" t="n">
        <v>170.99</v>
      </c>
      <c r="L55" t="n">
        <v>1120.94</v>
      </c>
      <c r="M55" t="inlineStr">
        <is>
          <t>INR</t>
        </is>
      </c>
      <c r="N55" t="inlineStr">
        <is>
          <t>Void</t>
        </is>
      </c>
      <c r="O55" t="inlineStr">
        <is>
          <t>Unpaid</t>
        </is>
      </c>
      <c r="P55" t="n">
        <v>949.95</v>
      </c>
      <c r="Q55" t="n">
        <v>949.95</v>
      </c>
      <c r="R55" t="b">
        <v>0</v>
      </c>
    </row>
    <row r="56">
      <c r="A56" t="inlineStr">
        <is>
          <t>INV0001546</t>
        </is>
      </c>
      <c r="B56" t="inlineStr">
        <is>
          <t>MER00074</t>
        </is>
      </c>
      <c r="C56" t="inlineStr">
        <is>
          <t>2025-03-01</t>
        </is>
      </c>
      <c r="D56" t="inlineStr">
        <is>
          <t>2025-03-31</t>
        </is>
      </c>
      <c r="E56" s="8" t="n">
        <v>45749</v>
      </c>
      <c r="F56" s="8" t="n">
        <v>45794</v>
      </c>
      <c r="G56" t="n">
        <v>468.41</v>
      </c>
      <c r="H56" t="n">
        <v>0</v>
      </c>
      <c r="I56" t="n">
        <v>468.41</v>
      </c>
      <c r="J56" t="n">
        <v>0.18</v>
      </c>
      <c r="K56" t="n">
        <v>84.31</v>
      </c>
      <c r="L56" t="n">
        <v>552.72</v>
      </c>
      <c r="M56" t="inlineStr">
        <is>
          <t>INR</t>
        </is>
      </c>
      <c r="N56" t="inlineStr">
        <is>
          <t>Paid</t>
        </is>
      </c>
      <c r="O56" t="inlineStr">
        <is>
          <t>Paid</t>
        </is>
      </c>
      <c r="P56" t="n">
        <v>658.84</v>
      </c>
      <c r="Q56" t="n">
        <v>468.41</v>
      </c>
      <c r="R56" t="b">
        <v>1</v>
      </c>
    </row>
    <row r="57">
      <c r="A57" t="inlineStr">
        <is>
          <t>INV0001547</t>
        </is>
      </c>
      <c r="B57" t="inlineStr">
        <is>
          <t>MER00074</t>
        </is>
      </c>
      <c r="C57" t="inlineStr">
        <is>
          <t>2025-04-01</t>
        </is>
      </c>
      <c r="D57" t="inlineStr">
        <is>
          <t>2025-04-30</t>
        </is>
      </c>
      <c r="E57" s="8" t="n">
        <v>45779</v>
      </c>
      <c r="F57" s="8" t="n">
        <v>45824</v>
      </c>
      <c r="G57" t="n">
        <v>932.67</v>
      </c>
      <c r="H57" t="n">
        <v>0</v>
      </c>
      <c r="I57" t="n">
        <v>932.67</v>
      </c>
      <c r="J57" t="n">
        <v>0.18</v>
      </c>
      <c r="K57" t="n">
        <v>167.88</v>
      </c>
      <c r="L57" t="n">
        <v>1100.55</v>
      </c>
      <c r="M57" t="inlineStr">
        <is>
          <t>INR</t>
        </is>
      </c>
      <c r="N57" t="inlineStr">
        <is>
          <t>Paid</t>
        </is>
      </c>
      <c r="O57" t="inlineStr">
        <is>
          <t>Paid</t>
        </is>
      </c>
      <c r="P57" t="n">
        <v>932.67</v>
      </c>
      <c r="Q57" t="n">
        <v>932.67</v>
      </c>
      <c r="R57" t="b">
        <v>0</v>
      </c>
    </row>
    <row r="58">
      <c r="A58" t="inlineStr">
        <is>
          <t>INV0001548</t>
        </is>
      </c>
      <c r="B58" t="inlineStr">
        <is>
          <t>MER00074</t>
        </is>
      </c>
      <c r="C58" t="inlineStr">
        <is>
          <t>2025-05-01</t>
        </is>
      </c>
      <c r="D58" t="inlineStr">
        <is>
          <t>2025-05-31</t>
        </is>
      </c>
      <c r="E58" s="8" t="n">
        <v>45810</v>
      </c>
      <c r="F58" s="8" t="n">
        <v>45855</v>
      </c>
      <c r="G58" t="n">
        <v>1187.08</v>
      </c>
      <c r="H58" t="n">
        <v>59.35</v>
      </c>
      <c r="I58" t="n">
        <v>1127.73</v>
      </c>
      <c r="J58" t="n">
        <v>0.18</v>
      </c>
      <c r="K58" t="n">
        <v>202.99</v>
      </c>
      <c r="L58" t="n">
        <v>1330.72</v>
      </c>
      <c r="M58" t="inlineStr">
        <is>
          <t>INR</t>
        </is>
      </c>
      <c r="N58" t="inlineStr">
        <is>
          <t>Overdue</t>
        </is>
      </c>
      <c r="O58" t="inlineStr">
        <is>
          <t>Unpaid</t>
        </is>
      </c>
      <c r="P58" t="n">
        <v>1187.08</v>
      </c>
      <c r="Q58" t="n">
        <v>1187.08</v>
      </c>
      <c r="R58" t="b">
        <v>0</v>
      </c>
    </row>
    <row r="59">
      <c r="A59" t="inlineStr">
        <is>
          <t>INV0001549</t>
        </is>
      </c>
      <c r="B59" t="inlineStr">
        <is>
          <t>MER00074</t>
        </is>
      </c>
      <c r="C59" t="inlineStr">
        <is>
          <t>2025-06-01</t>
        </is>
      </c>
      <c r="D59" t="inlineStr">
        <is>
          <t>2025-06-30</t>
        </is>
      </c>
      <c r="E59" s="8" t="n">
        <v>45840</v>
      </c>
      <c r="F59" s="8" t="n">
        <v>45885</v>
      </c>
      <c r="G59" t="n">
        <v>1074.82</v>
      </c>
      <c r="H59" t="n">
        <v>0</v>
      </c>
      <c r="I59" t="n">
        <v>1074.82</v>
      </c>
      <c r="J59" t="n">
        <v>0.18</v>
      </c>
      <c r="K59" t="n">
        <v>193.47</v>
      </c>
      <c r="L59" t="n">
        <v>1268.29</v>
      </c>
      <c r="M59" t="inlineStr">
        <is>
          <t>INR</t>
        </is>
      </c>
      <c r="N59" t="inlineStr">
        <is>
          <t>Paid</t>
        </is>
      </c>
      <c r="O59" t="inlineStr">
        <is>
          <t>Paid</t>
        </is>
      </c>
      <c r="P59" t="n">
        <v>1074.82</v>
      </c>
      <c r="Q59" t="n">
        <v>1074.82</v>
      </c>
      <c r="R59" t="b">
        <v>0</v>
      </c>
    </row>
    <row r="60">
      <c r="A60" t="inlineStr">
        <is>
          <t>INV0001550</t>
        </is>
      </c>
      <c r="B60" t="inlineStr">
        <is>
          <t>MER00074</t>
        </is>
      </c>
      <c r="C60" t="inlineStr">
        <is>
          <t>2025-07-01</t>
        </is>
      </c>
      <c r="D60" t="inlineStr">
        <is>
          <t>2025-07-31</t>
        </is>
      </c>
      <c r="E60" s="8" t="n">
        <v>45871</v>
      </c>
      <c r="F60" s="8" t="n">
        <v>45916</v>
      </c>
      <c r="G60" t="n">
        <v>1440.46</v>
      </c>
      <c r="H60" t="n">
        <v>0</v>
      </c>
      <c r="I60" t="n">
        <v>1440.46</v>
      </c>
      <c r="J60" t="n">
        <v>0.18</v>
      </c>
      <c r="K60" t="n">
        <v>259.28</v>
      </c>
      <c r="L60" t="n">
        <v>1699.74</v>
      </c>
      <c r="M60" t="inlineStr">
        <is>
          <t>INR</t>
        </is>
      </c>
      <c r="N60" t="inlineStr">
        <is>
          <t>Overdue</t>
        </is>
      </c>
      <c r="O60" t="inlineStr">
        <is>
          <t>Unpaid</t>
        </is>
      </c>
      <c r="P60" t="n">
        <v>1440.46</v>
      </c>
      <c r="Q60" t="n">
        <v>1440.46</v>
      </c>
      <c r="R60" t="b">
        <v>0</v>
      </c>
    </row>
    <row r="61">
      <c r="A61" t="inlineStr">
        <is>
          <t>INV0001551</t>
        </is>
      </c>
      <c r="B61" t="inlineStr">
        <is>
          <t>MER00074</t>
        </is>
      </c>
      <c r="C61" t="inlineStr">
        <is>
          <t>2025-08-01</t>
        </is>
      </c>
      <c r="D61" t="inlineStr">
        <is>
          <t>2025-08-31</t>
        </is>
      </c>
      <c r="E61" s="8" t="n">
        <v>45902</v>
      </c>
      <c r="F61" s="8" t="n">
        <v>45947</v>
      </c>
      <c r="G61" t="n">
        <v>1495.13</v>
      </c>
      <c r="H61" t="n">
        <v>0</v>
      </c>
      <c r="I61" t="n">
        <v>1495.13</v>
      </c>
      <c r="J61" t="n">
        <v>0.18</v>
      </c>
      <c r="K61" t="n">
        <v>269.12</v>
      </c>
      <c r="L61" t="n">
        <v>1764.25</v>
      </c>
      <c r="M61" t="inlineStr">
        <is>
          <t>INR</t>
        </is>
      </c>
      <c r="N61" t="inlineStr">
        <is>
          <t>Paid</t>
        </is>
      </c>
      <c r="O61" t="inlineStr">
        <is>
          <t>Paid</t>
        </is>
      </c>
      <c r="P61" t="n">
        <v>1495.13</v>
      </c>
      <c r="Q61" t="n">
        <v>1495.13</v>
      </c>
      <c r="R61" t="b">
        <v>0</v>
      </c>
    </row>
    <row r="62">
      <c r="A62" t="inlineStr">
        <is>
          <t>INV0001552</t>
        </is>
      </c>
      <c r="B62" t="inlineStr">
        <is>
          <t>MER00074</t>
        </is>
      </c>
      <c r="C62" t="inlineStr">
        <is>
          <t>2025-09-01</t>
        </is>
      </c>
      <c r="D62" t="inlineStr">
        <is>
          <t>2025-09-30</t>
        </is>
      </c>
      <c r="E62" s="8" t="n">
        <v>45932</v>
      </c>
      <c r="F62" s="8" t="n">
        <v>45977</v>
      </c>
      <c r="G62" t="n">
        <v>866.1</v>
      </c>
      <c r="H62" t="n">
        <v>0</v>
      </c>
      <c r="I62" t="n">
        <v>866.1</v>
      </c>
      <c r="J62" t="n">
        <v>0.18</v>
      </c>
      <c r="K62" t="n">
        <v>155.9</v>
      </c>
      <c r="L62" t="n">
        <v>1022</v>
      </c>
      <c r="M62" t="inlineStr">
        <is>
          <t>INR</t>
        </is>
      </c>
      <c r="N62" t="inlineStr">
        <is>
          <t>Paid</t>
        </is>
      </c>
      <c r="O62" t="inlineStr">
        <is>
          <t>Paid</t>
        </is>
      </c>
      <c r="P62" t="n">
        <v>866.1</v>
      </c>
      <c r="Q62" t="n">
        <v>866.1</v>
      </c>
      <c r="R62" t="b">
        <v>0</v>
      </c>
    </row>
    <row r="63">
      <c r="A63" t="inlineStr">
        <is>
          <t>INV0001553</t>
        </is>
      </c>
      <c r="B63" t="inlineStr">
        <is>
          <t>MER00074</t>
        </is>
      </c>
      <c r="C63" t="inlineStr">
        <is>
          <t>2025-10-01</t>
        </is>
      </c>
      <c r="D63" t="inlineStr">
        <is>
          <t>2025-10-31</t>
        </is>
      </c>
      <c r="E63" s="8" t="n">
        <v>45963</v>
      </c>
      <c r="F63" s="8" t="n">
        <v>46008</v>
      </c>
      <c r="G63" t="n">
        <v>2387.71</v>
      </c>
      <c r="H63" t="n">
        <v>0</v>
      </c>
      <c r="I63" t="n">
        <v>2387.71</v>
      </c>
      <c r="J63" t="n">
        <v>0.18</v>
      </c>
      <c r="K63" t="n">
        <v>429.79</v>
      </c>
      <c r="L63" t="n">
        <v>2817.5</v>
      </c>
      <c r="M63" t="inlineStr">
        <is>
          <t>INR</t>
        </is>
      </c>
      <c r="N63" t="inlineStr">
        <is>
          <t>Paid</t>
        </is>
      </c>
      <c r="O63" t="inlineStr">
        <is>
          <t>Paid</t>
        </is>
      </c>
      <c r="P63" t="n">
        <v>2387.71</v>
      </c>
      <c r="Q63" t="n">
        <v>2387.71</v>
      </c>
      <c r="R63" t="b">
        <v>0</v>
      </c>
    </row>
    <row r="64">
      <c r="A64" t="inlineStr">
        <is>
          <t>INV0001554</t>
        </is>
      </c>
      <c r="B64" t="inlineStr">
        <is>
          <t>MER00074</t>
        </is>
      </c>
      <c r="C64" t="inlineStr">
        <is>
          <t>2025-11-01</t>
        </is>
      </c>
      <c r="D64" t="inlineStr">
        <is>
          <t>2025-11-30</t>
        </is>
      </c>
      <c r="E64" s="8" t="n">
        <v>45993</v>
      </c>
      <c r="F64" s="8" t="n">
        <v>46038</v>
      </c>
      <c r="G64" t="n">
        <v>2449.18</v>
      </c>
      <c r="H64" t="n">
        <v>0</v>
      </c>
      <c r="I64" t="n">
        <v>2449.18</v>
      </c>
      <c r="J64" t="n">
        <v>0.18</v>
      </c>
      <c r="K64" t="n">
        <v>440.85</v>
      </c>
      <c r="L64" t="n">
        <v>2890.03</v>
      </c>
      <c r="M64" t="inlineStr">
        <is>
          <t>INR</t>
        </is>
      </c>
      <c r="N64" t="inlineStr">
        <is>
          <t>Paid</t>
        </is>
      </c>
      <c r="O64" t="inlineStr">
        <is>
          <t>Paid</t>
        </is>
      </c>
      <c r="P64" t="n">
        <v>2449.18</v>
      </c>
      <c r="Q64" t="n">
        <v>2449.18</v>
      </c>
      <c r="R64" t="b">
        <v>0</v>
      </c>
    </row>
    <row r="65">
      <c r="A65" t="inlineStr">
        <is>
          <t>INV0001555</t>
        </is>
      </c>
      <c r="B65" t="inlineStr">
        <is>
          <t>MER00074</t>
        </is>
      </c>
      <c r="C65" t="inlineStr">
        <is>
          <t>2025-12-01</t>
        </is>
      </c>
      <c r="D65" t="inlineStr">
        <is>
          <t>2025-12-31</t>
        </is>
      </c>
      <c r="E65" s="8" t="n">
        <v>46024</v>
      </c>
      <c r="F65" s="8" t="n">
        <v>46069</v>
      </c>
      <c r="G65" t="n">
        <v>1198.99</v>
      </c>
      <c r="H65" t="n">
        <v>0</v>
      </c>
      <c r="I65" t="n">
        <v>1198.99</v>
      </c>
      <c r="J65" t="n">
        <v>0.18</v>
      </c>
      <c r="K65" t="n">
        <v>215.82</v>
      </c>
      <c r="L65" t="n">
        <v>1414.81</v>
      </c>
      <c r="M65" t="inlineStr">
        <is>
          <t>INR</t>
        </is>
      </c>
      <c r="N65" t="inlineStr">
        <is>
          <t>Paid</t>
        </is>
      </c>
      <c r="O65" t="inlineStr">
        <is>
          <t>Paid</t>
        </is>
      </c>
      <c r="P65" t="n">
        <v>1616.96</v>
      </c>
      <c r="Q65" t="n">
        <v>1198.99</v>
      </c>
      <c r="R65" t="b">
        <v>1</v>
      </c>
    </row>
    <row r="66">
      <c r="A66" t="inlineStr">
        <is>
          <t>INV0001556</t>
        </is>
      </c>
      <c r="B66" t="inlineStr">
        <is>
          <t>MER00074</t>
        </is>
      </c>
      <c r="C66" t="inlineStr">
        <is>
          <t>2026-01-01</t>
        </is>
      </c>
      <c r="D66" t="inlineStr">
        <is>
          <t>2026-01-31</t>
        </is>
      </c>
      <c r="E66" s="8" t="n">
        <v>46055</v>
      </c>
      <c r="F66" s="8" t="n">
        <v>46100</v>
      </c>
      <c r="G66" t="n">
        <v>2838.22</v>
      </c>
      <c r="H66" t="n">
        <v>0</v>
      </c>
      <c r="I66" t="n">
        <v>2838.22</v>
      </c>
      <c r="J66" t="n">
        <v>0.18</v>
      </c>
      <c r="K66" t="n">
        <v>510.88</v>
      </c>
      <c r="L66" t="n">
        <v>3349.1</v>
      </c>
      <c r="M66" t="inlineStr">
        <is>
          <t>INR</t>
        </is>
      </c>
      <c r="N66" t="inlineStr">
        <is>
          <t>Paid</t>
        </is>
      </c>
      <c r="O66" t="inlineStr">
        <is>
          <t>Paid</t>
        </is>
      </c>
      <c r="P66" t="n">
        <v>2838.22</v>
      </c>
      <c r="Q66" t="n">
        <v>2838.22</v>
      </c>
      <c r="R66" t="b">
        <v>0</v>
      </c>
    </row>
    <row r="67">
      <c r="A67" t="inlineStr">
        <is>
          <t>INV0001557</t>
        </is>
      </c>
      <c r="B67" t="inlineStr">
        <is>
          <t>MER00074</t>
        </is>
      </c>
      <c r="C67" t="inlineStr">
        <is>
          <t>2026-02-01</t>
        </is>
      </c>
      <c r="D67" t="inlineStr">
        <is>
          <t>2026-02-28</t>
        </is>
      </c>
      <c r="E67" s="8" t="n">
        <v>46083</v>
      </c>
      <c r="F67" s="8" t="n">
        <v>46128</v>
      </c>
      <c r="G67" t="n">
        <v>1525.22</v>
      </c>
      <c r="H67" t="n">
        <v>0</v>
      </c>
      <c r="I67" t="n">
        <v>1525.22</v>
      </c>
      <c r="J67" t="n">
        <v>0.18</v>
      </c>
      <c r="K67" t="n">
        <v>274.54</v>
      </c>
      <c r="L67" t="n">
        <v>1799.76</v>
      </c>
      <c r="M67" t="inlineStr">
        <is>
          <t>INR</t>
        </is>
      </c>
      <c r="N67" t="inlineStr">
        <is>
          <t>Overdue</t>
        </is>
      </c>
      <c r="O67" t="inlineStr">
        <is>
          <t>Unpaid</t>
        </is>
      </c>
      <c r="P67" t="n">
        <v>1525.22</v>
      </c>
      <c r="Q67" t="n">
        <v>1525.22</v>
      </c>
      <c r="R67" t="b">
        <v>0</v>
      </c>
    </row>
    <row r="68">
      <c r="A68" t="inlineStr">
        <is>
          <t>INV0001558</t>
        </is>
      </c>
      <c r="B68" t="inlineStr">
        <is>
          <t>MER00074</t>
        </is>
      </c>
      <c r="C68" t="inlineStr">
        <is>
          <t>2026-03-01</t>
        </is>
      </c>
      <c r="D68" t="inlineStr">
        <is>
          <t>2026-03-31</t>
        </is>
      </c>
      <c r="E68" s="8" t="n">
        <v>46114</v>
      </c>
      <c r="F68" s="8" t="n">
        <v>46159</v>
      </c>
      <c r="G68" t="n">
        <v>1686.57</v>
      </c>
      <c r="H68" t="n">
        <v>0</v>
      </c>
      <c r="I68" t="n">
        <v>1686.57</v>
      </c>
      <c r="J68" t="n">
        <v>0.18</v>
      </c>
      <c r="K68" t="n">
        <v>303.58</v>
      </c>
      <c r="L68" t="n">
        <v>1990.15</v>
      </c>
      <c r="M68" t="inlineStr">
        <is>
          <t>INR</t>
        </is>
      </c>
      <c r="N68" t="inlineStr">
        <is>
          <t>Paid</t>
        </is>
      </c>
      <c r="O68" t="inlineStr">
        <is>
          <t>Paid</t>
        </is>
      </c>
      <c r="P68" t="n">
        <v>1686.57</v>
      </c>
      <c r="Q68" t="n">
        <v>1686.57</v>
      </c>
      <c r="R68" t="b">
        <v>0</v>
      </c>
    </row>
    <row r="69">
      <c r="A69" t="inlineStr">
        <is>
          <t>INV0001559</t>
        </is>
      </c>
      <c r="B69" t="inlineStr">
        <is>
          <t>MER00074</t>
        </is>
      </c>
      <c r="C69" t="inlineStr">
        <is>
          <t>2026-04-01</t>
        </is>
      </c>
      <c r="D69" t="inlineStr">
        <is>
          <t>2026-04-30</t>
        </is>
      </c>
      <c r="E69" s="8" t="n">
        <v>46144</v>
      </c>
      <c r="F69" s="8" t="n">
        <v>46189</v>
      </c>
      <c r="G69" t="n">
        <v>2250.64</v>
      </c>
      <c r="H69" t="n">
        <v>0</v>
      </c>
      <c r="I69" t="n">
        <v>2250.64</v>
      </c>
      <c r="J69" t="n">
        <v>0.18</v>
      </c>
      <c r="K69" t="n">
        <v>405.12</v>
      </c>
      <c r="L69" t="n">
        <v>2655.76</v>
      </c>
      <c r="M69" t="inlineStr">
        <is>
          <t>INR</t>
        </is>
      </c>
      <c r="N69" t="inlineStr">
        <is>
          <t>Paid</t>
        </is>
      </c>
      <c r="O69" t="inlineStr">
        <is>
          <t>Paid</t>
        </is>
      </c>
      <c r="P69" t="n">
        <v>2250.64</v>
      </c>
      <c r="Q69" t="n">
        <v>2250.64</v>
      </c>
      <c r="R69" t="b">
        <v>0</v>
      </c>
    </row>
    <row r="70">
      <c r="A70" t="inlineStr">
        <is>
          <t>INV0001560</t>
        </is>
      </c>
      <c r="B70" t="inlineStr">
        <is>
          <t>MER00074</t>
        </is>
      </c>
      <c r="C70" t="inlineStr">
        <is>
          <t>2026-05-01</t>
        </is>
      </c>
      <c r="D70" t="inlineStr">
        <is>
          <t>2026-05-31</t>
        </is>
      </c>
      <c r="E70" s="8" t="n">
        <v>46175</v>
      </c>
      <c r="F70" s="8" t="n">
        <v>46220</v>
      </c>
      <c r="G70" t="n">
        <v>972.61</v>
      </c>
      <c r="H70" t="n">
        <v>0</v>
      </c>
      <c r="I70" t="n">
        <v>972.61</v>
      </c>
      <c r="J70" t="n">
        <v>0.18</v>
      </c>
      <c r="K70" t="n">
        <v>175.07</v>
      </c>
      <c r="L70" t="n">
        <v>1147.68</v>
      </c>
      <c r="M70" t="inlineStr">
        <is>
          <t>INR</t>
        </is>
      </c>
      <c r="N70" t="inlineStr">
        <is>
          <t>Paid</t>
        </is>
      </c>
      <c r="O70" t="inlineStr">
        <is>
          <t>Paid</t>
        </is>
      </c>
      <c r="P70" t="n">
        <v>972.61</v>
      </c>
      <c r="Q70" t="n">
        <v>972.61</v>
      </c>
      <c r="R70" t="b">
        <v>0</v>
      </c>
    </row>
    <row r="71">
      <c r="A71" t="inlineStr">
        <is>
          <t>INV0001561</t>
        </is>
      </c>
      <c r="B71" t="inlineStr">
        <is>
          <t>MER00074</t>
        </is>
      </c>
      <c r="C71" t="inlineStr">
        <is>
          <t>2026-06-01</t>
        </is>
      </c>
      <c r="D71" t="inlineStr">
        <is>
          <t>2026-06-30</t>
        </is>
      </c>
      <c r="E71" s="8" t="n">
        <v>46205</v>
      </c>
      <c r="F71" s="8" t="n">
        <v>46250</v>
      </c>
      <c r="G71" t="n">
        <v>1471.27</v>
      </c>
      <c r="H71" t="n">
        <v>197.15</v>
      </c>
      <c r="I71" t="n">
        <v>1274.12</v>
      </c>
      <c r="J71" t="n">
        <v>0.18</v>
      </c>
      <c r="K71" t="n">
        <v>229.34</v>
      </c>
      <c r="L71" t="n">
        <v>1503.46</v>
      </c>
      <c r="M71" t="inlineStr">
        <is>
          <t>INR</t>
        </is>
      </c>
      <c r="N71" t="inlineStr">
        <is>
          <t>Issued</t>
        </is>
      </c>
      <c r="O71" t="inlineStr">
        <is>
          <t>Unpaid</t>
        </is>
      </c>
      <c r="P71" t="n">
        <v>1471.27</v>
      </c>
      <c r="Q71" t="n">
        <v>1471.27</v>
      </c>
      <c r="R71" t="b">
        <v>0</v>
      </c>
    </row>
    <row r="72">
      <c r="A72" t="inlineStr">
        <is>
          <t>INV0001562</t>
        </is>
      </c>
      <c r="B72" t="inlineStr">
        <is>
          <t>MER00074</t>
        </is>
      </c>
      <c r="C72" t="inlineStr">
        <is>
          <t>2026-07-01</t>
        </is>
      </c>
      <c r="D72" t="inlineStr">
        <is>
          <t>2026-07-31</t>
        </is>
      </c>
      <c r="E72" s="8" t="n">
        <v>46236</v>
      </c>
      <c r="F72" s="8" t="n">
        <v>46281</v>
      </c>
      <c r="G72" t="n">
        <v>1677.58</v>
      </c>
      <c r="H72" t="n">
        <v>0</v>
      </c>
      <c r="I72" t="n">
        <v>1677.58</v>
      </c>
      <c r="J72" t="n">
        <v>0.18</v>
      </c>
      <c r="K72" t="n">
        <v>301.96</v>
      </c>
      <c r="L72" t="n">
        <v>1979.54</v>
      </c>
      <c r="M72" t="inlineStr">
        <is>
          <t>INR</t>
        </is>
      </c>
      <c r="N72" t="inlineStr">
        <is>
          <t>Paid</t>
        </is>
      </c>
      <c r="O72" t="inlineStr">
        <is>
          <t>Paid</t>
        </is>
      </c>
      <c r="P72" t="n">
        <v>1677.58</v>
      </c>
      <c r="Q72" t="n">
        <v>1677.58</v>
      </c>
      <c r="R72" t="b">
        <v>0</v>
      </c>
    </row>
    <row r="73">
      <c r="A73" t="inlineStr">
        <is>
          <t>INV0001610</t>
        </is>
      </c>
      <c r="B73" t="inlineStr">
        <is>
          <t>MER00077</t>
        </is>
      </c>
      <c r="C73" t="inlineStr">
        <is>
          <t>2024-08-01</t>
        </is>
      </c>
      <c r="D73" t="inlineStr">
        <is>
          <t>2024-08-31</t>
        </is>
      </c>
      <c r="E73" s="8" t="n">
        <v>45537</v>
      </c>
      <c r="F73" s="8" t="n">
        <v>45552</v>
      </c>
      <c r="G73" t="n">
        <v>410.87</v>
      </c>
      <c r="H73" t="n">
        <v>0</v>
      </c>
      <c r="I73" t="n">
        <v>410.87</v>
      </c>
      <c r="J73" t="n">
        <v>0.18</v>
      </c>
      <c r="K73" t="n">
        <v>73.95999999999999</v>
      </c>
      <c r="L73" t="n">
        <v>484.83</v>
      </c>
      <c r="M73" t="inlineStr">
        <is>
          <t>INR</t>
        </is>
      </c>
      <c r="N73" t="inlineStr">
        <is>
          <t>Paid</t>
        </is>
      </c>
      <c r="O73" t="inlineStr">
        <is>
          <t>Paid</t>
        </is>
      </c>
      <c r="P73" t="n">
        <v>410.87</v>
      </c>
      <c r="Q73" t="n">
        <v>410.87</v>
      </c>
      <c r="R73" t="b">
        <v>0</v>
      </c>
    </row>
    <row r="74">
      <c r="A74" t="inlineStr">
        <is>
          <t>INV0001611</t>
        </is>
      </c>
      <c r="B74" t="inlineStr">
        <is>
          <t>MER00077</t>
        </is>
      </c>
      <c r="C74" t="inlineStr">
        <is>
          <t>2024-09-01</t>
        </is>
      </c>
      <c r="D74" t="inlineStr">
        <is>
          <t>2024-09-30</t>
        </is>
      </c>
      <c r="E74" s="8" t="n">
        <v>45567</v>
      </c>
      <c r="F74" s="8" t="n">
        <v>45582</v>
      </c>
      <c r="G74" t="n">
        <v>412.54</v>
      </c>
      <c r="H74" t="n">
        <v>0</v>
      </c>
      <c r="I74" t="n">
        <v>412.54</v>
      </c>
      <c r="J74" t="n">
        <v>0.18</v>
      </c>
      <c r="K74" t="n">
        <v>74.26000000000001</v>
      </c>
      <c r="L74" t="n">
        <v>486.8</v>
      </c>
      <c r="M74" t="inlineStr">
        <is>
          <t>INR</t>
        </is>
      </c>
      <c r="N74" t="inlineStr">
        <is>
          <t>Paid</t>
        </is>
      </c>
      <c r="O74" t="inlineStr">
        <is>
          <t>Paid</t>
        </is>
      </c>
      <c r="P74" t="n">
        <v>412.54</v>
      </c>
      <c r="Q74" t="n">
        <v>412.54</v>
      </c>
      <c r="R74" t="b">
        <v>0</v>
      </c>
    </row>
    <row r="75">
      <c r="A75" t="inlineStr">
        <is>
          <t>INV0001612</t>
        </is>
      </c>
      <c r="B75" t="inlineStr">
        <is>
          <t>MER00077</t>
        </is>
      </c>
      <c r="C75" t="inlineStr">
        <is>
          <t>2024-10-01</t>
        </is>
      </c>
      <c r="D75" t="inlineStr">
        <is>
          <t>2024-10-31</t>
        </is>
      </c>
      <c r="E75" s="8" t="n">
        <v>45598</v>
      </c>
      <c r="F75" s="8" t="n">
        <v>45613</v>
      </c>
      <c r="G75" t="n">
        <v>306.9</v>
      </c>
      <c r="H75" t="n">
        <v>0</v>
      </c>
      <c r="I75" t="n">
        <v>306.9</v>
      </c>
      <c r="J75" t="n">
        <v>0.18</v>
      </c>
      <c r="K75" t="n">
        <v>55.24</v>
      </c>
      <c r="L75" t="n">
        <v>362.14</v>
      </c>
      <c r="M75" t="inlineStr">
        <is>
          <t>INR</t>
        </is>
      </c>
      <c r="N75" t="inlineStr">
        <is>
          <t>Paid</t>
        </is>
      </c>
      <c r="O75" t="inlineStr">
        <is>
          <t>Paid</t>
        </is>
      </c>
      <c r="P75" t="n">
        <v>306.9</v>
      </c>
      <c r="Q75" t="n">
        <v>306.9</v>
      </c>
      <c r="R75" t="b">
        <v>0</v>
      </c>
    </row>
    <row r="76">
      <c r="A76" t="inlineStr">
        <is>
          <t>INV0001613</t>
        </is>
      </c>
      <c r="B76" t="inlineStr">
        <is>
          <t>MER00077</t>
        </is>
      </c>
      <c r="C76" t="inlineStr">
        <is>
          <t>2024-11-01</t>
        </is>
      </c>
      <c r="D76" t="inlineStr">
        <is>
          <t>2024-11-30</t>
        </is>
      </c>
      <c r="E76" s="8" t="n">
        <v>45628</v>
      </c>
      <c r="F76" s="8" t="n">
        <v>45643</v>
      </c>
      <c r="G76" t="n">
        <v>233.81</v>
      </c>
      <c r="H76" t="n">
        <v>0</v>
      </c>
      <c r="I76" t="n">
        <v>233.81</v>
      </c>
      <c r="J76" t="n">
        <v>0.18</v>
      </c>
      <c r="K76" t="n">
        <v>42.09</v>
      </c>
      <c r="L76" t="n">
        <v>275.9</v>
      </c>
      <c r="M76" t="inlineStr">
        <is>
          <t>INR</t>
        </is>
      </c>
      <c r="N76" t="inlineStr">
        <is>
          <t>Paid</t>
        </is>
      </c>
      <c r="O76" t="inlineStr">
        <is>
          <t>Paid</t>
        </is>
      </c>
      <c r="P76" t="n">
        <v>205.14</v>
      </c>
      <c r="Q76" t="n">
        <v>233.81</v>
      </c>
      <c r="R76" t="b">
        <v>1</v>
      </c>
    </row>
    <row r="77">
      <c r="A77" t="inlineStr">
        <is>
          <t>INV0001614</t>
        </is>
      </c>
      <c r="B77" t="inlineStr">
        <is>
          <t>MER00077</t>
        </is>
      </c>
      <c r="C77" t="inlineStr">
        <is>
          <t>2024-12-01</t>
        </is>
      </c>
      <c r="D77" t="inlineStr">
        <is>
          <t>2024-12-31</t>
        </is>
      </c>
      <c r="E77" s="8" t="n">
        <v>45659</v>
      </c>
      <c r="F77" s="8" t="n">
        <v>45674</v>
      </c>
      <c r="G77" t="n">
        <v>61.38</v>
      </c>
      <c r="H77" t="n">
        <v>0</v>
      </c>
      <c r="I77" t="n">
        <v>61.38</v>
      </c>
      <c r="J77" t="n">
        <v>0.18</v>
      </c>
      <c r="K77" t="n">
        <v>11.05</v>
      </c>
      <c r="L77" t="n">
        <v>72.43000000000001</v>
      </c>
      <c r="M77" t="inlineStr">
        <is>
          <t>INR</t>
        </is>
      </c>
      <c r="N77" t="inlineStr">
        <is>
          <t>Paid</t>
        </is>
      </c>
      <c r="O77" t="inlineStr">
        <is>
          <t>Paid</t>
        </is>
      </c>
      <c r="P77" t="n">
        <v>61.38</v>
      </c>
      <c r="Q77" t="n">
        <v>61.38</v>
      </c>
      <c r="R77" t="b">
        <v>0</v>
      </c>
    </row>
    <row r="78">
      <c r="A78" t="inlineStr">
        <is>
          <t>INV0001615</t>
        </is>
      </c>
      <c r="B78" t="inlineStr">
        <is>
          <t>MER00077</t>
        </is>
      </c>
      <c r="C78" t="inlineStr">
        <is>
          <t>2025-01-01</t>
        </is>
      </c>
      <c r="D78" t="inlineStr">
        <is>
          <t>2025-01-31</t>
        </is>
      </c>
      <c r="E78" s="8" t="n">
        <v>45690</v>
      </c>
      <c r="F78" s="8" t="n">
        <v>45705</v>
      </c>
      <c r="G78" t="n">
        <v>124.97</v>
      </c>
      <c r="H78" t="n">
        <v>0</v>
      </c>
      <c r="I78" t="n">
        <v>124.97</v>
      </c>
      <c r="J78" t="n">
        <v>0.18</v>
      </c>
      <c r="K78" t="n">
        <v>22.49</v>
      </c>
      <c r="L78" t="n">
        <v>147.46</v>
      </c>
      <c r="M78" t="inlineStr">
        <is>
          <t>INR</t>
        </is>
      </c>
      <c r="N78" t="inlineStr">
        <is>
          <t>Paid</t>
        </is>
      </c>
      <c r="O78" t="inlineStr">
        <is>
          <t>Paid</t>
        </is>
      </c>
      <c r="P78" t="n">
        <v>124.97</v>
      </c>
      <c r="Q78" t="n">
        <v>124.97</v>
      </c>
      <c r="R78" t="b">
        <v>0</v>
      </c>
    </row>
    <row r="79">
      <c r="A79" t="inlineStr">
        <is>
          <t>INV0001616</t>
        </is>
      </c>
      <c r="B79" t="inlineStr">
        <is>
          <t>MER00077</t>
        </is>
      </c>
      <c r="C79" t="inlineStr">
        <is>
          <t>2025-02-01</t>
        </is>
      </c>
      <c r="D79" t="inlineStr">
        <is>
          <t>2025-02-28</t>
        </is>
      </c>
      <c r="E79" s="8" t="n">
        <v>45718</v>
      </c>
      <c r="F79" s="8" t="n">
        <v>45733</v>
      </c>
      <c r="G79" t="n">
        <v>169.72</v>
      </c>
      <c r="H79" t="n">
        <v>0</v>
      </c>
      <c r="I79" t="n">
        <v>169.72</v>
      </c>
      <c r="J79" t="n">
        <v>0.18</v>
      </c>
      <c r="K79" t="n">
        <v>30.55</v>
      </c>
      <c r="L79" t="n">
        <v>200.27</v>
      </c>
      <c r="M79" t="inlineStr">
        <is>
          <t>INR</t>
        </is>
      </c>
      <c r="N79" t="inlineStr">
        <is>
          <t>Paid</t>
        </is>
      </c>
      <c r="O79" t="inlineStr">
        <is>
          <t>Paid</t>
        </is>
      </c>
      <c r="P79" t="n">
        <v>169.72</v>
      </c>
      <c r="Q79" t="n">
        <v>169.72</v>
      </c>
      <c r="R79" t="b">
        <v>0</v>
      </c>
    </row>
    <row r="80">
      <c r="A80" t="inlineStr">
        <is>
          <t>INV0001617</t>
        </is>
      </c>
      <c r="B80" t="inlineStr">
        <is>
          <t>MER00077</t>
        </is>
      </c>
      <c r="C80" t="inlineStr">
        <is>
          <t>2025-03-01</t>
        </is>
      </c>
      <c r="D80" t="inlineStr">
        <is>
          <t>2025-03-31</t>
        </is>
      </c>
      <c r="E80" s="8" t="n">
        <v>45749</v>
      </c>
      <c r="F80" s="8" t="n">
        <v>45764</v>
      </c>
      <c r="G80" t="n">
        <v>258.23</v>
      </c>
      <c r="H80" t="n">
        <v>13.94</v>
      </c>
      <c r="I80" t="n">
        <v>244.29</v>
      </c>
      <c r="J80" t="n">
        <v>0.18</v>
      </c>
      <c r="K80" t="n">
        <v>43.97</v>
      </c>
      <c r="L80" t="n">
        <v>288.26</v>
      </c>
      <c r="M80" t="inlineStr">
        <is>
          <t>INR</t>
        </is>
      </c>
      <c r="N80" t="inlineStr">
        <is>
          <t>Paid</t>
        </is>
      </c>
      <c r="O80" t="inlineStr">
        <is>
          <t>Paid</t>
        </is>
      </c>
      <c r="P80" t="n">
        <v>281.26</v>
      </c>
      <c r="Q80" t="n">
        <v>258.23</v>
      </c>
      <c r="R80" t="b">
        <v>1</v>
      </c>
    </row>
    <row r="81">
      <c r="A81" t="inlineStr">
        <is>
          <t>INV0001618</t>
        </is>
      </c>
      <c r="B81" t="inlineStr">
        <is>
          <t>MER00077</t>
        </is>
      </c>
      <c r="C81" t="inlineStr">
        <is>
          <t>2025-04-01</t>
        </is>
      </c>
      <c r="D81" t="inlineStr">
        <is>
          <t>2025-04-30</t>
        </is>
      </c>
      <c r="E81" s="8" t="n">
        <v>45779</v>
      </c>
      <c r="F81" s="8" t="n">
        <v>45794</v>
      </c>
      <c r="G81" t="n">
        <v>189.26</v>
      </c>
      <c r="H81" t="n">
        <v>0</v>
      </c>
      <c r="I81" t="n">
        <v>189.26</v>
      </c>
      <c r="J81" t="n">
        <v>0.18</v>
      </c>
      <c r="K81" t="n">
        <v>34.07</v>
      </c>
      <c r="L81" t="n">
        <v>223.33</v>
      </c>
      <c r="M81" t="inlineStr">
        <is>
          <t>INR</t>
        </is>
      </c>
      <c r="N81" t="inlineStr">
        <is>
          <t>Paid</t>
        </is>
      </c>
      <c r="O81" t="inlineStr">
        <is>
          <t>Paid</t>
        </is>
      </c>
      <c r="P81" t="n">
        <v>189.26</v>
      </c>
      <c r="Q81" t="n">
        <v>189.26</v>
      </c>
      <c r="R81" t="b">
        <v>0</v>
      </c>
    </row>
    <row r="82">
      <c r="A82" t="inlineStr">
        <is>
          <t>INV0001619</t>
        </is>
      </c>
      <c r="B82" t="inlineStr">
        <is>
          <t>MER00077</t>
        </is>
      </c>
      <c r="C82" t="inlineStr">
        <is>
          <t>2025-05-01</t>
        </is>
      </c>
      <c r="D82" t="inlineStr">
        <is>
          <t>2025-05-31</t>
        </is>
      </c>
      <c r="E82" s="8" t="n">
        <v>45810</v>
      </c>
      <c r="F82" s="8" t="n">
        <v>45825</v>
      </c>
      <c r="G82" t="n">
        <v>351.82</v>
      </c>
      <c r="H82" t="n">
        <v>0</v>
      </c>
      <c r="I82" t="n">
        <v>351.82</v>
      </c>
      <c r="J82" t="n">
        <v>0.18</v>
      </c>
      <c r="K82" t="n">
        <v>63.33</v>
      </c>
      <c r="L82" t="n">
        <v>415.15</v>
      </c>
      <c r="M82" t="inlineStr">
        <is>
          <t>INR</t>
        </is>
      </c>
      <c r="N82" t="inlineStr">
        <is>
          <t>Paid</t>
        </is>
      </c>
      <c r="O82" t="inlineStr">
        <is>
          <t>Paid</t>
        </is>
      </c>
      <c r="P82" t="n">
        <v>351.82</v>
      </c>
      <c r="Q82" t="n">
        <v>351.82</v>
      </c>
      <c r="R82" t="b">
        <v>0</v>
      </c>
    </row>
    <row r="83">
      <c r="A83" t="inlineStr">
        <is>
          <t>INV0001620</t>
        </is>
      </c>
      <c r="B83" t="inlineStr">
        <is>
          <t>MER00077</t>
        </is>
      </c>
      <c r="C83" t="inlineStr">
        <is>
          <t>2025-06-01</t>
        </is>
      </c>
      <c r="D83" t="inlineStr">
        <is>
          <t>2025-06-30</t>
        </is>
      </c>
      <c r="E83" s="8" t="n">
        <v>45840</v>
      </c>
      <c r="F83" s="8" t="n">
        <v>45855</v>
      </c>
      <c r="G83" t="n">
        <v>181.38</v>
      </c>
      <c r="H83" t="n">
        <v>0</v>
      </c>
      <c r="I83" t="n">
        <v>181.38</v>
      </c>
      <c r="J83" t="n">
        <v>0.18</v>
      </c>
      <c r="K83" t="n">
        <v>32.65</v>
      </c>
      <c r="L83" t="n">
        <v>214.03</v>
      </c>
      <c r="M83" t="inlineStr">
        <is>
          <t>INR</t>
        </is>
      </c>
      <c r="N83" t="inlineStr">
        <is>
          <t>Paid</t>
        </is>
      </c>
      <c r="O83" t="inlineStr">
        <is>
          <t>Paid</t>
        </is>
      </c>
      <c r="P83" t="n">
        <v>181.38</v>
      </c>
      <c r="Q83" t="n">
        <v>181.38</v>
      </c>
      <c r="R83" t="b">
        <v>0</v>
      </c>
    </row>
    <row r="84">
      <c r="A84" t="inlineStr">
        <is>
          <t>INV0001621</t>
        </is>
      </c>
      <c r="B84" t="inlineStr">
        <is>
          <t>MER00077</t>
        </is>
      </c>
      <c r="C84" t="inlineStr">
        <is>
          <t>2025-07-01</t>
        </is>
      </c>
      <c r="D84" t="inlineStr">
        <is>
          <t>2025-07-31</t>
        </is>
      </c>
      <c r="E84" s="8" t="n">
        <v>45871</v>
      </c>
      <c r="F84" s="8" t="n">
        <v>45886</v>
      </c>
      <c r="G84" t="n">
        <v>461.15</v>
      </c>
      <c r="H84" t="n">
        <v>0</v>
      </c>
      <c r="I84" t="n">
        <v>461.15</v>
      </c>
      <c r="J84" t="n">
        <v>0.18</v>
      </c>
      <c r="K84" t="n">
        <v>83.01000000000001</v>
      </c>
      <c r="L84" t="n">
        <v>544.16</v>
      </c>
      <c r="M84" t="inlineStr">
        <is>
          <t>INR</t>
        </is>
      </c>
      <c r="N84" t="inlineStr">
        <is>
          <t>Void</t>
        </is>
      </c>
      <c r="O84" t="inlineStr">
        <is>
          <t>Unpaid</t>
        </is>
      </c>
      <c r="P84" t="n">
        <v>461.15</v>
      </c>
      <c r="Q84" t="n">
        <v>461.15</v>
      </c>
      <c r="R84" t="b">
        <v>0</v>
      </c>
    </row>
    <row r="85">
      <c r="A85" t="inlineStr">
        <is>
          <t>INV0001622</t>
        </is>
      </c>
      <c r="B85" t="inlineStr">
        <is>
          <t>MER00077</t>
        </is>
      </c>
      <c r="C85" t="inlineStr">
        <is>
          <t>2025-08-01</t>
        </is>
      </c>
      <c r="D85" t="inlineStr">
        <is>
          <t>2025-08-31</t>
        </is>
      </c>
      <c r="E85" s="8" t="n">
        <v>45902</v>
      </c>
      <c r="F85" s="8" t="n">
        <v>45917</v>
      </c>
      <c r="G85" t="n">
        <v>222.69</v>
      </c>
      <c r="H85" t="n">
        <v>0</v>
      </c>
      <c r="I85" t="n">
        <v>222.69</v>
      </c>
      <c r="J85" t="n">
        <v>0.18</v>
      </c>
      <c r="K85" t="n">
        <v>40.08</v>
      </c>
      <c r="L85" t="n">
        <v>262.77</v>
      </c>
      <c r="M85" t="inlineStr">
        <is>
          <t>INR</t>
        </is>
      </c>
      <c r="N85" t="inlineStr">
        <is>
          <t>Paid</t>
        </is>
      </c>
      <c r="O85" t="inlineStr">
        <is>
          <t>Paid</t>
        </is>
      </c>
      <c r="P85" t="n">
        <v>222.69</v>
      </c>
      <c r="Q85" t="n">
        <v>222.69</v>
      </c>
      <c r="R85" t="b">
        <v>0</v>
      </c>
    </row>
    <row r="86">
      <c r="A86" t="inlineStr">
        <is>
          <t>INV0001623</t>
        </is>
      </c>
      <c r="B86" t="inlineStr">
        <is>
          <t>MER00077</t>
        </is>
      </c>
      <c r="C86" t="inlineStr">
        <is>
          <t>2025-09-01</t>
        </is>
      </c>
      <c r="D86" t="inlineStr">
        <is>
          <t>2025-09-30</t>
        </is>
      </c>
      <c r="E86" s="8" t="n">
        <v>45932</v>
      </c>
      <c r="F86" s="8" t="n">
        <v>45947</v>
      </c>
      <c r="G86" t="n">
        <v>239.84</v>
      </c>
      <c r="H86" t="n">
        <v>0</v>
      </c>
      <c r="I86" t="n">
        <v>239.84</v>
      </c>
      <c r="J86" t="n">
        <v>0.18</v>
      </c>
      <c r="K86" t="n">
        <v>43.17</v>
      </c>
      <c r="L86" t="n">
        <v>283.01</v>
      </c>
      <c r="M86" t="inlineStr">
        <is>
          <t>INR</t>
        </is>
      </c>
      <c r="N86" t="inlineStr">
        <is>
          <t>Paid</t>
        </is>
      </c>
      <c r="O86" t="inlineStr">
        <is>
          <t>Paid</t>
        </is>
      </c>
      <c r="P86" t="n">
        <v>239.84</v>
      </c>
      <c r="Q86" t="n">
        <v>239.84</v>
      </c>
      <c r="R86" t="b">
        <v>0</v>
      </c>
    </row>
    <row r="87">
      <c r="A87" t="inlineStr">
        <is>
          <t>INV0001624</t>
        </is>
      </c>
      <c r="B87" t="inlineStr">
        <is>
          <t>MER00077</t>
        </is>
      </c>
      <c r="C87" t="inlineStr">
        <is>
          <t>2025-10-01</t>
        </is>
      </c>
      <c r="D87" t="inlineStr">
        <is>
          <t>2025-10-31</t>
        </is>
      </c>
      <c r="E87" s="8" t="n">
        <v>45963</v>
      </c>
      <c r="F87" s="8" t="n">
        <v>45978</v>
      </c>
      <c r="G87" t="n">
        <v>325.53</v>
      </c>
      <c r="H87" t="n">
        <v>0</v>
      </c>
      <c r="I87" t="n">
        <v>325.53</v>
      </c>
      <c r="J87" t="n">
        <v>0.18</v>
      </c>
      <c r="K87" t="n">
        <v>58.6</v>
      </c>
      <c r="L87" t="n">
        <v>384.13</v>
      </c>
      <c r="M87" t="inlineStr">
        <is>
          <t>INR</t>
        </is>
      </c>
      <c r="N87" t="inlineStr">
        <is>
          <t>Paid</t>
        </is>
      </c>
      <c r="O87" t="inlineStr">
        <is>
          <t>Paid</t>
        </is>
      </c>
      <c r="P87" t="n">
        <v>325.53</v>
      </c>
      <c r="Q87" t="n">
        <v>325.53</v>
      </c>
      <c r="R87" t="b">
        <v>0</v>
      </c>
    </row>
    <row r="88">
      <c r="A88" t="inlineStr">
        <is>
          <t>INV0001625</t>
        </is>
      </c>
      <c r="B88" t="inlineStr">
        <is>
          <t>MER00077</t>
        </is>
      </c>
      <c r="C88" t="inlineStr">
        <is>
          <t>2025-11-01</t>
        </is>
      </c>
      <c r="D88" t="inlineStr">
        <is>
          <t>2025-11-30</t>
        </is>
      </c>
      <c r="E88" s="8" t="n">
        <v>45993</v>
      </c>
      <c r="F88" s="8" t="n">
        <v>46008</v>
      </c>
      <c r="G88" t="n">
        <v>538.13</v>
      </c>
      <c r="H88" t="n">
        <v>0</v>
      </c>
      <c r="I88" t="n">
        <v>538.13</v>
      </c>
      <c r="J88" t="n">
        <v>0.18</v>
      </c>
      <c r="K88" t="n">
        <v>96.86</v>
      </c>
      <c r="L88" t="n">
        <v>634.99</v>
      </c>
      <c r="M88" t="inlineStr">
        <is>
          <t>INR</t>
        </is>
      </c>
      <c r="N88" t="inlineStr">
        <is>
          <t>Paid</t>
        </is>
      </c>
      <c r="O88" t="inlineStr">
        <is>
          <t>Paid</t>
        </is>
      </c>
      <c r="P88" t="n">
        <v>538.13</v>
      </c>
      <c r="Q88" t="n">
        <v>538.13</v>
      </c>
      <c r="R88" t="b">
        <v>0</v>
      </c>
    </row>
    <row r="89">
      <c r="A89" t="inlineStr">
        <is>
          <t>INV0001626</t>
        </is>
      </c>
      <c r="B89" t="inlineStr">
        <is>
          <t>MER00077</t>
        </is>
      </c>
      <c r="C89" t="inlineStr">
        <is>
          <t>2025-12-01</t>
        </is>
      </c>
      <c r="D89" t="inlineStr">
        <is>
          <t>2025-12-31</t>
        </is>
      </c>
      <c r="E89" s="8" t="n">
        <v>46024</v>
      </c>
      <c r="F89" s="8" t="n">
        <v>46039</v>
      </c>
      <c r="G89" t="n">
        <v>269.12</v>
      </c>
      <c r="H89" t="n">
        <v>0</v>
      </c>
      <c r="I89" t="n">
        <v>269.12</v>
      </c>
      <c r="J89" t="n">
        <v>0.18</v>
      </c>
      <c r="K89" t="n">
        <v>48.44</v>
      </c>
      <c r="L89" t="n">
        <v>317.56</v>
      </c>
      <c r="M89" t="inlineStr">
        <is>
          <t>INR</t>
        </is>
      </c>
      <c r="N89" t="inlineStr">
        <is>
          <t>Paid</t>
        </is>
      </c>
      <c r="O89" t="inlineStr">
        <is>
          <t>Paid</t>
        </is>
      </c>
      <c r="P89" t="n">
        <v>344.7</v>
      </c>
      <c r="Q89" t="n">
        <v>269.12</v>
      </c>
      <c r="R89" t="b">
        <v>1</v>
      </c>
    </row>
    <row r="90">
      <c r="A90" t="inlineStr">
        <is>
          <t>INV0001627</t>
        </is>
      </c>
      <c r="B90" t="inlineStr">
        <is>
          <t>MER00077</t>
        </is>
      </c>
      <c r="C90" t="inlineStr">
        <is>
          <t>2026-01-01</t>
        </is>
      </c>
      <c r="D90" t="inlineStr">
        <is>
          <t>2026-01-31</t>
        </is>
      </c>
      <c r="E90" s="8" t="n">
        <v>46055</v>
      </c>
      <c r="F90" s="8" t="n">
        <v>46070</v>
      </c>
      <c r="G90" t="n">
        <v>426.59</v>
      </c>
      <c r="H90" t="n">
        <v>0</v>
      </c>
      <c r="I90" t="n">
        <v>426.59</v>
      </c>
      <c r="J90" t="n">
        <v>0.18</v>
      </c>
      <c r="K90" t="n">
        <v>76.79000000000001</v>
      </c>
      <c r="L90" t="n">
        <v>503.38</v>
      </c>
      <c r="M90" t="inlineStr">
        <is>
          <t>INR</t>
        </is>
      </c>
      <c r="N90" t="inlineStr">
        <is>
          <t>Paid</t>
        </is>
      </c>
      <c r="O90" t="inlineStr">
        <is>
          <t>Paid</t>
        </is>
      </c>
      <c r="P90" t="n">
        <v>426.59</v>
      </c>
      <c r="Q90" t="n">
        <v>426.59</v>
      </c>
      <c r="R90" t="b">
        <v>0</v>
      </c>
    </row>
    <row r="91">
      <c r="A91" t="inlineStr">
        <is>
          <t>INV0001628</t>
        </is>
      </c>
      <c r="B91" t="inlineStr">
        <is>
          <t>MER00077</t>
        </is>
      </c>
      <c r="C91" t="inlineStr">
        <is>
          <t>2026-02-01</t>
        </is>
      </c>
      <c r="D91" t="inlineStr">
        <is>
          <t>2026-02-28</t>
        </is>
      </c>
      <c r="E91" s="8" t="n">
        <v>46083</v>
      </c>
      <c r="F91" s="8" t="n">
        <v>46098</v>
      </c>
      <c r="G91" t="n">
        <v>304.09</v>
      </c>
      <c r="H91" t="n">
        <v>0</v>
      </c>
      <c r="I91" t="n">
        <v>304.09</v>
      </c>
      <c r="J91" t="n">
        <v>0.18</v>
      </c>
      <c r="K91" t="n">
        <v>54.74</v>
      </c>
      <c r="L91" t="n">
        <v>358.83</v>
      </c>
      <c r="M91" t="inlineStr">
        <is>
          <t>INR</t>
        </is>
      </c>
      <c r="N91" t="inlineStr">
        <is>
          <t>Paid</t>
        </is>
      </c>
      <c r="O91" t="inlineStr">
        <is>
          <t>Paid</t>
        </is>
      </c>
      <c r="P91" t="n">
        <v>304.09</v>
      </c>
      <c r="Q91" t="n">
        <v>304.09</v>
      </c>
      <c r="R91" t="b">
        <v>0</v>
      </c>
    </row>
    <row r="92">
      <c r="A92" t="inlineStr">
        <is>
          <t>INV0001629</t>
        </is>
      </c>
      <c r="B92" t="inlineStr">
        <is>
          <t>MER00077</t>
        </is>
      </c>
      <c r="C92" t="inlineStr">
        <is>
          <t>2026-03-01</t>
        </is>
      </c>
      <c r="D92" t="inlineStr">
        <is>
          <t>2026-03-31</t>
        </is>
      </c>
      <c r="E92" s="8" t="n">
        <v>46114</v>
      </c>
      <c r="F92" s="8" t="n">
        <v>46129</v>
      </c>
      <c r="G92" t="n">
        <v>206.89</v>
      </c>
      <c r="H92" t="n">
        <v>0</v>
      </c>
      <c r="I92" t="n">
        <v>206.89</v>
      </c>
      <c r="J92" t="n">
        <v>0.18</v>
      </c>
      <c r="K92" t="n">
        <v>37.24</v>
      </c>
      <c r="L92" t="n">
        <v>244.13</v>
      </c>
      <c r="M92" t="inlineStr">
        <is>
          <t>INR</t>
        </is>
      </c>
      <c r="N92" t="inlineStr">
        <is>
          <t>Paid</t>
        </is>
      </c>
      <c r="O92" t="inlineStr">
        <is>
          <t>Paid</t>
        </is>
      </c>
      <c r="P92" t="n">
        <v>206.89</v>
      </c>
      <c r="Q92" t="n">
        <v>206.89</v>
      </c>
      <c r="R92" t="b">
        <v>0</v>
      </c>
    </row>
    <row r="93">
      <c r="A93" t="inlineStr">
        <is>
          <t>INV0001630</t>
        </is>
      </c>
      <c r="B93" t="inlineStr">
        <is>
          <t>MER00077</t>
        </is>
      </c>
      <c r="C93" t="inlineStr">
        <is>
          <t>2026-04-01</t>
        </is>
      </c>
      <c r="D93" t="inlineStr">
        <is>
          <t>2026-04-30</t>
        </is>
      </c>
      <c r="E93" s="8" t="n">
        <v>46144</v>
      </c>
      <c r="F93" s="8" t="n">
        <v>46159</v>
      </c>
      <c r="G93" t="n">
        <v>319.83</v>
      </c>
      <c r="H93" t="n">
        <v>0</v>
      </c>
      <c r="I93" t="n">
        <v>319.83</v>
      </c>
      <c r="J93" t="n">
        <v>0.18</v>
      </c>
      <c r="K93" t="n">
        <v>57.57</v>
      </c>
      <c r="L93" t="n">
        <v>377.4</v>
      </c>
      <c r="M93" t="inlineStr">
        <is>
          <t>INR</t>
        </is>
      </c>
      <c r="N93" t="inlineStr">
        <is>
          <t>Overdue</t>
        </is>
      </c>
      <c r="O93" t="inlineStr">
        <is>
          <t>Unpaid</t>
        </is>
      </c>
      <c r="P93" t="n">
        <v>319.83</v>
      </c>
      <c r="Q93" t="n">
        <v>319.83</v>
      </c>
      <c r="R93" t="b">
        <v>0</v>
      </c>
    </row>
    <row r="94">
      <c r="A94" t="inlineStr">
        <is>
          <t>INV0001631</t>
        </is>
      </c>
      <c r="B94" t="inlineStr">
        <is>
          <t>MER00077</t>
        </is>
      </c>
      <c r="C94" t="inlineStr">
        <is>
          <t>2026-05-01</t>
        </is>
      </c>
      <c r="D94" t="inlineStr">
        <is>
          <t>2026-05-31</t>
        </is>
      </c>
      <c r="E94" s="8" t="n">
        <v>46175</v>
      </c>
      <c r="F94" s="8" t="n">
        <v>46190</v>
      </c>
      <c r="G94" t="n">
        <v>90.51000000000001</v>
      </c>
      <c r="H94" t="n">
        <v>0</v>
      </c>
      <c r="I94" t="n">
        <v>90.51000000000001</v>
      </c>
      <c r="J94" t="n">
        <v>0.18</v>
      </c>
      <c r="K94" t="n">
        <v>16.29</v>
      </c>
      <c r="L94" t="n">
        <v>106.8</v>
      </c>
      <c r="M94" t="inlineStr">
        <is>
          <t>INR</t>
        </is>
      </c>
      <c r="N94" t="inlineStr">
        <is>
          <t>Paid</t>
        </is>
      </c>
      <c r="O94" t="inlineStr">
        <is>
          <t>Paid</t>
        </is>
      </c>
      <c r="P94" t="n">
        <v>90.51000000000001</v>
      </c>
      <c r="Q94" t="n">
        <v>90.51000000000001</v>
      </c>
      <c r="R94" t="b">
        <v>0</v>
      </c>
    </row>
    <row r="95">
      <c r="A95" t="inlineStr">
        <is>
          <t>INV0001632</t>
        </is>
      </c>
      <c r="B95" t="inlineStr">
        <is>
          <t>MER00077</t>
        </is>
      </c>
      <c r="C95" t="inlineStr">
        <is>
          <t>2026-06-01</t>
        </is>
      </c>
      <c r="D95" t="inlineStr">
        <is>
          <t>2026-06-30</t>
        </is>
      </c>
      <c r="E95" s="8" t="n">
        <v>46205</v>
      </c>
      <c r="F95" s="8" t="n">
        <v>46220</v>
      </c>
      <c r="G95" t="n">
        <v>384.49</v>
      </c>
      <c r="H95" t="n">
        <v>0</v>
      </c>
      <c r="I95" t="n">
        <v>384.49</v>
      </c>
      <c r="J95" t="n">
        <v>0.18</v>
      </c>
      <c r="K95" t="n">
        <v>69.20999999999999</v>
      </c>
      <c r="L95" t="n">
        <v>453.7</v>
      </c>
      <c r="M95" t="inlineStr">
        <is>
          <t>INR</t>
        </is>
      </c>
      <c r="N95" t="inlineStr">
        <is>
          <t>Paid</t>
        </is>
      </c>
      <c r="O95" t="inlineStr">
        <is>
          <t>Paid</t>
        </is>
      </c>
      <c r="P95" t="n">
        <v>384.49</v>
      </c>
      <c r="Q95" t="n">
        <v>384.49</v>
      </c>
      <c r="R95" t="b">
        <v>0</v>
      </c>
    </row>
    <row r="96">
      <c r="A96" t="inlineStr">
        <is>
          <t>INV0001633</t>
        </is>
      </c>
      <c r="B96" t="inlineStr">
        <is>
          <t>MER00077</t>
        </is>
      </c>
      <c r="C96" t="inlineStr">
        <is>
          <t>2026-07-01</t>
        </is>
      </c>
      <c r="D96" t="inlineStr">
        <is>
          <t>2026-07-31</t>
        </is>
      </c>
      <c r="E96" s="8" t="n">
        <v>46236</v>
      </c>
      <c r="F96" s="8" t="n">
        <v>46251</v>
      </c>
      <c r="G96" t="n">
        <v>384</v>
      </c>
      <c r="H96" t="n">
        <v>0</v>
      </c>
      <c r="I96" t="n">
        <v>384</v>
      </c>
      <c r="J96" t="n">
        <v>0.18</v>
      </c>
      <c r="K96" t="n">
        <v>69.12</v>
      </c>
      <c r="L96" t="n">
        <v>453.12</v>
      </c>
      <c r="M96" t="inlineStr">
        <is>
          <t>INR</t>
        </is>
      </c>
      <c r="N96" t="inlineStr">
        <is>
          <t>Paid</t>
        </is>
      </c>
      <c r="O96" t="inlineStr">
        <is>
          <t>Paid</t>
        </is>
      </c>
      <c r="P96" t="n">
        <v>384</v>
      </c>
      <c r="Q96" t="n">
        <v>384</v>
      </c>
      <c r="R96" t="b">
        <v>0</v>
      </c>
    </row>
    <row r="97">
      <c r="A97" t="inlineStr">
        <is>
          <t>INV0002946</t>
        </is>
      </c>
      <c r="B97" t="inlineStr">
        <is>
          <t>MER00139</t>
        </is>
      </c>
      <c r="C97" t="inlineStr">
        <is>
          <t>2024-08-01</t>
        </is>
      </c>
      <c r="D97" t="inlineStr">
        <is>
          <t>2024-08-31</t>
        </is>
      </c>
      <c r="E97" s="8" t="n">
        <v>45537</v>
      </c>
      <c r="F97" s="8" t="n">
        <v>45597</v>
      </c>
      <c r="G97" t="n">
        <v>1118.71</v>
      </c>
      <c r="H97" t="n">
        <v>0</v>
      </c>
      <c r="I97" t="n">
        <v>1118.71</v>
      </c>
      <c r="J97" t="n">
        <v>0.18</v>
      </c>
      <c r="K97" t="n">
        <v>201.37</v>
      </c>
      <c r="L97" t="n">
        <v>1320.08</v>
      </c>
      <c r="M97" t="inlineStr">
        <is>
          <t>INR</t>
        </is>
      </c>
      <c r="N97" t="inlineStr">
        <is>
          <t>Paid</t>
        </is>
      </c>
      <c r="O97" t="inlineStr">
        <is>
          <t>Paid</t>
        </is>
      </c>
      <c r="P97" t="n">
        <v>1118.71</v>
      </c>
      <c r="Q97" t="n">
        <v>1118.71</v>
      </c>
      <c r="R97" t="b">
        <v>0</v>
      </c>
    </row>
    <row r="98">
      <c r="A98" t="inlineStr">
        <is>
          <t>INV0002947</t>
        </is>
      </c>
      <c r="B98" t="inlineStr">
        <is>
          <t>MER00139</t>
        </is>
      </c>
      <c r="C98" t="inlineStr">
        <is>
          <t>2024-09-01</t>
        </is>
      </c>
      <c r="D98" t="inlineStr">
        <is>
          <t>2024-09-30</t>
        </is>
      </c>
      <c r="E98" s="8" t="n">
        <v>45567</v>
      </c>
      <c r="F98" s="8" t="n">
        <v>45627</v>
      </c>
      <c r="G98" t="n">
        <v>1124.27</v>
      </c>
      <c r="H98" t="n">
        <v>0</v>
      </c>
      <c r="I98" t="n">
        <v>1124.27</v>
      </c>
      <c r="J98" t="n">
        <v>0.18</v>
      </c>
      <c r="K98" t="n">
        <v>202.37</v>
      </c>
      <c r="L98" t="n">
        <v>1326.64</v>
      </c>
      <c r="M98" t="inlineStr">
        <is>
          <t>INR</t>
        </is>
      </c>
      <c r="N98" t="inlineStr">
        <is>
          <t>Paid</t>
        </is>
      </c>
      <c r="O98" t="inlineStr">
        <is>
          <t>Paid</t>
        </is>
      </c>
      <c r="P98" t="n">
        <v>1124.27</v>
      </c>
      <c r="Q98" t="n">
        <v>1124.27</v>
      </c>
      <c r="R98" t="b">
        <v>0</v>
      </c>
    </row>
    <row r="99">
      <c r="A99" t="inlineStr">
        <is>
          <t>INV0002948</t>
        </is>
      </c>
      <c r="B99" t="inlineStr">
        <is>
          <t>MER00139</t>
        </is>
      </c>
      <c r="C99" t="inlineStr">
        <is>
          <t>2024-10-01</t>
        </is>
      </c>
      <c r="D99" t="inlineStr">
        <is>
          <t>2024-10-31</t>
        </is>
      </c>
      <c r="E99" s="8" t="n">
        <v>45598</v>
      </c>
      <c r="F99" s="8" t="n">
        <v>45658</v>
      </c>
      <c r="G99" t="n">
        <v>1546.78</v>
      </c>
      <c r="H99" t="n">
        <v>0</v>
      </c>
      <c r="I99" t="n">
        <v>1546.78</v>
      </c>
      <c r="J99" t="n">
        <v>0.18</v>
      </c>
      <c r="K99" t="n">
        <v>278.42</v>
      </c>
      <c r="L99" t="n">
        <v>1825.2</v>
      </c>
      <c r="M99" t="inlineStr">
        <is>
          <t>INR</t>
        </is>
      </c>
      <c r="N99" t="inlineStr">
        <is>
          <t>Paid</t>
        </is>
      </c>
      <c r="O99" t="inlineStr">
        <is>
          <t>Paid</t>
        </is>
      </c>
      <c r="P99" t="n">
        <v>1546.78</v>
      </c>
      <c r="Q99" t="n">
        <v>1546.78</v>
      </c>
      <c r="R99" t="b">
        <v>0</v>
      </c>
    </row>
    <row r="100">
      <c r="A100" t="inlineStr">
        <is>
          <t>INV0002949</t>
        </is>
      </c>
      <c r="B100" t="inlineStr">
        <is>
          <t>MER00139</t>
        </is>
      </c>
      <c r="C100" t="inlineStr">
        <is>
          <t>2024-11-01</t>
        </is>
      </c>
      <c r="D100" t="inlineStr">
        <is>
          <t>2024-11-30</t>
        </is>
      </c>
      <c r="E100" s="8" t="n">
        <v>45628</v>
      </c>
      <c r="F100" s="8" t="n">
        <v>45688</v>
      </c>
      <c r="G100" t="n">
        <v>1834.66</v>
      </c>
      <c r="H100" t="n">
        <v>0</v>
      </c>
      <c r="I100" t="n">
        <v>1834.66</v>
      </c>
      <c r="J100" t="n">
        <v>0.18</v>
      </c>
      <c r="K100" t="n">
        <v>330.24</v>
      </c>
      <c r="L100" t="n">
        <v>2164.9</v>
      </c>
      <c r="M100" t="inlineStr">
        <is>
          <t>INR</t>
        </is>
      </c>
      <c r="N100" t="inlineStr">
        <is>
          <t>Overdue</t>
        </is>
      </c>
      <c r="O100" t="inlineStr">
        <is>
          <t>Partially Paid</t>
        </is>
      </c>
      <c r="P100" t="n">
        <v>1834.66</v>
      </c>
      <c r="Q100" t="n">
        <v>1834.66</v>
      </c>
      <c r="R100" t="b">
        <v>0</v>
      </c>
    </row>
    <row r="101">
      <c r="A101" t="inlineStr">
        <is>
          <t>INV0002950</t>
        </is>
      </c>
      <c r="B101" t="inlineStr">
        <is>
          <t>MER00139</t>
        </is>
      </c>
      <c r="C101" t="inlineStr">
        <is>
          <t>2024-12-01</t>
        </is>
      </c>
      <c r="D101" t="inlineStr">
        <is>
          <t>2024-12-31</t>
        </is>
      </c>
      <c r="E101" s="8" t="n">
        <v>45659</v>
      </c>
      <c r="F101" s="8" t="n">
        <v>45719</v>
      </c>
      <c r="G101" t="n">
        <v>1977.54</v>
      </c>
      <c r="H101" t="n">
        <v>0</v>
      </c>
      <c r="I101" t="n">
        <v>1977.54</v>
      </c>
      <c r="J101" t="n">
        <v>0.18</v>
      </c>
      <c r="K101" t="n">
        <v>355.96</v>
      </c>
      <c r="L101" t="n">
        <v>2333.5</v>
      </c>
      <c r="M101" t="inlineStr">
        <is>
          <t>INR</t>
        </is>
      </c>
      <c r="N101" t="inlineStr">
        <is>
          <t>Paid</t>
        </is>
      </c>
      <c r="O101" t="inlineStr">
        <is>
          <t>Paid</t>
        </is>
      </c>
      <c r="P101" t="n">
        <v>1977.54</v>
      </c>
      <c r="Q101" t="n">
        <v>1977.54</v>
      </c>
      <c r="R101" t="b">
        <v>0</v>
      </c>
    </row>
    <row r="102">
      <c r="A102" t="inlineStr">
        <is>
          <t>INV0002951</t>
        </is>
      </c>
      <c r="B102" t="inlineStr">
        <is>
          <t>MER00139</t>
        </is>
      </c>
      <c r="C102" t="inlineStr">
        <is>
          <t>2025-01-01</t>
        </is>
      </c>
      <c r="D102" t="inlineStr">
        <is>
          <t>2025-01-31</t>
        </is>
      </c>
      <c r="E102" s="8" t="n">
        <v>45690</v>
      </c>
      <c r="F102" s="8" t="n">
        <v>45750</v>
      </c>
      <c r="G102" t="n">
        <v>1403.69</v>
      </c>
      <c r="H102" t="n">
        <v>0</v>
      </c>
      <c r="I102" t="n">
        <v>1403.69</v>
      </c>
      <c r="J102" t="n">
        <v>0.18</v>
      </c>
      <c r="K102" t="n">
        <v>252.66</v>
      </c>
      <c r="L102" t="n">
        <v>1656.35</v>
      </c>
      <c r="M102" t="inlineStr">
        <is>
          <t>INR</t>
        </is>
      </c>
      <c r="N102" t="inlineStr">
        <is>
          <t>Paid</t>
        </is>
      </c>
      <c r="O102" t="inlineStr">
        <is>
          <t>Paid</t>
        </is>
      </c>
      <c r="P102" t="n">
        <v>1403.69</v>
      </c>
      <c r="Q102" t="n">
        <v>1403.69</v>
      </c>
      <c r="R102" t="b">
        <v>0</v>
      </c>
    </row>
    <row r="103">
      <c r="A103" t="inlineStr">
        <is>
          <t>INV0002952</t>
        </is>
      </c>
      <c r="B103" t="inlineStr">
        <is>
          <t>MER00139</t>
        </is>
      </c>
      <c r="C103" t="inlineStr">
        <is>
          <t>2025-02-01</t>
        </is>
      </c>
      <c r="D103" t="inlineStr">
        <is>
          <t>2025-02-28</t>
        </is>
      </c>
      <c r="E103" s="8" t="n">
        <v>45718</v>
      </c>
      <c r="F103" s="8" t="n">
        <v>45778</v>
      </c>
      <c r="G103" t="n">
        <v>1584.75</v>
      </c>
      <c r="H103" t="n">
        <v>213.94</v>
      </c>
      <c r="I103" t="n">
        <v>1370.81</v>
      </c>
      <c r="J103" t="n">
        <v>0.18</v>
      </c>
      <c r="K103" t="n">
        <v>246.75</v>
      </c>
      <c r="L103" t="n">
        <v>1617.56</v>
      </c>
      <c r="M103" t="inlineStr">
        <is>
          <t>INR</t>
        </is>
      </c>
      <c r="N103" t="inlineStr">
        <is>
          <t>Paid</t>
        </is>
      </c>
      <c r="O103" t="inlineStr">
        <is>
          <t>Paid</t>
        </is>
      </c>
      <c r="P103" t="n">
        <v>1584.75</v>
      </c>
      <c r="Q103" t="n">
        <v>1584.75</v>
      </c>
      <c r="R103" t="b">
        <v>0</v>
      </c>
    </row>
    <row r="104">
      <c r="A104" t="inlineStr">
        <is>
          <t>INV0002953</t>
        </is>
      </c>
      <c r="B104" t="inlineStr">
        <is>
          <t>MER00139</t>
        </is>
      </c>
      <c r="C104" t="inlineStr">
        <is>
          <t>2025-03-01</t>
        </is>
      </c>
      <c r="D104" t="inlineStr">
        <is>
          <t>2025-03-31</t>
        </is>
      </c>
      <c r="E104" s="8" t="n">
        <v>45749</v>
      </c>
      <c r="F104" s="8" t="n">
        <v>45809</v>
      </c>
      <c r="G104" t="n">
        <v>1786.96</v>
      </c>
      <c r="H104" t="n">
        <v>0</v>
      </c>
      <c r="I104" t="n">
        <v>1786.96</v>
      </c>
      <c r="J104" t="n">
        <v>0.18</v>
      </c>
      <c r="K104" t="n">
        <v>321.65</v>
      </c>
      <c r="L104" t="n">
        <v>2108.61</v>
      </c>
      <c r="M104" t="inlineStr">
        <is>
          <t>INR</t>
        </is>
      </c>
      <c r="N104" t="inlineStr">
        <is>
          <t>Paid</t>
        </is>
      </c>
      <c r="O104" t="inlineStr">
        <is>
          <t>Paid</t>
        </is>
      </c>
      <c r="P104" t="n">
        <v>1786.96</v>
      </c>
      <c r="Q104" t="n">
        <v>1786.96</v>
      </c>
      <c r="R104" t="b">
        <v>0</v>
      </c>
    </row>
    <row r="105">
      <c r="A105" t="inlineStr">
        <is>
          <t>INV0002954</t>
        </is>
      </c>
      <c r="B105" t="inlineStr">
        <is>
          <t>MER00139</t>
        </is>
      </c>
      <c r="C105" t="inlineStr">
        <is>
          <t>2025-04-01</t>
        </is>
      </c>
      <c r="D105" t="inlineStr">
        <is>
          <t>2025-04-30</t>
        </is>
      </c>
      <c r="E105" s="8" t="n">
        <v>45779</v>
      </c>
      <c r="F105" s="8" t="n">
        <v>45839</v>
      </c>
      <c r="G105" t="n">
        <v>2002.89</v>
      </c>
      <c r="H105" t="n">
        <v>0</v>
      </c>
      <c r="I105" t="n">
        <v>2002.89</v>
      </c>
      <c r="J105" t="n">
        <v>0.18</v>
      </c>
      <c r="K105" t="n">
        <v>360.52</v>
      </c>
      <c r="L105" t="n">
        <v>2363.41</v>
      </c>
      <c r="M105" t="inlineStr">
        <is>
          <t>INR</t>
        </is>
      </c>
      <c r="N105" t="inlineStr">
        <is>
          <t>Paid</t>
        </is>
      </c>
      <c r="O105" t="inlineStr">
        <is>
          <t>Paid</t>
        </is>
      </c>
      <c r="P105" t="n">
        <v>2002.89</v>
      </c>
      <c r="Q105" t="n">
        <v>2002.89</v>
      </c>
      <c r="R105" t="b">
        <v>0</v>
      </c>
    </row>
    <row r="106">
      <c r="A106" t="inlineStr">
        <is>
          <t>INV0002955</t>
        </is>
      </c>
      <c r="B106" t="inlineStr">
        <is>
          <t>MER00139</t>
        </is>
      </c>
      <c r="C106" t="inlineStr">
        <is>
          <t>2025-05-01</t>
        </is>
      </c>
      <c r="D106" t="inlineStr">
        <is>
          <t>2025-05-31</t>
        </is>
      </c>
      <c r="E106" s="8" t="n">
        <v>45810</v>
      </c>
      <c r="F106" s="8" t="n">
        <v>45870</v>
      </c>
      <c r="G106" t="n">
        <v>1325.84</v>
      </c>
      <c r="H106" t="n">
        <v>0</v>
      </c>
      <c r="I106" t="n">
        <v>1325.84</v>
      </c>
      <c r="J106" t="n">
        <v>0.18</v>
      </c>
      <c r="K106" t="n">
        <v>238.65</v>
      </c>
      <c r="L106" t="n">
        <v>1564.49</v>
      </c>
      <c r="M106" t="inlineStr">
        <is>
          <t>INR</t>
        </is>
      </c>
      <c r="N106" t="inlineStr">
        <is>
          <t>Paid</t>
        </is>
      </c>
      <c r="O106" t="inlineStr">
        <is>
          <t>Paid</t>
        </is>
      </c>
      <c r="P106" t="n">
        <v>1325.84</v>
      </c>
      <c r="Q106" t="n">
        <v>1325.84</v>
      </c>
      <c r="R106" t="b">
        <v>0</v>
      </c>
    </row>
    <row r="107">
      <c r="A107" t="inlineStr">
        <is>
          <t>INV0002956</t>
        </is>
      </c>
      <c r="B107" t="inlineStr">
        <is>
          <t>MER00139</t>
        </is>
      </c>
      <c r="C107" t="inlineStr">
        <is>
          <t>2025-07-01</t>
        </is>
      </c>
      <c r="D107" t="inlineStr">
        <is>
          <t>2025-07-31</t>
        </is>
      </c>
      <c r="E107" s="8" t="n">
        <v>45871</v>
      </c>
      <c r="F107" s="8" t="n">
        <v>45931</v>
      </c>
      <c r="G107" t="n">
        <v>1310.32</v>
      </c>
      <c r="H107" t="n">
        <v>0</v>
      </c>
      <c r="I107" t="n">
        <v>1310.32</v>
      </c>
      <c r="J107" t="n">
        <v>0.18</v>
      </c>
      <c r="K107" t="n">
        <v>235.86</v>
      </c>
      <c r="L107" t="n">
        <v>1546.18</v>
      </c>
      <c r="M107" t="inlineStr">
        <is>
          <t>INR</t>
        </is>
      </c>
      <c r="N107" t="inlineStr">
        <is>
          <t>Paid</t>
        </is>
      </c>
      <c r="O107" t="inlineStr">
        <is>
          <t>Paid</t>
        </is>
      </c>
      <c r="P107" t="n">
        <v>1310.32</v>
      </c>
      <c r="Q107" t="n">
        <v>1310.32</v>
      </c>
      <c r="R107" t="b">
        <v>0</v>
      </c>
    </row>
    <row r="108">
      <c r="A108" t="inlineStr">
        <is>
          <t>INV0002957</t>
        </is>
      </c>
      <c r="B108" t="inlineStr">
        <is>
          <t>MER00139</t>
        </is>
      </c>
      <c r="C108" t="inlineStr">
        <is>
          <t>2025-08-01</t>
        </is>
      </c>
      <c r="D108" t="inlineStr">
        <is>
          <t>2025-08-31</t>
        </is>
      </c>
      <c r="E108" s="8" t="n">
        <v>45902</v>
      </c>
      <c r="F108" s="8" t="n">
        <v>45962</v>
      </c>
      <c r="G108" t="n">
        <v>1904.64</v>
      </c>
      <c r="H108" t="n">
        <v>0</v>
      </c>
      <c r="I108" t="n">
        <v>1904.64</v>
      </c>
      <c r="J108" t="n">
        <v>0.18</v>
      </c>
      <c r="K108" t="n">
        <v>342.84</v>
      </c>
      <c r="L108" t="n">
        <v>2247.48</v>
      </c>
      <c r="M108" t="inlineStr">
        <is>
          <t>INR</t>
        </is>
      </c>
      <c r="N108" t="inlineStr">
        <is>
          <t>Overdue</t>
        </is>
      </c>
      <c r="O108" t="inlineStr">
        <is>
          <t>Unpaid</t>
        </is>
      </c>
      <c r="P108" t="n">
        <v>1904.64</v>
      </c>
      <c r="Q108" t="n">
        <v>1904.64</v>
      </c>
      <c r="R108" t="b">
        <v>0</v>
      </c>
    </row>
    <row r="109">
      <c r="A109" t="inlineStr">
        <is>
          <t>INV0002958</t>
        </is>
      </c>
      <c r="B109" t="inlineStr">
        <is>
          <t>MER00139</t>
        </is>
      </c>
      <c r="C109" t="inlineStr">
        <is>
          <t>2025-09-01</t>
        </is>
      </c>
      <c r="D109" t="inlineStr">
        <is>
          <t>2025-09-30</t>
        </is>
      </c>
      <c r="E109" s="8" t="n">
        <v>45932</v>
      </c>
      <c r="F109" s="8" t="n">
        <v>45992</v>
      </c>
      <c r="G109" t="n">
        <v>1165.07</v>
      </c>
      <c r="H109" t="n">
        <v>0</v>
      </c>
      <c r="I109" t="n">
        <v>1165.07</v>
      </c>
      <c r="J109" t="n">
        <v>0.18</v>
      </c>
      <c r="K109" t="n">
        <v>209.71</v>
      </c>
      <c r="L109" t="n">
        <v>1374.78</v>
      </c>
      <c r="M109" t="inlineStr">
        <is>
          <t>INR</t>
        </is>
      </c>
      <c r="N109" t="inlineStr">
        <is>
          <t>Overdue</t>
        </is>
      </c>
      <c r="O109" t="inlineStr">
        <is>
          <t>Partially Paid</t>
        </is>
      </c>
      <c r="P109" t="n">
        <v>1165.07</v>
      </c>
      <c r="Q109" t="n">
        <v>1165.07</v>
      </c>
      <c r="R109" t="b">
        <v>0</v>
      </c>
    </row>
    <row r="110">
      <c r="A110" t="inlineStr">
        <is>
          <t>INV0002959</t>
        </is>
      </c>
      <c r="B110" t="inlineStr">
        <is>
          <t>MER00139</t>
        </is>
      </c>
      <c r="C110" t="inlineStr">
        <is>
          <t>2025-10-01</t>
        </is>
      </c>
      <c r="D110" t="inlineStr">
        <is>
          <t>2025-10-31</t>
        </is>
      </c>
      <c r="E110" s="8" t="n">
        <v>45963</v>
      </c>
      <c r="F110" s="8" t="n">
        <v>46023</v>
      </c>
      <c r="G110" t="n">
        <v>2206.46</v>
      </c>
      <c r="H110" t="n">
        <v>328.76</v>
      </c>
      <c r="I110" t="n">
        <v>1877.7</v>
      </c>
      <c r="J110" t="n">
        <v>0.18</v>
      </c>
      <c r="K110" t="n">
        <v>337.99</v>
      </c>
      <c r="L110" t="n">
        <v>2215.69</v>
      </c>
      <c r="M110" t="inlineStr">
        <is>
          <t>INR</t>
        </is>
      </c>
      <c r="N110" t="inlineStr">
        <is>
          <t>Overdue</t>
        </is>
      </c>
      <c r="O110" t="inlineStr">
        <is>
          <t>Unpaid</t>
        </is>
      </c>
      <c r="P110" t="n">
        <v>2206.46</v>
      </c>
      <c r="Q110" t="n">
        <v>2206.46</v>
      </c>
      <c r="R110" t="b">
        <v>0</v>
      </c>
    </row>
    <row r="111">
      <c r="A111" t="inlineStr">
        <is>
          <t>INV0002960</t>
        </is>
      </c>
      <c r="B111" t="inlineStr">
        <is>
          <t>MER00139</t>
        </is>
      </c>
      <c r="C111" t="inlineStr">
        <is>
          <t>2025-11-01</t>
        </is>
      </c>
      <c r="D111" t="inlineStr">
        <is>
          <t>2025-11-30</t>
        </is>
      </c>
      <c r="E111" s="8" t="n">
        <v>45993</v>
      </c>
      <c r="F111" s="8" t="n">
        <v>46053</v>
      </c>
      <c r="G111" t="n">
        <v>2048.43</v>
      </c>
      <c r="H111" t="n">
        <v>0</v>
      </c>
      <c r="I111" t="n">
        <v>2048.43</v>
      </c>
      <c r="J111" t="n">
        <v>0.18</v>
      </c>
      <c r="K111" t="n">
        <v>368.72</v>
      </c>
      <c r="L111" t="n">
        <v>2417.15</v>
      </c>
      <c r="M111" t="inlineStr">
        <is>
          <t>INR</t>
        </is>
      </c>
      <c r="N111" t="inlineStr">
        <is>
          <t>Paid</t>
        </is>
      </c>
      <c r="O111" t="inlineStr">
        <is>
          <t>Paid</t>
        </is>
      </c>
      <c r="P111" t="n">
        <v>2048.43</v>
      </c>
      <c r="Q111" t="n">
        <v>2048.43</v>
      </c>
      <c r="R111" t="b">
        <v>0</v>
      </c>
    </row>
    <row r="112">
      <c r="A112" t="inlineStr">
        <is>
          <t>INV0002961</t>
        </is>
      </c>
      <c r="B112" t="inlineStr">
        <is>
          <t>MER00139</t>
        </is>
      </c>
      <c r="C112" t="inlineStr">
        <is>
          <t>2025-12-01</t>
        </is>
      </c>
      <c r="D112" t="inlineStr">
        <is>
          <t>2025-12-31</t>
        </is>
      </c>
      <c r="E112" s="8" t="n">
        <v>46024</v>
      </c>
      <c r="F112" s="8" t="n">
        <v>46084</v>
      </c>
      <c r="G112" t="n">
        <v>1526.81</v>
      </c>
      <c r="H112" t="n">
        <v>0</v>
      </c>
      <c r="I112" t="n">
        <v>1526.81</v>
      </c>
      <c r="J112" t="n">
        <v>0.18</v>
      </c>
      <c r="K112" t="n">
        <v>274.83</v>
      </c>
      <c r="L112" t="n">
        <v>1801.64</v>
      </c>
      <c r="M112" t="inlineStr">
        <is>
          <t>INR</t>
        </is>
      </c>
      <c r="N112" t="inlineStr">
        <is>
          <t>Paid</t>
        </is>
      </c>
      <c r="O112" t="inlineStr">
        <is>
          <t>Paid</t>
        </is>
      </c>
      <c r="P112" t="n">
        <v>1526.81</v>
      </c>
      <c r="Q112" t="n">
        <v>1526.81</v>
      </c>
      <c r="R112" t="b">
        <v>0</v>
      </c>
    </row>
    <row r="113">
      <c r="A113" t="inlineStr">
        <is>
          <t>INV0002962</t>
        </is>
      </c>
      <c r="B113" t="inlineStr">
        <is>
          <t>MER00139</t>
        </is>
      </c>
      <c r="C113" t="inlineStr">
        <is>
          <t>2026-01-01</t>
        </is>
      </c>
      <c r="D113" t="inlineStr">
        <is>
          <t>2026-01-31</t>
        </is>
      </c>
      <c r="E113" s="8" t="n">
        <v>46055</v>
      </c>
      <c r="F113" s="8" t="n">
        <v>46115</v>
      </c>
      <c r="G113" t="n">
        <v>2323.49</v>
      </c>
      <c r="H113" t="n">
        <v>0</v>
      </c>
      <c r="I113" t="n">
        <v>2323.49</v>
      </c>
      <c r="J113" t="n">
        <v>0.18</v>
      </c>
      <c r="K113" t="n">
        <v>418.23</v>
      </c>
      <c r="L113" t="n">
        <v>2741.72</v>
      </c>
      <c r="M113" t="inlineStr">
        <is>
          <t>INR</t>
        </is>
      </c>
      <c r="N113" t="inlineStr">
        <is>
          <t>Paid</t>
        </is>
      </c>
      <c r="O113" t="inlineStr">
        <is>
          <t>Paid</t>
        </is>
      </c>
      <c r="P113" t="n">
        <v>2323.49</v>
      </c>
      <c r="Q113" t="n">
        <v>2323.49</v>
      </c>
      <c r="R113" t="b">
        <v>0</v>
      </c>
    </row>
    <row r="114">
      <c r="A114" t="inlineStr">
        <is>
          <t>INV0002963</t>
        </is>
      </c>
      <c r="B114" t="inlineStr">
        <is>
          <t>MER00139</t>
        </is>
      </c>
      <c r="C114" t="inlineStr">
        <is>
          <t>2026-02-01</t>
        </is>
      </c>
      <c r="D114" t="inlineStr">
        <is>
          <t>2026-02-28</t>
        </is>
      </c>
      <c r="E114" s="8" t="n">
        <v>46083</v>
      </c>
      <c r="F114" s="8" t="n">
        <v>46143</v>
      </c>
      <c r="G114" t="n">
        <v>2370.41</v>
      </c>
      <c r="H114" t="n">
        <v>0</v>
      </c>
      <c r="I114" t="n">
        <v>2370.41</v>
      </c>
      <c r="J114" t="n">
        <v>0.18</v>
      </c>
      <c r="K114" t="n">
        <v>426.67</v>
      </c>
      <c r="L114" t="n">
        <v>2797.08</v>
      </c>
      <c r="M114" t="inlineStr">
        <is>
          <t>INR</t>
        </is>
      </c>
      <c r="N114" t="inlineStr">
        <is>
          <t>Paid</t>
        </is>
      </c>
      <c r="O114" t="inlineStr">
        <is>
          <t>Paid</t>
        </is>
      </c>
      <c r="P114" t="n">
        <v>2370.41</v>
      </c>
      <c r="Q114" t="n">
        <v>2370.41</v>
      </c>
      <c r="R114" t="b">
        <v>0</v>
      </c>
    </row>
    <row r="115">
      <c r="A115" t="inlineStr">
        <is>
          <t>INV0002964</t>
        </is>
      </c>
      <c r="B115" t="inlineStr">
        <is>
          <t>MER00139</t>
        </is>
      </c>
      <c r="C115" t="inlineStr">
        <is>
          <t>2026-03-01</t>
        </is>
      </c>
      <c r="D115" t="inlineStr">
        <is>
          <t>2026-03-31</t>
        </is>
      </c>
      <c r="E115" s="8" t="n">
        <v>46114</v>
      </c>
      <c r="F115" s="8" t="n">
        <v>46174</v>
      </c>
      <c r="G115" t="n">
        <v>1514.74</v>
      </c>
      <c r="H115" t="n">
        <v>0</v>
      </c>
      <c r="I115" t="n">
        <v>1514.74</v>
      </c>
      <c r="J115" t="n">
        <v>0.18</v>
      </c>
      <c r="K115" t="n">
        <v>272.65</v>
      </c>
      <c r="L115" t="n">
        <v>1787.39</v>
      </c>
      <c r="M115" t="inlineStr">
        <is>
          <t>INR</t>
        </is>
      </c>
      <c r="N115" t="inlineStr">
        <is>
          <t>Paid</t>
        </is>
      </c>
      <c r="O115" t="inlineStr">
        <is>
          <t>Paid</t>
        </is>
      </c>
      <c r="P115" t="n">
        <v>1514.74</v>
      </c>
      <c r="Q115" t="n">
        <v>1514.74</v>
      </c>
      <c r="R115" t="b">
        <v>0</v>
      </c>
    </row>
    <row r="116">
      <c r="A116" t="inlineStr">
        <is>
          <t>INV0002965</t>
        </is>
      </c>
      <c r="B116" t="inlineStr">
        <is>
          <t>MER00139</t>
        </is>
      </c>
      <c r="C116" t="inlineStr">
        <is>
          <t>2026-04-01</t>
        </is>
      </c>
      <c r="D116" t="inlineStr">
        <is>
          <t>2026-04-30</t>
        </is>
      </c>
      <c r="E116" s="8" t="n">
        <v>46144</v>
      </c>
      <c r="F116" s="8" t="n">
        <v>46204</v>
      </c>
      <c r="G116" t="n">
        <v>2679.13</v>
      </c>
      <c r="H116" t="n">
        <v>0</v>
      </c>
      <c r="I116" t="n">
        <v>2679.13</v>
      </c>
      <c r="J116" t="n">
        <v>0.18</v>
      </c>
      <c r="K116" t="n">
        <v>482.24</v>
      </c>
      <c r="L116" t="n">
        <v>3161.37</v>
      </c>
      <c r="M116" t="inlineStr">
        <is>
          <t>INR</t>
        </is>
      </c>
      <c r="N116" t="inlineStr">
        <is>
          <t>Paid</t>
        </is>
      </c>
      <c r="O116" t="inlineStr">
        <is>
          <t>Paid</t>
        </is>
      </c>
      <c r="P116" t="n">
        <v>2679.13</v>
      </c>
      <c r="Q116" t="n">
        <v>2679.13</v>
      </c>
      <c r="R116" t="b">
        <v>0</v>
      </c>
    </row>
    <row r="117">
      <c r="A117" t="inlineStr">
        <is>
          <t>INV0002966</t>
        </is>
      </c>
      <c r="B117" t="inlineStr">
        <is>
          <t>MER00139</t>
        </is>
      </c>
      <c r="C117" t="inlineStr">
        <is>
          <t>2026-05-01</t>
        </is>
      </c>
      <c r="D117" t="inlineStr">
        <is>
          <t>2026-05-31</t>
        </is>
      </c>
      <c r="E117" s="8" t="n">
        <v>46175</v>
      </c>
      <c r="F117" s="8" t="n">
        <v>46235</v>
      </c>
      <c r="G117" t="n">
        <v>1716.17</v>
      </c>
      <c r="H117" t="n">
        <v>0</v>
      </c>
      <c r="I117" t="n">
        <v>1716.17</v>
      </c>
      <c r="J117" t="n">
        <v>0.18</v>
      </c>
      <c r="K117" t="n">
        <v>308.91</v>
      </c>
      <c r="L117" t="n">
        <v>2025.08</v>
      </c>
      <c r="M117" t="inlineStr">
        <is>
          <t>INR</t>
        </is>
      </c>
      <c r="N117" t="inlineStr">
        <is>
          <t>Paid</t>
        </is>
      </c>
      <c r="O117" t="inlineStr">
        <is>
          <t>Paid</t>
        </is>
      </c>
      <c r="P117" t="n">
        <v>1716.17</v>
      </c>
      <c r="Q117" t="n">
        <v>1716.17</v>
      </c>
      <c r="R117" t="b">
        <v>0</v>
      </c>
    </row>
    <row r="118">
      <c r="A118" t="inlineStr">
        <is>
          <t>INV0002967</t>
        </is>
      </c>
      <c r="B118" t="inlineStr">
        <is>
          <t>MER00139</t>
        </is>
      </c>
      <c r="C118" t="inlineStr">
        <is>
          <t>2026-06-01</t>
        </is>
      </c>
      <c r="D118" t="inlineStr">
        <is>
          <t>2026-06-30</t>
        </is>
      </c>
      <c r="E118" s="8" t="n">
        <v>46205</v>
      </c>
      <c r="F118" s="8" t="n">
        <v>46265</v>
      </c>
      <c r="G118" t="n">
        <v>1961.21</v>
      </c>
      <c r="H118" t="n">
        <v>0</v>
      </c>
      <c r="I118" t="n">
        <v>1961.21</v>
      </c>
      <c r="J118" t="n">
        <v>0.18</v>
      </c>
      <c r="K118" t="n">
        <v>353.02</v>
      </c>
      <c r="L118" t="n">
        <v>2314.23</v>
      </c>
      <c r="M118" t="inlineStr">
        <is>
          <t>INR</t>
        </is>
      </c>
      <c r="N118" t="inlineStr">
        <is>
          <t>Paid</t>
        </is>
      </c>
      <c r="O118" t="inlineStr">
        <is>
          <t>Paid</t>
        </is>
      </c>
      <c r="P118" t="n">
        <v>1961.21</v>
      </c>
      <c r="Q118" t="n">
        <v>1961.21</v>
      </c>
      <c r="R118" t="b">
        <v>0</v>
      </c>
    </row>
    <row r="119">
      <c r="A119" t="inlineStr">
        <is>
          <t>INV0002968</t>
        </is>
      </c>
      <c r="B119" t="inlineStr">
        <is>
          <t>MER00139</t>
        </is>
      </c>
      <c r="C119" t="inlineStr">
        <is>
          <t>2026-07-01</t>
        </is>
      </c>
      <c r="D119" t="inlineStr">
        <is>
          <t>2026-07-31</t>
        </is>
      </c>
      <c r="E119" s="8" t="n">
        <v>46236</v>
      </c>
      <c r="F119" s="8" t="n">
        <v>46296</v>
      </c>
      <c r="G119" t="n">
        <v>1781.74</v>
      </c>
      <c r="H119" t="n">
        <v>0</v>
      </c>
      <c r="I119" t="n">
        <v>1781.74</v>
      </c>
      <c r="J119" t="n">
        <v>0.18</v>
      </c>
      <c r="K119" t="n">
        <v>320.71</v>
      </c>
      <c r="L119" t="n">
        <v>2102.45</v>
      </c>
      <c r="M119" t="inlineStr">
        <is>
          <t>INR</t>
        </is>
      </c>
      <c r="N119" t="inlineStr">
        <is>
          <t>Paid</t>
        </is>
      </c>
      <c r="O119" t="inlineStr">
        <is>
          <t>Paid</t>
        </is>
      </c>
      <c r="P119" t="n">
        <v>1781.74</v>
      </c>
      <c r="Q119" t="n">
        <v>1781.74</v>
      </c>
      <c r="R119" t="b">
        <v>0</v>
      </c>
    </row>
    <row r="120">
      <c r="A120" t="inlineStr">
        <is>
          <t>INV0002969</t>
        </is>
      </c>
      <c r="B120" t="inlineStr">
        <is>
          <t>MER00140</t>
        </is>
      </c>
      <c r="C120" t="inlineStr">
        <is>
          <t>2024-08-01</t>
        </is>
      </c>
      <c r="D120" t="inlineStr">
        <is>
          <t>2024-08-31</t>
        </is>
      </c>
      <c r="E120" s="8" t="n">
        <v>45537</v>
      </c>
      <c r="F120" s="8" t="n">
        <v>45552</v>
      </c>
      <c r="G120" t="n">
        <v>231.26</v>
      </c>
      <c r="H120" t="n">
        <v>0</v>
      </c>
      <c r="I120" t="n">
        <v>231.26</v>
      </c>
      <c r="J120" t="n">
        <v>0.18</v>
      </c>
      <c r="K120" t="n">
        <v>41.63</v>
      </c>
      <c r="L120" t="n">
        <v>272.89</v>
      </c>
      <c r="M120" t="inlineStr">
        <is>
          <t>INR</t>
        </is>
      </c>
      <c r="N120" t="inlineStr">
        <is>
          <t>Paid</t>
        </is>
      </c>
      <c r="O120" t="inlineStr">
        <is>
          <t>Paid</t>
        </is>
      </c>
      <c r="P120" t="n">
        <v>231.26</v>
      </c>
      <c r="Q120" t="n">
        <v>231.26</v>
      </c>
      <c r="R120" t="b">
        <v>0</v>
      </c>
    </row>
    <row r="121">
      <c r="A121" t="inlineStr">
        <is>
          <t>INV0002970</t>
        </is>
      </c>
      <c r="B121" t="inlineStr">
        <is>
          <t>MER00140</t>
        </is>
      </c>
      <c r="C121" t="inlineStr">
        <is>
          <t>2024-09-01</t>
        </is>
      </c>
      <c r="D121" t="inlineStr">
        <is>
          <t>2024-09-30</t>
        </is>
      </c>
      <c r="E121" s="8" t="n">
        <v>45567</v>
      </c>
      <c r="F121" s="8" t="n">
        <v>45582</v>
      </c>
      <c r="G121" t="n">
        <v>220.26</v>
      </c>
      <c r="H121" t="n">
        <v>0</v>
      </c>
      <c r="I121" t="n">
        <v>220.26</v>
      </c>
      <c r="J121" t="n">
        <v>0.18</v>
      </c>
      <c r="K121" t="n">
        <v>39.65</v>
      </c>
      <c r="L121" t="n">
        <v>259.91</v>
      </c>
      <c r="M121" t="inlineStr">
        <is>
          <t>INR</t>
        </is>
      </c>
      <c r="N121" t="inlineStr">
        <is>
          <t>Paid</t>
        </is>
      </c>
      <c r="O121" t="inlineStr">
        <is>
          <t>Paid</t>
        </is>
      </c>
      <c r="P121" t="n">
        <v>220.26</v>
      </c>
      <c r="Q121" t="n">
        <v>220.26</v>
      </c>
      <c r="R121" t="b">
        <v>0</v>
      </c>
    </row>
    <row r="122">
      <c r="A122" t="inlineStr">
        <is>
          <t>INV0002971</t>
        </is>
      </c>
      <c r="B122" t="inlineStr">
        <is>
          <t>MER00140</t>
        </is>
      </c>
      <c r="C122" t="inlineStr">
        <is>
          <t>2024-10-01</t>
        </is>
      </c>
      <c r="D122" t="inlineStr">
        <is>
          <t>2024-10-31</t>
        </is>
      </c>
      <c r="E122" s="8" t="n">
        <v>45598</v>
      </c>
      <c r="F122" s="8" t="n">
        <v>45613</v>
      </c>
      <c r="G122" t="n">
        <v>638.9299999999999</v>
      </c>
      <c r="H122" t="n">
        <v>0</v>
      </c>
      <c r="I122" t="n">
        <v>638.9299999999999</v>
      </c>
      <c r="J122" t="n">
        <v>0.18</v>
      </c>
      <c r="K122" t="n">
        <v>115.01</v>
      </c>
      <c r="L122" t="n">
        <v>753.9400000000001</v>
      </c>
      <c r="M122" t="inlineStr">
        <is>
          <t>INR</t>
        </is>
      </c>
      <c r="N122" t="inlineStr">
        <is>
          <t>Paid</t>
        </is>
      </c>
      <c r="O122" t="inlineStr">
        <is>
          <t>Paid</t>
        </is>
      </c>
      <c r="P122" t="n">
        <v>638.9299999999999</v>
      </c>
      <c r="Q122" t="n">
        <v>638.9299999999999</v>
      </c>
      <c r="R122" t="b">
        <v>0</v>
      </c>
    </row>
    <row r="123">
      <c r="A123" t="inlineStr">
        <is>
          <t>INV0002972</t>
        </is>
      </c>
      <c r="B123" t="inlineStr">
        <is>
          <t>MER00140</t>
        </is>
      </c>
      <c r="C123" t="inlineStr">
        <is>
          <t>2024-11-01</t>
        </is>
      </c>
      <c r="D123" t="inlineStr">
        <is>
          <t>2024-11-30</t>
        </is>
      </c>
      <c r="E123" s="8" t="n">
        <v>45628</v>
      </c>
      <c r="F123" s="8" t="n">
        <v>45643</v>
      </c>
      <c r="G123" t="n">
        <v>685.21</v>
      </c>
      <c r="H123" t="n">
        <v>0</v>
      </c>
      <c r="I123" t="n">
        <v>685.21</v>
      </c>
      <c r="J123" t="n">
        <v>0.18</v>
      </c>
      <c r="K123" t="n">
        <v>123.34</v>
      </c>
      <c r="L123" t="n">
        <v>808.55</v>
      </c>
      <c r="M123" t="inlineStr">
        <is>
          <t>INR</t>
        </is>
      </c>
      <c r="N123" t="inlineStr">
        <is>
          <t>Paid</t>
        </is>
      </c>
      <c r="O123" t="inlineStr">
        <is>
          <t>Paid</t>
        </is>
      </c>
      <c r="P123" t="n">
        <v>685.21</v>
      </c>
      <c r="Q123" t="n">
        <v>685.21</v>
      </c>
      <c r="R123" t="b">
        <v>0</v>
      </c>
    </row>
    <row r="124">
      <c r="A124" t="inlineStr">
        <is>
          <t>INV0002973</t>
        </is>
      </c>
      <c r="B124" t="inlineStr">
        <is>
          <t>MER00140</t>
        </is>
      </c>
      <c r="C124" t="inlineStr">
        <is>
          <t>2024-12-01</t>
        </is>
      </c>
      <c r="D124" t="inlineStr">
        <is>
          <t>2024-12-31</t>
        </is>
      </c>
      <c r="E124" s="8" t="n">
        <v>45659</v>
      </c>
      <c r="F124" s="8" t="n">
        <v>45674</v>
      </c>
      <c r="G124" t="n">
        <v>224.24</v>
      </c>
      <c r="H124" t="n">
        <v>0</v>
      </c>
      <c r="I124" t="n">
        <v>224.24</v>
      </c>
      <c r="J124" t="n">
        <v>0.18</v>
      </c>
      <c r="K124" t="n">
        <v>40.36</v>
      </c>
      <c r="L124" t="n">
        <v>264.6</v>
      </c>
      <c r="M124" t="inlineStr">
        <is>
          <t>INR</t>
        </is>
      </c>
      <c r="N124" t="inlineStr">
        <is>
          <t>Paid</t>
        </is>
      </c>
      <c r="O124" t="inlineStr">
        <is>
          <t>Paid</t>
        </is>
      </c>
      <c r="P124" t="n">
        <v>224.24</v>
      </c>
      <c r="Q124" t="n">
        <v>224.24</v>
      </c>
      <c r="R124" t="b">
        <v>0</v>
      </c>
    </row>
    <row r="125">
      <c r="A125" t="inlineStr">
        <is>
          <t>INV0002974</t>
        </is>
      </c>
      <c r="B125" t="inlineStr">
        <is>
          <t>MER00140</t>
        </is>
      </c>
      <c r="C125" t="inlineStr">
        <is>
          <t>2025-01-01</t>
        </is>
      </c>
      <c r="D125" t="inlineStr">
        <is>
          <t>2025-01-31</t>
        </is>
      </c>
      <c r="E125" s="8" t="n">
        <v>45690</v>
      </c>
      <c r="F125" s="8" t="n">
        <v>45705</v>
      </c>
      <c r="G125" t="n">
        <v>291.74</v>
      </c>
      <c r="H125" t="n">
        <v>0</v>
      </c>
      <c r="I125" t="n">
        <v>291.74</v>
      </c>
      <c r="J125" t="n">
        <v>0.18</v>
      </c>
      <c r="K125" t="n">
        <v>52.51</v>
      </c>
      <c r="L125" t="n">
        <v>344.25</v>
      </c>
      <c r="M125" t="inlineStr">
        <is>
          <t>INR</t>
        </is>
      </c>
      <c r="N125" t="inlineStr">
        <is>
          <t>Paid</t>
        </is>
      </c>
      <c r="O125" t="inlineStr">
        <is>
          <t>Paid</t>
        </is>
      </c>
      <c r="P125" t="n">
        <v>291.74</v>
      </c>
      <c r="Q125" t="n">
        <v>291.74</v>
      </c>
      <c r="R125" t="b">
        <v>0</v>
      </c>
    </row>
    <row r="126">
      <c r="A126" t="inlineStr">
        <is>
          <t>INV0002975</t>
        </is>
      </c>
      <c r="B126" t="inlineStr">
        <is>
          <t>MER00140</t>
        </is>
      </c>
      <c r="C126" t="inlineStr">
        <is>
          <t>2025-02-01</t>
        </is>
      </c>
      <c r="D126" t="inlineStr">
        <is>
          <t>2025-02-28</t>
        </is>
      </c>
      <c r="E126" s="8" t="n">
        <v>45718</v>
      </c>
      <c r="F126" s="8" t="n">
        <v>45733</v>
      </c>
      <c r="G126" t="n">
        <v>283.27</v>
      </c>
      <c r="H126" t="n">
        <v>0</v>
      </c>
      <c r="I126" t="n">
        <v>283.27</v>
      </c>
      <c r="J126" t="n">
        <v>0.18</v>
      </c>
      <c r="K126" t="n">
        <v>50.99</v>
      </c>
      <c r="L126" t="n">
        <v>334.26</v>
      </c>
      <c r="M126" t="inlineStr">
        <is>
          <t>INR</t>
        </is>
      </c>
      <c r="N126" t="inlineStr">
        <is>
          <t>Overdue</t>
        </is>
      </c>
      <c r="O126" t="inlineStr">
        <is>
          <t>Unpaid</t>
        </is>
      </c>
      <c r="P126" t="n">
        <v>386.47</v>
      </c>
      <c r="Q126" t="n">
        <v>283.27</v>
      </c>
      <c r="R126" t="b">
        <v>1</v>
      </c>
    </row>
    <row r="127">
      <c r="A127" t="inlineStr">
        <is>
          <t>INV0002976</t>
        </is>
      </c>
      <c r="B127" t="inlineStr">
        <is>
          <t>MER00140</t>
        </is>
      </c>
      <c r="C127" t="inlineStr">
        <is>
          <t>2025-03-01</t>
        </is>
      </c>
      <c r="D127" t="inlineStr">
        <is>
          <t>2025-03-31</t>
        </is>
      </c>
      <c r="E127" s="8" t="n">
        <v>45749</v>
      </c>
      <c r="F127" s="8" t="n">
        <v>45764</v>
      </c>
      <c r="G127" t="n">
        <v>222.81</v>
      </c>
      <c r="H127" t="n">
        <v>0</v>
      </c>
      <c r="I127" t="n">
        <v>222.81</v>
      </c>
      <c r="J127" t="n">
        <v>0.18</v>
      </c>
      <c r="K127" t="n">
        <v>40.11</v>
      </c>
      <c r="L127" t="n">
        <v>262.92</v>
      </c>
      <c r="M127" t="inlineStr">
        <is>
          <t>INR</t>
        </is>
      </c>
      <c r="N127" t="inlineStr">
        <is>
          <t>Overdue</t>
        </is>
      </c>
      <c r="O127" t="inlineStr">
        <is>
          <t>Partially Paid</t>
        </is>
      </c>
      <c r="P127" t="n">
        <v>222.81</v>
      </c>
      <c r="Q127" t="n">
        <v>222.81</v>
      </c>
      <c r="R127" t="b">
        <v>0</v>
      </c>
    </row>
    <row r="128">
      <c r="A128" t="inlineStr">
        <is>
          <t>INV0002977</t>
        </is>
      </c>
      <c r="B128" t="inlineStr">
        <is>
          <t>MER00140</t>
        </is>
      </c>
      <c r="C128" t="inlineStr">
        <is>
          <t>2025-04-01</t>
        </is>
      </c>
      <c r="D128" t="inlineStr">
        <is>
          <t>2025-04-30</t>
        </is>
      </c>
      <c r="E128" s="8" t="n">
        <v>45779</v>
      </c>
      <c r="F128" s="8" t="n">
        <v>45794</v>
      </c>
      <c r="G128" t="n">
        <v>209.61</v>
      </c>
      <c r="H128" t="n">
        <v>0</v>
      </c>
      <c r="I128" t="n">
        <v>209.61</v>
      </c>
      <c r="J128" t="n">
        <v>0.18</v>
      </c>
      <c r="K128" t="n">
        <v>37.73</v>
      </c>
      <c r="L128" t="n">
        <v>247.34</v>
      </c>
      <c r="M128" t="inlineStr">
        <is>
          <t>INR</t>
        </is>
      </c>
      <c r="N128" t="inlineStr">
        <is>
          <t>Overdue</t>
        </is>
      </c>
      <c r="O128" t="inlineStr">
        <is>
          <t>Unpaid</t>
        </is>
      </c>
      <c r="P128" t="n">
        <v>209.61</v>
      </c>
      <c r="Q128" t="n">
        <v>209.61</v>
      </c>
      <c r="R128" t="b">
        <v>0</v>
      </c>
    </row>
    <row r="129">
      <c r="A129" t="inlineStr">
        <is>
          <t>INV0002978</t>
        </is>
      </c>
      <c r="B129" t="inlineStr">
        <is>
          <t>MER00140</t>
        </is>
      </c>
      <c r="C129" t="inlineStr">
        <is>
          <t>2025-05-01</t>
        </is>
      </c>
      <c r="D129" t="inlineStr">
        <is>
          <t>2025-05-31</t>
        </is>
      </c>
      <c r="E129" s="8" t="n">
        <v>45810</v>
      </c>
      <c r="F129" s="8" t="n">
        <v>45825</v>
      </c>
      <c r="G129" t="n">
        <v>452.39</v>
      </c>
      <c r="H129" t="n">
        <v>0</v>
      </c>
      <c r="I129" t="n">
        <v>452.39</v>
      </c>
      <c r="J129" t="n">
        <v>0.18</v>
      </c>
      <c r="K129" t="n">
        <v>81.43000000000001</v>
      </c>
      <c r="L129" t="n">
        <v>533.8200000000001</v>
      </c>
      <c r="M129" t="inlineStr">
        <is>
          <t>INR</t>
        </is>
      </c>
      <c r="N129" t="inlineStr">
        <is>
          <t>Paid</t>
        </is>
      </c>
      <c r="O129" t="inlineStr">
        <is>
          <t>Paid</t>
        </is>
      </c>
      <c r="P129" t="n">
        <v>452.39</v>
      </c>
      <c r="Q129" t="n">
        <v>452.39</v>
      </c>
      <c r="R129" t="b">
        <v>0</v>
      </c>
    </row>
    <row r="130">
      <c r="A130" t="inlineStr">
        <is>
          <t>INV0002979</t>
        </is>
      </c>
      <c r="B130" t="inlineStr">
        <is>
          <t>MER00140</t>
        </is>
      </c>
      <c r="C130" t="inlineStr">
        <is>
          <t>2025-06-01</t>
        </is>
      </c>
      <c r="D130" t="inlineStr">
        <is>
          <t>2025-06-30</t>
        </is>
      </c>
      <c r="E130" s="8" t="n">
        <v>45840</v>
      </c>
      <c r="F130" s="8" t="n">
        <v>45855</v>
      </c>
      <c r="G130" t="n">
        <v>196.87</v>
      </c>
      <c r="H130" t="n">
        <v>0</v>
      </c>
      <c r="I130" t="n">
        <v>196.87</v>
      </c>
      <c r="J130" t="n">
        <v>0.18</v>
      </c>
      <c r="K130" t="n">
        <v>35.44</v>
      </c>
      <c r="L130" t="n">
        <v>232.31</v>
      </c>
      <c r="M130" t="inlineStr">
        <is>
          <t>INR</t>
        </is>
      </c>
      <c r="N130" t="inlineStr">
        <is>
          <t>Overdue</t>
        </is>
      </c>
      <c r="O130" t="inlineStr">
        <is>
          <t>Unpaid</t>
        </is>
      </c>
      <c r="P130" t="n">
        <v>196.87</v>
      </c>
      <c r="Q130" t="n">
        <v>196.87</v>
      </c>
      <c r="R130" t="b">
        <v>0</v>
      </c>
    </row>
    <row r="131">
      <c r="A131" t="inlineStr">
        <is>
          <t>INV0002980</t>
        </is>
      </c>
      <c r="B131" t="inlineStr">
        <is>
          <t>MER00140</t>
        </is>
      </c>
      <c r="C131" t="inlineStr">
        <is>
          <t>2025-07-01</t>
        </is>
      </c>
      <c r="D131" t="inlineStr">
        <is>
          <t>2025-07-31</t>
        </is>
      </c>
      <c r="E131" s="8" t="n">
        <v>45871</v>
      </c>
      <c r="F131" s="8" t="n">
        <v>45886</v>
      </c>
      <c r="G131" t="n">
        <v>208.37</v>
      </c>
      <c r="H131" t="n">
        <v>0</v>
      </c>
      <c r="I131" t="n">
        <v>208.37</v>
      </c>
      <c r="J131" t="n">
        <v>0.18</v>
      </c>
      <c r="K131" t="n">
        <v>37.51</v>
      </c>
      <c r="L131" t="n">
        <v>245.88</v>
      </c>
      <c r="M131" t="inlineStr">
        <is>
          <t>INR</t>
        </is>
      </c>
      <c r="N131" t="inlineStr">
        <is>
          <t>Paid</t>
        </is>
      </c>
      <c r="O131" t="inlineStr">
        <is>
          <t>Paid</t>
        </is>
      </c>
      <c r="P131" t="n">
        <v>208.37</v>
      </c>
      <c r="Q131" t="n">
        <v>208.37</v>
      </c>
      <c r="R131" t="b">
        <v>0</v>
      </c>
    </row>
    <row r="132">
      <c r="A132" t="inlineStr">
        <is>
          <t>INV0002981</t>
        </is>
      </c>
      <c r="B132" t="inlineStr">
        <is>
          <t>MER00140</t>
        </is>
      </c>
      <c r="C132" t="inlineStr">
        <is>
          <t>2025-08-01</t>
        </is>
      </c>
      <c r="D132" t="inlineStr">
        <is>
          <t>2025-08-31</t>
        </is>
      </c>
      <c r="E132" s="8" t="n">
        <v>45902</v>
      </c>
      <c r="F132" s="8" t="n">
        <v>45917</v>
      </c>
      <c r="G132" t="n">
        <v>509.4</v>
      </c>
      <c r="H132" t="n">
        <v>0</v>
      </c>
      <c r="I132" t="n">
        <v>509.4</v>
      </c>
      <c r="J132" t="n">
        <v>0.18</v>
      </c>
      <c r="K132" t="n">
        <v>91.69</v>
      </c>
      <c r="L132" t="n">
        <v>601.09</v>
      </c>
      <c r="M132" t="inlineStr">
        <is>
          <t>INR</t>
        </is>
      </c>
      <c r="N132" t="inlineStr">
        <is>
          <t>Paid</t>
        </is>
      </c>
      <c r="O132" t="inlineStr">
        <is>
          <t>Paid</t>
        </is>
      </c>
      <c r="P132" t="n">
        <v>509.4</v>
      </c>
      <c r="Q132" t="n">
        <v>509.4</v>
      </c>
      <c r="R132" t="b">
        <v>0</v>
      </c>
    </row>
    <row r="133">
      <c r="A133" t="inlineStr">
        <is>
          <t>INV0002982</t>
        </is>
      </c>
      <c r="B133" t="inlineStr">
        <is>
          <t>MER00140</t>
        </is>
      </c>
      <c r="C133" t="inlineStr">
        <is>
          <t>2025-09-01</t>
        </is>
      </c>
      <c r="D133" t="inlineStr">
        <is>
          <t>2025-09-30</t>
        </is>
      </c>
      <c r="E133" s="8" t="n">
        <v>45932</v>
      </c>
      <c r="F133" s="8" t="n">
        <v>45947</v>
      </c>
      <c r="G133" t="n">
        <v>123.46</v>
      </c>
      <c r="H133" t="n">
        <v>0</v>
      </c>
      <c r="I133" t="n">
        <v>123.46</v>
      </c>
      <c r="J133" t="n">
        <v>0.18</v>
      </c>
      <c r="K133" t="n">
        <v>22.22</v>
      </c>
      <c r="L133" t="n">
        <v>145.68</v>
      </c>
      <c r="M133" t="inlineStr">
        <is>
          <t>INR</t>
        </is>
      </c>
      <c r="N133" t="inlineStr">
        <is>
          <t>Overdue</t>
        </is>
      </c>
      <c r="O133" t="inlineStr">
        <is>
          <t>Unpaid</t>
        </is>
      </c>
      <c r="P133" t="n">
        <v>123.46</v>
      </c>
      <c r="Q133" t="n">
        <v>123.46</v>
      </c>
      <c r="R133" t="b">
        <v>0</v>
      </c>
    </row>
    <row r="134">
      <c r="A134" t="inlineStr">
        <is>
          <t>INV0002983</t>
        </is>
      </c>
      <c r="B134" t="inlineStr">
        <is>
          <t>MER00140</t>
        </is>
      </c>
      <c r="C134" t="inlineStr">
        <is>
          <t>2025-10-01</t>
        </is>
      </c>
      <c r="D134" t="inlineStr">
        <is>
          <t>2025-10-31</t>
        </is>
      </c>
      <c r="E134" s="8" t="n">
        <v>45963</v>
      </c>
      <c r="F134" s="8" t="n">
        <v>45978</v>
      </c>
      <c r="G134" t="n">
        <v>521.63</v>
      </c>
      <c r="H134" t="n">
        <v>0</v>
      </c>
      <c r="I134" t="n">
        <v>521.63</v>
      </c>
      <c r="J134" t="n">
        <v>0.18</v>
      </c>
      <c r="K134" t="n">
        <v>93.89</v>
      </c>
      <c r="L134" t="n">
        <v>615.52</v>
      </c>
      <c r="M134" t="inlineStr">
        <is>
          <t>INR</t>
        </is>
      </c>
      <c r="N134" t="inlineStr">
        <is>
          <t>Paid</t>
        </is>
      </c>
      <c r="O134" t="inlineStr">
        <is>
          <t>Paid</t>
        </is>
      </c>
      <c r="P134" t="n">
        <v>667.71</v>
      </c>
      <c r="Q134" t="n">
        <v>521.63</v>
      </c>
      <c r="R134" t="b">
        <v>1</v>
      </c>
    </row>
    <row r="135">
      <c r="A135" t="inlineStr">
        <is>
          <t>INV0002984</t>
        </is>
      </c>
      <c r="B135" t="inlineStr">
        <is>
          <t>MER00140</t>
        </is>
      </c>
      <c r="C135" t="inlineStr">
        <is>
          <t>2025-11-01</t>
        </is>
      </c>
      <c r="D135" t="inlineStr">
        <is>
          <t>2025-11-30</t>
        </is>
      </c>
      <c r="E135" s="8" t="n">
        <v>45993</v>
      </c>
      <c r="F135" s="8" t="n">
        <v>46008</v>
      </c>
      <c r="G135" t="n">
        <v>1387.4</v>
      </c>
      <c r="H135" t="n">
        <v>0</v>
      </c>
      <c r="I135" t="n">
        <v>1387.4</v>
      </c>
      <c r="J135" t="n">
        <v>0.18</v>
      </c>
      <c r="K135" t="n">
        <v>249.73</v>
      </c>
      <c r="L135" t="n">
        <v>1637.13</v>
      </c>
      <c r="M135" t="inlineStr">
        <is>
          <t>INR</t>
        </is>
      </c>
      <c r="N135" t="inlineStr">
        <is>
          <t>Paid</t>
        </is>
      </c>
      <c r="O135" t="inlineStr">
        <is>
          <t>Paid</t>
        </is>
      </c>
      <c r="P135" t="n">
        <v>1387.4</v>
      </c>
      <c r="Q135" t="n">
        <v>1387.4</v>
      </c>
      <c r="R135" t="b">
        <v>0</v>
      </c>
    </row>
    <row r="136">
      <c r="A136" t="inlineStr">
        <is>
          <t>INV0002985</t>
        </is>
      </c>
      <c r="B136" t="inlineStr">
        <is>
          <t>MER00140</t>
        </is>
      </c>
      <c r="C136" t="inlineStr">
        <is>
          <t>2025-12-01</t>
        </is>
      </c>
      <c r="D136" t="inlineStr">
        <is>
          <t>2025-12-31</t>
        </is>
      </c>
      <c r="E136" s="8" t="n">
        <v>46024</v>
      </c>
      <c r="F136" s="8" t="n">
        <v>46039</v>
      </c>
      <c r="G136" t="n">
        <v>489.62</v>
      </c>
      <c r="H136" t="n">
        <v>0</v>
      </c>
      <c r="I136" t="n">
        <v>489.62</v>
      </c>
      <c r="J136" t="n">
        <v>0.18</v>
      </c>
      <c r="K136" t="n">
        <v>88.13</v>
      </c>
      <c r="L136" t="n">
        <v>577.75</v>
      </c>
      <c r="M136" t="inlineStr">
        <is>
          <t>INR</t>
        </is>
      </c>
      <c r="N136" t="inlineStr">
        <is>
          <t>Overdue</t>
        </is>
      </c>
      <c r="O136" t="inlineStr">
        <is>
          <t>Unpaid</t>
        </is>
      </c>
      <c r="P136" t="n">
        <v>489.62</v>
      </c>
      <c r="Q136" t="n">
        <v>489.62</v>
      </c>
      <c r="R136" t="b">
        <v>0</v>
      </c>
    </row>
    <row r="137">
      <c r="A137" t="inlineStr">
        <is>
          <t>INV0002986</t>
        </is>
      </c>
      <c r="B137" t="inlineStr">
        <is>
          <t>MER00140</t>
        </is>
      </c>
      <c r="C137" t="inlineStr">
        <is>
          <t>2026-01-01</t>
        </is>
      </c>
      <c r="D137" t="inlineStr">
        <is>
          <t>2026-01-31</t>
        </is>
      </c>
      <c r="E137" s="8" t="n">
        <v>46055</v>
      </c>
      <c r="F137" s="8" t="n">
        <v>46070</v>
      </c>
      <c r="G137" t="n">
        <v>492.94</v>
      </c>
      <c r="H137" t="n">
        <v>0</v>
      </c>
      <c r="I137" t="n">
        <v>492.94</v>
      </c>
      <c r="J137" t="n">
        <v>0.18</v>
      </c>
      <c r="K137" t="n">
        <v>88.73</v>
      </c>
      <c r="L137" t="n">
        <v>581.67</v>
      </c>
      <c r="M137" t="inlineStr">
        <is>
          <t>INR</t>
        </is>
      </c>
      <c r="N137" t="inlineStr">
        <is>
          <t>Paid</t>
        </is>
      </c>
      <c r="O137" t="inlineStr">
        <is>
          <t>Paid</t>
        </is>
      </c>
      <c r="P137" t="n">
        <v>387.61</v>
      </c>
      <c r="Q137" t="n">
        <v>492.94</v>
      </c>
      <c r="R137" t="b">
        <v>1</v>
      </c>
    </row>
    <row r="138">
      <c r="A138" t="inlineStr">
        <is>
          <t>INV0002987</t>
        </is>
      </c>
      <c r="B138" t="inlineStr">
        <is>
          <t>MER00140</t>
        </is>
      </c>
      <c r="C138" t="inlineStr">
        <is>
          <t>2026-02-01</t>
        </is>
      </c>
      <c r="D138" t="inlineStr">
        <is>
          <t>2026-02-28</t>
        </is>
      </c>
      <c r="E138" s="8" t="n">
        <v>46083</v>
      </c>
      <c r="F138" s="8" t="n">
        <v>46098</v>
      </c>
      <c r="G138" t="n">
        <v>642.0700000000001</v>
      </c>
      <c r="H138" t="n">
        <v>0</v>
      </c>
      <c r="I138" t="n">
        <v>642.0700000000001</v>
      </c>
      <c r="J138" t="n">
        <v>0.18</v>
      </c>
      <c r="K138" t="n">
        <v>115.57</v>
      </c>
      <c r="L138" t="n">
        <v>757.64</v>
      </c>
      <c r="M138" t="inlineStr">
        <is>
          <t>INR</t>
        </is>
      </c>
      <c r="N138" t="inlineStr">
        <is>
          <t>Paid</t>
        </is>
      </c>
      <c r="O138" t="inlineStr">
        <is>
          <t>Paid</t>
        </is>
      </c>
      <c r="P138" t="n">
        <v>642.0700000000001</v>
      </c>
      <c r="Q138" t="n">
        <v>642.0700000000001</v>
      </c>
      <c r="R138" t="b">
        <v>0</v>
      </c>
    </row>
    <row r="139">
      <c r="A139" t="inlineStr">
        <is>
          <t>INV0002988</t>
        </is>
      </c>
      <c r="B139" t="inlineStr">
        <is>
          <t>MER00140</t>
        </is>
      </c>
      <c r="C139" t="inlineStr">
        <is>
          <t>2026-03-01</t>
        </is>
      </c>
      <c r="D139" t="inlineStr">
        <is>
          <t>2026-03-31</t>
        </is>
      </c>
      <c r="E139" s="8" t="n">
        <v>46114</v>
      </c>
      <c r="F139" s="8" t="n">
        <v>46129</v>
      </c>
      <c r="G139" t="n">
        <v>913.72</v>
      </c>
      <c r="H139" t="n">
        <v>0</v>
      </c>
      <c r="I139" t="n">
        <v>913.72</v>
      </c>
      <c r="J139" t="n">
        <v>0.18</v>
      </c>
      <c r="K139" t="n">
        <v>164.47</v>
      </c>
      <c r="L139" t="n">
        <v>1078.19</v>
      </c>
      <c r="M139" t="inlineStr">
        <is>
          <t>INR</t>
        </is>
      </c>
      <c r="N139" t="inlineStr">
        <is>
          <t>Paid</t>
        </is>
      </c>
      <c r="O139" t="inlineStr">
        <is>
          <t>Paid</t>
        </is>
      </c>
      <c r="P139" t="n">
        <v>913.72</v>
      </c>
      <c r="Q139" t="n">
        <v>913.72</v>
      </c>
      <c r="R139" t="b">
        <v>0</v>
      </c>
    </row>
    <row r="140">
      <c r="A140" t="inlineStr">
        <is>
          <t>INV0002989</t>
        </is>
      </c>
      <c r="B140" t="inlineStr">
        <is>
          <t>MER00140</t>
        </is>
      </c>
      <c r="C140" t="inlineStr">
        <is>
          <t>2026-05-01</t>
        </is>
      </c>
      <c r="D140" t="inlineStr">
        <is>
          <t>2026-05-31</t>
        </is>
      </c>
      <c r="E140" s="8" t="n">
        <v>46175</v>
      </c>
      <c r="F140" s="8" t="n">
        <v>46190</v>
      </c>
      <c r="G140" t="n">
        <v>494.38</v>
      </c>
      <c r="H140" t="n">
        <v>61.3</v>
      </c>
      <c r="I140" t="n">
        <v>433.08</v>
      </c>
      <c r="J140" t="n">
        <v>0.18</v>
      </c>
      <c r="K140" t="n">
        <v>77.95</v>
      </c>
      <c r="L140" t="n">
        <v>511.03</v>
      </c>
      <c r="M140" t="inlineStr">
        <is>
          <t>INR</t>
        </is>
      </c>
      <c r="N140" t="inlineStr">
        <is>
          <t>Paid</t>
        </is>
      </c>
      <c r="O140" t="inlineStr">
        <is>
          <t>Paid</t>
        </is>
      </c>
      <c r="P140" t="n">
        <v>494.38</v>
      </c>
      <c r="Q140" t="n">
        <v>494.38</v>
      </c>
      <c r="R140" t="b">
        <v>0</v>
      </c>
    </row>
    <row r="141">
      <c r="A141" t="inlineStr">
        <is>
          <t>INV0002990</t>
        </is>
      </c>
      <c r="B141" t="inlineStr">
        <is>
          <t>MER00140</t>
        </is>
      </c>
      <c r="C141" t="inlineStr">
        <is>
          <t>2026-06-01</t>
        </is>
      </c>
      <c r="D141" t="inlineStr">
        <is>
          <t>2026-06-30</t>
        </is>
      </c>
      <c r="E141" s="8" t="n">
        <v>46205</v>
      </c>
      <c r="F141" s="8" t="n">
        <v>46220</v>
      </c>
      <c r="G141" t="n">
        <v>715.24</v>
      </c>
      <c r="H141" t="n">
        <v>0</v>
      </c>
      <c r="I141" t="n">
        <v>715.24</v>
      </c>
      <c r="J141" t="n">
        <v>0.18</v>
      </c>
      <c r="K141" t="n">
        <v>128.74</v>
      </c>
      <c r="L141" t="n">
        <v>843.98</v>
      </c>
      <c r="M141" t="inlineStr">
        <is>
          <t>INR</t>
        </is>
      </c>
      <c r="N141" t="inlineStr">
        <is>
          <t>Overdue</t>
        </is>
      </c>
      <c r="O141" t="inlineStr">
        <is>
          <t>Unpaid</t>
        </is>
      </c>
      <c r="P141" t="n">
        <v>715.24</v>
      </c>
      <c r="Q141" t="n">
        <v>715.24</v>
      </c>
      <c r="R141" t="b">
        <v>0</v>
      </c>
    </row>
    <row r="142">
      <c r="A142" t="inlineStr">
        <is>
          <t>INV0002991</t>
        </is>
      </c>
      <c r="B142" t="inlineStr">
        <is>
          <t>MER00140</t>
        </is>
      </c>
      <c r="C142" t="inlineStr">
        <is>
          <t>2026-07-01</t>
        </is>
      </c>
      <c r="D142" t="inlineStr">
        <is>
          <t>2026-07-31</t>
        </is>
      </c>
      <c r="E142" s="8" t="n">
        <v>46236</v>
      </c>
      <c r="F142" s="8" t="n">
        <v>46251</v>
      </c>
      <c r="G142" t="n">
        <v>499.77</v>
      </c>
      <c r="H142" t="n">
        <v>0</v>
      </c>
      <c r="I142" t="n">
        <v>499.77</v>
      </c>
      <c r="J142" t="n">
        <v>0.18</v>
      </c>
      <c r="K142" t="n">
        <v>89.95999999999999</v>
      </c>
      <c r="L142" t="n">
        <v>589.73</v>
      </c>
      <c r="M142" t="inlineStr">
        <is>
          <t>INR</t>
        </is>
      </c>
      <c r="N142" t="inlineStr">
        <is>
          <t>Paid</t>
        </is>
      </c>
      <c r="O142" t="inlineStr">
        <is>
          <t>Paid</t>
        </is>
      </c>
      <c r="P142" t="n">
        <v>499.77</v>
      </c>
      <c r="Q142" t="n">
        <v>499.77</v>
      </c>
      <c r="R142" t="b">
        <v>0</v>
      </c>
    </row>
    <row r="143">
      <c r="A143" t="inlineStr">
        <is>
          <t>INV0003305</t>
        </is>
      </c>
      <c r="B143" t="inlineStr">
        <is>
          <t>MER00156</t>
        </is>
      </c>
      <c r="C143" t="inlineStr">
        <is>
          <t>2025-01-01</t>
        </is>
      </c>
      <c r="D143" t="inlineStr">
        <is>
          <t>2025-01-31</t>
        </is>
      </c>
      <c r="E143" s="8" t="n">
        <v>45690</v>
      </c>
      <c r="F143" s="8" t="n">
        <v>45720</v>
      </c>
      <c r="G143" t="n">
        <v>12.78</v>
      </c>
      <c r="H143" t="n">
        <v>0</v>
      </c>
      <c r="I143" t="n">
        <v>12.78</v>
      </c>
      <c r="J143" t="n">
        <v>0.18</v>
      </c>
      <c r="K143" t="n">
        <v>2.3</v>
      </c>
      <c r="L143" t="n">
        <v>15.08</v>
      </c>
      <c r="M143" t="inlineStr">
        <is>
          <t>INR</t>
        </is>
      </c>
      <c r="N143" t="inlineStr">
        <is>
          <t>Paid</t>
        </is>
      </c>
      <c r="O143" t="inlineStr">
        <is>
          <t>Paid</t>
        </is>
      </c>
      <c r="P143" t="n">
        <v>16.81</v>
      </c>
      <c r="Q143" t="n">
        <v>12.78</v>
      </c>
      <c r="R143" t="b">
        <v>1</v>
      </c>
    </row>
    <row r="144">
      <c r="A144" t="inlineStr">
        <is>
          <t>INV0003306</t>
        </is>
      </c>
      <c r="B144" t="inlineStr">
        <is>
          <t>MER00156</t>
        </is>
      </c>
      <c r="C144" t="inlineStr">
        <is>
          <t>2025-02-01</t>
        </is>
      </c>
      <c r="D144" t="inlineStr">
        <is>
          <t>2025-02-28</t>
        </is>
      </c>
      <c r="E144" s="8" t="n">
        <v>45718</v>
      </c>
      <c r="F144" s="8" t="n">
        <v>45748</v>
      </c>
      <c r="G144" t="n">
        <v>231.77</v>
      </c>
      <c r="H144" t="n">
        <v>0</v>
      </c>
      <c r="I144" t="n">
        <v>231.77</v>
      </c>
      <c r="J144" t="n">
        <v>0.18</v>
      </c>
      <c r="K144" t="n">
        <v>41.72</v>
      </c>
      <c r="L144" t="n">
        <v>273.49</v>
      </c>
      <c r="M144" t="inlineStr">
        <is>
          <t>INR</t>
        </is>
      </c>
      <c r="N144" t="inlineStr">
        <is>
          <t>Paid</t>
        </is>
      </c>
      <c r="O144" t="inlineStr">
        <is>
          <t>Paid</t>
        </is>
      </c>
      <c r="P144" t="n">
        <v>231.77</v>
      </c>
      <c r="Q144" t="n">
        <v>231.77</v>
      </c>
      <c r="R144" t="b">
        <v>0</v>
      </c>
    </row>
    <row r="145">
      <c r="A145" t="inlineStr">
        <is>
          <t>INV0003307</t>
        </is>
      </c>
      <c r="B145" t="inlineStr">
        <is>
          <t>MER00156</t>
        </is>
      </c>
      <c r="C145" t="inlineStr">
        <is>
          <t>2025-03-01</t>
        </is>
      </c>
      <c r="D145" t="inlineStr">
        <is>
          <t>2025-03-31</t>
        </is>
      </c>
      <c r="E145" s="8" t="n">
        <v>45749</v>
      </c>
      <c r="F145" s="8" t="n">
        <v>45779</v>
      </c>
      <c r="G145" t="n">
        <v>47.41</v>
      </c>
      <c r="H145" t="n">
        <v>0</v>
      </c>
      <c r="I145" t="n">
        <v>47.41</v>
      </c>
      <c r="J145" t="n">
        <v>0.18</v>
      </c>
      <c r="K145" t="n">
        <v>8.529999999999999</v>
      </c>
      <c r="L145" t="n">
        <v>55.94</v>
      </c>
      <c r="M145" t="inlineStr">
        <is>
          <t>INR</t>
        </is>
      </c>
      <c r="N145" t="inlineStr">
        <is>
          <t>Paid</t>
        </is>
      </c>
      <c r="O145" t="inlineStr">
        <is>
          <t>Paid</t>
        </is>
      </c>
      <c r="P145" t="n">
        <v>47.41</v>
      </c>
      <c r="Q145" t="n">
        <v>47.41</v>
      </c>
      <c r="R145" t="b">
        <v>0</v>
      </c>
    </row>
    <row r="146">
      <c r="A146" t="inlineStr">
        <is>
          <t>INV0003308</t>
        </is>
      </c>
      <c r="B146" t="inlineStr">
        <is>
          <t>MER00156</t>
        </is>
      </c>
      <c r="C146" t="inlineStr">
        <is>
          <t>2025-04-01</t>
        </is>
      </c>
      <c r="D146" t="inlineStr">
        <is>
          <t>2025-04-30</t>
        </is>
      </c>
      <c r="E146" s="8" t="n">
        <v>45779</v>
      </c>
      <c r="F146" s="8" t="n">
        <v>45809</v>
      </c>
      <c r="G146" t="n">
        <v>199.7</v>
      </c>
      <c r="H146" t="n">
        <v>0</v>
      </c>
      <c r="I146" t="n">
        <v>199.7</v>
      </c>
      <c r="J146" t="n">
        <v>0.18</v>
      </c>
      <c r="K146" t="n">
        <v>35.95</v>
      </c>
      <c r="L146" t="n">
        <v>235.65</v>
      </c>
      <c r="M146" t="inlineStr">
        <is>
          <t>INR</t>
        </is>
      </c>
      <c r="N146" t="inlineStr">
        <is>
          <t>Paid</t>
        </is>
      </c>
      <c r="O146" t="inlineStr">
        <is>
          <t>Paid</t>
        </is>
      </c>
      <c r="P146" t="n">
        <v>199.7</v>
      </c>
      <c r="Q146" t="n">
        <v>199.7</v>
      </c>
      <c r="R146" t="b">
        <v>0</v>
      </c>
    </row>
    <row r="147">
      <c r="A147" t="inlineStr">
        <is>
          <t>INV0003309</t>
        </is>
      </c>
      <c r="B147" t="inlineStr">
        <is>
          <t>MER00156</t>
        </is>
      </c>
      <c r="C147" t="inlineStr">
        <is>
          <t>2025-05-01</t>
        </is>
      </c>
      <c r="D147" t="inlineStr">
        <is>
          <t>2025-05-31</t>
        </is>
      </c>
      <c r="E147" s="8" t="n">
        <v>45810</v>
      </c>
      <c r="F147" s="8" t="n">
        <v>45840</v>
      </c>
      <c r="G147" t="n">
        <v>103.21</v>
      </c>
      <c r="H147" t="n">
        <v>0</v>
      </c>
      <c r="I147" t="n">
        <v>103.21</v>
      </c>
      <c r="J147" t="n">
        <v>0.18</v>
      </c>
      <c r="K147" t="n">
        <v>18.58</v>
      </c>
      <c r="L147" t="n">
        <v>121.79</v>
      </c>
      <c r="M147" t="inlineStr">
        <is>
          <t>INR</t>
        </is>
      </c>
      <c r="N147" t="inlineStr">
        <is>
          <t>Paid</t>
        </is>
      </c>
      <c r="O147" t="inlineStr">
        <is>
          <t>Paid</t>
        </is>
      </c>
      <c r="P147" t="n">
        <v>103.21</v>
      </c>
      <c r="Q147" t="n">
        <v>103.21</v>
      </c>
      <c r="R147" t="b">
        <v>0</v>
      </c>
    </row>
    <row r="148">
      <c r="A148" t="inlineStr">
        <is>
          <t>INV0003310</t>
        </is>
      </c>
      <c r="B148" t="inlineStr">
        <is>
          <t>MER00156</t>
        </is>
      </c>
      <c r="C148" t="inlineStr">
        <is>
          <t>2025-06-01</t>
        </is>
      </c>
      <c r="D148" t="inlineStr">
        <is>
          <t>2025-06-30</t>
        </is>
      </c>
      <c r="E148" s="8" t="n">
        <v>45840</v>
      </c>
      <c r="F148" s="8" t="n">
        <v>45870</v>
      </c>
      <c r="G148" t="n">
        <v>190.15</v>
      </c>
      <c r="H148" t="n">
        <v>0</v>
      </c>
      <c r="I148" t="n">
        <v>190.15</v>
      </c>
      <c r="J148" t="n">
        <v>0.18</v>
      </c>
      <c r="K148" t="n">
        <v>34.23</v>
      </c>
      <c r="L148" t="n">
        <v>224.38</v>
      </c>
      <c r="M148" t="inlineStr">
        <is>
          <t>INR</t>
        </is>
      </c>
      <c r="N148" t="inlineStr">
        <is>
          <t>Paid</t>
        </is>
      </c>
      <c r="O148" t="inlineStr">
        <is>
          <t>Paid</t>
        </is>
      </c>
      <c r="P148" t="n">
        <v>190.15</v>
      </c>
      <c r="Q148" t="n">
        <v>190.15</v>
      </c>
      <c r="R148" t="b">
        <v>0</v>
      </c>
    </row>
    <row r="149">
      <c r="A149" t="inlineStr">
        <is>
          <t>INV0003311</t>
        </is>
      </c>
      <c r="B149" t="inlineStr">
        <is>
          <t>MER00156</t>
        </is>
      </c>
      <c r="C149" t="inlineStr">
        <is>
          <t>2025-07-01</t>
        </is>
      </c>
      <c r="D149" t="inlineStr">
        <is>
          <t>2025-07-31</t>
        </is>
      </c>
      <c r="E149" s="8" t="n">
        <v>45871</v>
      </c>
      <c r="F149" s="8" t="n">
        <v>45901</v>
      </c>
      <c r="G149" t="n">
        <v>212.76</v>
      </c>
      <c r="H149" t="n">
        <v>0</v>
      </c>
      <c r="I149" t="n">
        <v>212.76</v>
      </c>
      <c r="J149" t="n">
        <v>0.18</v>
      </c>
      <c r="K149" t="n">
        <v>38.3</v>
      </c>
      <c r="L149" t="n">
        <v>251.06</v>
      </c>
      <c r="M149" t="inlineStr">
        <is>
          <t>INR</t>
        </is>
      </c>
      <c r="N149" t="inlineStr">
        <is>
          <t>Overdue</t>
        </is>
      </c>
      <c r="O149" t="inlineStr">
        <is>
          <t>Unpaid</t>
        </is>
      </c>
      <c r="P149" t="n">
        <v>187.24</v>
      </c>
      <c r="Q149" t="n">
        <v>212.76</v>
      </c>
      <c r="R149" t="b">
        <v>1</v>
      </c>
    </row>
    <row r="150">
      <c r="A150" t="inlineStr">
        <is>
          <t>INV0003312</t>
        </is>
      </c>
      <c r="B150" t="inlineStr">
        <is>
          <t>MER00156</t>
        </is>
      </c>
      <c r="C150" t="inlineStr">
        <is>
          <t>2025-08-01</t>
        </is>
      </c>
      <c r="D150" t="inlineStr">
        <is>
          <t>2025-08-31</t>
        </is>
      </c>
      <c r="E150" s="8" t="n">
        <v>45902</v>
      </c>
      <c r="F150" s="8" t="n">
        <v>45932</v>
      </c>
      <c r="G150" t="n">
        <v>165</v>
      </c>
      <c r="H150" t="n">
        <v>0</v>
      </c>
      <c r="I150" t="n">
        <v>165</v>
      </c>
      <c r="J150" t="n">
        <v>0.18</v>
      </c>
      <c r="K150" t="n">
        <v>29.7</v>
      </c>
      <c r="L150" t="n">
        <v>194.7</v>
      </c>
      <c r="M150" t="inlineStr">
        <is>
          <t>INR</t>
        </is>
      </c>
      <c r="N150" t="inlineStr">
        <is>
          <t>Paid</t>
        </is>
      </c>
      <c r="O150" t="inlineStr">
        <is>
          <t>Paid</t>
        </is>
      </c>
      <c r="P150" t="n">
        <v>165</v>
      </c>
      <c r="Q150" t="n">
        <v>165</v>
      </c>
      <c r="R150" t="b">
        <v>0</v>
      </c>
    </row>
    <row r="151">
      <c r="A151" t="inlineStr">
        <is>
          <t>INV0003313</t>
        </is>
      </c>
      <c r="B151" t="inlineStr">
        <is>
          <t>MER00156</t>
        </is>
      </c>
      <c r="C151" t="inlineStr">
        <is>
          <t>2025-09-01</t>
        </is>
      </c>
      <c r="D151" t="inlineStr">
        <is>
          <t>2025-09-30</t>
        </is>
      </c>
      <c r="E151" s="8" t="n">
        <v>45932</v>
      </c>
      <c r="F151" s="8" t="n">
        <v>45962</v>
      </c>
      <c r="G151" t="n">
        <v>88.52</v>
      </c>
      <c r="H151" t="n">
        <v>0</v>
      </c>
      <c r="I151" t="n">
        <v>88.52</v>
      </c>
      <c r="J151" t="n">
        <v>0.18</v>
      </c>
      <c r="K151" t="n">
        <v>15.93</v>
      </c>
      <c r="L151" t="n">
        <v>104.45</v>
      </c>
      <c r="M151" t="inlineStr">
        <is>
          <t>INR</t>
        </is>
      </c>
      <c r="N151" t="inlineStr">
        <is>
          <t>Overdue</t>
        </is>
      </c>
      <c r="O151" t="inlineStr">
        <is>
          <t>Unpaid</t>
        </is>
      </c>
      <c r="P151" t="n">
        <v>112.75</v>
      </c>
      <c r="Q151" t="n">
        <v>88.52</v>
      </c>
      <c r="R151" t="b">
        <v>1</v>
      </c>
    </row>
    <row r="152">
      <c r="A152" t="inlineStr">
        <is>
          <t>INV0003314</t>
        </is>
      </c>
      <c r="B152" t="inlineStr">
        <is>
          <t>MER00156</t>
        </is>
      </c>
      <c r="C152" t="inlineStr">
        <is>
          <t>2025-10-01</t>
        </is>
      </c>
      <c r="D152" t="inlineStr">
        <is>
          <t>2025-10-31</t>
        </is>
      </c>
      <c r="E152" s="8" t="n">
        <v>45963</v>
      </c>
      <c r="F152" s="8" t="n">
        <v>45993</v>
      </c>
      <c r="G152" t="n">
        <v>154.07</v>
      </c>
      <c r="H152" t="n">
        <v>0</v>
      </c>
      <c r="I152" t="n">
        <v>154.07</v>
      </c>
      <c r="J152" t="n">
        <v>0.18</v>
      </c>
      <c r="K152" t="n">
        <v>27.73</v>
      </c>
      <c r="L152" t="n">
        <v>181.8</v>
      </c>
      <c r="M152" t="inlineStr">
        <is>
          <t>INR</t>
        </is>
      </c>
      <c r="N152" t="inlineStr">
        <is>
          <t>Overdue</t>
        </is>
      </c>
      <c r="O152" t="inlineStr">
        <is>
          <t>Unpaid</t>
        </is>
      </c>
      <c r="P152" t="n">
        <v>154.07</v>
      </c>
      <c r="Q152" t="n">
        <v>154.07</v>
      </c>
      <c r="R152" t="b">
        <v>0</v>
      </c>
    </row>
    <row r="153">
      <c r="A153" t="inlineStr">
        <is>
          <t>INV0003315</t>
        </is>
      </c>
      <c r="B153" t="inlineStr">
        <is>
          <t>MER00156</t>
        </is>
      </c>
      <c r="C153" t="inlineStr">
        <is>
          <t>2025-11-01</t>
        </is>
      </c>
      <c r="D153" t="inlineStr">
        <is>
          <t>2025-11-30</t>
        </is>
      </c>
      <c r="E153" s="8" t="n">
        <v>45993</v>
      </c>
      <c r="F153" s="8" t="n">
        <v>46023</v>
      </c>
      <c r="G153" t="n">
        <v>79.47</v>
      </c>
      <c r="H153" t="n">
        <v>0</v>
      </c>
      <c r="I153" t="n">
        <v>79.47</v>
      </c>
      <c r="J153" t="n">
        <v>0.18</v>
      </c>
      <c r="K153" t="n">
        <v>14.3</v>
      </c>
      <c r="L153" t="n">
        <v>93.77</v>
      </c>
      <c r="M153" t="inlineStr">
        <is>
          <t>INR</t>
        </is>
      </c>
      <c r="N153" t="inlineStr">
        <is>
          <t>Paid</t>
        </is>
      </c>
      <c r="O153" t="inlineStr">
        <is>
          <t>Paid</t>
        </is>
      </c>
      <c r="P153" t="n">
        <v>79.47</v>
      </c>
      <c r="Q153" t="n">
        <v>79.47</v>
      </c>
      <c r="R153" t="b">
        <v>0</v>
      </c>
    </row>
    <row r="154">
      <c r="A154" t="inlineStr">
        <is>
          <t>INV0003316</t>
        </is>
      </c>
      <c r="B154" t="inlineStr">
        <is>
          <t>MER00156</t>
        </is>
      </c>
      <c r="C154" t="inlineStr">
        <is>
          <t>2025-12-01</t>
        </is>
      </c>
      <c r="D154" t="inlineStr">
        <is>
          <t>2025-12-31</t>
        </is>
      </c>
      <c r="E154" s="8" t="n">
        <v>46024</v>
      </c>
      <c r="F154" s="8" t="n">
        <v>46054</v>
      </c>
      <c r="G154" t="n">
        <v>214.59</v>
      </c>
      <c r="H154" t="n">
        <v>0</v>
      </c>
      <c r="I154" t="n">
        <v>214.59</v>
      </c>
      <c r="J154" t="n">
        <v>0.18</v>
      </c>
      <c r="K154" t="n">
        <v>38.63</v>
      </c>
      <c r="L154" t="n">
        <v>253.22</v>
      </c>
      <c r="M154" t="inlineStr">
        <is>
          <t>INR</t>
        </is>
      </c>
      <c r="N154" t="inlineStr">
        <is>
          <t>Paid</t>
        </is>
      </c>
      <c r="O154" t="inlineStr">
        <is>
          <t>Paid</t>
        </is>
      </c>
      <c r="P154" t="n">
        <v>214.59</v>
      </c>
      <c r="Q154" t="n">
        <v>214.59</v>
      </c>
      <c r="R154" t="b">
        <v>0</v>
      </c>
    </row>
    <row r="155">
      <c r="A155" t="inlineStr">
        <is>
          <t>INV0003317</t>
        </is>
      </c>
      <c r="B155" t="inlineStr">
        <is>
          <t>MER00156</t>
        </is>
      </c>
      <c r="C155" t="inlineStr">
        <is>
          <t>2026-01-01</t>
        </is>
      </c>
      <c r="D155" t="inlineStr">
        <is>
          <t>2026-01-31</t>
        </is>
      </c>
      <c r="E155" s="8" t="n">
        <v>46055</v>
      </c>
      <c r="F155" s="8" t="n">
        <v>46085</v>
      </c>
      <c r="G155" t="n">
        <v>365.81</v>
      </c>
      <c r="H155" t="n">
        <v>0</v>
      </c>
      <c r="I155" t="n">
        <v>365.81</v>
      </c>
      <c r="J155" t="n">
        <v>0.18</v>
      </c>
      <c r="K155" t="n">
        <v>65.84999999999999</v>
      </c>
      <c r="L155" t="n">
        <v>431.66</v>
      </c>
      <c r="M155" t="inlineStr">
        <is>
          <t>INR</t>
        </is>
      </c>
      <c r="N155" t="inlineStr">
        <is>
          <t>Paid</t>
        </is>
      </c>
      <c r="O155" t="inlineStr">
        <is>
          <t>Paid</t>
        </is>
      </c>
      <c r="P155" t="n">
        <v>365.81</v>
      </c>
      <c r="Q155" t="n">
        <v>365.81</v>
      </c>
      <c r="R155" t="b">
        <v>0</v>
      </c>
    </row>
    <row r="156">
      <c r="A156" t="inlineStr">
        <is>
          <t>INV0003318</t>
        </is>
      </c>
      <c r="B156" t="inlineStr">
        <is>
          <t>MER00156</t>
        </is>
      </c>
      <c r="C156" t="inlineStr">
        <is>
          <t>2026-02-01</t>
        </is>
      </c>
      <c r="D156" t="inlineStr">
        <is>
          <t>2026-02-28</t>
        </is>
      </c>
      <c r="E156" s="8" t="n">
        <v>46083</v>
      </c>
      <c r="F156" s="8" t="n">
        <v>46113</v>
      </c>
      <c r="G156" t="n">
        <v>118.96</v>
      </c>
      <c r="H156" t="n">
        <v>0</v>
      </c>
      <c r="I156" t="n">
        <v>118.96</v>
      </c>
      <c r="J156" t="n">
        <v>0.18</v>
      </c>
      <c r="K156" t="n">
        <v>21.41</v>
      </c>
      <c r="L156" t="n">
        <v>140.37</v>
      </c>
      <c r="M156" t="inlineStr">
        <is>
          <t>INR</t>
        </is>
      </c>
      <c r="N156" t="inlineStr">
        <is>
          <t>Overdue</t>
        </is>
      </c>
      <c r="O156" t="inlineStr">
        <is>
          <t>Unpaid</t>
        </is>
      </c>
      <c r="P156" t="n">
        <v>118.96</v>
      </c>
      <c r="Q156" t="n">
        <v>118.96</v>
      </c>
      <c r="R156" t="b">
        <v>0</v>
      </c>
    </row>
    <row r="157">
      <c r="A157" t="inlineStr">
        <is>
          <t>INV0003319</t>
        </is>
      </c>
      <c r="B157" t="inlineStr">
        <is>
          <t>MER00156</t>
        </is>
      </c>
      <c r="C157" t="inlineStr">
        <is>
          <t>2026-03-01</t>
        </is>
      </c>
      <c r="D157" t="inlineStr">
        <is>
          <t>2026-03-31</t>
        </is>
      </c>
      <c r="E157" s="8" t="n">
        <v>46114</v>
      </c>
      <c r="F157" s="8" t="n">
        <v>46144</v>
      </c>
      <c r="G157" t="n">
        <v>131.05</v>
      </c>
      <c r="H157" t="n">
        <v>0</v>
      </c>
      <c r="I157" t="n">
        <v>131.05</v>
      </c>
      <c r="J157" t="n">
        <v>0.18</v>
      </c>
      <c r="K157" t="n">
        <v>23.59</v>
      </c>
      <c r="L157" t="n">
        <v>154.64</v>
      </c>
      <c r="M157" t="inlineStr">
        <is>
          <t>INR</t>
        </is>
      </c>
      <c r="N157" t="inlineStr">
        <is>
          <t>Overdue</t>
        </is>
      </c>
      <c r="O157" t="inlineStr">
        <is>
          <t>Unpaid</t>
        </is>
      </c>
      <c r="P157" t="n">
        <v>131.05</v>
      </c>
      <c r="Q157" t="n">
        <v>131.05</v>
      </c>
      <c r="R157" t="b">
        <v>0</v>
      </c>
    </row>
    <row r="158">
      <c r="A158" t="inlineStr">
        <is>
          <t>INV0003320</t>
        </is>
      </c>
      <c r="B158" t="inlineStr">
        <is>
          <t>MER00156</t>
        </is>
      </c>
      <c r="C158" t="inlineStr">
        <is>
          <t>2026-04-01</t>
        </is>
      </c>
      <c r="D158" t="inlineStr">
        <is>
          <t>2026-04-30</t>
        </is>
      </c>
      <c r="E158" s="8" t="n">
        <v>46144</v>
      </c>
      <c r="F158" s="8" t="n">
        <v>46174</v>
      </c>
      <c r="G158" t="n">
        <v>158.61</v>
      </c>
      <c r="H158" t="n">
        <v>0</v>
      </c>
      <c r="I158" t="n">
        <v>158.61</v>
      </c>
      <c r="J158" t="n">
        <v>0.18</v>
      </c>
      <c r="K158" t="n">
        <v>28.55</v>
      </c>
      <c r="L158" t="n">
        <v>187.16</v>
      </c>
      <c r="M158" t="inlineStr">
        <is>
          <t>INR</t>
        </is>
      </c>
      <c r="N158" t="inlineStr">
        <is>
          <t>Overdue</t>
        </is>
      </c>
      <c r="O158" t="inlineStr">
        <is>
          <t>Unpaid</t>
        </is>
      </c>
      <c r="P158" t="n">
        <v>158.61</v>
      </c>
      <c r="Q158" t="n">
        <v>158.61</v>
      </c>
      <c r="R158" t="b">
        <v>0</v>
      </c>
    </row>
    <row r="159">
      <c r="A159" t="inlineStr">
        <is>
          <t>INV0003321</t>
        </is>
      </c>
      <c r="B159" t="inlineStr">
        <is>
          <t>MER00156</t>
        </is>
      </c>
      <c r="C159" t="inlineStr">
        <is>
          <t>2026-05-01</t>
        </is>
      </c>
      <c r="D159" t="inlineStr">
        <is>
          <t>2026-05-31</t>
        </is>
      </c>
      <c r="E159" s="8" t="n">
        <v>46175</v>
      </c>
      <c r="F159" s="8" t="n">
        <v>46205</v>
      </c>
      <c r="G159" t="n">
        <v>308.15</v>
      </c>
      <c r="H159" t="n">
        <v>0</v>
      </c>
      <c r="I159" t="n">
        <v>308.15</v>
      </c>
      <c r="J159" t="n">
        <v>0.18</v>
      </c>
      <c r="K159" t="n">
        <v>55.47</v>
      </c>
      <c r="L159" t="n">
        <v>363.62</v>
      </c>
      <c r="M159" t="inlineStr">
        <is>
          <t>INR</t>
        </is>
      </c>
      <c r="N159" t="inlineStr">
        <is>
          <t>Paid</t>
        </is>
      </c>
      <c r="O159" t="inlineStr">
        <is>
          <t>Paid</t>
        </is>
      </c>
      <c r="P159" t="n">
        <v>230.39</v>
      </c>
      <c r="Q159" t="n">
        <v>308.15</v>
      </c>
      <c r="R159" t="b">
        <v>1</v>
      </c>
    </row>
    <row r="160">
      <c r="A160" t="inlineStr">
        <is>
          <t>INV0003322</t>
        </is>
      </c>
      <c r="B160" t="inlineStr">
        <is>
          <t>MER00156</t>
        </is>
      </c>
      <c r="C160" t="inlineStr">
        <is>
          <t>2026-06-01</t>
        </is>
      </c>
      <c r="D160" t="inlineStr">
        <is>
          <t>2026-06-30</t>
        </is>
      </c>
      <c r="E160" s="8" t="n">
        <v>46205</v>
      </c>
      <c r="F160" s="8" t="n">
        <v>46235</v>
      </c>
      <c r="G160" t="n">
        <v>79.98</v>
      </c>
      <c r="H160" t="n">
        <v>0</v>
      </c>
      <c r="I160" t="n">
        <v>79.98</v>
      </c>
      <c r="J160" t="n">
        <v>0.18</v>
      </c>
      <c r="K160" t="n">
        <v>14.4</v>
      </c>
      <c r="L160" t="n">
        <v>94.38</v>
      </c>
      <c r="M160" t="inlineStr">
        <is>
          <t>INR</t>
        </is>
      </c>
      <c r="N160" t="inlineStr">
        <is>
          <t>Paid</t>
        </is>
      </c>
      <c r="O160" t="inlineStr">
        <is>
          <t>Paid</t>
        </is>
      </c>
      <c r="P160" t="n">
        <v>79.98</v>
      </c>
      <c r="Q160" t="n">
        <v>79.98</v>
      </c>
      <c r="R160" t="b">
        <v>0</v>
      </c>
    </row>
    <row r="161">
      <c r="A161" t="inlineStr">
        <is>
          <t>INV0003323</t>
        </is>
      </c>
      <c r="B161" t="inlineStr">
        <is>
          <t>MER00156</t>
        </is>
      </c>
      <c r="C161" t="inlineStr">
        <is>
          <t>2026-07-01</t>
        </is>
      </c>
      <c r="D161" t="inlineStr">
        <is>
          <t>2026-07-31</t>
        </is>
      </c>
      <c r="E161" s="8" t="n">
        <v>46236</v>
      </c>
      <c r="F161" s="8" t="n">
        <v>46266</v>
      </c>
      <c r="G161" t="n">
        <v>174.58</v>
      </c>
      <c r="H161" t="n">
        <v>0</v>
      </c>
      <c r="I161" t="n">
        <v>174.58</v>
      </c>
      <c r="J161" t="n">
        <v>0.18</v>
      </c>
      <c r="K161" t="n">
        <v>31.42</v>
      </c>
      <c r="L161" t="n">
        <v>206</v>
      </c>
      <c r="M161" t="inlineStr">
        <is>
          <t>INR</t>
        </is>
      </c>
      <c r="N161" t="inlineStr">
        <is>
          <t>Issued</t>
        </is>
      </c>
      <c r="O161" t="inlineStr">
        <is>
          <t>Partially Paid</t>
        </is>
      </c>
      <c r="P161" t="n">
        <v>174.58</v>
      </c>
      <c r="Q161" t="n">
        <v>174.58</v>
      </c>
      <c r="R161" t="b">
        <v>0</v>
      </c>
    </row>
    <row r="162">
      <c r="A162" t="inlineStr">
        <is>
          <t>INV0003903</t>
        </is>
      </c>
      <c r="B162" t="inlineStr">
        <is>
          <t>MER00184</t>
        </is>
      </c>
      <c r="C162" t="inlineStr">
        <is>
          <t>2024-08-01</t>
        </is>
      </c>
      <c r="D162" t="inlineStr">
        <is>
          <t>2024-08-31</t>
        </is>
      </c>
      <c r="E162" s="8" t="n">
        <v>45537</v>
      </c>
      <c r="F162" s="8" t="n">
        <v>45567</v>
      </c>
      <c r="G162" t="n">
        <v>816.22</v>
      </c>
      <c r="H162" t="n">
        <v>0</v>
      </c>
      <c r="I162" t="n">
        <v>816.22</v>
      </c>
      <c r="J162" t="n">
        <v>0.18</v>
      </c>
      <c r="K162" t="n">
        <v>146.92</v>
      </c>
      <c r="L162" t="n">
        <v>963.14</v>
      </c>
      <c r="M162" t="inlineStr">
        <is>
          <t>INR</t>
        </is>
      </c>
      <c r="N162" t="inlineStr">
        <is>
          <t>Paid</t>
        </is>
      </c>
      <c r="O162" t="inlineStr">
        <is>
          <t>Paid</t>
        </is>
      </c>
      <c r="P162" t="n">
        <v>816.22</v>
      </c>
      <c r="Q162" t="n">
        <v>816.22</v>
      </c>
      <c r="R162" t="b">
        <v>0</v>
      </c>
    </row>
    <row r="163">
      <c r="A163" t="inlineStr">
        <is>
          <t>INV0003904</t>
        </is>
      </c>
      <c r="B163" t="inlineStr">
        <is>
          <t>MER00184</t>
        </is>
      </c>
      <c r="C163" t="inlineStr">
        <is>
          <t>2024-09-01</t>
        </is>
      </c>
      <c r="D163" t="inlineStr">
        <is>
          <t>2024-09-30</t>
        </is>
      </c>
      <c r="E163" s="8" t="n">
        <v>45567</v>
      </c>
      <c r="F163" s="8" t="n">
        <v>45597</v>
      </c>
      <c r="G163" t="n">
        <v>405.07</v>
      </c>
      <c r="H163" t="n">
        <v>0</v>
      </c>
      <c r="I163" t="n">
        <v>405.07</v>
      </c>
      <c r="J163" t="n">
        <v>0.18</v>
      </c>
      <c r="K163" t="n">
        <v>72.91</v>
      </c>
      <c r="L163" t="n">
        <v>477.98</v>
      </c>
      <c r="M163" t="inlineStr">
        <is>
          <t>INR</t>
        </is>
      </c>
      <c r="N163" t="inlineStr">
        <is>
          <t>Paid</t>
        </is>
      </c>
      <c r="O163" t="inlineStr">
        <is>
          <t>Paid</t>
        </is>
      </c>
      <c r="P163" t="n">
        <v>405.07</v>
      </c>
      <c r="Q163" t="n">
        <v>405.07</v>
      </c>
      <c r="R163" t="b">
        <v>0</v>
      </c>
    </row>
    <row r="164">
      <c r="A164" t="inlineStr">
        <is>
          <t>INV0003905</t>
        </is>
      </c>
      <c r="B164" t="inlineStr">
        <is>
          <t>MER00184</t>
        </is>
      </c>
      <c r="C164" t="inlineStr">
        <is>
          <t>2024-10-01</t>
        </is>
      </c>
      <c r="D164" t="inlineStr">
        <is>
          <t>2024-10-31</t>
        </is>
      </c>
      <c r="E164" s="8" t="n">
        <v>45598</v>
      </c>
      <c r="F164" s="8" t="n">
        <v>45628</v>
      </c>
      <c r="G164" t="n">
        <v>1195.34</v>
      </c>
      <c r="H164" t="n">
        <v>0</v>
      </c>
      <c r="I164" t="n">
        <v>1195.34</v>
      </c>
      <c r="J164" t="n">
        <v>0.18</v>
      </c>
      <c r="K164" t="n">
        <v>215.16</v>
      </c>
      <c r="L164" t="n">
        <v>1410.5</v>
      </c>
      <c r="M164" t="inlineStr">
        <is>
          <t>INR</t>
        </is>
      </c>
      <c r="N164" t="inlineStr">
        <is>
          <t>Paid</t>
        </is>
      </c>
      <c r="O164" t="inlineStr">
        <is>
          <t>Paid</t>
        </is>
      </c>
      <c r="P164" t="n">
        <v>1195.34</v>
      </c>
      <c r="Q164" t="n">
        <v>1195.34</v>
      </c>
      <c r="R164" t="b">
        <v>0</v>
      </c>
    </row>
    <row r="165">
      <c r="A165" t="inlineStr">
        <is>
          <t>INV0003906</t>
        </is>
      </c>
      <c r="B165" t="inlineStr">
        <is>
          <t>MER00184</t>
        </is>
      </c>
      <c r="C165" t="inlineStr">
        <is>
          <t>2024-11-01</t>
        </is>
      </c>
      <c r="D165" t="inlineStr">
        <is>
          <t>2024-11-30</t>
        </is>
      </c>
      <c r="E165" s="8" t="n">
        <v>45628</v>
      </c>
      <c r="F165" s="8" t="n">
        <v>45658</v>
      </c>
      <c r="G165" t="n">
        <v>957.71</v>
      </c>
      <c r="H165" t="n">
        <v>60.34</v>
      </c>
      <c r="I165" t="n">
        <v>897.37</v>
      </c>
      <c r="J165" t="n">
        <v>0.18</v>
      </c>
      <c r="K165" t="n">
        <v>161.53</v>
      </c>
      <c r="L165" t="n">
        <v>1058.9</v>
      </c>
      <c r="M165" t="inlineStr">
        <is>
          <t>INR</t>
        </is>
      </c>
      <c r="N165" t="inlineStr">
        <is>
          <t>Paid</t>
        </is>
      </c>
      <c r="O165" t="inlineStr">
        <is>
          <t>Paid</t>
        </is>
      </c>
      <c r="P165" t="n">
        <v>957.71</v>
      </c>
      <c r="Q165" t="n">
        <v>957.71</v>
      </c>
      <c r="R165" t="b">
        <v>0</v>
      </c>
    </row>
    <row r="166">
      <c r="A166" t="inlineStr">
        <is>
          <t>INV0003907</t>
        </is>
      </c>
      <c r="B166" t="inlineStr">
        <is>
          <t>MER00184</t>
        </is>
      </c>
      <c r="C166" t="inlineStr">
        <is>
          <t>2024-12-01</t>
        </is>
      </c>
      <c r="D166" t="inlineStr">
        <is>
          <t>2024-12-31</t>
        </is>
      </c>
      <c r="E166" s="8" t="n">
        <v>45659</v>
      </c>
      <c r="F166" s="8" t="n">
        <v>45689</v>
      </c>
      <c r="G166" t="n">
        <v>476.63</v>
      </c>
      <c r="H166" t="n">
        <v>0</v>
      </c>
      <c r="I166" t="n">
        <v>476.63</v>
      </c>
      <c r="J166" t="n">
        <v>0.18</v>
      </c>
      <c r="K166" t="n">
        <v>85.79000000000001</v>
      </c>
      <c r="L166" t="n">
        <v>562.42</v>
      </c>
      <c r="M166" t="inlineStr">
        <is>
          <t>INR</t>
        </is>
      </c>
      <c r="N166" t="inlineStr">
        <is>
          <t>Overdue</t>
        </is>
      </c>
      <c r="O166" t="inlineStr">
        <is>
          <t>Partially Paid</t>
        </is>
      </c>
      <c r="P166" t="n">
        <v>476.63</v>
      </c>
      <c r="Q166" t="n">
        <v>476.63</v>
      </c>
      <c r="R166" t="b">
        <v>0</v>
      </c>
    </row>
    <row r="167">
      <c r="A167" t="inlineStr">
        <is>
          <t>INV0003908</t>
        </is>
      </c>
      <c r="B167" t="inlineStr">
        <is>
          <t>MER00184</t>
        </is>
      </c>
      <c r="C167" t="inlineStr">
        <is>
          <t>2025-01-01</t>
        </is>
      </c>
      <c r="D167" t="inlineStr">
        <is>
          <t>2025-01-31</t>
        </is>
      </c>
      <c r="E167" s="8" t="n">
        <v>45690</v>
      </c>
      <c r="F167" s="8" t="n">
        <v>45720</v>
      </c>
      <c r="G167" t="n">
        <v>641.46</v>
      </c>
      <c r="H167" t="n">
        <v>0</v>
      </c>
      <c r="I167" t="n">
        <v>641.46</v>
      </c>
      <c r="J167" t="n">
        <v>0.18</v>
      </c>
      <c r="K167" t="n">
        <v>115.46</v>
      </c>
      <c r="L167" t="n">
        <v>756.92</v>
      </c>
      <c r="M167" t="inlineStr">
        <is>
          <t>INR</t>
        </is>
      </c>
      <c r="N167" t="inlineStr">
        <is>
          <t>Overdue</t>
        </is>
      </c>
      <c r="O167" t="inlineStr">
        <is>
          <t>Unpaid</t>
        </is>
      </c>
      <c r="P167" t="n">
        <v>641.46</v>
      </c>
      <c r="Q167" t="n">
        <v>641.46</v>
      </c>
      <c r="R167" t="b">
        <v>0</v>
      </c>
    </row>
    <row r="168">
      <c r="A168" t="inlineStr">
        <is>
          <t>INV0003909</t>
        </is>
      </c>
      <c r="B168" t="inlineStr">
        <is>
          <t>MER00184</t>
        </is>
      </c>
      <c r="C168" t="inlineStr">
        <is>
          <t>2025-02-01</t>
        </is>
      </c>
      <c r="D168" t="inlineStr">
        <is>
          <t>2025-02-28</t>
        </is>
      </c>
      <c r="E168" s="8" t="n">
        <v>45718</v>
      </c>
      <c r="F168" s="8" t="n">
        <v>45748</v>
      </c>
      <c r="G168" t="n">
        <v>846.11</v>
      </c>
      <c r="H168" t="n">
        <v>0</v>
      </c>
      <c r="I168" t="n">
        <v>846.11</v>
      </c>
      <c r="J168" t="n">
        <v>0.18</v>
      </c>
      <c r="K168" t="n">
        <v>152.3</v>
      </c>
      <c r="L168" t="n">
        <v>998.41</v>
      </c>
      <c r="M168" t="inlineStr">
        <is>
          <t>INR</t>
        </is>
      </c>
      <c r="N168" t="inlineStr">
        <is>
          <t>Paid</t>
        </is>
      </c>
      <c r="O168" t="inlineStr">
        <is>
          <t>Paid</t>
        </is>
      </c>
      <c r="P168" t="n">
        <v>846.11</v>
      </c>
      <c r="Q168" t="n">
        <v>846.11</v>
      </c>
      <c r="R168" t="b">
        <v>0</v>
      </c>
    </row>
    <row r="169">
      <c r="A169" t="inlineStr">
        <is>
          <t>INV0003910</t>
        </is>
      </c>
      <c r="B169" t="inlineStr">
        <is>
          <t>MER00184</t>
        </is>
      </c>
      <c r="C169" t="inlineStr">
        <is>
          <t>2025-03-01</t>
        </is>
      </c>
      <c r="D169" t="inlineStr">
        <is>
          <t>2025-03-31</t>
        </is>
      </c>
      <c r="E169" s="8" t="n">
        <v>45749</v>
      </c>
      <c r="F169" s="8" t="n">
        <v>45779</v>
      </c>
      <c r="G169" t="n">
        <v>722.79</v>
      </c>
      <c r="H169" t="n">
        <v>0</v>
      </c>
      <c r="I169" t="n">
        <v>722.79</v>
      </c>
      <c r="J169" t="n">
        <v>0.18</v>
      </c>
      <c r="K169" t="n">
        <v>130.1</v>
      </c>
      <c r="L169" t="n">
        <v>852.89</v>
      </c>
      <c r="M169" t="inlineStr">
        <is>
          <t>INR</t>
        </is>
      </c>
      <c r="N169" t="inlineStr">
        <is>
          <t>Overdue</t>
        </is>
      </c>
      <c r="O169" t="inlineStr">
        <is>
          <t>Partially Paid</t>
        </is>
      </c>
      <c r="P169" t="n">
        <v>722.79</v>
      </c>
      <c r="Q169" t="n">
        <v>722.79</v>
      </c>
      <c r="R169" t="b">
        <v>0</v>
      </c>
    </row>
    <row r="170">
      <c r="A170" t="inlineStr">
        <is>
          <t>INV0003911</t>
        </is>
      </c>
      <c r="B170" t="inlineStr">
        <is>
          <t>MER00184</t>
        </is>
      </c>
      <c r="C170" t="inlineStr">
        <is>
          <t>2025-04-01</t>
        </is>
      </c>
      <c r="D170" t="inlineStr">
        <is>
          <t>2025-04-30</t>
        </is>
      </c>
      <c r="E170" s="8" t="n">
        <v>45779</v>
      </c>
      <c r="F170" s="8" t="n">
        <v>45809</v>
      </c>
      <c r="G170" t="n">
        <v>915.26</v>
      </c>
      <c r="H170" t="n">
        <v>0</v>
      </c>
      <c r="I170" t="n">
        <v>915.26</v>
      </c>
      <c r="J170" t="n">
        <v>0.18</v>
      </c>
      <c r="K170" t="n">
        <v>164.75</v>
      </c>
      <c r="L170" t="n">
        <v>1080.01</v>
      </c>
      <c r="M170" t="inlineStr">
        <is>
          <t>INR</t>
        </is>
      </c>
      <c r="N170" t="inlineStr">
        <is>
          <t>Paid</t>
        </is>
      </c>
      <c r="O170" t="inlineStr">
        <is>
          <t>Paid</t>
        </is>
      </c>
      <c r="P170" t="n">
        <v>915.26</v>
      </c>
      <c r="Q170" t="n">
        <v>915.26</v>
      </c>
      <c r="R170" t="b">
        <v>0</v>
      </c>
    </row>
    <row r="171">
      <c r="A171" t="inlineStr">
        <is>
          <t>INV0003912</t>
        </is>
      </c>
      <c r="B171" t="inlineStr">
        <is>
          <t>MER00184</t>
        </is>
      </c>
      <c r="C171" t="inlineStr">
        <is>
          <t>2025-05-01</t>
        </is>
      </c>
      <c r="D171" t="inlineStr">
        <is>
          <t>2025-05-31</t>
        </is>
      </c>
      <c r="E171" s="8" t="n">
        <v>45810</v>
      </c>
      <c r="F171" s="8" t="n">
        <v>45840</v>
      </c>
      <c r="G171" t="n">
        <v>788.8099999999999</v>
      </c>
      <c r="H171" t="n">
        <v>0</v>
      </c>
      <c r="I171" t="n">
        <v>788.8099999999999</v>
      </c>
      <c r="J171" t="n">
        <v>0.18</v>
      </c>
      <c r="K171" t="n">
        <v>141.99</v>
      </c>
      <c r="L171" t="n">
        <v>930.8</v>
      </c>
      <c r="M171" t="inlineStr">
        <is>
          <t>INR</t>
        </is>
      </c>
      <c r="N171" t="inlineStr">
        <is>
          <t>Overdue</t>
        </is>
      </c>
      <c r="O171" t="inlineStr">
        <is>
          <t>Unpaid</t>
        </is>
      </c>
      <c r="P171" t="n">
        <v>788.8099999999999</v>
      </c>
      <c r="Q171" t="n">
        <v>788.8099999999999</v>
      </c>
      <c r="R171" t="b">
        <v>0</v>
      </c>
    </row>
    <row r="172">
      <c r="A172" t="inlineStr">
        <is>
          <t>INV0003913</t>
        </is>
      </c>
      <c r="B172" t="inlineStr">
        <is>
          <t>MER00184</t>
        </is>
      </c>
      <c r="C172" t="inlineStr">
        <is>
          <t>2025-06-01</t>
        </is>
      </c>
      <c r="D172" t="inlineStr">
        <is>
          <t>2025-06-30</t>
        </is>
      </c>
      <c r="E172" s="8" t="n">
        <v>45840</v>
      </c>
      <c r="F172" s="8" t="n">
        <v>45870</v>
      </c>
      <c r="G172" t="n">
        <v>689.45</v>
      </c>
      <c r="H172" t="n">
        <v>0</v>
      </c>
      <c r="I172" t="n">
        <v>689.45</v>
      </c>
      <c r="J172" t="n">
        <v>0.18</v>
      </c>
      <c r="K172" t="n">
        <v>124.1</v>
      </c>
      <c r="L172" t="n">
        <v>813.55</v>
      </c>
      <c r="M172" t="inlineStr">
        <is>
          <t>INR</t>
        </is>
      </c>
      <c r="N172" t="inlineStr">
        <is>
          <t>Overdue</t>
        </is>
      </c>
      <c r="O172" t="inlineStr">
        <is>
          <t>Unpaid</t>
        </is>
      </c>
      <c r="P172" t="n">
        <v>689.45</v>
      </c>
      <c r="Q172" t="n">
        <v>689.45</v>
      </c>
      <c r="R172" t="b">
        <v>0</v>
      </c>
    </row>
    <row r="173">
      <c r="A173" t="inlineStr">
        <is>
          <t>INV0003914</t>
        </is>
      </c>
      <c r="B173" t="inlineStr">
        <is>
          <t>MER00184</t>
        </is>
      </c>
      <c r="C173" t="inlineStr">
        <is>
          <t>2025-07-01</t>
        </is>
      </c>
      <c r="D173" t="inlineStr">
        <is>
          <t>2025-07-31</t>
        </is>
      </c>
      <c r="E173" s="8" t="n">
        <v>45871</v>
      </c>
      <c r="F173" s="8" t="n">
        <v>45901</v>
      </c>
      <c r="G173" t="n">
        <v>532.27</v>
      </c>
      <c r="H173" t="n">
        <v>0</v>
      </c>
      <c r="I173" t="n">
        <v>532.27</v>
      </c>
      <c r="J173" t="n">
        <v>0.18</v>
      </c>
      <c r="K173" t="n">
        <v>95.81</v>
      </c>
      <c r="L173" t="n">
        <v>628.08</v>
      </c>
      <c r="M173" t="inlineStr">
        <is>
          <t>INR</t>
        </is>
      </c>
      <c r="N173" t="inlineStr">
        <is>
          <t>Paid</t>
        </is>
      </c>
      <c r="O173" t="inlineStr">
        <is>
          <t>Paid</t>
        </is>
      </c>
      <c r="P173" t="n">
        <v>532.27</v>
      </c>
      <c r="Q173" t="n">
        <v>532.27</v>
      </c>
      <c r="R173" t="b">
        <v>0</v>
      </c>
    </row>
    <row r="174">
      <c r="A174" t="inlineStr">
        <is>
          <t>INV0003915</t>
        </is>
      </c>
      <c r="B174" t="inlineStr">
        <is>
          <t>MER00184</t>
        </is>
      </c>
      <c r="C174" t="inlineStr">
        <is>
          <t>2025-08-01</t>
        </is>
      </c>
      <c r="D174" t="inlineStr">
        <is>
          <t>2025-08-31</t>
        </is>
      </c>
      <c r="E174" s="8" t="n">
        <v>45902</v>
      </c>
      <c r="F174" s="8" t="n">
        <v>45932</v>
      </c>
      <c r="G174" t="n">
        <v>931.8</v>
      </c>
      <c r="H174" t="n">
        <v>0</v>
      </c>
      <c r="I174" t="n">
        <v>931.8</v>
      </c>
      <c r="J174" t="n">
        <v>0.18</v>
      </c>
      <c r="K174" t="n">
        <v>167.72</v>
      </c>
      <c r="L174" t="n">
        <v>1099.52</v>
      </c>
      <c r="M174" t="inlineStr">
        <is>
          <t>INR</t>
        </is>
      </c>
      <c r="N174" t="inlineStr">
        <is>
          <t>Paid</t>
        </is>
      </c>
      <c r="O174" t="inlineStr">
        <is>
          <t>Paid</t>
        </is>
      </c>
      <c r="P174" t="n">
        <v>931.8</v>
      </c>
      <c r="Q174" t="n">
        <v>931.8</v>
      </c>
      <c r="R174" t="b">
        <v>0</v>
      </c>
    </row>
    <row r="175">
      <c r="A175" t="inlineStr">
        <is>
          <t>INV0004011</t>
        </is>
      </c>
      <c r="B175" t="inlineStr">
        <is>
          <t>MER00189</t>
        </is>
      </c>
      <c r="C175" t="inlineStr">
        <is>
          <t>2024-08-01</t>
        </is>
      </c>
      <c r="D175" t="inlineStr">
        <is>
          <t>2024-08-31</t>
        </is>
      </c>
      <c r="E175" s="8" t="n">
        <v>45537</v>
      </c>
      <c r="F175" s="8" t="n">
        <v>45552</v>
      </c>
      <c r="G175" t="n">
        <v>26.57</v>
      </c>
      <c r="H175" t="n">
        <v>1.65</v>
      </c>
      <c r="I175" t="n">
        <v>24.92</v>
      </c>
      <c r="J175" t="n">
        <v>0.18</v>
      </c>
      <c r="K175" t="n">
        <v>4.49</v>
      </c>
      <c r="L175" t="n">
        <v>29.41</v>
      </c>
      <c r="M175" t="inlineStr">
        <is>
          <t>INR</t>
        </is>
      </c>
      <c r="N175" t="inlineStr">
        <is>
          <t>Overdue</t>
        </is>
      </c>
      <c r="O175" t="inlineStr">
        <is>
          <t>Unpaid</t>
        </is>
      </c>
      <c r="P175" t="n">
        <v>26.57</v>
      </c>
      <c r="Q175" t="n">
        <v>26.57</v>
      </c>
      <c r="R175" t="b">
        <v>0</v>
      </c>
    </row>
    <row r="176">
      <c r="A176" t="inlineStr">
        <is>
          <t>INV0004012</t>
        </is>
      </c>
      <c r="B176" t="inlineStr">
        <is>
          <t>MER00189</t>
        </is>
      </c>
      <c r="C176" t="inlineStr">
        <is>
          <t>2024-09-01</t>
        </is>
      </c>
      <c r="D176" t="inlineStr">
        <is>
          <t>2024-09-30</t>
        </is>
      </c>
      <c r="E176" s="8" t="n">
        <v>45567</v>
      </c>
      <c r="F176" s="8" t="n">
        <v>45582</v>
      </c>
      <c r="G176" t="n">
        <v>160.89</v>
      </c>
      <c r="H176" t="n">
        <v>0</v>
      </c>
      <c r="I176" t="n">
        <v>160.89</v>
      </c>
      <c r="J176" t="n">
        <v>0.18</v>
      </c>
      <c r="K176" t="n">
        <v>28.96</v>
      </c>
      <c r="L176" t="n">
        <v>189.85</v>
      </c>
      <c r="M176" t="inlineStr">
        <is>
          <t>INR</t>
        </is>
      </c>
      <c r="N176" t="inlineStr">
        <is>
          <t>Paid</t>
        </is>
      </c>
      <c r="O176" t="inlineStr">
        <is>
          <t>Paid</t>
        </is>
      </c>
      <c r="P176" t="n">
        <v>160.89</v>
      </c>
      <c r="Q176" t="n">
        <v>160.89</v>
      </c>
      <c r="R176" t="b">
        <v>0</v>
      </c>
    </row>
    <row r="177">
      <c r="A177" t="inlineStr">
        <is>
          <t>INV0004013</t>
        </is>
      </c>
      <c r="B177" t="inlineStr">
        <is>
          <t>MER00189</t>
        </is>
      </c>
      <c r="C177" t="inlineStr">
        <is>
          <t>2024-10-01</t>
        </is>
      </c>
      <c r="D177" t="inlineStr">
        <is>
          <t>2024-10-31</t>
        </is>
      </c>
      <c r="E177" s="8" t="n">
        <v>45598</v>
      </c>
      <c r="F177" s="8" t="n">
        <v>45613</v>
      </c>
      <c r="G177" t="n">
        <v>181.16</v>
      </c>
      <c r="H177" t="n">
        <v>0</v>
      </c>
      <c r="I177" t="n">
        <v>181.16</v>
      </c>
      <c r="J177" t="n">
        <v>0.18</v>
      </c>
      <c r="K177" t="n">
        <v>32.61</v>
      </c>
      <c r="L177" t="n">
        <v>213.77</v>
      </c>
      <c r="M177" t="inlineStr">
        <is>
          <t>INR</t>
        </is>
      </c>
      <c r="N177" t="inlineStr">
        <is>
          <t>Overdue</t>
        </is>
      </c>
      <c r="O177" t="inlineStr">
        <is>
          <t>Unpaid</t>
        </is>
      </c>
      <c r="P177" t="n">
        <v>199.3</v>
      </c>
      <c r="Q177" t="n">
        <v>181.16</v>
      </c>
      <c r="R177" t="b">
        <v>1</v>
      </c>
    </row>
    <row r="178">
      <c r="A178" t="inlineStr">
        <is>
          <t>INV0004014</t>
        </is>
      </c>
      <c r="B178" t="inlineStr">
        <is>
          <t>MER00189</t>
        </is>
      </c>
      <c r="C178" t="inlineStr">
        <is>
          <t>2024-11-01</t>
        </is>
      </c>
      <c r="D178" t="inlineStr">
        <is>
          <t>2024-11-30</t>
        </is>
      </c>
      <c r="E178" s="8" t="n">
        <v>45628</v>
      </c>
      <c r="F178" s="8" t="n">
        <v>45643</v>
      </c>
      <c r="G178" t="n">
        <v>510.49</v>
      </c>
      <c r="H178" t="n">
        <v>0</v>
      </c>
      <c r="I178" t="n">
        <v>510.49</v>
      </c>
      <c r="J178" t="n">
        <v>0.18</v>
      </c>
      <c r="K178" t="n">
        <v>91.89</v>
      </c>
      <c r="L178" t="n">
        <v>602.38</v>
      </c>
      <c r="M178" t="inlineStr">
        <is>
          <t>INR</t>
        </is>
      </c>
      <c r="N178" t="inlineStr">
        <is>
          <t>Paid</t>
        </is>
      </c>
      <c r="O178" t="inlineStr">
        <is>
          <t>Paid</t>
        </is>
      </c>
      <c r="P178" t="n">
        <v>510.49</v>
      </c>
      <c r="Q178" t="n">
        <v>510.49</v>
      </c>
      <c r="R178" t="b">
        <v>0</v>
      </c>
    </row>
    <row r="179">
      <c r="A179" t="inlineStr">
        <is>
          <t>INV0004015</t>
        </is>
      </c>
      <c r="B179" t="inlineStr">
        <is>
          <t>MER00189</t>
        </is>
      </c>
      <c r="C179" t="inlineStr">
        <is>
          <t>2024-12-01</t>
        </is>
      </c>
      <c r="D179" t="inlineStr">
        <is>
          <t>2024-12-31</t>
        </is>
      </c>
      <c r="E179" s="8" t="n">
        <v>45659</v>
      </c>
      <c r="F179" s="8" t="n">
        <v>45674</v>
      </c>
      <c r="G179" t="n">
        <v>79.09</v>
      </c>
      <c r="H179" t="n">
        <v>0</v>
      </c>
      <c r="I179" t="n">
        <v>79.09</v>
      </c>
      <c r="J179" t="n">
        <v>0.18</v>
      </c>
      <c r="K179" t="n">
        <v>14.24</v>
      </c>
      <c r="L179" t="n">
        <v>93.33</v>
      </c>
      <c r="M179" t="inlineStr">
        <is>
          <t>INR</t>
        </is>
      </c>
      <c r="N179" t="inlineStr">
        <is>
          <t>Overdue</t>
        </is>
      </c>
      <c r="O179" t="inlineStr">
        <is>
          <t>Unpaid</t>
        </is>
      </c>
      <c r="P179" t="n">
        <v>79.09</v>
      </c>
      <c r="Q179" t="n">
        <v>79.09</v>
      </c>
      <c r="R179" t="b">
        <v>0</v>
      </c>
    </row>
    <row r="180">
      <c r="A180" t="inlineStr">
        <is>
          <t>INV0004016</t>
        </is>
      </c>
      <c r="B180" t="inlineStr">
        <is>
          <t>MER00189</t>
        </is>
      </c>
      <c r="C180" t="inlineStr">
        <is>
          <t>2025-01-01</t>
        </is>
      </c>
      <c r="D180" t="inlineStr">
        <is>
          <t>2025-01-31</t>
        </is>
      </c>
      <c r="E180" s="8" t="n">
        <v>45690</v>
      </c>
      <c r="F180" s="8" t="n">
        <v>45705</v>
      </c>
      <c r="G180" t="n">
        <v>191.05</v>
      </c>
      <c r="H180" t="n">
        <v>0</v>
      </c>
      <c r="I180" t="n">
        <v>191.05</v>
      </c>
      <c r="J180" t="n">
        <v>0.18</v>
      </c>
      <c r="K180" t="n">
        <v>34.39</v>
      </c>
      <c r="L180" t="n">
        <v>225.44</v>
      </c>
      <c r="M180" t="inlineStr">
        <is>
          <t>INR</t>
        </is>
      </c>
      <c r="N180" t="inlineStr">
        <is>
          <t>Paid</t>
        </is>
      </c>
      <c r="O180" t="inlineStr">
        <is>
          <t>Paid</t>
        </is>
      </c>
      <c r="P180" t="n">
        <v>191.05</v>
      </c>
      <c r="Q180" t="n">
        <v>191.05</v>
      </c>
      <c r="R180" t="b">
        <v>0</v>
      </c>
    </row>
    <row r="181">
      <c r="A181" t="inlineStr">
        <is>
          <t>INV0004017</t>
        </is>
      </c>
      <c r="B181" t="inlineStr">
        <is>
          <t>MER00189</t>
        </is>
      </c>
      <c r="C181" t="inlineStr">
        <is>
          <t>2025-02-01</t>
        </is>
      </c>
      <c r="D181" t="inlineStr">
        <is>
          <t>2025-02-28</t>
        </is>
      </c>
      <c r="E181" s="8" t="n">
        <v>45718</v>
      </c>
      <c r="F181" s="8" t="n">
        <v>45733</v>
      </c>
      <c r="G181" t="n">
        <v>101.18</v>
      </c>
      <c r="H181" t="n">
        <v>0</v>
      </c>
      <c r="I181" t="n">
        <v>101.18</v>
      </c>
      <c r="J181" t="n">
        <v>0.18</v>
      </c>
      <c r="K181" t="n">
        <v>18.21</v>
      </c>
      <c r="L181" t="n">
        <v>119.39</v>
      </c>
      <c r="M181" t="inlineStr">
        <is>
          <t>INR</t>
        </is>
      </c>
      <c r="N181" t="inlineStr">
        <is>
          <t>Paid</t>
        </is>
      </c>
      <c r="O181" t="inlineStr">
        <is>
          <t>Paid</t>
        </is>
      </c>
      <c r="P181" t="n">
        <v>101.18</v>
      </c>
      <c r="Q181" t="n">
        <v>101.18</v>
      </c>
      <c r="R181" t="b">
        <v>0</v>
      </c>
    </row>
    <row r="182">
      <c r="A182" t="inlineStr">
        <is>
          <t>INV0004018</t>
        </is>
      </c>
      <c r="B182" t="inlineStr">
        <is>
          <t>MER00189</t>
        </is>
      </c>
      <c r="C182" t="inlineStr">
        <is>
          <t>2025-03-01</t>
        </is>
      </c>
      <c r="D182" t="inlineStr">
        <is>
          <t>2025-03-31</t>
        </is>
      </c>
      <c r="E182" s="8" t="n">
        <v>45749</v>
      </c>
      <c r="F182" s="8" t="n">
        <v>45764</v>
      </c>
      <c r="G182" t="n">
        <v>16.17</v>
      </c>
      <c r="H182" t="n">
        <v>1.26</v>
      </c>
      <c r="I182" t="n">
        <v>14.91</v>
      </c>
      <c r="J182" t="n">
        <v>0.18</v>
      </c>
      <c r="K182" t="n">
        <v>2.68</v>
      </c>
      <c r="L182" t="n">
        <v>17.59</v>
      </c>
      <c r="M182" t="inlineStr">
        <is>
          <t>INR</t>
        </is>
      </c>
      <c r="N182" t="inlineStr">
        <is>
          <t>Overdue</t>
        </is>
      </c>
      <c r="O182" t="inlineStr">
        <is>
          <t>Unpaid</t>
        </is>
      </c>
      <c r="P182" t="n">
        <v>19.67</v>
      </c>
      <c r="Q182" t="n">
        <v>16.17</v>
      </c>
      <c r="R182" t="b">
        <v>1</v>
      </c>
    </row>
    <row r="183">
      <c r="A183" t="inlineStr">
        <is>
          <t>INV0004019</t>
        </is>
      </c>
      <c r="B183" t="inlineStr">
        <is>
          <t>MER00189</t>
        </is>
      </c>
      <c r="C183" t="inlineStr">
        <is>
          <t>2025-04-01</t>
        </is>
      </c>
      <c r="D183" t="inlineStr">
        <is>
          <t>2025-04-30</t>
        </is>
      </c>
      <c r="E183" s="8" t="n">
        <v>45779</v>
      </c>
      <c r="F183" s="8" t="n">
        <v>45794</v>
      </c>
      <c r="G183" t="n">
        <v>72.05</v>
      </c>
      <c r="H183" t="n">
        <v>0</v>
      </c>
      <c r="I183" t="n">
        <v>72.05</v>
      </c>
      <c r="J183" t="n">
        <v>0.18</v>
      </c>
      <c r="K183" t="n">
        <v>12.97</v>
      </c>
      <c r="L183" t="n">
        <v>85.02</v>
      </c>
      <c r="M183" t="inlineStr">
        <is>
          <t>INR</t>
        </is>
      </c>
      <c r="N183" t="inlineStr">
        <is>
          <t>Paid</t>
        </is>
      </c>
      <c r="O183" t="inlineStr">
        <is>
          <t>Paid</t>
        </is>
      </c>
      <c r="P183" t="n">
        <v>72.05</v>
      </c>
      <c r="Q183" t="n">
        <v>72.05</v>
      </c>
      <c r="R183" t="b">
        <v>0</v>
      </c>
    </row>
    <row r="184">
      <c r="A184" t="inlineStr">
        <is>
          <t>INV0004020</t>
        </is>
      </c>
      <c r="B184" t="inlineStr">
        <is>
          <t>MER00189</t>
        </is>
      </c>
      <c r="C184" t="inlineStr">
        <is>
          <t>2025-05-01</t>
        </is>
      </c>
      <c r="D184" t="inlineStr">
        <is>
          <t>2025-05-31</t>
        </is>
      </c>
      <c r="E184" s="8" t="n">
        <v>45810</v>
      </c>
      <c r="F184" s="8" t="n">
        <v>45825</v>
      </c>
      <c r="G184" t="n">
        <v>92.22</v>
      </c>
      <c r="H184" t="n">
        <v>0</v>
      </c>
      <c r="I184" t="n">
        <v>92.22</v>
      </c>
      <c r="J184" t="n">
        <v>0.18</v>
      </c>
      <c r="K184" t="n">
        <v>16.6</v>
      </c>
      <c r="L184" t="n">
        <v>108.82</v>
      </c>
      <c r="M184" t="inlineStr">
        <is>
          <t>INR</t>
        </is>
      </c>
      <c r="N184" t="inlineStr">
        <is>
          <t>Paid</t>
        </is>
      </c>
      <c r="O184" t="inlineStr">
        <is>
          <t>Paid</t>
        </is>
      </c>
      <c r="P184" t="n">
        <v>92.22</v>
      </c>
      <c r="Q184" t="n">
        <v>92.22</v>
      </c>
      <c r="R184" t="b">
        <v>0</v>
      </c>
    </row>
    <row r="185">
      <c r="A185" t="inlineStr">
        <is>
          <t>INV0004021</t>
        </is>
      </c>
      <c r="B185" t="inlineStr">
        <is>
          <t>MER00189</t>
        </is>
      </c>
      <c r="C185" t="inlineStr">
        <is>
          <t>2025-06-01</t>
        </is>
      </c>
      <c r="D185" t="inlineStr">
        <is>
          <t>2025-06-30</t>
        </is>
      </c>
      <c r="E185" s="8" t="n">
        <v>45840</v>
      </c>
      <c r="F185" s="8" t="n">
        <v>45855</v>
      </c>
      <c r="G185" t="n">
        <v>253.49</v>
      </c>
      <c r="H185" t="n">
        <v>0</v>
      </c>
      <c r="I185" t="n">
        <v>253.49</v>
      </c>
      <c r="J185" t="n">
        <v>0.18</v>
      </c>
      <c r="K185" t="n">
        <v>45.63</v>
      </c>
      <c r="L185" t="n">
        <v>299.12</v>
      </c>
      <c r="M185" t="inlineStr">
        <is>
          <t>INR</t>
        </is>
      </c>
      <c r="N185" t="inlineStr">
        <is>
          <t>Overdue</t>
        </is>
      </c>
      <c r="O185" t="inlineStr">
        <is>
          <t>Unpaid</t>
        </is>
      </c>
      <c r="P185" t="n">
        <v>253.49</v>
      </c>
      <c r="Q185" t="n">
        <v>253.49</v>
      </c>
      <c r="R185" t="b">
        <v>0</v>
      </c>
    </row>
    <row r="186">
      <c r="A186" t="inlineStr">
        <is>
          <t>INV0004022</t>
        </is>
      </c>
      <c r="B186" t="inlineStr">
        <is>
          <t>MER00189</t>
        </is>
      </c>
      <c r="C186" t="inlineStr">
        <is>
          <t>2025-07-01</t>
        </is>
      </c>
      <c r="D186" t="inlineStr">
        <is>
          <t>2025-07-31</t>
        </is>
      </c>
      <c r="E186" s="8" t="n">
        <v>45871</v>
      </c>
      <c r="F186" s="8" t="n">
        <v>45886</v>
      </c>
      <c r="G186" t="n">
        <v>31.34</v>
      </c>
      <c r="H186" t="n">
        <v>0</v>
      </c>
      <c r="I186" t="n">
        <v>31.34</v>
      </c>
      <c r="J186" t="n">
        <v>0.18</v>
      </c>
      <c r="K186" t="n">
        <v>5.64</v>
      </c>
      <c r="L186" t="n">
        <v>36.98</v>
      </c>
      <c r="M186" t="inlineStr">
        <is>
          <t>INR</t>
        </is>
      </c>
      <c r="N186" t="inlineStr">
        <is>
          <t>Overdue</t>
        </is>
      </c>
      <c r="O186" t="inlineStr">
        <is>
          <t>Unpaid</t>
        </is>
      </c>
      <c r="P186" t="n">
        <v>31.34</v>
      </c>
      <c r="Q186" t="n">
        <v>31.34</v>
      </c>
      <c r="R186" t="b">
        <v>0</v>
      </c>
    </row>
    <row r="187">
      <c r="A187" t="inlineStr">
        <is>
          <t>INV0004023</t>
        </is>
      </c>
      <c r="B187" t="inlineStr">
        <is>
          <t>MER00189</t>
        </is>
      </c>
      <c r="C187" t="inlineStr">
        <is>
          <t>2025-08-01</t>
        </is>
      </c>
      <c r="D187" t="inlineStr">
        <is>
          <t>2025-08-31</t>
        </is>
      </c>
      <c r="E187" s="8" t="n">
        <v>45902</v>
      </c>
      <c r="F187" s="8" t="n">
        <v>45917</v>
      </c>
      <c r="G187" t="n">
        <v>209.81</v>
      </c>
      <c r="H187" t="n">
        <v>26.23</v>
      </c>
      <c r="I187" t="n">
        <v>183.58</v>
      </c>
      <c r="J187" t="n">
        <v>0.18</v>
      </c>
      <c r="K187" t="n">
        <v>33.04</v>
      </c>
      <c r="L187" t="n">
        <v>216.62</v>
      </c>
      <c r="M187" t="inlineStr">
        <is>
          <t>INR</t>
        </is>
      </c>
      <c r="N187" t="inlineStr">
        <is>
          <t>Paid</t>
        </is>
      </c>
      <c r="O187" t="inlineStr">
        <is>
          <t>Paid</t>
        </is>
      </c>
      <c r="P187" t="n">
        <v>209.81</v>
      </c>
      <c r="Q187" t="n">
        <v>209.81</v>
      </c>
      <c r="R187" t="b">
        <v>0</v>
      </c>
    </row>
    <row r="188">
      <c r="A188" t="inlineStr">
        <is>
          <t>INV0004024</t>
        </is>
      </c>
      <c r="B188" t="inlineStr">
        <is>
          <t>MER00189</t>
        </is>
      </c>
      <c r="C188" t="inlineStr">
        <is>
          <t>2025-09-01</t>
        </is>
      </c>
      <c r="D188" t="inlineStr">
        <is>
          <t>2025-09-30</t>
        </is>
      </c>
      <c r="E188" s="8" t="n">
        <v>45932</v>
      </c>
      <c r="F188" s="8" t="n">
        <v>45947</v>
      </c>
      <c r="G188" t="n">
        <v>260.14</v>
      </c>
      <c r="H188" t="n">
        <v>37.98</v>
      </c>
      <c r="I188" t="n">
        <v>222.16</v>
      </c>
      <c r="J188" t="n">
        <v>0.18</v>
      </c>
      <c r="K188" t="n">
        <v>39.99</v>
      </c>
      <c r="L188" t="n">
        <v>262.15</v>
      </c>
      <c r="M188" t="inlineStr">
        <is>
          <t>INR</t>
        </is>
      </c>
      <c r="N188" t="inlineStr">
        <is>
          <t>Paid</t>
        </is>
      </c>
      <c r="O188" t="inlineStr">
        <is>
          <t>Paid</t>
        </is>
      </c>
      <c r="P188" t="n">
        <v>260.14</v>
      </c>
      <c r="Q188" t="n">
        <v>260.14</v>
      </c>
      <c r="R188" t="b">
        <v>0</v>
      </c>
    </row>
    <row r="189">
      <c r="A189" t="inlineStr">
        <is>
          <t>INV0004025</t>
        </is>
      </c>
      <c r="B189" t="inlineStr">
        <is>
          <t>MER00189</t>
        </is>
      </c>
      <c r="C189" t="inlineStr">
        <is>
          <t>2025-10-01</t>
        </is>
      </c>
      <c r="D189" t="inlineStr">
        <is>
          <t>2025-10-31</t>
        </is>
      </c>
      <c r="E189" s="8" t="n">
        <v>45963</v>
      </c>
      <c r="F189" s="8" t="n">
        <v>45978</v>
      </c>
      <c r="G189" t="n">
        <v>332.72</v>
      </c>
      <c r="H189" t="n">
        <v>0</v>
      </c>
      <c r="I189" t="n">
        <v>332.72</v>
      </c>
      <c r="J189" t="n">
        <v>0.18</v>
      </c>
      <c r="K189" t="n">
        <v>59.89</v>
      </c>
      <c r="L189" t="n">
        <v>392.61</v>
      </c>
      <c r="M189" t="inlineStr">
        <is>
          <t>INR</t>
        </is>
      </c>
      <c r="N189" t="inlineStr">
        <is>
          <t>Paid</t>
        </is>
      </c>
      <c r="O189" t="inlineStr">
        <is>
          <t>Paid</t>
        </is>
      </c>
      <c r="P189" t="n">
        <v>332.72</v>
      </c>
      <c r="Q189" t="n">
        <v>332.72</v>
      </c>
      <c r="R189" t="b">
        <v>0</v>
      </c>
    </row>
    <row r="190">
      <c r="A190" t="inlineStr">
        <is>
          <t>INV0004026</t>
        </is>
      </c>
      <c r="B190" t="inlineStr">
        <is>
          <t>MER00189</t>
        </is>
      </c>
      <c r="C190" t="inlineStr">
        <is>
          <t>2025-11-01</t>
        </is>
      </c>
      <c r="D190" t="inlineStr">
        <is>
          <t>2025-11-30</t>
        </is>
      </c>
      <c r="E190" s="8" t="n">
        <v>45993</v>
      </c>
      <c r="F190" s="8" t="n">
        <v>46008</v>
      </c>
      <c r="G190" t="n">
        <v>129.36</v>
      </c>
      <c r="H190" t="n">
        <v>0</v>
      </c>
      <c r="I190" t="n">
        <v>129.36</v>
      </c>
      <c r="J190" t="n">
        <v>0.18</v>
      </c>
      <c r="K190" t="n">
        <v>23.28</v>
      </c>
      <c r="L190" t="n">
        <v>152.64</v>
      </c>
      <c r="M190" t="inlineStr">
        <is>
          <t>INR</t>
        </is>
      </c>
      <c r="N190" t="inlineStr">
        <is>
          <t>Paid</t>
        </is>
      </c>
      <c r="O190" t="inlineStr">
        <is>
          <t>Paid</t>
        </is>
      </c>
      <c r="P190" t="n">
        <v>129.36</v>
      </c>
      <c r="Q190" t="n">
        <v>129.36</v>
      </c>
      <c r="R190" t="b">
        <v>0</v>
      </c>
    </row>
    <row r="191">
      <c r="A191" t="inlineStr">
        <is>
          <t>INV0004027</t>
        </is>
      </c>
      <c r="B191" t="inlineStr">
        <is>
          <t>MER00189</t>
        </is>
      </c>
      <c r="C191" t="inlineStr">
        <is>
          <t>2025-12-01</t>
        </is>
      </c>
      <c r="D191" t="inlineStr">
        <is>
          <t>2025-12-31</t>
        </is>
      </c>
      <c r="E191" s="8" t="n">
        <v>46024</v>
      </c>
      <c r="F191" s="8" t="n">
        <v>46039</v>
      </c>
      <c r="G191" t="n">
        <v>110.9</v>
      </c>
      <c r="H191" t="n">
        <v>0</v>
      </c>
      <c r="I191" t="n">
        <v>110.9</v>
      </c>
      <c r="J191" t="n">
        <v>0.18</v>
      </c>
      <c r="K191" t="n">
        <v>19.96</v>
      </c>
      <c r="L191" t="n">
        <v>130.86</v>
      </c>
      <c r="M191" t="inlineStr">
        <is>
          <t>INR</t>
        </is>
      </c>
      <c r="N191" t="inlineStr">
        <is>
          <t>Paid</t>
        </is>
      </c>
      <c r="O191" t="inlineStr">
        <is>
          <t>Paid</t>
        </is>
      </c>
      <c r="P191" t="n">
        <v>110.9</v>
      </c>
      <c r="Q191" t="n">
        <v>110.9</v>
      </c>
      <c r="R191" t="b">
        <v>0</v>
      </c>
    </row>
    <row r="192">
      <c r="A192" t="inlineStr">
        <is>
          <t>INV0004028</t>
        </is>
      </c>
      <c r="B192" t="inlineStr">
        <is>
          <t>MER00189</t>
        </is>
      </c>
      <c r="C192" t="inlineStr">
        <is>
          <t>2026-01-01</t>
        </is>
      </c>
      <c r="D192" t="inlineStr">
        <is>
          <t>2026-01-31</t>
        </is>
      </c>
      <c r="E192" s="8" t="n">
        <v>46055</v>
      </c>
      <c r="F192" s="8" t="n">
        <v>46070</v>
      </c>
      <c r="G192" t="n">
        <v>109.53</v>
      </c>
      <c r="H192" t="n">
        <v>0</v>
      </c>
      <c r="I192" t="n">
        <v>109.53</v>
      </c>
      <c r="J192" t="n">
        <v>0.18</v>
      </c>
      <c r="K192" t="n">
        <v>19.72</v>
      </c>
      <c r="L192" t="n">
        <v>129.25</v>
      </c>
      <c r="M192" t="inlineStr">
        <is>
          <t>INR</t>
        </is>
      </c>
      <c r="N192" t="inlineStr">
        <is>
          <t>Overdue</t>
        </is>
      </c>
      <c r="O192" t="inlineStr">
        <is>
          <t>Unpaid</t>
        </is>
      </c>
      <c r="P192" t="n">
        <v>109.53</v>
      </c>
      <c r="Q192" t="n">
        <v>109.53</v>
      </c>
      <c r="R192" t="b">
        <v>0</v>
      </c>
    </row>
    <row r="193">
      <c r="A193" t="inlineStr">
        <is>
          <t>INV0004029</t>
        </is>
      </c>
      <c r="B193" t="inlineStr">
        <is>
          <t>MER00189</t>
        </is>
      </c>
      <c r="C193" t="inlineStr">
        <is>
          <t>2026-02-01</t>
        </is>
      </c>
      <c r="D193" t="inlineStr">
        <is>
          <t>2026-02-28</t>
        </is>
      </c>
      <c r="E193" s="8" t="n">
        <v>46083</v>
      </c>
      <c r="F193" s="8" t="n">
        <v>46098</v>
      </c>
      <c r="G193" t="n">
        <v>149.21</v>
      </c>
      <c r="H193" t="n">
        <v>0</v>
      </c>
      <c r="I193" t="n">
        <v>149.21</v>
      </c>
      <c r="J193" t="n">
        <v>0.18</v>
      </c>
      <c r="K193" t="n">
        <v>26.86</v>
      </c>
      <c r="L193" t="n">
        <v>176.07</v>
      </c>
      <c r="M193" t="inlineStr">
        <is>
          <t>INR</t>
        </is>
      </c>
      <c r="N193" t="inlineStr">
        <is>
          <t>Void</t>
        </is>
      </c>
      <c r="O193" t="inlineStr">
        <is>
          <t>Unpaid</t>
        </is>
      </c>
      <c r="P193" t="n">
        <v>149.21</v>
      </c>
      <c r="Q193" t="n">
        <v>149.21</v>
      </c>
      <c r="R193" t="b">
        <v>0</v>
      </c>
    </row>
    <row r="194">
      <c r="A194" t="inlineStr">
        <is>
          <t>INV0004030</t>
        </is>
      </c>
      <c r="B194" t="inlineStr">
        <is>
          <t>MER00189</t>
        </is>
      </c>
      <c r="C194" t="inlineStr">
        <is>
          <t>2026-03-01</t>
        </is>
      </c>
      <c r="D194" t="inlineStr">
        <is>
          <t>2026-03-31</t>
        </is>
      </c>
      <c r="E194" s="8" t="n">
        <v>46114</v>
      </c>
      <c r="F194" s="8" t="n">
        <v>46129</v>
      </c>
      <c r="G194" t="n">
        <v>258.94</v>
      </c>
      <c r="H194" t="n">
        <v>0</v>
      </c>
      <c r="I194" t="n">
        <v>258.94</v>
      </c>
      <c r="J194" t="n">
        <v>0.18</v>
      </c>
      <c r="K194" t="n">
        <v>46.61</v>
      </c>
      <c r="L194" t="n">
        <v>305.55</v>
      </c>
      <c r="M194" t="inlineStr">
        <is>
          <t>INR</t>
        </is>
      </c>
      <c r="N194" t="inlineStr">
        <is>
          <t>Void</t>
        </is>
      </c>
      <c r="O194" t="inlineStr">
        <is>
          <t>Unpaid</t>
        </is>
      </c>
      <c r="P194" t="n">
        <v>258.94</v>
      </c>
      <c r="Q194" t="n">
        <v>258.94</v>
      </c>
      <c r="R194" t="b">
        <v>0</v>
      </c>
    </row>
    <row r="195">
      <c r="A195" t="inlineStr">
        <is>
          <t>INV0004031</t>
        </is>
      </c>
      <c r="B195" t="inlineStr">
        <is>
          <t>MER00189</t>
        </is>
      </c>
      <c r="C195" t="inlineStr">
        <is>
          <t>2026-04-01</t>
        </is>
      </c>
      <c r="D195" t="inlineStr">
        <is>
          <t>2026-04-30</t>
        </is>
      </c>
      <c r="E195" s="8" t="n">
        <v>46144</v>
      </c>
      <c r="F195" s="8" t="n">
        <v>46159</v>
      </c>
      <c r="G195" t="n">
        <v>197.4</v>
      </c>
      <c r="H195" t="n">
        <v>0</v>
      </c>
      <c r="I195" t="n">
        <v>197.4</v>
      </c>
      <c r="J195" t="n">
        <v>0.18</v>
      </c>
      <c r="K195" t="n">
        <v>35.53</v>
      </c>
      <c r="L195" t="n">
        <v>232.93</v>
      </c>
      <c r="M195" t="inlineStr">
        <is>
          <t>INR</t>
        </is>
      </c>
      <c r="N195" t="inlineStr">
        <is>
          <t>Paid</t>
        </is>
      </c>
      <c r="O195" t="inlineStr">
        <is>
          <t>Paid</t>
        </is>
      </c>
      <c r="P195" t="n">
        <v>197.4</v>
      </c>
      <c r="Q195" t="n">
        <v>197.4</v>
      </c>
      <c r="R195" t="b">
        <v>0</v>
      </c>
    </row>
    <row r="196">
      <c r="A196" t="inlineStr">
        <is>
          <t>INV0004032</t>
        </is>
      </c>
      <c r="B196" t="inlineStr">
        <is>
          <t>MER00189</t>
        </is>
      </c>
      <c r="C196" t="inlineStr">
        <is>
          <t>2026-05-01</t>
        </is>
      </c>
      <c r="D196" t="inlineStr">
        <is>
          <t>2026-05-31</t>
        </is>
      </c>
      <c r="E196" s="8" t="n">
        <v>46175</v>
      </c>
      <c r="F196" s="8" t="n">
        <v>46190</v>
      </c>
      <c r="G196" t="n">
        <v>128.39</v>
      </c>
      <c r="H196" t="n">
        <v>0</v>
      </c>
      <c r="I196" t="n">
        <v>128.39</v>
      </c>
      <c r="J196" t="n">
        <v>0.18</v>
      </c>
      <c r="K196" t="n">
        <v>23.11</v>
      </c>
      <c r="L196" t="n">
        <v>151.5</v>
      </c>
      <c r="M196" t="inlineStr">
        <is>
          <t>INR</t>
        </is>
      </c>
      <c r="N196" t="inlineStr">
        <is>
          <t>Paid</t>
        </is>
      </c>
      <c r="O196" t="inlineStr">
        <is>
          <t>Paid</t>
        </is>
      </c>
      <c r="P196" t="n">
        <v>128.39</v>
      </c>
      <c r="Q196" t="n">
        <v>128.39</v>
      </c>
      <c r="R196" t="b">
        <v>0</v>
      </c>
    </row>
    <row r="197">
      <c r="A197" t="inlineStr">
        <is>
          <t>INV0004033</t>
        </is>
      </c>
      <c r="B197" t="inlineStr">
        <is>
          <t>MER00189</t>
        </is>
      </c>
      <c r="C197" t="inlineStr">
        <is>
          <t>2026-06-01</t>
        </is>
      </c>
      <c r="D197" t="inlineStr">
        <is>
          <t>2026-06-30</t>
        </is>
      </c>
      <c r="E197" s="8" t="n">
        <v>46205</v>
      </c>
      <c r="F197" s="8" t="n">
        <v>46220</v>
      </c>
      <c r="G197" t="n">
        <v>159.32</v>
      </c>
      <c r="H197" t="n">
        <v>0</v>
      </c>
      <c r="I197" t="n">
        <v>159.32</v>
      </c>
      <c r="J197" t="n">
        <v>0.18</v>
      </c>
      <c r="K197" t="n">
        <v>28.68</v>
      </c>
      <c r="L197" t="n">
        <v>188</v>
      </c>
      <c r="M197" t="inlineStr">
        <is>
          <t>INR</t>
        </is>
      </c>
      <c r="N197" t="inlineStr">
        <is>
          <t>Paid</t>
        </is>
      </c>
      <c r="O197" t="inlineStr">
        <is>
          <t>Paid</t>
        </is>
      </c>
      <c r="P197" t="n">
        <v>159.32</v>
      </c>
      <c r="Q197" t="n">
        <v>159.32</v>
      </c>
      <c r="R197" t="b">
        <v>0</v>
      </c>
    </row>
    <row r="198">
      <c r="A198" t="inlineStr">
        <is>
          <t>INV0004034</t>
        </is>
      </c>
      <c r="B198" t="inlineStr">
        <is>
          <t>MER00189</t>
        </is>
      </c>
      <c r="C198" t="inlineStr">
        <is>
          <t>2026-07-01</t>
        </is>
      </c>
      <c r="D198" t="inlineStr">
        <is>
          <t>2026-07-31</t>
        </is>
      </c>
      <c r="E198" s="8" t="n">
        <v>46236</v>
      </c>
      <c r="F198" s="8" t="n">
        <v>46251</v>
      </c>
      <c r="G198" t="n">
        <v>142.09</v>
      </c>
      <c r="H198" t="n">
        <v>0</v>
      </c>
      <c r="I198" t="n">
        <v>142.09</v>
      </c>
      <c r="J198" t="n">
        <v>0.18</v>
      </c>
      <c r="K198" t="n">
        <v>25.58</v>
      </c>
      <c r="L198" t="n">
        <v>167.67</v>
      </c>
      <c r="M198" t="inlineStr">
        <is>
          <t>INR</t>
        </is>
      </c>
      <c r="N198" t="inlineStr">
        <is>
          <t>Issued</t>
        </is>
      </c>
      <c r="O198" t="inlineStr">
        <is>
          <t>Unpaid</t>
        </is>
      </c>
      <c r="P198" t="n">
        <v>142.09</v>
      </c>
      <c r="Q198" t="n">
        <v>142.09</v>
      </c>
      <c r="R198" t="b">
        <v>0</v>
      </c>
    </row>
    <row r="199">
      <c r="A199" t="inlineStr">
        <is>
          <t>INV0004313</t>
        </is>
      </c>
      <c r="B199" t="inlineStr">
        <is>
          <t>MER00203</t>
        </is>
      </c>
      <c r="C199" t="inlineStr">
        <is>
          <t>2024-08-01</t>
        </is>
      </c>
      <c r="D199" t="inlineStr">
        <is>
          <t>2024-08-31</t>
        </is>
      </c>
      <c r="E199" s="8" t="n">
        <v>45537</v>
      </c>
      <c r="F199" s="8" t="n">
        <v>45567</v>
      </c>
      <c r="G199" t="n">
        <v>1566.27</v>
      </c>
      <c r="H199" t="n">
        <v>0</v>
      </c>
      <c r="I199" t="n">
        <v>1566.27</v>
      </c>
      <c r="J199" t="n">
        <v>0.18</v>
      </c>
      <c r="K199" t="n">
        <v>281.93</v>
      </c>
      <c r="L199" t="n">
        <v>1848.2</v>
      </c>
      <c r="M199" t="inlineStr">
        <is>
          <t>INR</t>
        </is>
      </c>
      <c r="N199" t="inlineStr">
        <is>
          <t>Paid</t>
        </is>
      </c>
      <c r="O199" t="inlineStr">
        <is>
          <t>Paid</t>
        </is>
      </c>
      <c r="P199" t="n">
        <v>1566.27</v>
      </c>
      <c r="Q199" t="n">
        <v>1566.27</v>
      </c>
      <c r="R199" t="b">
        <v>0</v>
      </c>
    </row>
    <row r="200">
      <c r="A200" t="inlineStr">
        <is>
          <t>INV0004314</t>
        </is>
      </c>
      <c r="B200" t="inlineStr">
        <is>
          <t>MER00203</t>
        </is>
      </c>
      <c r="C200" t="inlineStr">
        <is>
          <t>2024-09-01</t>
        </is>
      </c>
      <c r="D200" t="inlineStr">
        <is>
          <t>2024-09-30</t>
        </is>
      </c>
      <c r="E200" s="8" t="n">
        <v>45567</v>
      </c>
      <c r="F200" s="8" t="n">
        <v>45597</v>
      </c>
      <c r="G200" t="n">
        <v>2524.93</v>
      </c>
      <c r="H200" t="n">
        <v>0</v>
      </c>
      <c r="I200" t="n">
        <v>2524.93</v>
      </c>
      <c r="J200" t="n">
        <v>0.18</v>
      </c>
      <c r="K200" t="n">
        <v>454.49</v>
      </c>
      <c r="L200" t="n">
        <v>2979.42</v>
      </c>
      <c r="M200" t="inlineStr">
        <is>
          <t>INR</t>
        </is>
      </c>
      <c r="N200" t="inlineStr">
        <is>
          <t>Paid</t>
        </is>
      </c>
      <c r="O200" t="inlineStr">
        <is>
          <t>Paid</t>
        </is>
      </c>
      <c r="P200" t="n">
        <v>2524.93</v>
      </c>
      <c r="Q200" t="n">
        <v>2524.93</v>
      </c>
      <c r="R200" t="b">
        <v>0</v>
      </c>
    </row>
    <row r="201">
      <c r="A201" t="inlineStr">
        <is>
          <t>INV0004315</t>
        </is>
      </c>
      <c r="B201" t="inlineStr">
        <is>
          <t>MER00203</t>
        </is>
      </c>
      <c r="C201" t="inlineStr">
        <is>
          <t>2024-10-01</t>
        </is>
      </c>
      <c r="D201" t="inlineStr">
        <is>
          <t>2024-10-31</t>
        </is>
      </c>
      <c r="E201" s="8" t="n">
        <v>45598</v>
      </c>
      <c r="F201" s="8" t="n">
        <v>45628</v>
      </c>
      <c r="G201" t="n">
        <v>1645.26</v>
      </c>
      <c r="H201" t="n">
        <v>0</v>
      </c>
      <c r="I201" t="n">
        <v>1645.26</v>
      </c>
      <c r="J201" t="n">
        <v>0.18</v>
      </c>
      <c r="K201" t="n">
        <v>296.15</v>
      </c>
      <c r="L201" t="n">
        <v>1941.41</v>
      </c>
      <c r="M201" t="inlineStr">
        <is>
          <t>INR</t>
        </is>
      </c>
      <c r="N201" t="inlineStr">
        <is>
          <t>Paid</t>
        </is>
      </c>
      <c r="O201" t="inlineStr">
        <is>
          <t>Paid</t>
        </is>
      </c>
      <c r="P201" t="n">
        <v>1645.26</v>
      </c>
      <c r="Q201" t="n">
        <v>1645.26</v>
      </c>
      <c r="R201" t="b">
        <v>0</v>
      </c>
    </row>
    <row r="202">
      <c r="A202" t="inlineStr">
        <is>
          <t>INV0004316</t>
        </is>
      </c>
      <c r="B202" t="inlineStr">
        <is>
          <t>MER00203</t>
        </is>
      </c>
      <c r="C202" t="inlineStr">
        <is>
          <t>2024-11-01</t>
        </is>
      </c>
      <c r="D202" t="inlineStr">
        <is>
          <t>2024-11-30</t>
        </is>
      </c>
      <c r="E202" s="8" t="n">
        <v>45628</v>
      </c>
      <c r="F202" s="8" t="n">
        <v>45658</v>
      </c>
      <c r="G202" t="n">
        <v>1722.17</v>
      </c>
      <c r="H202" t="n">
        <v>0</v>
      </c>
      <c r="I202" t="n">
        <v>1722.17</v>
      </c>
      <c r="J202" t="n">
        <v>0.18</v>
      </c>
      <c r="K202" t="n">
        <v>309.99</v>
      </c>
      <c r="L202" t="n">
        <v>2032.16</v>
      </c>
      <c r="M202" t="inlineStr">
        <is>
          <t>INR</t>
        </is>
      </c>
      <c r="N202" t="inlineStr">
        <is>
          <t>Overdue</t>
        </is>
      </c>
      <c r="O202" t="inlineStr">
        <is>
          <t>Unpaid</t>
        </is>
      </c>
      <c r="P202" t="n">
        <v>1722.17</v>
      </c>
      <c r="Q202" t="n">
        <v>1722.17</v>
      </c>
      <c r="R202" t="b">
        <v>0</v>
      </c>
    </row>
    <row r="203">
      <c r="A203" t="inlineStr">
        <is>
          <t>INV0004317</t>
        </is>
      </c>
      <c r="B203" t="inlineStr">
        <is>
          <t>MER00203</t>
        </is>
      </c>
      <c r="C203" t="inlineStr">
        <is>
          <t>2024-12-01</t>
        </is>
      </c>
      <c r="D203" t="inlineStr">
        <is>
          <t>2024-12-31</t>
        </is>
      </c>
      <c r="E203" s="8" t="n">
        <v>45659</v>
      </c>
      <c r="F203" s="8" t="n">
        <v>45689</v>
      </c>
      <c r="G203" t="n">
        <v>2049.88</v>
      </c>
      <c r="H203" t="n">
        <v>0</v>
      </c>
      <c r="I203" t="n">
        <v>2049.88</v>
      </c>
      <c r="J203" t="n">
        <v>0.18</v>
      </c>
      <c r="K203" t="n">
        <v>368.98</v>
      </c>
      <c r="L203" t="n">
        <v>2418.86</v>
      </c>
      <c r="M203" t="inlineStr">
        <is>
          <t>INR</t>
        </is>
      </c>
      <c r="N203" t="inlineStr">
        <is>
          <t>Paid</t>
        </is>
      </c>
      <c r="O203" t="inlineStr">
        <is>
          <t>Paid</t>
        </is>
      </c>
      <c r="P203" t="n">
        <v>2049.88</v>
      </c>
      <c r="Q203" t="n">
        <v>2049.88</v>
      </c>
      <c r="R203" t="b">
        <v>0</v>
      </c>
    </row>
    <row r="204">
      <c r="A204" t="inlineStr">
        <is>
          <t>INV0004318</t>
        </is>
      </c>
      <c r="B204" t="inlineStr">
        <is>
          <t>MER00203</t>
        </is>
      </c>
      <c r="C204" t="inlineStr">
        <is>
          <t>2025-01-01</t>
        </is>
      </c>
      <c r="D204" t="inlineStr">
        <is>
          <t>2025-01-31</t>
        </is>
      </c>
      <c r="E204" s="8" t="n">
        <v>45690</v>
      </c>
      <c r="F204" s="8" t="n">
        <v>45720</v>
      </c>
      <c r="G204" t="n">
        <v>2312.68</v>
      </c>
      <c r="H204" t="n">
        <v>0</v>
      </c>
      <c r="I204" t="n">
        <v>2312.68</v>
      </c>
      <c r="J204" t="n">
        <v>0.18</v>
      </c>
      <c r="K204" t="n">
        <v>416.28</v>
      </c>
      <c r="L204" t="n">
        <v>2728.96</v>
      </c>
      <c r="M204" t="inlineStr">
        <is>
          <t>INR</t>
        </is>
      </c>
      <c r="N204" t="inlineStr">
        <is>
          <t>Overdue</t>
        </is>
      </c>
      <c r="O204" t="inlineStr">
        <is>
          <t>Partially Paid</t>
        </is>
      </c>
      <c r="P204" t="n">
        <v>2312.68</v>
      </c>
      <c r="Q204" t="n">
        <v>2312.68</v>
      </c>
      <c r="R204" t="b">
        <v>0</v>
      </c>
    </row>
    <row r="205">
      <c r="A205" t="inlineStr">
        <is>
          <t>INV0004319</t>
        </is>
      </c>
      <c r="B205" t="inlineStr">
        <is>
          <t>MER00203</t>
        </is>
      </c>
      <c r="C205" t="inlineStr">
        <is>
          <t>2025-02-01</t>
        </is>
      </c>
      <c r="D205" t="inlineStr">
        <is>
          <t>2025-02-28</t>
        </is>
      </c>
      <c r="E205" s="8" t="n">
        <v>45718</v>
      </c>
      <c r="F205" s="8" t="n">
        <v>45748</v>
      </c>
      <c r="G205" t="n">
        <v>1402.5</v>
      </c>
      <c r="H205" t="n">
        <v>0</v>
      </c>
      <c r="I205" t="n">
        <v>1402.5</v>
      </c>
      <c r="J205" t="n">
        <v>0.18</v>
      </c>
      <c r="K205" t="n">
        <v>252.45</v>
      </c>
      <c r="L205" t="n">
        <v>1654.95</v>
      </c>
      <c r="M205" t="inlineStr">
        <is>
          <t>INR</t>
        </is>
      </c>
      <c r="N205" t="inlineStr">
        <is>
          <t>Overdue</t>
        </is>
      </c>
      <c r="O205" t="inlineStr">
        <is>
          <t>Partially Paid</t>
        </is>
      </c>
      <c r="P205" t="n">
        <v>1402.5</v>
      </c>
      <c r="Q205" t="n">
        <v>1402.5</v>
      </c>
      <c r="R205" t="b">
        <v>0</v>
      </c>
    </row>
    <row r="206">
      <c r="A206" t="inlineStr">
        <is>
          <t>INV0004320</t>
        </is>
      </c>
      <c r="B206" t="inlineStr">
        <is>
          <t>MER00203</t>
        </is>
      </c>
      <c r="C206" t="inlineStr">
        <is>
          <t>2025-03-01</t>
        </is>
      </c>
      <c r="D206" t="inlineStr">
        <is>
          <t>2025-03-31</t>
        </is>
      </c>
      <c r="E206" s="8" t="n">
        <v>45749</v>
      </c>
      <c r="F206" s="8" t="n">
        <v>45779</v>
      </c>
      <c r="G206" t="n">
        <v>1372.21</v>
      </c>
      <c r="H206" t="n">
        <v>0</v>
      </c>
      <c r="I206" t="n">
        <v>1372.21</v>
      </c>
      <c r="J206" t="n">
        <v>0.18</v>
      </c>
      <c r="K206" t="n">
        <v>247</v>
      </c>
      <c r="L206" t="n">
        <v>1619.21</v>
      </c>
      <c r="M206" t="inlineStr">
        <is>
          <t>INR</t>
        </is>
      </c>
      <c r="N206" t="inlineStr">
        <is>
          <t>Overdue</t>
        </is>
      </c>
      <c r="O206" t="inlineStr">
        <is>
          <t>Unpaid</t>
        </is>
      </c>
      <c r="P206" t="n">
        <v>1372.21</v>
      </c>
      <c r="Q206" t="n">
        <v>1372.21</v>
      </c>
      <c r="R206" t="b">
        <v>0</v>
      </c>
    </row>
    <row r="207">
      <c r="A207" t="inlineStr">
        <is>
          <t>INV0004321</t>
        </is>
      </c>
      <c r="B207" t="inlineStr">
        <is>
          <t>MER00203</t>
        </is>
      </c>
      <c r="C207" t="inlineStr">
        <is>
          <t>2025-04-01</t>
        </is>
      </c>
      <c r="D207" t="inlineStr">
        <is>
          <t>2025-04-30</t>
        </is>
      </c>
      <c r="E207" s="8" t="n">
        <v>45779</v>
      </c>
      <c r="F207" s="8" t="n">
        <v>45809</v>
      </c>
      <c r="G207" t="n">
        <v>1626.4</v>
      </c>
      <c r="H207" t="n">
        <v>0</v>
      </c>
      <c r="I207" t="n">
        <v>1626.4</v>
      </c>
      <c r="J207" t="n">
        <v>0.18</v>
      </c>
      <c r="K207" t="n">
        <v>292.75</v>
      </c>
      <c r="L207" t="n">
        <v>1919.15</v>
      </c>
      <c r="M207" t="inlineStr">
        <is>
          <t>INR</t>
        </is>
      </c>
      <c r="N207" t="inlineStr">
        <is>
          <t>Overdue</t>
        </is>
      </c>
      <c r="O207" t="inlineStr">
        <is>
          <t>Unpaid</t>
        </is>
      </c>
      <c r="P207" t="n">
        <v>1849.91</v>
      </c>
      <c r="Q207" t="n">
        <v>1626.4</v>
      </c>
      <c r="R207" t="b">
        <v>1</v>
      </c>
    </row>
    <row r="208">
      <c r="A208" t="inlineStr">
        <is>
          <t>INV0004322</t>
        </is>
      </c>
      <c r="B208" t="inlineStr">
        <is>
          <t>MER00203</t>
        </is>
      </c>
      <c r="C208" t="inlineStr">
        <is>
          <t>2025-05-01</t>
        </is>
      </c>
      <c r="D208" t="inlineStr">
        <is>
          <t>2025-05-31</t>
        </is>
      </c>
      <c r="E208" s="8" t="n">
        <v>45810</v>
      </c>
      <c r="F208" s="8" t="n">
        <v>45840</v>
      </c>
      <c r="G208" t="n">
        <v>2386.41</v>
      </c>
      <c r="H208" t="n">
        <v>0</v>
      </c>
      <c r="I208" t="n">
        <v>2386.41</v>
      </c>
      <c r="J208" t="n">
        <v>0.18</v>
      </c>
      <c r="K208" t="n">
        <v>429.55</v>
      </c>
      <c r="L208" t="n">
        <v>2815.96</v>
      </c>
      <c r="M208" t="inlineStr">
        <is>
          <t>INR</t>
        </is>
      </c>
      <c r="N208" t="inlineStr">
        <is>
          <t>Overdue</t>
        </is>
      </c>
      <c r="O208" t="inlineStr">
        <is>
          <t>Unpaid</t>
        </is>
      </c>
      <c r="P208" t="n">
        <v>2386.41</v>
      </c>
      <c r="Q208" t="n">
        <v>2386.41</v>
      </c>
      <c r="R208" t="b">
        <v>0</v>
      </c>
    </row>
    <row r="209">
      <c r="A209" t="inlineStr">
        <is>
          <t>INV0004323</t>
        </is>
      </c>
      <c r="B209" t="inlineStr">
        <is>
          <t>MER00203</t>
        </is>
      </c>
      <c r="C209" t="inlineStr">
        <is>
          <t>2025-06-01</t>
        </is>
      </c>
      <c r="D209" t="inlineStr">
        <is>
          <t>2025-06-30</t>
        </is>
      </c>
      <c r="E209" s="8" t="n">
        <v>45840</v>
      </c>
      <c r="F209" s="8" t="n">
        <v>45870</v>
      </c>
      <c r="G209" t="n">
        <v>1904.29</v>
      </c>
      <c r="H209" t="n">
        <v>249.46</v>
      </c>
      <c r="I209" t="n">
        <v>1654.83</v>
      </c>
      <c r="J209" t="n">
        <v>0.18</v>
      </c>
      <c r="K209" t="n">
        <v>297.87</v>
      </c>
      <c r="L209" t="n">
        <v>1952.7</v>
      </c>
      <c r="M209" t="inlineStr">
        <is>
          <t>INR</t>
        </is>
      </c>
      <c r="N209" t="inlineStr">
        <is>
          <t>Paid</t>
        </is>
      </c>
      <c r="O209" t="inlineStr">
        <is>
          <t>Paid</t>
        </is>
      </c>
      <c r="P209" t="n">
        <v>1904.29</v>
      </c>
      <c r="Q209" t="n">
        <v>1904.29</v>
      </c>
      <c r="R209" t="b">
        <v>0</v>
      </c>
    </row>
    <row r="210">
      <c r="A210" t="inlineStr">
        <is>
          <t>INV0004324</t>
        </is>
      </c>
      <c r="B210" t="inlineStr">
        <is>
          <t>MER00203</t>
        </is>
      </c>
      <c r="C210" t="inlineStr">
        <is>
          <t>2025-07-01</t>
        </is>
      </c>
      <c r="D210" t="inlineStr">
        <is>
          <t>2025-07-31</t>
        </is>
      </c>
      <c r="E210" s="8" t="n">
        <v>45871</v>
      </c>
      <c r="F210" s="8" t="n">
        <v>45901</v>
      </c>
      <c r="G210" t="n">
        <v>1626.09</v>
      </c>
      <c r="H210" t="n">
        <v>0</v>
      </c>
      <c r="I210" t="n">
        <v>1626.09</v>
      </c>
      <c r="J210" t="n">
        <v>0.18</v>
      </c>
      <c r="K210" t="n">
        <v>292.7</v>
      </c>
      <c r="L210" t="n">
        <v>1918.79</v>
      </c>
      <c r="M210" t="inlineStr">
        <is>
          <t>INR</t>
        </is>
      </c>
      <c r="N210" t="inlineStr">
        <is>
          <t>Overdue</t>
        </is>
      </c>
      <c r="O210" t="inlineStr">
        <is>
          <t>Unpaid</t>
        </is>
      </c>
      <c r="P210" t="n">
        <v>1935.31</v>
      </c>
      <c r="Q210" t="n">
        <v>1626.09</v>
      </c>
      <c r="R210" t="b">
        <v>1</v>
      </c>
    </row>
    <row r="211">
      <c r="A211" t="inlineStr">
        <is>
          <t>INV0004325</t>
        </is>
      </c>
      <c r="B211" t="inlineStr">
        <is>
          <t>MER00203</t>
        </is>
      </c>
      <c r="C211" t="inlineStr">
        <is>
          <t>2025-08-01</t>
        </is>
      </c>
      <c r="D211" t="inlineStr">
        <is>
          <t>2025-08-31</t>
        </is>
      </c>
      <c r="E211" s="8" t="n">
        <v>45902</v>
      </c>
      <c r="F211" s="8" t="n">
        <v>45932</v>
      </c>
      <c r="G211" t="n">
        <v>1605.52</v>
      </c>
      <c r="H211" t="n">
        <v>0</v>
      </c>
      <c r="I211" t="n">
        <v>1605.52</v>
      </c>
      <c r="J211" t="n">
        <v>0.18</v>
      </c>
      <c r="K211" t="n">
        <v>288.99</v>
      </c>
      <c r="L211" t="n">
        <v>1894.51</v>
      </c>
      <c r="M211" t="inlineStr">
        <is>
          <t>INR</t>
        </is>
      </c>
      <c r="N211" t="inlineStr">
        <is>
          <t>Overdue</t>
        </is>
      </c>
      <c r="O211" t="inlineStr">
        <is>
          <t>Unpaid</t>
        </is>
      </c>
      <c r="P211" t="n">
        <v>1605.52</v>
      </c>
      <c r="Q211" t="n">
        <v>1605.52</v>
      </c>
      <c r="R211" t="b">
        <v>0</v>
      </c>
    </row>
    <row r="212">
      <c r="A212" t="inlineStr">
        <is>
          <t>INV0004326</t>
        </is>
      </c>
      <c r="B212" t="inlineStr">
        <is>
          <t>MER00203</t>
        </is>
      </c>
      <c r="C212" t="inlineStr">
        <is>
          <t>2025-09-01</t>
        </is>
      </c>
      <c r="D212" t="inlineStr">
        <is>
          <t>2025-09-30</t>
        </is>
      </c>
      <c r="E212" s="8" t="n">
        <v>45932</v>
      </c>
      <c r="F212" s="8" t="n">
        <v>45962</v>
      </c>
      <c r="G212" t="n">
        <v>1043.14</v>
      </c>
      <c r="H212" t="n">
        <v>0</v>
      </c>
      <c r="I212" t="n">
        <v>1043.14</v>
      </c>
      <c r="J212" t="n">
        <v>0.18</v>
      </c>
      <c r="K212" t="n">
        <v>187.77</v>
      </c>
      <c r="L212" t="n">
        <v>1230.91</v>
      </c>
      <c r="M212" t="inlineStr">
        <is>
          <t>INR</t>
        </is>
      </c>
      <c r="N212" t="inlineStr">
        <is>
          <t>Paid</t>
        </is>
      </c>
      <c r="O212" t="inlineStr">
        <is>
          <t>Paid</t>
        </is>
      </c>
      <c r="P212" t="n">
        <v>1043.14</v>
      </c>
      <c r="Q212" t="n">
        <v>1043.14</v>
      </c>
      <c r="R212" t="b">
        <v>0</v>
      </c>
    </row>
    <row r="213">
      <c r="A213" t="inlineStr">
        <is>
          <t>INV0004327</t>
        </is>
      </c>
      <c r="B213" t="inlineStr">
        <is>
          <t>MER00203</t>
        </is>
      </c>
      <c r="C213" t="inlineStr">
        <is>
          <t>2025-10-01</t>
        </is>
      </c>
      <c r="D213" t="inlineStr">
        <is>
          <t>2025-10-31</t>
        </is>
      </c>
      <c r="E213" s="8" t="n">
        <v>45963</v>
      </c>
      <c r="F213" s="8" t="n">
        <v>45993</v>
      </c>
      <c r="G213" t="n">
        <v>2621.56</v>
      </c>
      <c r="H213" t="n">
        <v>0</v>
      </c>
      <c r="I213" t="n">
        <v>2621.56</v>
      </c>
      <c r="J213" t="n">
        <v>0.18</v>
      </c>
      <c r="K213" t="n">
        <v>471.88</v>
      </c>
      <c r="L213" t="n">
        <v>3093.44</v>
      </c>
      <c r="M213" t="inlineStr">
        <is>
          <t>INR</t>
        </is>
      </c>
      <c r="N213" t="inlineStr">
        <is>
          <t>Overdue</t>
        </is>
      </c>
      <c r="O213" t="inlineStr">
        <is>
          <t>Partially Paid</t>
        </is>
      </c>
      <c r="P213" t="n">
        <v>2621.56</v>
      </c>
      <c r="Q213" t="n">
        <v>2621.56</v>
      </c>
      <c r="R213" t="b">
        <v>0</v>
      </c>
    </row>
    <row r="214">
      <c r="A214" t="inlineStr">
        <is>
          <t>INV0004328</t>
        </is>
      </c>
      <c r="B214" t="inlineStr">
        <is>
          <t>MER00203</t>
        </is>
      </c>
      <c r="C214" t="inlineStr">
        <is>
          <t>2025-11-01</t>
        </is>
      </c>
      <c r="D214" t="inlineStr">
        <is>
          <t>2025-11-30</t>
        </is>
      </c>
      <c r="E214" s="8" t="n">
        <v>45993</v>
      </c>
      <c r="F214" s="8" t="n">
        <v>46023</v>
      </c>
      <c r="G214" t="n">
        <v>3349.29</v>
      </c>
      <c r="H214" t="n">
        <v>0</v>
      </c>
      <c r="I214" t="n">
        <v>3349.29</v>
      </c>
      <c r="J214" t="n">
        <v>0.18</v>
      </c>
      <c r="K214" t="n">
        <v>602.87</v>
      </c>
      <c r="L214" t="n">
        <v>3952.16</v>
      </c>
      <c r="M214" t="inlineStr">
        <is>
          <t>INR</t>
        </is>
      </c>
      <c r="N214" t="inlineStr">
        <is>
          <t>Paid</t>
        </is>
      </c>
      <c r="O214" t="inlineStr">
        <is>
          <t>Paid</t>
        </is>
      </c>
      <c r="P214" t="n">
        <v>3349.29</v>
      </c>
      <c r="Q214" t="n">
        <v>3349.29</v>
      </c>
      <c r="R214" t="b">
        <v>0</v>
      </c>
    </row>
    <row r="215">
      <c r="A215" t="inlineStr">
        <is>
          <t>INV0004329</t>
        </is>
      </c>
      <c r="B215" t="inlineStr">
        <is>
          <t>MER00203</t>
        </is>
      </c>
      <c r="C215" t="inlineStr">
        <is>
          <t>2025-12-01</t>
        </is>
      </c>
      <c r="D215" t="inlineStr">
        <is>
          <t>2025-12-31</t>
        </is>
      </c>
      <c r="E215" s="8" t="n">
        <v>46024</v>
      </c>
      <c r="F215" s="8" t="n">
        <v>46054</v>
      </c>
      <c r="G215" t="n">
        <v>792.63</v>
      </c>
      <c r="H215" t="n">
        <v>0</v>
      </c>
      <c r="I215" t="n">
        <v>792.63</v>
      </c>
      <c r="J215" t="n">
        <v>0.18</v>
      </c>
      <c r="K215" t="n">
        <v>142.67</v>
      </c>
      <c r="L215" t="n">
        <v>935.3</v>
      </c>
      <c r="M215" t="inlineStr">
        <is>
          <t>INR</t>
        </is>
      </c>
      <c r="N215" t="inlineStr">
        <is>
          <t>Paid</t>
        </is>
      </c>
      <c r="O215" t="inlineStr">
        <is>
          <t>Paid</t>
        </is>
      </c>
      <c r="P215" t="n">
        <v>792.63</v>
      </c>
      <c r="Q215" t="n">
        <v>792.63</v>
      </c>
      <c r="R215" t="b">
        <v>0</v>
      </c>
    </row>
    <row r="216">
      <c r="A216" t="inlineStr">
        <is>
          <t>INV0004330</t>
        </is>
      </c>
      <c r="B216" t="inlineStr">
        <is>
          <t>MER00203</t>
        </is>
      </c>
      <c r="C216" t="inlineStr">
        <is>
          <t>2026-01-01</t>
        </is>
      </c>
      <c r="D216" t="inlineStr">
        <is>
          <t>2026-01-31</t>
        </is>
      </c>
      <c r="E216" s="8" t="n">
        <v>46055</v>
      </c>
      <c r="F216" s="8" t="n">
        <v>46085</v>
      </c>
      <c r="G216" t="n">
        <v>2976.18</v>
      </c>
      <c r="H216" t="n">
        <v>0</v>
      </c>
      <c r="I216" t="n">
        <v>2976.18</v>
      </c>
      <c r="J216" t="n">
        <v>0.18</v>
      </c>
      <c r="K216" t="n">
        <v>535.71</v>
      </c>
      <c r="L216" t="n">
        <v>3511.89</v>
      </c>
      <c r="M216" t="inlineStr">
        <is>
          <t>INR</t>
        </is>
      </c>
      <c r="N216" t="inlineStr">
        <is>
          <t>Paid</t>
        </is>
      </c>
      <c r="O216" t="inlineStr">
        <is>
          <t>Paid</t>
        </is>
      </c>
      <c r="P216" t="n">
        <v>2976.18</v>
      </c>
      <c r="Q216" t="n">
        <v>2976.18</v>
      </c>
      <c r="R216" t="b">
        <v>0</v>
      </c>
    </row>
    <row r="217">
      <c r="A217" t="inlineStr">
        <is>
          <t>INV0004331</t>
        </is>
      </c>
      <c r="B217" t="inlineStr">
        <is>
          <t>MER00203</t>
        </is>
      </c>
      <c r="C217" t="inlineStr">
        <is>
          <t>2026-02-01</t>
        </is>
      </c>
      <c r="D217" t="inlineStr">
        <is>
          <t>2026-02-28</t>
        </is>
      </c>
      <c r="E217" s="8" t="n">
        <v>46083</v>
      </c>
      <c r="F217" s="8" t="n">
        <v>46113</v>
      </c>
      <c r="G217" t="n">
        <v>762.3</v>
      </c>
      <c r="H217" t="n">
        <v>0</v>
      </c>
      <c r="I217" t="n">
        <v>762.3</v>
      </c>
      <c r="J217" t="n">
        <v>0.18</v>
      </c>
      <c r="K217" t="n">
        <v>137.21</v>
      </c>
      <c r="L217" t="n">
        <v>899.51</v>
      </c>
      <c r="M217" t="inlineStr">
        <is>
          <t>INR</t>
        </is>
      </c>
      <c r="N217" t="inlineStr">
        <is>
          <t>Paid</t>
        </is>
      </c>
      <c r="O217" t="inlineStr">
        <is>
          <t>Paid</t>
        </is>
      </c>
      <c r="P217" t="n">
        <v>762.3</v>
      </c>
      <c r="Q217" t="n">
        <v>762.3</v>
      </c>
      <c r="R217" t="b">
        <v>0</v>
      </c>
    </row>
    <row r="218">
      <c r="A218" t="inlineStr">
        <is>
          <t>INV0004332</t>
        </is>
      </c>
      <c r="B218" t="inlineStr">
        <is>
          <t>MER00203</t>
        </is>
      </c>
      <c r="C218" t="inlineStr">
        <is>
          <t>2026-03-01</t>
        </is>
      </c>
      <c r="D218" t="inlineStr">
        <is>
          <t>2026-03-31</t>
        </is>
      </c>
      <c r="E218" s="8" t="n">
        <v>46114</v>
      </c>
      <c r="F218" s="8" t="n">
        <v>46144</v>
      </c>
      <c r="G218" t="n">
        <v>2032.72</v>
      </c>
      <c r="H218" t="n">
        <v>0</v>
      </c>
      <c r="I218" t="n">
        <v>2032.72</v>
      </c>
      <c r="J218" t="n">
        <v>0.18</v>
      </c>
      <c r="K218" t="n">
        <v>365.89</v>
      </c>
      <c r="L218" t="n">
        <v>2398.61</v>
      </c>
      <c r="M218" t="inlineStr">
        <is>
          <t>INR</t>
        </is>
      </c>
      <c r="N218" t="inlineStr">
        <is>
          <t>Overdue</t>
        </is>
      </c>
      <c r="O218" t="inlineStr">
        <is>
          <t>Unpaid</t>
        </is>
      </c>
      <c r="P218" t="n">
        <v>2032.72</v>
      </c>
      <c r="Q218" t="n">
        <v>2032.72</v>
      </c>
      <c r="R218" t="b">
        <v>0</v>
      </c>
    </row>
    <row r="219">
      <c r="A219" t="inlineStr">
        <is>
          <t>INV0004333</t>
        </is>
      </c>
      <c r="B219" t="inlineStr">
        <is>
          <t>MER00203</t>
        </is>
      </c>
      <c r="C219" t="inlineStr">
        <is>
          <t>2026-04-01</t>
        </is>
      </c>
      <c r="D219" t="inlineStr">
        <is>
          <t>2026-04-30</t>
        </is>
      </c>
      <c r="E219" s="8" t="n">
        <v>46144</v>
      </c>
      <c r="F219" s="8" t="n">
        <v>46174</v>
      </c>
      <c r="G219" t="n">
        <v>3561.65</v>
      </c>
      <c r="H219" t="n">
        <v>0</v>
      </c>
      <c r="I219" t="n">
        <v>3561.65</v>
      </c>
      <c r="J219" t="n">
        <v>0.18</v>
      </c>
      <c r="K219" t="n">
        <v>641.1</v>
      </c>
      <c r="L219" t="n">
        <v>4202.75</v>
      </c>
      <c r="M219" t="inlineStr">
        <is>
          <t>INR</t>
        </is>
      </c>
      <c r="N219" t="inlineStr">
        <is>
          <t>Paid</t>
        </is>
      </c>
      <c r="O219" t="inlineStr">
        <is>
          <t>Paid</t>
        </is>
      </c>
      <c r="P219" t="n">
        <v>3561.65</v>
      </c>
      <c r="Q219" t="n">
        <v>3561.65</v>
      </c>
      <c r="R219" t="b">
        <v>0</v>
      </c>
    </row>
    <row r="220">
      <c r="A220" t="inlineStr">
        <is>
          <t>INV0004334</t>
        </is>
      </c>
      <c r="B220" t="inlineStr">
        <is>
          <t>MER00203</t>
        </is>
      </c>
      <c r="C220" t="inlineStr">
        <is>
          <t>2026-05-01</t>
        </is>
      </c>
      <c r="D220" t="inlineStr">
        <is>
          <t>2026-05-31</t>
        </is>
      </c>
      <c r="E220" s="8" t="n">
        <v>46175</v>
      </c>
      <c r="F220" s="8" t="n">
        <v>46205</v>
      </c>
      <c r="G220" t="n">
        <v>1364.92</v>
      </c>
      <c r="H220" t="n">
        <v>0</v>
      </c>
      <c r="I220" t="n">
        <v>1364.92</v>
      </c>
      <c r="J220" t="n">
        <v>0.18</v>
      </c>
      <c r="K220" t="n">
        <v>245.69</v>
      </c>
      <c r="L220" t="n">
        <v>1610.61</v>
      </c>
      <c r="M220" t="inlineStr">
        <is>
          <t>INR</t>
        </is>
      </c>
      <c r="N220" t="inlineStr">
        <is>
          <t>Overdue</t>
        </is>
      </c>
      <c r="O220" t="inlineStr">
        <is>
          <t>Unpaid</t>
        </is>
      </c>
      <c r="P220" t="n">
        <v>1364.92</v>
      </c>
      <c r="Q220" t="n">
        <v>1364.92</v>
      </c>
      <c r="R220" t="b">
        <v>0</v>
      </c>
    </row>
    <row r="221">
      <c r="A221" t="inlineStr">
        <is>
          <t>INV0004335</t>
        </is>
      </c>
      <c r="B221" t="inlineStr">
        <is>
          <t>MER00203</t>
        </is>
      </c>
      <c r="C221" t="inlineStr">
        <is>
          <t>2026-06-01</t>
        </is>
      </c>
      <c r="D221" t="inlineStr">
        <is>
          <t>2026-06-30</t>
        </is>
      </c>
      <c r="E221" s="8" t="n">
        <v>46205</v>
      </c>
      <c r="F221" s="8" t="n">
        <v>46235</v>
      </c>
      <c r="G221" t="n">
        <v>2013.63</v>
      </c>
      <c r="H221" t="n">
        <v>257.74</v>
      </c>
      <c r="I221" t="n">
        <v>1755.89</v>
      </c>
      <c r="J221" t="n">
        <v>0.18</v>
      </c>
      <c r="K221" t="n">
        <v>316.06</v>
      </c>
      <c r="L221" t="n">
        <v>2071.95</v>
      </c>
      <c r="M221" t="inlineStr">
        <is>
          <t>INR</t>
        </is>
      </c>
      <c r="N221" t="inlineStr">
        <is>
          <t>Overdue</t>
        </is>
      </c>
      <c r="O221" t="inlineStr">
        <is>
          <t>Unpaid</t>
        </is>
      </c>
      <c r="P221" t="n">
        <v>2013.63</v>
      </c>
      <c r="Q221" t="n">
        <v>2013.63</v>
      </c>
      <c r="R221" t="b">
        <v>0</v>
      </c>
    </row>
    <row r="222">
      <c r="A222" t="inlineStr">
        <is>
          <t>INV0004336</t>
        </is>
      </c>
      <c r="B222" t="inlineStr">
        <is>
          <t>MER00203</t>
        </is>
      </c>
      <c r="C222" t="inlineStr">
        <is>
          <t>2026-07-01</t>
        </is>
      </c>
      <c r="D222" t="inlineStr">
        <is>
          <t>2026-07-31</t>
        </is>
      </c>
      <c r="E222" s="8" t="n">
        <v>46236</v>
      </c>
      <c r="F222" s="8" t="n">
        <v>46266</v>
      </c>
      <c r="G222" t="n">
        <v>1816.29</v>
      </c>
      <c r="H222" t="n">
        <v>0</v>
      </c>
      <c r="I222" t="n">
        <v>1816.29</v>
      </c>
      <c r="J222" t="n">
        <v>0.18</v>
      </c>
      <c r="K222" t="n">
        <v>326.93</v>
      </c>
      <c r="L222" t="n">
        <v>2143.22</v>
      </c>
      <c r="M222" t="inlineStr">
        <is>
          <t>INR</t>
        </is>
      </c>
      <c r="N222" t="inlineStr">
        <is>
          <t>Paid</t>
        </is>
      </c>
      <c r="O222" t="inlineStr">
        <is>
          <t>Paid</t>
        </is>
      </c>
      <c r="P222" t="n">
        <v>1816.29</v>
      </c>
      <c r="Q222" t="n">
        <v>1816.29</v>
      </c>
      <c r="R222" t="b">
        <v>0</v>
      </c>
    </row>
    <row r="223">
      <c r="A223" t="inlineStr">
        <is>
          <t>INV0007295</t>
        </is>
      </c>
      <c r="B223" t="inlineStr">
        <is>
          <t>MER00346</t>
        </is>
      </c>
      <c r="C223" t="inlineStr">
        <is>
          <t>2024-09-01</t>
        </is>
      </c>
      <c r="D223" t="inlineStr">
        <is>
          <t>2024-09-30</t>
        </is>
      </c>
      <c r="E223" s="8" t="n">
        <v>45567</v>
      </c>
      <c r="F223" s="8" t="n">
        <v>45582</v>
      </c>
      <c r="G223" t="n">
        <v>314.03</v>
      </c>
      <c r="H223" t="n">
        <v>0</v>
      </c>
      <c r="I223" t="n">
        <v>314.03</v>
      </c>
      <c r="J223" t="n">
        <v>0.18</v>
      </c>
      <c r="K223" t="n">
        <v>56.53</v>
      </c>
      <c r="L223" t="n">
        <v>370.56</v>
      </c>
      <c r="M223" t="inlineStr">
        <is>
          <t>INR</t>
        </is>
      </c>
      <c r="N223" t="inlineStr">
        <is>
          <t>Paid</t>
        </is>
      </c>
      <c r="O223" t="inlineStr">
        <is>
          <t>Paid</t>
        </is>
      </c>
      <c r="P223" t="n">
        <v>314.03</v>
      </c>
      <c r="Q223" t="n">
        <v>314.03</v>
      </c>
      <c r="R223" t="b">
        <v>0</v>
      </c>
    </row>
    <row r="224">
      <c r="A224" t="inlineStr">
        <is>
          <t>INV0007296</t>
        </is>
      </c>
      <c r="B224" t="inlineStr">
        <is>
          <t>MER00346</t>
        </is>
      </c>
      <c r="C224" t="inlineStr">
        <is>
          <t>2024-10-01</t>
        </is>
      </c>
      <c r="D224" t="inlineStr">
        <is>
          <t>2024-10-31</t>
        </is>
      </c>
      <c r="E224" s="8" t="n">
        <v>45598</v>
      </c>
      <c r="F224" s="8" t="n">
        <v>45613</v>
      </c>
      <c r="G224" t="n">
        <v>253.2</v>
      </c>
      <c r="H224" t="n">
        <v>0</v>
      </c>
      <c r="I224" t="n">
        <v>253.2</v>
      </c>
      <c r="J224" t="n">
        <v>0.18</v>
      </c>
      <c r="K224" t="n">
        <v>45.58</v>
      </c>
      <c r="L224" t="n">
        <v>298.78</v>
      </c>
      <c r="M224" t="inlineStr">
        <is>
          <t>INR</t>
        </is>
      </c>
      <c r="N224" t="inlineStr">
        <is>
          <t>Paid</t>
        </is>
      </c>
      <c r="O224" t="inlineStr">
        <is>
          <t>Paid</t>
        </is>
      </c>
      <c r="P224" t="n">
        <v>253.2</v>
      </c>
      <c r="Q224" t="n">
        <v>253.2</v>
      </c>
      <c r="R224" t="b">
        <v>0</v>
      </c>
    </row>
    <row r="225">
      <c r="A225" t="inlineStr">
        <is>
          <t>INV0007297</t>
        </is>
      </c>
      <c r="B225" t="inlineStr">
        <is>
          <t>MER00346</t>
        </is>
      </c>
      <c r="C225" t="inlineStr">
        <is>
          <t>2024-11-01</t>
        </is>
      </c>
      <c r="D225" t="inlineStr">
        <is>
          <t>2024-11-30</t>
        </is>
      </c>
      <c r="E225" s="8" t="n">
        <v>45628</v>
      </c>
      <c r="F225" s="8" t="n">
        <v>45643</v>
      </c>
      <c r="G225" t="n">
        <v>258.56</v>
      </c>
      <c r="H225" t="n">
        <v>0</v>
      </c>
      <c r="I225" t="n">
        <v>258.56</v>
      </c>
      <c r="J225" t="n">
        <v>0.18</v>
      </c>
      <c r="K225" t="n">
        <v>46.54</v>
      </c>
      <c r="L225" t="n">
        <v>305.1</v>
      </c>
      <c r="M225" t="inlineStr">
        <is>
          <t>INR</t>
        </is>
      </c>
      <c r="N225" t="inlineStr">
        <is>
          <t>Overdue</t>
        </is>
      </c>
      <c r="O225" t="inlineStr">
        <is>
          <t>Unpaid</t>
        </is>
      </c>
      <c r="P225" t="n">
        <v>358.75</v>
      </c>
      <c r="Q225" t="n">
        <v>258.56</v>
      </c>
      <c r="R225" t="b">
        <v>1</v>
      </c>
    </row>
    <row r="226">
      <c r="A226" t="inlineStr">
        <is>
          <t>INV0007298</t>
        </is>
      </c>
      <c r="B226" t="inlineStr">
        <is>
          <t>MER00346</t>
        </is>
      </c>
      <c r="C226" t="inlineStr">
        <is>
          <t>2024-12-01</t>
        </is>
      </c>
      <c r="D226" t="inlineStr">
        <is>
          <t>2024-12-31</t>
        </is>
      </c>
      <c r="E226" s="8" t="n">
        <v>45659</v>
      </c>
      <c r="F226" s="8" t="n">
        <v>45674</v>
      </c>
      <c r="G226" t="n">
        <v>241.41</v>
      </c>
      <c r="H226" t="n">
        <v>0</v>
      </c>
      <c r="I226" t="n">
        <v>241.41</v>
      </c>
      <c r="J226" t="n">
        <v>0.18</v>
      </c>
      <c r="K226" t="n">
        <v>43.45</v>
      </c>
      <c r="L226" t="n">
        <v>284.86</v>
      </c>
      <c r="M226" t="inlineStr">
        <is>
          <t>INR</t>
        </is>
      </c>
      <c r="N226" t="inlineStr">
        <is>
          <t>Overdue</t>
        </is>
      </c>
      <c r="O226" t="inlineStr">
        <is>
          <t>Unpaid</t>
        </is>
      </c>
      <c r="P226" t="n">
        <v>241.41</v>
      </c>
      <c r="Q226" t="n">
        <v>241.41</v>
      </c>
      <c r="R226" t="b">
        <v>0</v>
      </c>
    </row>
    <row r="227">
      <c r="A227" t="inlineStr">
        <is>
          <t>INV0007299</t>
        </is>
      </c>
      <c r="B227" t="inlineStr">
        <is>
          <t>MER00346</t>
        </is>
      </c>
      <c r="C227" t="inlineStr">
        <is>
          <t>2025-01-01</t>
        </is>
      </c>
      <c r="D227" t="inlineStr">
        <is>
          <t>2025-01-31</t>
        </is>
      </c>
      <c r="E227" s="8" t="n">
        <v>45690</v>
      </c>
      <c r="F227" s="8" t="n">
        <v>45705</v>
      </c>
      <c r="G227" t="n">
        <v>339.34</v>
      </c>
      <c r="H227" t="n">
        <v>0</v>
      </c>
      <c r="I227" t="n">
        <v>339.34</v>
      </c>
      <c r="J227" t="n">
        <v>0.18</v>
      </c>
      <c r="K227" t="n">
        <v>61.08</v>
      </c>
      <c r="L227" t="n">
        <v>400.42</v>
      </c>
      <c r="M227" t="inlineStr">
        <is>
          <t>INR</t>
        </is>
      </c>
      <c r="N227" t="inlineStr">
        <is>
          <t>Paid</t>
        </is>
      </c>
      <c r="O227" t="inlineStr">
        <is>
          <t>Paid</t>
        </is>
      </c>
      <c r="P227" t="n">
        <v>339.34</v>
      </c>
      <c r="Q227" t="n">
        <v>339.34</v>
      </c>
      <c r="R227" t="b">
        <v>0</v>
      </c>
    </row>
    <row r="228">
      <c r="A228" t="inlineStr">
        <is>
          <t>INV0007300</t>
        </is>
      </c>
      <c r="B228" t="inlineStr">
        <is>
          <t>MER00346</t>
        </is>
      </c>
      <c r="C228" t="inlineStr">
        <is>
          <t>2025-02-01</t>
        </is>
      </c>
      <c r="D228" t="inlineStr">
        <is>
          <t>2025-02-28</t>
        </is>
      </c>
      <c r="E228" s="8" t="n">
        <v>45718</v>
      </c>
      <c r="F228" s="8" t="n">
        <v>45733</v>
      </c>
      <c r="G228" t="n">
        <v>138.11</v>
      </c>
      <c r="H228" t="n">
        <v>0</v>
      </c>
      <c r="I228" t="n">
        <v>138.11</v>
      </c>
      <c r="J228" t="n">
        <v>0.18</v>
      </c>
      <c r="K228" t="n">
        <v>24.86</v>
      </c>
      <c r="L228" t="n">
        <v>162.97</v>
      </c>
      <c r="M228" t="inlineStr">
        <is>
          <t>INR</t>
        </is>
      </c>
      <c r="N228" t="inlineStr">
        <is>
          <t>Paid</t>
        </is>
      </c>
      <c r="O228" t="inlineStr">
        <is>
          <t>Paid</t>
        </is>
      </c>
      <c r="P228" t="n">
        <v>138.11</v>
      </c>
      <c r="Q228" t="n">
        <v>138.11</v>
      </c>
      <c r="R228" t="b">
        <v>0</v>
      </c>
    </row>
    <row r="229">
      <c r="A229" t="inlineStr">
        <is>
          <t>INV0007301</t>
        </is>
      </c>
      <c r="B229" t="inlineStr">
        <is>
          <t>MER00346</t>
        </is>
      </c>
      <c r="C229" t="inlineStr">
        <is>
          <t>2025-03-01</t>
        </is>
      </c>
      <c r="D229" t="inlineStr">
        <is>
          <t>2025-03-31</t>
        </is>
      </c>
      <c r="E229" s="8" t="n">
        <v>45749</v>
      </c>
      <c r="F229" s="8" t="n">
        <v>45764</v>
      </c>
      <c r="G229" t="n">
        <v>303.09</v>
      </c>
      <c r="H229" t="n">
        <v>0</v>
      </c>
      <c r="I229" t="n">
        <v>303.09</v>
      </c>
      <c r="J229" t="n">
        <v>0.18</v>
      </c>
      <c r="K229" t="n">
        <v>54.56</v>
      </c>
      <c r="L229" t="n">
        <v>357.65</v>
      </c>
      <c r="M229" t="inlineStr">
        <is>
          <t>INR</t>
        </is>
      </c>
      <c r="N229" t="inlineStr">
        <is>
          <t>Paid</t>
        </is>
      </c>
      <c r="O229" t="inlineStr">
        <is>
          <t>Paid</t>
        </is>
      </c>
      <c r="P229" t="n">
        <v>303.09</v>
      </c>
      <c r="Q229" t="n">
        <v>303.09</v>
      </c>
      <c r="R229" t="b">
        <v>0</v>
      </c>
    </row>
    <row r="230">
      <c r="A230" t="inlineStr">
        <is>
          <t>INV0007302</t>
        </is>
      </c>
      <c r="B230" t="inlineStr">
        <is>
          <t>MER00346</t>
        </is>
      </c>
      <c r="C230" t="inlineStr">
        <is>
          <t>2025-04-01</t>
        </is>
      </c>
      <c r="D230" t="inlineStr">
        <is>
          <t>2025-04-30</t>
        </is>
      </c>
      <c r="E230" s="8" t="n">
        <v>45779</v>
      </c>
      <c r="F230" s="8" t="n">
        <v>45794</v>
      </c>
      <c r="G230" t="n">
        <v>177.54</v>
      </c>
      <c r="H230" t="n">
        <v>0</v>
      </c>
      <c r="I230" t="n">
        <v>177.54</v>
      </c>
      <c r="J230" t="n">
        <v>0.18</v>
      </c>
      <c r="K230" t="n">
        <v>31.96</v>
      </c>
      <c r="L230" t="n">
        <v>209.5</v>
      </c>
      <c r="M230" t="inlineStr">
        <is>
          <t>INR</t>
        </is>
      </c>
      <c r="N230" t="inlineStr">
        <is>
          <t>Paid</t>
        </is>
      </c>
      <c r="O230" t="inlineStr">
        <is>
          <t>Paid</t>
        </is>
      </c>
      <c r="P230" t="n">
        <v>177.54</v>
      </c>
      <c r="Q230" t="n">
        <v>177.54</v>
      </c>
      <c r="R230" t="b">
        <v>0</v>
      </c>
    </row>
    <row r="231">
      <c r="A231" t="inlineStr">
        <is>
          <t>INV0007303</t>
        </is>
      </c>
      <c r="B231" t="inlineStr">
        <is>
          <t>MER00346</t>
        </is>
      </c>
      <c r="C231" t="inlineStr">
        <is>
          <t>2025-05-01</t>
        </is>
      </c>
      <c r="D231" t="inlineStr">
        <is>
          <t>2025-05-31</t>
        </is>
      </c>
      <c r="E231" s="8" t="n">
        <v>45810</v>
      </c>
      <c r="F231" s="8" t="n">
        <v>45825</v>
      </c>
      <c r="G231" t="n">
        <v>76.34</v>
      </c>
      <c r="H231" t="n">
        <v>0</v>
      </c>
      <c r="I231" t="n">
        <v>76.34</v>
      </c>
      <c r="J231" t="n">
        <v>0.18</v>
      </c>
      <c r="K231" t="n">
        <v>13.74</v>
      </c>
      <c r="L231" t="n">
        <v>90.08</v>
      </c>
      <c r="M231" t="inlineStr">
        <is>
          <t>INR</t>
        </is>
      </c>
      <c r="N231" t="inlineStr">
        <is>
          <t>Paid</t>
        </is>
      </c>
      <c r="O231" t="inlineStr">
        <is>
          <t>Paid</t>
        </is>
      </c>
      <c r="P231" t="n">
        <v>76.34</v>
      </c>
      <c r="Q231" t="n">
        <v>76.34</v>
      </c>
      <c r="R231" t="b">
        <v>0</v>
      </c>
    </row>
    <row r="232">
      <c r="A232" t="inlineStr">
        <is>
          <t>INV0007304</t>
        </is>
      </c>
      <c r="B232" t="inlineStr">
        <is>
          <t>MER00346</t>
        </is>
      </c>
      <c r="C232" t="inlineStr">
        <is>
          <t>2025-06-01</t>
        </is>
      </c>
      <c r="D232" t="inlineStr">
        <is>
          <t>2025-06-30</t>
        </is>
      </c>
      <c r="E232" s="8" t="n">
        <v>45840</v>
      </c>
      <c r="F232" s="8" t="n">
        <v>45855</v>
      </c>
      <c r="G232" t="n">
        <v>208.4</v>
      </c>
      <c r="H232" t="n">
        <v>23.97</v>
      </c>
      <c r="I232" t="n">
        <v>184.43</v>
      </c>
      <c r="J232" t="n">
        <v>0.18</v>
      </c>
      <c r="K232" t="n">
        <v>33.2</v>
      </c>
      <c r="L232" t="n">
        <v>217.63</v>
      </c>
      <c r="M232" t="inlineStr">
        <is>
          <t>INR</t>
        </is>
      </c>
      <c r="N232" t="inlineStr">
        <is>
          <t>Paid</t>
        </is>
      </c>
      <c r="O232" t="inlineStr">
        <is>
          <t>Paid</t>
        </is>
      </c>
      <c r="P232" t="n">
        <v>208.4</v>
      </c>
      <c r="Q232" t="n">
        <v>208.4</v>
      </c>
      <c r="R232" t="b">
        <v>0</v>
      </c>
    </row>
    <row r="233">
      <c r="A233" t="inlineStr">
        <is>
          <t>INV0007305</t>
        </is>
      </c>
      <c r="B233" t="inlineStr">
        <is>
          <t>MER00346</t>
        </is>
      </c>
      <c r="C233" t="inlineStr">
        <is>
          <t>2025-07-01</t>
        </is>
      </c>
      <c r="D233" t="inlineStr">
        <is>
          <t>2025-07-31</t>
        </is>
      </c>
      <c r="E233" s="8" t="n">
        <v>45871</v>
      </c>
      <c r="F233" s="8" t="n">
        <v>45886</v>
      </c>
      <c r="G233" t="n">
        <v>67.59</v>
      </c>
      <c r="H233" t="n">
        <v>0</v>
      </c>
      <c r="I233" t="n">
        <v>67.59</v>
      </c>
      <c r="J233" t="n">
        <v>0.18</v>
      </c>
      <c r="K233" t="n">
        <v>12.17</v>
      </c>
      <c r="L233" t="n">
        <v>79.76000000000001</v>
      </c>
      <c r="M233" t="inlineStr">
        <is>
          <t>INR</t>
        </is>
      </c>
      <c r="N233" t="inlineStr">
        <is>
          <t>Paid</t>
        </is>
      </c>
      <c r="O233" t="inlineStr">
        <is>
          <t>Paid</t>
        </is>
      </c>
      <c r="P233" t="n">
        <v>67.59</v>
      </c>
      <c r="Q233" t="n">
        <v>67.59</v>
      </c>
      <c r="R233" t="b">
        <v>0</v>
      </c>
    </row>
    <row r="234">
      <c r="A234" t="inlineStr">
        <is>
          <t>INV0007306</t>
        </is>
      </c>
      <c r="B234" t="inlineStr">
        <is>
          <t>MER00346</t>
        </is>
      </c>
      <c r="C234" t="inlineStr">
        <is>
          <t>2025-08-01</t>
        </is>
      </c>
      <c r="D234" t="inlineStr">
        <is>
          <t>2025-08-31</t>
        </is>
      </c>
      <c r="E234" s="8" t="n">
        <v>45902</v>
      </c>
      <c r="F234" s="8" t="n">
        <v>45917</v>
      </c>
      <c r="G234" t="n">
        <v>151.78</v>
      </c>
      <c r="H234" t="n">
        <v>0</v>
      </c>
      <c r="I234" t="n">
        <v>151.78</v>
      </c>
      <c r="J234" t="n">
        <v>0.18</v>
      </c>
      <c r="K234" t="n">
        <v>27.32</v>
      </c>
      <c r="L234" t="n">
        <v>179.1</v>
      </c>
      <c r="M234" t="inlineStr">
        <is>
          <t>INR</t>
        </is>
      </c>
      <c r="N234" t="inlineStr">
        <is>
          <t>Paid</t>
        </is>
      </c>
      <c r="O234" t="inlineStr">
        <is>
          <t>Paid</t>
        </is>
      </c>
      <c r="P234" t="n">
        <v>151.78</v>
      </c>
      <c r="Q234" t="n">
        <v>151.78</v>
      </c>
      <c r="R234" t="b">
        <v>0</v>
      </c>
    </row>
    <row r="235">
      <c r="A235" t="inlineStr">
        <is>
          <t>INV0007307</t>
        </is>
      </c>
      <c r="B235" t="inlineStr">
        <is>
          <t>MER00346</t>
        </is>
      </c>
      <c r="C235" t="inlineStr">
        <is>
          <t>2025-09-01</t>
        </is>
      </c>
      <c r="D235" t="inlineStr">
        <is>
          <t>2025-09-30</t>
        </is>
      </c>
      <c r="E235" s="8" t="n">
        <v>45932</v>
      </c>
      <c r="F235" s="8" t="n">
        <v>45947</v>
      </c>
      <c r="G235" t="n">
        <v>269.15</v>
      </c>
      <c r="H235" t="n">
        <v>0</v>
      </c>
      <c r="I235" t="n">
        <v>269.15</v>
      </c>
      <c r="J235" t="n">
        <v>0.18</v>
      </c>
      <c r="K235" t="n">
        <v>48.45</v>
      </c>
      <c r="L235" t="n">
        <v>317.6</v>
      </c>
      <c r="M235" t="inlineStr">
        <is>
          <t>INR</t>
        </is>
      </c>
      <c r="N235" t="inlineStr">
        <is>
          <t>Paid</t>
        </is>
      </c>
      <c r="O235" t="inlineStr">
        <is>
          <t>Paid</t>
        </is>
      </c>
      <c r="P235" t="n">
        <v>269.15</v>
      </c>
      <c r="Q235" t="n">
        <v>269.15</v>
      </c>
      <c r="R235" t="b">
        <v>0</v>
      </c>
    </row>
    <row r="236">
      <c r="A236" t="inlineStr">
        <is>
          <t>INV0007308</t>
        </is>
      </c>
      <c r="B236" t="inlineStr">
        <is>
          <t>MER00346</t>
        </is>
      </c>
      <c r="C236" t="inlineStr">
        <is>
          <t>2025-10-01</t>
        </is>
      </c>
      <c r="D236" t="inlineStr">
        <is>
          <t>2025-10-31</t>
        </is>
      </c>
      <c r="E236" s="8" t="n">
        <v>45963</v>
      </c>
      <c r="F236" s="8" t="n">
        <v>45978</v>
      </c>
      <c r="G236" t="n">
        <v>120.08</v>
      </c>
      <c r="H236" t="n">
        <v>0</v>
      </c>
      <c r="I236" t="n">
        <v>120.08</v>
      </c>
      <c r="J236" t="n">
        <v>0.18</v>
      </c>
      <c r="K236" t="n">
        <v>21.61</v>
      </c>
      <c r="L236" t="n">
        <v>141.69</v>
      </c>
      <c r="M236" t="inlineStr">
        <is>
          <t>INR</t>
        </is>
      </c>
      <c r="N236" t="inlineStr">
        <is>
          <t>Paid</t>
        </is>
      </c>
      <c r="O236" t="inlineStr">
        <is>
          <t>Paid</t>
        </is>
      </c>
      <c r="P236" t="n">
        <v>120.08</v>
      </c>
      <c r="Q236" t="n">
        <v>120.08</v>
      </c>
      <c r="R236" t="b">
        <v>0</v>
      </c>
    </row>
    <row r="237">
      <c r="A237" t="inlineStr">
        <is>
          <t>INV0007309</t>
        </is>
      </c>
      <c r="B237" t="inlineStr">
        <is>
          <t>MER00346</t>
        </is>
      </c>
      <c r="C237" t="inlineStr">
        <is>
          <t>2025-11-01</t>
        </is>
      </c>
      <c r="D237" t="inlineStr">
        <is>
          <t>2025-11-30</t>
        </is>
      </c>
      <c r="E237" s="8" t="n">
        <v>45993</v>
      </c>
      <c r="F237" s="8" t="n">
        <v>46008</v>
      </c>
      <c r="G237" t="n">
        <v>398.84</v>
      </c>
      <c r="H237" t="n">
        <v>0</v>
      </c>
      <c r="I237" t="n">
        <v>398.84</v>
      </c>
      <c r="J237" t="n">
        <v>0.18</v>
      </c>
      <c r="K237" t="n">
        <v>71.79000000000001</v>
      </c>
      <c r="L237" t="n">
        <v>470.63</v>
      </c>
      <c r="M237" t="inlineStr">
        <is>
          <t>INR</t>
        </is>
      </c>
      <c r="N237" t="inlineStr">
        <is>
          <t>Overdue</t>
        </is>
      </c>
      <c r="O237" t="inlineStr">
        <is>
          <t>Unpaid</t>
        </is>
      </c>
      <c r="P237" t="n">
        <v>398.84</v>
      </c>
      <c r="Q237" t="n">
        <v>398.84</v>
      </c>
      <c r="R237" t="b">
        <v>0</v>
      </c>
    </row>
    <row r="238">
      <c r="A238" t="inlineStr">
        <is>
          <t>INV0007310</t>
        </is>
      </c>
      <c r="B238" t="inlineStr">
        <is>
          <t>MER00346</t>
        </is>
      </c>
      <c r="C238" t="inlineStr">
        <is>
          <t>2025-12-01</t>
        </is>
      </c>
      <c r="D238" t="inlineStr">
        <is>
          <t>2025-12-31</t>
        </is>
      </c>
      <c r="E238" s="8" t="n">
        <v>46024</v>
      </c>
      <c r="F238" s="8" t="n">
        <v>46039</v>
      </c>
      <c r="G238" t="n">
        <v>174.07</v>
      </c>
      <c r="H238" t="n">
        <v>0</v>
      </c>
      <c r="I238" t="n">
        <v>174.07</v>
      </c>
      <c r="J238" t="n">
        <v>0.18</v>
      </c>
      <c r="K238" t="n">
        <v>31.33</v>
      </c>
      <c r="L238" t="n">
        <v>205.4</v>
      </c>
      <c r="M238" t="inlineStr">
        <is>
          <t>INR</t>
        </is>
      </c>
      <c r="N238" t="inlineStr">
        <is>
          <t>Paid</t>
        </is>
      </c>
      <c r="O238" t="inlineStr">
        <is>
          <t>Paid</t>
        </is>
      </c>
      <c r="P238" t="n">
        <v>174.07</v>
      </c>
      <c r="Q238" t="n">
        <v>174.07</v>
      </c>
      <c r="R238" t="b">
        <v>0</v>
      </c>
    </row>
    <row r="239">
      <c r="A239" t="inlineStr">
        <is>
          <t>INV0007311</t>
        </is>
      </c>
      <c r="B239" t="inlineStr">
        <is>
          <t>MER00346</t>
        </is>
      </c>
      <c r="C239" t="inlineStr">
        <is>
          <t>2026-01-01</t>
        </is>
      </c>
      <c r="D239" t="inlineStr">
        <is>
          <t>2026-01-31</t>
        </is>
      </c>
      <c r="E239" s="8" t="n">
        <v>46055</v>
      </c>
      <c r="F239" s="8" t="n">
        <v>46070</v>
      </c>
      <c r="G239" t="n">
        <v>218.74</v>
      </c>
      <c r="H239" t="n">
        <v>0</v>
      </c>
      <c r="I239" t="n">
        <v>218.74</v>
      </c>
      <c r="J239" t="n">
        <v>0.18</v>
      </c>
      <c r="K239" t="n">
        <v>39.37</v>
      </c>
      <c r="L239" t="n">
        <v>258.11</v>
      </c>
      <c r="M239" t="inlineStr">
        <is>
          <t>INR</t>
        </is>
      </c>
      <c r="N239" t="inlineStr">
        <is>
          <t>Paid</t>
        </is>
      </c>
      <c r="O239" t="inlineStr">
        <is>
          <t>Paid</t>
        </is>
      </c>
      <c r="P239" t="n">
        <v>218.74</v>
      </c>
      <c r="Q239" t="n">
        <v>218.74</v>
      </c>
      <c r="R239" t="b">
        <v>0</v>
      </c>
    </row>
    <row r="240">
      <c r="A240" t="inlineStr">
        <is>
          <t>INV0007312</t>
        </is>
      </c>
      <c r="B240" t="inlineStr">
        <is>
          <t>MER00346</t>
        </is>
      </c>
      <c r="C240" t="inlineStr">
        <is>
          <t>2026-02-01</t>
        </is>
      </c>
      <c r="D240" t="inlineStr">
        <is>
          <t>2026-02-28</t>
        </is>
      </c>
      <c r="E240" s="8" t="n">
        <v>46083</v>
      </c>
      <c r="F240" s="8" t="n">
        <v>46098</v>
      </c>
      <c r="G240" t="n">
        <v>194.82</v>
      </c>
      <c r="H240" t="n">
        <v>0</v>
      </c>
      <c r="I240" t="n">
        <v>194.82</v>
      </c>
      <c r="J240" t="n">
        <v>0.18</v>
      </c>
      <c r="K240" t="n">
        <v>35.07</v>
      </c>
      <c r="L240" t="n">
        <v>229.89</v>
      </c>
      <c r="M240" t="inlineStr">
        <is>
          <t>INR</t>
        </is>
      </c>
      <c r="N240" t="inlineStr">
        <is>
          <t>Paid</t>
        </is>
      </c>
      <c r="O240" t="inlineStr">
        <is>
          <t>Paid</t>
        </is>
      </c>
      <c r="P240" t="n">
        <v>194.82</v>
      </c>
      <c r="Q240" t="n">
        <v>194.82</v>
      </c>
      <c r="R240" t="b">
        <v>0</v>
      </c>
    </row>
    <row r="241">
      <c r="A241" t="inlineStr">
        <is>
          <t>INV0007313</t>
        </is>
      </c>
      <c r="B241" t="inlineStr">
        <is>
          <t>MER00346</t>
        </is>
      </c>
      <c r="C241" t="inlineStr">
        <is>
          <t>2026-03-01</t>
        </is>
      </c>
      <c r="D241" t="inlineStr">
        <is>
          <t>2026-03-31</t>
        </is>
      </c>
      <c r="E241" s="8" t="n">
        <v>46114</v>
      </c>
      <c r="F241" s="8" t="n">
        <v>46129</v>
      </c>
      <c r="G241" t="n">
        <v>207.86</v>
      </c>
      <c r="H241" t="n">
        <v>0</v>
      </c>
      <c r="I241" t="n">
        <v>207.86</v>
      </c>
      <c r="J241" t="n">
        <v>0.18</v>
      </c>
      <c r="K241" t="n">
        <v>37.41</v>
      </c>
      <c r="L241" t="n">
        <v>245.27</v>
      </c>
      <c r="M241" t="inlineStr">
        <is>
          <t>INR</t>
        </is>
      </c>
      <c r="N241" t="inlineStr">
        <is>
          <t>Paid</t>
        </is>
      </c>
      <c r="O241" t="inlineStr">
        <is>
          <t>Paid</t>
        </is>
      </c>
      <c r="P241" t="n">
        <v>207.86</v>
      </c>
      <c r="Q241" t="n">
        <v>207.86</v>
      </c>
      <c r="R241" t="b">
        <v>0</v>
      </c>
    </row>
    <row r="242">
      <c r="A242" t="inlineStr">
        <is>
          <t>INV0007314</t>
        </is>
      </c>
      <c r="B242" t="inlineStr">
        <is>
          <t>MER00346</t>
        </is>
      </c>
      <c r="C242" t="inlineStr">
        <is>
          <t>2026-04-01</t>
        </is>
      </c>
      <c r="D242" t="inlineStr">
        <is>
          <t>2026-04-30</t>
        </is>
      </c>
      <c r="E242" s="8" t="n">
        <v>46144</v>
      </c>
      <c r="F242" s="8" t="n">
        <v>46159</v>
      </c>
      <c r="G242" t="n">
        <v>226.2</v>
      </c>
      <c r="H242" t="n">
        <v>0</v>
      </c>
      <c r="I242" t="n">
        <v>226.2</v>
      </c>
      <c r="J242" t="n">
        <v>0.18</v>
      </c>
      <c r="K242" t="n">
        <v>40.72</v>
      </c>
      <c r="L242" t="n">
        <v>266.92</v>
      </c>
      <c r="M242" t="inlineStr">
        <is>
          <t>INR</t>
        </is>
      </c>
      <c r="N242" t="inlineStr">
        <is>
          <t>Paid</t>
        </is>
      </c>
      <c r="O242" t="inlineStr">
        <is>
          <t>Paid</t>
        </is>
      </c>
      <c r="P242" t="n">
        <v>226.2</v>
      </c>
      <c r="Q242" t="n">
        <v>226.2</v>
      </c>
      <c r="R242" t="b">
        <v>0</v>
      </c>
    </row>
    <row r="243">
      <c r="A243" t="inlineStr">
        <is>
          <t>INV0007315</t>
        </is>
      </c>
      <c r="B243" t="inlineStr">
        <is>
          <t>MER00346</t>
        </is>
      </c>
      <c r="C243" t="inlineStr">
        <is>
          <t>2026-05-01</t>
        </is>
      </c>
      <c r="D243" t="inlineStr">
        <is>
          <t>2026-05-31</t>
        </is>
      </c>
      <c r="E243" s="8" t="n">
        <v>46175</v>
      </c>
      <c r="F243" s="8" t="n">
        <v>46190</v>
      </c>
      <c r="G243" t="n">
        <v>80.88</v>
      </c>
      <c r="H243" t="n">
        <v>0</v>
      </c>
      <c r="I243" t="n">
        <v>80.88</v>
      </c>
      <c r="J243" t="n">
        <v>0.18</v>
      </c>
      <c r="K243" t="n">
        <v>14.56</v>
      </c>
      <c r="L243" t="n">
        <v>95.44</v>
      </c>
      <c r="M243" t="inlineStr">
        <is>
          <t>INR</t>
        </is>
      </c>
      <c r="N243" t="inlineStr">
        <is>
          <t>Paid</t>
        </is>
      </c>
      <c r="O243" t="inlineStr">
        <is>
          <t>Paid</t>
        </is>
      </c>
      <c r="P243" t="n">
        <v>80.88</v>
      </c>
      <c r="Q243" t="n">
        <v>80.88</v>
      </c>
      <c r="R243" t="b">
        <v>0</v>
      </c>
    </row>
    <row r="244">
      <c r="A244" t="inlineStr">
        <is>
          <t>INV0007316</t>
        </is>
      </c>
      <c r="B244" t="inlineStr">
        <is>
          <t>MER00346</t>
        </is>
      </c>
      <c r="C244" t="inlineStr">
        <is>
          <t>2026-06-01</t>
        </is>
      </c>
      <c r="D244" t="inlineStr">
        <is>
          <t>2026-06-30</t>
        </is>
      </c>
      <c r="E244" s="8" t="n">
        <v>46205</v>
      </c>
      <c r="F244" s="8" t="n">
        <v>46220</v>
      </c>
      <c r="G244" t="n">
        <v>172.07</v>
      </c>
      <c r="H244" t="n">
        <v>0</v>
      </c>
      <c r="I244" t="n">
        <v>172.07</v>
      </c>
      <c r="J244" t="n">
        <v>0.18</v>
      </c>
      <c r="K244" t="n">
        <v>30.97</v>
      </c>
      <c r="L244" t="n">
        <v>203.04</v>
      </c>
      <c r="M244" t="inlineStr">
        <is>
          <t>INR</t>
        </is>
      </c>
      <c r="N244" t="inlineStr">
        <is>
          <t>Paid</t>
        </is>
      </c>
      <c r="O244" t="inlineStr">
        <is>
          <t>Paid</t>
        </is>
      </c>
      <c r="P244" t="n">
        <v>172.07</v>
      </c>
      <c r="Q244" t="n">
        <v>172.07</v>
      </c>
      <c r="R244" t="b">
        <v>0</v>
      </c>
    </row>
    <row r="245">
      <c r="A245" t="inlineStr">
        <is>
          <t>INV0007317</t>
        </is>
      </c>
      <c r="B245" t="inlineStr">
        <is>
          <t>MER00346</t>
        </is>
      </c>
      <c r="C245" t="inlineStr">
        <is>
          <t>2026-07-01</t>
        </is>
      </c>
      <c r="D245" t="inlineStr">
        <is>
          <t>2026-07-31</t>
        </is>
      </c>
      <c r="E245" s="8" t="n">
        <v>46236</v>
      </c>
      <c r="F245" s="8" t="n">
        <v>46251</v>
      </c>
      <c r="G245" t="n">
        <v>470.89</v>
      </c>
      <c r="H245" t="n">
        <v>0</v>
      </c>
      <c r="I245" t="n">
        <v>470.89</v>
      </c>
      <c r="J245" t="n">
        <v>0.18</v>
      </c>
      <c r="K245" t="n">
        <v>84.76000000000001</v>
      </c>
      <c r="L245" t="n">
        <v>555.65</v>
      </c>
      <c r="M245" t="inlineStr">
        <is>
          <t>INR</t>
        </is>
      </c>
      <c r="N245" t="inlineStr">
        <is>
          <t>Paid</t>
        </is>
      </c>
      <c r="O245" t="inlineStr">
        <is>
          <t>Paid</t>
        </is>
      </c>
      <c r="P245" t="n">
        <v>470.89</v>
      </c>
      <c r="Q245" t="n">
        <v>470.89</v>
      </c>
      <c r="R245" t="b">
        <v>0</v>
      </c>
    </row>
    <row r="246">
      <c r="A246" t="inlineStr">
        <is>
          <t>INV0007318</t>
        </is>
      </c>
      <c r="B246" t="inlineStr">
        <is>
          <t>MER00347</t>
        </is>
      </c>
      <c r="C246" t="inlineStr">
        <is>
          <t>2026-05-01</t>
        </is>
      </c>
      <c r="D246" t="inlineStr">
        <is>
          <t>2026-05-31</t>
        </is>
      </c>
      <c r="E246" s="8" t="n">
        <v>46175</v>
      </c>
      <c r="F246" s="8" t="n">
        <v>46205</v>
      </c>
      <c r="G246" t="n">
        <v>875.12</v>
      </c>
      <c r="H246" t="n">
        <v>118.14</v>
      </c>
      <c r="I246" t="n">
        <v>756.98</v>
      </c>
      <c r="J246" t="n">
        <v>0.18</v>
      </c>
      <c r="K246" t="n">
        <v>136.26</v>
      </c>
      <c r="L246" t="n">
        <v>893.24</v>
      </c>
      <c r="M246" t="inlineStr">
        <is>
          <t>INR</t>
        </is>
      </c>
      <c r="N246" t="inlineStr">
        <is>
          <t>Paid</t>
        </is>
      </c>
      <c r="O246" t="inlineStr">
        <is>
          <t>Paid</t>
        </is>
      </c>
      <c r="P246" t="n">
        <v>875.12</v>
      </c>
      <c r="Q246" t="n">
        <v>875.12</v>
      </c>
      <c r="R246" t="b">
        <v>0</v>
      </c>
    </row>
    <row r="247">
      <c r="A247" t="inlineStr">
        <is>
          <t>INV0007319</t>
        </is>
      </c>
      <c r="B247" t="inlineStr">
        <is>
          <t>MER00347</t>
        </is>
      </c>
      <c r="C247" t="inlineStr">
        <is>
          <t>2026-06-01</t>
        </is>
      </c>
      <c r="D247" t="inlineStr">
        <is>
          <t>2026-06-30</t>
        </is>
      </c>
      <c r="E247" s="8" t="n">
        <v>46205</v>
      </c>
      <c r="F247" s="8" t="n">
        <v>46235</v>
      </c>
      <c r="G247" t="n">
        <v>205.68</v>
      </c>
      <c r="H247" t="n">
        <v>0</v>
      </c>
      <c r="I247" t="n">
        <v>205.68</v>
      </c>
      <c r="J247" t="n">
        <v>0.18</v>
      </c>
      <c r="K247" t="n">
        <v>37.02</v>
      </c>
      <c r="L247" t="n">
        <v>242.7</v>
      </c>
      <c r="M247" t="inlineStr">
        <is>
          <t>INR</t>
        </is>
      </c>
      <c r="N247" t="inlineStr">
        <is>
          <t>Paid</t>
        </is>
      </c>
      <c r="O247" t="inlineStr">
        <is>
          <t>Paid</t>
        </is>
      </c>
      <c r="P247" t="n">
        <v>205.68</v>
      </c>
      <c r="Q247" t="n">
        <v>205.68</v>
      </c>
      <c r="R247" t="b">
        <v>0</v>
      </c>
    </row>
    <row r="248">
      <c r="A248" t="inlineStr">
        <is>
          <t>INV0007320</t>
        </is>
      </c>
      <c r="B248" t="inlineStr">
        <is>
          <t>MER00347</t>
        </is>
      </c>
      <c r="C248" t="inlineStr">
        <is>
          <t>2026-07-01</t>
        </is>
      </c>
      <c r="D248" t="inlineStr">
        <is>
          <t>2026-07-31</t>
        </is>
      </c>
      <c r="E248" s="8" t="n">
        <v>46236</v>
      </c>
      <c r="F248" s="8" t="n">
        <v>46266</v>
      </c>
      <c r="G248" t="n">
        <v>488.38</v>
      </c>
      <c r="H248" t="n">
        <v>0</v>
      </c>
      <c r="I248" t="n">
        <v>488.38</v>
      </c>
      <c r="J248" t="n">
        <v>0.18</v>
      </c>
      <c r="K248" t="n">
        <v>87.91</v>
      </c>
      <c r="L248" t="n">
        <v>576.29</v>
      </c>
      <c r="M248" t="inlineStr">
        <is>
          <t>INR</t>
        </is>
      </c>
      <c r="N248" t="inlineStr">
        <is>
          <t>Paid</t>
        </is>
      </c>
      <c r="O248" t="inlineStr">
        <is>
          <t>Paid</t>
        </is>
      </c>
      <c r="P248" t="n">
        <v>677.24</v>
      </c>
      <c r="Q248" t="n">
        <v>488.38</v>
      </c>
      <c r="R248" t="b">
        <v>1</v>
      </c>
    </row>
    <row r="249">
      <c r="A249" t="inlineStr">
        <is>
          <t>INV0007477</t>
        </is>
      </c>
      <c r="B249" t="inlineStr">
        <is>
          <t>MER00355</t>
        </is>
      </c>
      <c r="C249" t="inlineStr">
        <is>
          <t>2024-08-01</t>
        </is>
      </c>
      <c r="D249" t="inlineStr">
        <is>
          <t>2024-08-31</t>
        </is>
      </c>
      <c r="E249" s="8" t="n">
        <v>45537</v>
      </c>
      <c r="F249" s="8" t="n">
        <v>45552</v>
      </c>
      <c r="G249" t="n">
        <v>193.71</v>
      </c>
      <c r="H249" t="n">
        <v>0</v>
      </c>
      <c r="I249" t="n">
        <v>193.71</v>
      </c>
      <c r="J249" t="n">
        <v>0.18</v>
      </c>
      <c r="K249" t="n">
        <v>34.87</v>
      </c>
      <c r="L249" t="n">
        <v>228.58</v>
      </c>
      <c r="M249" t="inlineStr">
        <is>
          <t>INR</t>
        </is>
      </c>
      <c r="N249" t="inlineStr">
        <is>
          <t>Overdue</t>
        </is>
      </c>
      <c r="O249" t="inlineStr">
        <is>
          <t>Unpaid</t>
        </is>
      </c>
      <c r="P249" t="n">
        <v>193.71</v>
      </c>
      <c r="Q249" t="n">
        <v>193.71</v>
      </c>
      <c r="R249" t="b">
        <v>0</v>
      </c>
    </row>
    <row r="250">
      <c r="A250" t="inlineStr">
        <is>
          <t>INV0007478</t>
        </is>
      </c>
      <c r="B250" t="inlineStr">
        <is>
          <t>MER00355</t>
        </is>
      </c>
      <c r="C250" t="inlineStr">
        <is>
          <t>2024-09-01</t>
        </is>
      </c>
      <c r="D250" t="inlineStr">
        <is>
          <t>2024-09-30</t>
        </is>
      </c>
      <c r="E250" s="8" t="n">
        <v>45567</v>
      </c>
      <c r="F250" s="8" t="n">
        <v>45582</v>
      </c>
      <c r="G250" t="n">
        <v>197.68</v>
      </c>
      <c r="H250" t="n">
        <v>0</v>
      </c>
      <c r="I250" t="n">
        <v>197.68</v>
      </c>
      <c r="J250" t="n">
        <v>0.18</v>
      </c>
      <c r="K250" t="n">
        <v>35.58</v>
      </c>
      <c r="L250" t="n">
        <v>233.26</v>
      </c>
      <c r="M250" t="inlineStr">
        <is>
          <t>INR</t>
        </is>
      </c>
      <c r="N250" t="inlineStr">
        <is>
          <t>Overdue</t>
        </is>
      </c>
      <c r="O250" t="inlineStr">
        <is>
          <t>Partially Paid</t>
        </is>
      </c>
      <c r="P250" t="n">
        <v>197.68</v>
      </c>
      <c r="Q250" t="n">
        <v>197.68</v>
      </c>
      <c r="R250" t="b">
        <v>0</v>
      </c>
    </row>
    <row r="251">
      <c r="A251" t="inlineStr">
        <is>
          <t>INV0007479</t>
        </is>
      </c>
      <c r="B251" t="inlineStr">
        <is>
          <t>MER00355</t>
        </is>
      </c>
      <c r="C251" t="inlineStr">
        <is>
          <t>2024-10-01</t>
        </is>
      </c>
      <c r="D251" t="inlineStr">
        <is>
          <t>2024-10-31</t>
        </is>
      </c>
      <c r="E251" s="8" t="n">
        <v>45598</v>
      </c>
      <c r="F251" s="8" t="n">
        <v>45613</v>
      </c>
      <c r="G251" t="n">
        <v>363.97</v>
      </c>
      <c r="H251" t="n">
        <v>0</v>
      </c>
      <c r="I251" t="n">
        <v>363.97</v>
      </c>
      <c r="J251" t="n">
        <v>0.18</v>
      </c>
      <c r="K251" t="n">
        <v>65.51000000000001</v>
      </c>
      <c r="L251" t="n">
        <v>429.48</v>
      </c>
      <c r="M251" t="inlineStr">
        <is>
          <t>INR</t>
        </is>
      </c>
      <c r="N251" t="inlineStr">
        <is>
          <t>Paid</t>
        </is>
      </c>
      <c r="O251" t="inlineStr">
        <is>
          <t>Paid</t>
        </is>
      </c>
      <c r="P251" t="n">
        <v>363.97</v>
      </c>
      <c r="Q251" t="n">
        <v>363.97</v>
      </c>
      <c r="R251" t="b">
        <v>0</v>
      </c>
    </row>
    <row r="252">
      <c r="A252" t="inlineStr">
        <is>
          <t>INV0007480</t>
        </is>
      </c>
      <c r="B252" t="inlineStr">
        <is>
          <t>MER00355</t>
        </is>
      </c>
      <c r="C252" t="inlineStr">
        <is>
          <t>2024-11-01</t>
        </is>
      </c>
      <c r="D252" t="inlineStr">
        <is>
          <t>2024-11-30</t>
        </is>
      </c>
      <c r="E252" s="8" t="n">
        <v>45628</v>
      </c>
      <c r="F252" s="8" t="n">
        <v>45643</v>
      </c>
      <c r="G252" t="n">
        <v>357.45</v>
      </c>
      <c r="H252" t="n">
        <v>0</v>
      </c>
      <c r="I252" t="n">
        <v>357.45</v>
      </c>
      <c r="J252" t="n">
        <v>0.18</v>
      </c>
      <c r="K252" t="n">
        <v>64.34</v>
      </c>
      <c r="L252" t="n">
        <v>421.79</v>
      </c>
      <c r="M252" t="inlineStr">
        <is>
          <t>INR</t>
        </is>
      </c>
      <c r="N252" t="inlineStr">
        <is>
          <t>Overdue</t>
        </is>
      </c>
      <c r="O252" t="inlineStr">
        <is>
          <t>Unpaid</t>
        </is>
      </c>
      <c r="P252" t="n">
        <v>357.45</v>
      </c>
      <c r="Q252" t="n">
        <v>357.45</v>
      </c>
      <c r="R252" t="b">
        <v>0</v>
      </c>
    </row>
    <row r="253">
      <c r="A253" t="inlineStr">
        <is>
          <t>INV0007481</t>
        </is>
      </c>
      <c r="B253" t="inlineStr">
        <is>
          <t>MER00355</t>
        </is>
      </c>
      <c r="C253" t="inlineStr">
        <is>
          <t>2024-12-01</t>
        </is>
      </c>
      <c r="D253" t="inlineStr">
        <is>
          <t>2024-12-31</t>
        </is>
      </c>
      <c r="E253" s="8" t="n">
        <v>45659</v>
      </c>
      <c r="F253" s="8" t="n">
        <v>45674</v>
      </c>
      <c r="G253" t="n">
        <v>76.42</v>
      </c>
      <c r="H253" t="n">
        <v>0</v>
      </c>
      <c r="I253" t="n">
        <v>76.42</v>
      </c>
      <c r="J253" t="n">
        <v>0.18</v>
      </c>
      <c r="K253" t="n">
        <v>13.76</v>
      </c>
      <c r="L253" t="n">
        <v>90.18000000000001</v>
      </c>
      <c r="M253" t="inlineStr">
        <is>
          <t>INR</t>
        </is>
      </c>
      <c r="N253" t="inlineStr">
        <is>
          <t>Overdue</t>
        </is>
      </c>
      <c r="O253" t="inlineStr">
        <is>
          <t>Unpaid</t>
        </is>
      </c>
      <c r="P253" t="n">
        <v>76.42</v>
      </c>
      <c r="Q253" t="n">
        <v>76.42</v>
      </c>
      <c r="R253" t="b">
        <v>0</v>
      </c>
    </row>
    <row r="254">
      <c r="A254" t="inlineStr">
        <is>
          <t>INV0007482</t>
        </is>
      </c>
      <c r="B254" t="inlineStr">
        <is>
          <t>MER00355</t>
        </is>
      </c>
      <c r="C254" t="inlineStr">
        <is>
          <t>2025-01-01</t>
        </is>
      </c>
      <c r="D254" t="inlineStr">
        <is>
          <t>2025-01-31</t>
        </is>
      </c>
      <c r="E254" s="8" t="n">
        <v>45690</v>
      </c>
      <c r="F254" s="8" t="n">
        <v>45705</v>
      </c>
      <c r="G254" t="n">
        <v>273.25</v>
      </c>
      <c r="H254" t="n">
        <v>0</v>
      </c>
      <c r="I254" t="n">
        <v>273.25</v>
      </c>
      <c r="J254" t="n">
        <v>0.18</v>
      </c>
      <c r="K254" t="n">
        <v>49.18</v>
      </c>
      <c r="L254" t="n">
        <v>322.43</v>
      </c>
      <c r="M254" t="inlineStr">
        <is>
          <t>INR</t>
        </is>
      </c>
      <c r="N254" t="inlineStr">
        <is>
          <t>Paid</t>
        </is>
      </c>
      <c r="O254" t="inlineStr">
        <is>
          <t>Paid</t>
        </is>
      </c>
      <c r="P254" t="n">
        <v>273.25</v>
      </c>
      <c r="Q254" t="n">
        <v>273.25</v>
      </c>
      <c r="R254" t="b">
        <v>0</v>
      </c>
    </row>
    <row r="255">
      <c r="A255" t="inlineStr">
        <is>
          <t>INV0007483</t>
        </is>
      </c>
      <c r="B255" t="inlineStr">
        <is>
          <t>MER00355</t>
        </is>
      </c>
      <c r="C255" t="inlineStr">
        <is>
          <t>2025-02-01</t>
        </is>
      </c>
      <c r="D255" t="inlineStr">
        <is>
          <t>2025-02-28</t>
        </is>
      </c>
      <c r="E255" s="8" t="n">
        <v>45718</v>
      </c>
      <c r="F255" s="8" t="n">
        <v>45733</v>
      </c>
      <c r="G255" t="n">
        <v>168.31</v>
      </c>
      <c r="H255" t="n">
        <v>0</v>
      </c>
      <c r="I255" t="n">
        <v>168.31</v>
      </c>
      <c r="J255" t="n">
        <v>0.18</v>
      </c>
      <c r="K255" t="n">
        <v>30.3</v>
      </c>
      <c r="L255" t="n">
        <v>198.61</v>
      </c>
      <c r="M255" t="inlineStr">
        <is>
          <t>INR</t>
        </is>
      </c>
      <c r="N255" t="inlineStr">
        <is>
          <t>Overdue</t>
        </is>
      </c>
      <c r="O255" t="inlineStr">
        <is>
          <t>Partially Paid</t>
        </is>
      </c>
      <c r="P255" t="n">
        <v>168.31</v>
      </c>
      <c r="Q255" t="n">
        <v>168.31</v>
      </c>
      <c r="R255" t="b">
        <v>0</v>
      </c>
    </row>
    <row r="256">
      <c r="A256" t="inlineStr">
        <is>
          <t>INV0007484</t>
        </is>
      </c>
      <c r="B256" t="inlineStr">
        <is>
          <t>MER00355</t>
        </is>
      </c>
      <c r="C256" t="inlineStr">
        <is>
          <t>2025-03-01</t>
        </is>
      </c>
      <c r="D256" t="inlineStr">
        <is>
          <t>2025-03-31</t>
        </is>
      </c>
      <c r="E256" s="8" t="n">
        <v>45749</v>
      </c>
      <c r="F256" s="8" t="n">
        <v>45764</v>
      </c>
      <c r="G256" t="n">
        <v>132.31</v>
      </c>
      <c r="H256" t="n">
        <v>0</v>
      </c>
      <c r="I256" t="n">
        <v>132.31</v>
      </c>
      <c r="J256" t="n">
        <v>0.18</v>
      </c>
      <c r="K256" t="n">
        <v>23.82</v>
      </c>
      <c r="L256" t="n">
        <v>156.13</v>
      </c>
      <c r="M256" t="inlineStr">
        <is>
          <t>INR</t>
        </is>
      </c>
      <c r="N256" t="inlineStr">
        <is>
          <t>Overdue</t>
        </is>
      </c>
      <c r="O256" t="inlineStr">
        <is>
          <t>Unpaid</t>
        </is>
      </c>
      <c r="P256" t="n">
        <v>132.31</v>
      </c>
      <c r="Q256" t="n">
        <v>132.31</v>
      </c>
      <c r="R256" t="b">
        <v>0</v>
      </c>
    </row>
    <row r="257">
      <c r="A257" t="inlineStr">
        <is>
          <t>INV0007485</t>
        </is>
      </c>
      <c r="B257" t="inlineStr">
        <is>
          <t>MER00355</t>
        </is>
      </c>
      <c r="C257" t="inlineStr">
        <is>
          <t>2025-04-01</t>
        </is>
      </c>
      <c r="D257" t="inlineStr">
        <is>
          <t>2025-04-30</t>
        </is>
      </c>
      <c r="E257" s="8" t="n">
        <v>45779</v>
      </c>
      <c r="F257" s="8" t="n">
        <v>45794</v>
      </c>
      <c r="G257" t="n">
        <v>89.77</v>
      </c>
      <c r="H257" t="n">
        <v>0</v>
      </c>
      <c r="I257" t="n">
        <v>89.77</v>
      </c>
      <c r="J257" t="n">
        <v>0.18</v>
      </c>
      <c r="K257" t="n">
        <v>16.16</v>
      </c>
      <c r="L257" t="n">
        <v>105.93</v>
      </c>
      <c r="M257" t="inlineStr">
        <is>
          <t>INR</t>
        </is>
      </c>
      <c r="N257" t="inlineStr">
        <is>
          <t>Overdue</t>
        </is>
      </c>
      <c r="O257" t="inlineStr">
        <is>
          <t>Unpaid</t>
        </is>
      </c>
      <c r="P257" t="n">
        <v>89.77</v>
      </c>
      <c r="Q257" t="n">
        <v>89.77</v>
      </c>
      <c r="R257" t="b">
        <v>0</v>
      </c>
    </row>
    <row r="258">
      <c r="A258" t="inlineStr">
        <is>
          <t>INV0007486</t>
        </is>
      </c>
      <c r="B258" t="inlineStr">
        <is>
          <t>MER00355</t>
        </is>
      </c>
      <c r="C258" t="inlineStr">
        <is>
          <t>2025-05-01</t>
        </is>
      </c>
      <c r="D258" t="inlineStr">
        <is>
          <t>2025-05-31</t>
        </is>
      </c>
      <c r="E258" s="8" t="n">
        <v>45810</v>
      </c>
      <c r="F258" s="8" t="n">
        <v>45825</v>
      </c>
      <c r="G258" t="n">
        <v>548.05</v>
      </c>
      <c r="H258" t="n">
        <v>0</v>
      </c>
      <c r="I258" t="n">
        <v>548.05</v>
      </c>
      <c r="J258" t="n">
        <v>0.18</v>
      </c>
      <c r="K258" t="n">
        <v>98.65000000000001</v>
      </c>
      <c r="L258" t="n">
        <v>646.7</v>
      </c>
      <c r="M258" t="inlineStr">
        <is>
          <t>INR</t>
        </is>
      </c>
      <c r="N258" t="inlineStr">
        <is>
          <t>Overdue</t>
        </is>
      </c>
      <c r="O258" t="inlineStr">
        <is>
          <t>Unpaid</t>
        </is>
      </c>
      <c r="P258" t="n">
        <v>420.44</v>
      </c>
      <c r="Q258" t="n">
        <v>548.05</v>
      </c>
      <c r="R258" t="b">
        <v>1</v>
      </c>
    </row>
    <row r="259">
      <c r="A259" t="inlineStr">
        <is>
          <t>INV0007487</t>
        </is>
      </c>
      <c r="B259" t="inlineStr">
        <is>
          <t>MER00355</t>
        </is>
      </c>
      <c r="C259" t="inlineStr">
        <is>
          <t>2025-06-01</t>
        </is>
      </c>
      <c r="D259" t="inlineStr">
        <is>
          <t>2025-06-30</t>
        </is>
      </c>
      <c r="E259" s="8" t="n">
        <v>45840</v>
      </c>
      <c r="F259" s="8" t="n">
        <v>45855</v>
      </c>
      <c r="G259" t="n">
        <v>161.8</v>
      </c>
      <c r="H259" t="n">
        <v>0</v>
      </c>
      <c r="I259" t="n">
        <v>161.8</v>
      </c>
      <c r="J259" t="n">
        <v>0.18</v>
      </c>
      <c r="K259" t="n">
        <v>29.12</v>
      </c>
      <c r="L259" t="n">
        <v>190.92</v>
      </c>
      <c r="M259" t="inlineStr">
        <is>
          <t>INR</t>
        </is>
      </c>
      <c r="N259" t="inlineStr">
        <is>
          <t>Paid</t>
        </is>
      </c>
      <c r="O259" t="inlineStr">
        <is>
          <t>Paid</t>
        </is>
      </c>
      <c r="P259" t="n">
        <v>236.08</v>
      </c>
      <c r="Q259" t="n">
        <v>161.8</v>
      </c>
      <c r="R259" t="b">
        <v>1</v>
      </c>
    </row>
    <row r="260">
      <c r="A260" t="inlineStr">
        <is>
          <t>INV0007488</t>
        </is>
      </c>
      <c r="B260" t="inlineStr">
        <is>
          <t>MER00355</t>
        </is>
      </c>
      <c r="C260" t="inlineStr">
        <is>
          <t>2025-07-01</t>
        </is>
      </c>
      <c r="D260" t="inlineStr">
        <is>
          <t>2025-07-31</t>
        </is>
      </c>
      <c r="E260" s="8" t="n">
        <v>45871</v>
      </c>
      <c r="F260" s="8" t="n">
        <v>45886</v>
      </c>
      <c r="G260" t="n">
        <v>404.32</v>
      </c>
      <c r="H260" t="n">
        <v>56.2</v>
      </c>
      <c r="I260" t="n">
        <v>348.12</v>
      </c>
      <c r="J260" t="n">
        <v>0.18</v>
      </c>
      <c r="K260" t="n">
        <v>62.66</v>
      </c>
      <c r="L260" t="n">
        <v>410.78</v>
      </c>
      <c r="M260" t="inlineStr">
        <is>
          <t>INR</t>
        </is>
      </c>
      <c r="N260" t="inlineStr">
        <is>
          <t>Paid</t>
        </is>
      </c>
      <c r="O260" t="inlineStr">
        <is>
          <t>Paid</t>
        </is>
      </c>
      <c r="P260" t="n">
        <v>404.32</v>
      </c>
      <c r="Q260" t="n">
        <v>404.32</v>
      </c>
      <c r="R260" t="b">
        <v>0</v>
      </c>
    </row>
    <row r="261">
      <c r="A261" t="inlineStr">
        <is>
          <t>INV0007489</t>
        </is>
      </c>
      <c r="B261" t="inlineStr">
        <is>
          <t>MER00355</t>
        </is>
      </c>
      <c r="C261" t="inlineStr">
        <is>
          <t>2025-08-01</t>
        </is>
      </c>
      <c r="D261" t="inlineStr">
        <is>
          <t>2025-08-31</t>
        </is>
      </c>
      <c r="E261" s="8" t="n">
        <v>45902</v>
      </c>
      <c r="F261" s="8" t="n">
        <v>45917</v>
      </c>
      <c r="G261" t="n">
        <v>442.42</v>
      </c>
      <c r="H261" t="n">
        <v>0</v>
      </c>
      <c r="I261" t="n">
        <v>442.42</v>
      </c>
      <c r="J261" t="n">
        <v>0.18</v>
      </c>
      <c r="K261" t="n">
        <v>79.64</v>
      </c>
      <c r="L261" t="n">
        <v>522.0599999999999</v>
      </c>
      <c r="M261" t="inlineStr">
        <is>
          <t>INR</t>
        </is>
      </c>
      <c r="N261" t="inlineStr">
        <is>
          <t>Overdue</t>
        </is>
      </c>
      <c r="O261" t="inlineStr">
        <is>
          <t>Unpaid</t>
        </is>
      </c>
      <c r="P261" t="n">
        <v>442.42</v>
      </c>
      <c r="Q261" t="n">
        <v>442.42</v>
      </c>
      <c r="R261" t="b">
        <v>0</v>
      </c>
    </row>
    <row r="262">
      <c r="A262" t="inlineStr">
        <is>
          <t>INV0007490</t>
        </is>
      </c>
      <c r="B262" t="inlineStr">
        <is>
          <t>MER00355</t>
        </is>
      </c>
      <c r="C262" t="inlineStr">
        <is>
          <t>2025-09-01</t>
        </is>
      </c>
      <c r="D262" t="inlineStr">
        <is>
          <t>2025-09-30</t>
        </is>
      </c>
      <c r="E262" s="8" t="n">
        <v>45932</v>
      </c>
      <c r="F262" s="8" t="n">
        <v>45947</v>
      </c>
      <c r="G262" t="n">
        <v>457.1</v>
      </c>
      <c r="H262" t="n">
        <v>0</v>
      </c>
      <c r="I262" t="n">
        <v>457.1</v>
      </c>
      <c r="J262" t="n">
        <v>0.18</v>
      </c>
      <c r="K262" t="n">
        <v>82.28</v>
      </c>
      <c r="L262" t="n">
        <v>539.38</v>
      </c>
      <c r="M262" t="inlineStr">
        <is>
          <t>INR</t>
        </is>
      </c>
      <c r="N262" t="inlineStr">
        <is>
          <t>Overdue</t>
        </is>
      </c>
      <c r="O262" t="inlineStr">
        <is>
          <t>Unpaid</t>
        </is>
      </c>
      <c r="P262" t="n">
        <v>457.1</v>
      </c>
      <c r="Q262" t="n">
        <v>457.1</v>
      </c>
      <c r="R262" t="b">
        <v>0</v>
      </c>
    </row>
    <row r="263">
      <c r="A263" t="inlineStr">
        <is>
          <t>INV0007491</t>
        </is>
      </c>
      <c r="B263" t="inlineStr">
        <is>
          <t>MER00355</t>
        </is>
      </c>
      <c r="C263" t="inlineStr">
        <is>
          <t>2025-10-01</t>
        </is>
      </c>
      <c r="D263" t="inlineStr">
        <is>
          <t>2025-10-31</t>
        </is>
      </c>
      <c r="E263" s="8" t="n">
        <v>45963</v>
      </c>
      <c r="F263" s="8" t="n">
        <v>45978</v>
      </c>
      <c r="G263" t="n">
        <v>608.5</v>
      </c>
      <c r="H263" t="n">
        <v>0</v>
      </c>
      <c r="I263" t="n">
        <v>608.5</v>
      </c>
      <c r="J263" t="n">
        <v>0.18</v>
      </c>
      <c r="K263" t="n">
        <v>109.53</v>
      </c>
      <c r="L263" t="n">
        <v>718.03</v>
      </c>
      <c r="M263" t="inlineStr">
        <is>
          <t>INR</t>
        </is>
      </c>
      <c r="N263" t="inlineStr">
        <is>
          <t>Paid</t>
        </is>
      </c>
      <c r="O263" t="inlineStr">
        <is>
          <t>Paid</t>
        </is>
      </c>
      <c r="P263" t="n">
        <v>608.5</v>
      </c>
      <c r="Q263" t="n">
        <v>608.5</v>
      </c>
      <c r="R263" t="b">
        <v>0</v>
      </c>
    </row>
    <row r="264">
      <c r="A264" t="inlineStr">
        <is>
          <t>INV0007492</t>
        </is>
      </c>
      <c r="B264" t="inlineStr">
        <is>
          <t>MER00355</t>
        </is>
      </c>
      <c r="C264" t="inlineStr">
        <is>
          <t>2025-11-01</t>
        </is>
      </c>
      <c r="D264" t="inlineStr">
        <is>
          <t>2025-11-30</t>
        </is>
      </c>
      <c r="E264" s="8" t="n">
        <v>45993</v>
      </c>
      <c r="F264" s="8" t="n">
        <v>46008</v>
      </c>
      <c r="G264" t="n">
        <v>471.23</v>
      </c>
      <c r="H264" t="n">
        <v>0</v>
      </c>
      <c r="I264" t="n">
        <v>471.23</v>
      </c>
      <c r="J264" t="n">
        <v>0.18</v>
      </c>
      <c r="K264" t="n">
        <v>84.81999999999999</v>
      </c>
      <c r="L264" t="n">
        <v>556.05</v>
      </c>
      <c r="M264" t="inlineStr">
        <is>
          <t>INR</t>
        </is>
      </c>
      <c r="N264" t="inlineStr">
        <is>
          <t>Overdue</t>
        </is>
      </c>
      <c r="O264" t="inlineStr">
        <is>
          <t>Unpaid</t>
        </is>
      </c>
      <c r="P264" t="n">
        <v>471.23</v>
      </c>
      <c r="Q264" t="n">
        <v>471.23</v>
      </c>
      <c r="R264" t="b">
        <v>0</v>
      </c>
    </row>
    <row r="265">
      <c r="A265" t="inlineStr">
        <is>
          <t>INV0007493</t>
        </is>
      </c>
      <c r="B265" t="inlineStr">
        <is>
          <t>MER00355</t>
        </is>
      </c>
      <c r="C265" t="inlineStr">
        <is>
          <t>2025-12-01</t>
        </is>
      </c>
      <c r="D265" t="inlineStr">
        <is>
          <t>2025-12-31</t>
        </is>
      </c>
      <c r="E265" s="8" t="n">
        <v>46024</v>
      </c>
      <c r="F265" s="8" t="n">
        <v>46039</v>
      </c>
      <c r="G265" t="n">
        <v>304.19</v>
      </c>
      <c r="H265" t="n">
        <v>0</v>
      </c>
      <c r="I265" t="n">
        <v>304.19</v>
      </c>
      <c r="J265" t="n">
        <v>0.18</v>
      </c>
      <c r="K265" t="n">
        <v>54.75</v>
      </c>
      <c r="L265" t="n">
        <v>358.94</v>
      </c>
      <c r="M265" t="inlineStr">
        <is>
          <t>INR</t>
        </is>
      </c>
      <c r="N265" t="inlineStr">
        <is>
          <t>Overdue</t>
        </is>
      </c>
      <c r="O265" t="inlineStr">
        <is>
          <t>Unpaid</t>
        </is>
      </c>
      <c r="P265" t="n">
        <v>304.19</v>
      </c>
      <c r="Q265" t="n">
        <v>304.19</v>
      </c>
      <c r="R265" t="b">
        <v>0</v>
      </c>
    </row>
    <row r="266">
      <c r="A266" t="inlineStr">
        <is>
          <t>INV0007494</t>
        </is>
      </c>
      <c r="B266" t="inlineStr">
        <is>
          <t>MER00355</t>
        </is>
      </c>
      <c r="C266" t="inlineStr">
        <is>
          <t>2026-01-01</t>
        </is>
      </c>
      <c r="D266" t="inlineStr">
        <is>
          <t>2026-01-31</t>
        </is>
      </c>
      <c r="E266" s="8" t="n">
        <v>46055</v>
      </c>
      <c r="F266" s="8" t="n">
        <v>46070</v>
      </c>
      <c r="G266" t="n">
        <v>185.35</v>
      </c>
      <c r="H266" t="n">
        <v>0</v>
      </c>
      <c r="I266" t="n">
        <v>185.35</v>
      </c>
      <c r="J266" t="n">
        <v>0.18</v>
      </c>
      <c r="K266" t="n">
        <v>33.36</v>
      </c>
      <c r="L266" t="n">
        <v>218.71</v>
      </c>
      <c r="M266" t="inlineStr">
        <is>
          <t>INR</t>
        </is>
      </c>
      <c r="N266" t="inlineStr">
        <is>
          <t>Paid</t>
        </is>
      </c>
      <c r="O266" t="inlineStr">
        <is>
          <t>Paid</t>
        </is>
      </c>
      <c r="P266" t="n">
        <v>185.35</v>
      </c>
      <c r="Q266" t="n">
        <v>185.35</v>
      </c>
      <c r="R266" t="b">
        <v>0</v>
      </c>
    </row>
    <row r="267">
      <c r="A267" t="inlineStr">
        <is>
          <t>INV0007495</t>
        </is>
      </c>
      <c r="B267" t="inlineStr">
        <is>
          <t>MER00355</t>
        </is>
      </c>
      <c r="C267" t="inlineStr">
        <is>
          <t>2026-02-01</t>
        </is>
      </c>
      <c r="D267" t="inlineStr">
        <is>
          <t>2026-02-28</t>
        </is>
      </c>
      <c r="E267" s="8" t="n">
        <v>46083</v>
      </c>
      <c r="F267" s="8" t="n">
        <v>46098</v>
      </c>
      <c r="G267" t="n">
        <v>524.04</v>
      </c>
      <c r="H267" t="n">
        <v>0</v>
      </c>
      <c r="I267" t="n">
        <v>524.04</v>
      </c>
      <c r="J267" t="n">
        <v>0.18</v>
      </c>
      <c r="K267" t="n">
        <v>94.33</v>
      </c>
      <c r="L267" t="n">
        <v>618.37</v>
      </c>
      <c r="M267" t="inlineStr">
        <is>
          <t>INR</t>
        </is>
      </c>
      <c r="N267" t="inlineStr">
        <is>
          <t>Overdue</t>
        </is>
      </c>
      <c r="O267" t="inlineStr">
        <is>
          <t>Unpaid</t>
        </is>
      </c>
      <c r="P267" t="n">
        <v>524.04</v>
      </c>
      <c r="Q267" t="n">
        <v>524.04</v>
      </c>
      <c r="R267" t="b">
        <v>0</v>
      </c>
    </row>
    <row r="268">
      <c r="A268" t="inlineStr">
        <is>
          <t>INV0007496</t>
        </is>
      </c>
      <c r="B268" t="inlineStr">
        <is>
          <t>MER00355</t>
        </is>
      </c>
      <c r="C268" t="inlineStr">
        <is>
          <t>2026-03-01</t>
        </is>
      </c>
      <c r="D268" t="inlineStr">
        <is>
          <t>2026-03-31</t>
        </is>
      </c>
      <c r="E268" s="8" t="n">
        <v>46114</v>
      </c>
      <c r="F268" s="8" t="n">
        <v>46129</v>
      </c>
      <c r="G268" t="n">
        <v>296.17</v>
      </c>
      <c r="H268" t="n">
        <v>26.06</v>
      </c>
      <c r="I268" t="n">
        <v>270.11</v>
      </c>
      <c r="J268" t="n">
        <v>0.18</v>
      </c>
      <c r="K268" t="n">
        <v>48.62</v>
      </c>
      <c r="L268" t="n">
        <v>318.73</v>
      </c>
      <c r="M268" t="inlineStr">
        <is>
          <t>INR</t>
        </is>
      </c>
      <c r="N268" t="inlineStr">
        <is>
          <t>Paid</t>
        </is>
      </c>
      <c r="O268" t="inlineStr">
        <is>
          <t>Paid</t>
        </is>
      </c>
      <c r="P268" t="n">
        <v>296.17</v>
      </c>
      <c r="Q268" t="n">
        <v>296.17</v>
      </c>
      <c r="R268" t="b">
        <v>0</v>
      </c>
    </row>
    <row r="269">
      <c r="A269" t="inlineStr">
        <is>
          <t>INV0007497</t>
        </is>
      </c>
      <c r="B269" t="inlineStr">
        <is>
          <t>MER00355</t>
        </is>
      </c>
      <c r="C269" t="inlineStr">
        <is>
          <t>2026-04-01</t>
        </is>
      </c>
      <c r="D269" t="inlineStr">
        <is>
          <t>2026-04-30</t>
        </is>
      </c>
      <c r="E269" s="8" t="n">
        <v>46144</v>
      </c>
      <c r="F269" s="8" t="n">
        <v>46159</v>
      </c>
      <c r="G269" t="n">
        <v>518.34</v>
      </c>
      <c r="H269" t="n">
        <v>0</v>
      </c>
      <c r="I269" t="n">
        <v>518.34</v>
      </c>
      <c r="J269" t="n">
        <v>0.18</v>
      </c>
      <c r="K269" t="n">
        <v>93.3</v>
      </c>
      <c r="L269" t="n">
        <v>611.64</v>
      </c>
      <c r="M269" t="inlineStr">
        <is>
          <t>INR</t>
        </is>
      </c>
      <c r="N269" t="inlineStr">
        <is>
          <t>Paid</t>
        </is>
      </c>
      <c r="O269" t="inlineStr">
        <is>
          <t>Paid</t>
        </is>
      </c>
      <c r="P269" t="n">
        <v>518.34</v>
      </c>
      <c r="Q269" t="n">
        <v>518.34</v>
      </c>
      <c r="R269" t="b">
        <v>0</v>
      </c>
    </row>
    <row r="270">
      <c r="A270" t="inlineStr">
        <is>
          <t>INV0007498</t>
        </is>
      </c>
      <c r="B270" t="inlineStr">
        <is>
          <t>MER00355</t>
        </is>
      </c>
      <c r="C270" t="inlineStr">
        <is>
          <t>2026-05-01</t>
        </is>
      </c>
      <c r="D270" t="inlineStr">
        <is>
          <t>2026-05-31</t>
        </is>
      </c>
      <c r="E270" s="8" t="n">
        <v>46175</v>
      </c>
      <c r="F270" s="8" t="n">
        <v>46190</v>
      </c>
      <c r="G270" t="n">
        <v>737.51</v>
      </c>
      <c r="H270" t="n">
        <v>0</v>
      </c>
      <c r="I270" t="n">
        <v>737.51</v>
      </c>
      <c r="J270" t="n">
        <v>0.18</v>
      </c>
      <c r="K270" t="n">
        <v>132.75</v>
      </c>
      <c r="L270" t="n">
        <v>870.26</v>
      </c>
      <c r="M270" t="inlineStr">
        <is>
          <t>INR</t>
        </is>
      </c>
      <c r="N270" t="inlineStr">
        <is>
          <t>Paid</t>
        </is>
      </c>
      <c r="O270" t="inlineStr">
        <is>
          <t>Paid</t>
        </is>
      </c>
      <c r="P270" t="n">
        <v>737.51</v>
      </c>
      <c r="Q270" t="n">
        <v>737.51</v>
      </c>
      <c r="R270" t="b">
        <v>0</v>
      </c>
    </row>
    <row r="271">
      <c r="A271" t="inlineStr">
        <is>
          <t>INV0007499</t>
        </is>
      </c>
      <c r="B271" t="inlineStr">
        <is>
          <t>MER00355</t>
        </is>
      </c>
      <c r="C271" t="inlineStr">
        <is>
          <t>2026-06-01</t>
        </is>
      </c>
      <c r="D271" t="inlineStr">
        <is>
          <t>2026-06-30</t>
        </is>
      </c>
      <c r="E271" s="8" t="n">
        <v>46205</v>
      </c>
      <c r="F271" s="8" t="n">
        <v>46220</v>
      </c>
      <c r="G271" t="n">
        <v>214.44</v>
      </c>
      <c r="H271" t="n">
        <v>0</v>
      </c>
      <c r="I271" t="n">
        <v>214.44</v>
      </c>
      <c r="J271" t="n">
        <v>0.18</v>
      </c>
      <c r="K271" t="n">
        <v>38.6</v>
      </c>
      <c r="L271" t="n">
        <v>253.04</v>
      </c>
      <c r="M271" t="inlineStr">
        <is>
          <t>INR</t>
        </is>
      </c>
      <c r="N271" t="inlineStr">
        <is>
          <t>Paid</t>
        </is>
      </c>
      <c r="O271" t="inlineStr">
        <is>
          <t>Paid</t>
        </is>
      </c>
      <c r="P271" t="n">
        <v>214.44</v>
      </c>
      <c r="Q271" t="n">
        <v>214.44</v>
      </c>
      <c r="R271" t="b">
        <v>0</v>
      </c>
    </row>
    <row r="272">
      <c r="A272" t="inlineStr">
        <is>
          <t>INV0007500</t>
        </is>
      </c>
      <c r="B272" t="inlineStr">
        <is>
          <t>MER00355</t>
        </is>
      </c>
      <c r="C272" t="inlineStr">
        <is>
          <t>2026-07-01</t>
        </is>
      </c>
      <c r="D272" t="inlineStr">
        <is>
          <t>2026-07-31</t>
        </is>
      </c>
      <c r="E272" s="8" t="n">
        <v>46236</v>
      </c>
      <c r="F272" s="8" t="n">
        <v>46251</v>
      </c>
      <c r="G272" t="n">
        <v>258.93</v>
      </c>
      <c r="H272" t="n">
        <v>0</v>
      </c>
      <c r="I272" t="n">
        <v>258.93</v>
      </c>
      <c r="J272" t="n">
        <v>0.18</v>
      </c>
      <c r="K272" t="n">
        <v>46.61</v>
      </c>
      <c r="L272" t="n">
        <v>305.54</v>
      </c>
      <c r="M272" t="inlineStr">
        <is>
          <t>INR</t>
        </is>
      </c>
      <c r="N272" t="inlineStr">
        <is>
          <t>Paid</t>
        </is>
      </c>
      <c r="O272" t="inlineStr">
        <is>
          <t>Paid</t>
        </is>
      </c>
      <c r="P272" t="n">
        <v>258.93</v>
      </c>
      <c r="Q272" t="n">
        <v>258.93</v>
      </c>
      <c r="R272" t="b">
        <v>0</v>
      </c>
    </row>
    <row r="273">
      <c r="A273" t="inlineStr">
        <is>
          <t>INV0008006</t>
        </is>
      </c>
      <c r="B273" t="inlineStr">
        <is>
          <t>MER00381</t>
        </is>
      </c>
      <c r="C273" t="inlineStr">
        <is>
          <t>2024-08-01</t>
        </is>
      </c>
      <c r="D273" t="inlineStr">
        <is>
          <t>2024-08-31</t>
        </is>
      </c>
      <c r="E273" s="8" t="n">
        <v>45537</v>
      </c>
      <c r="F273" s="8" t="n">
        <v>45552</v>
      </c>
      <c r="G273" t="n">
        <v>82.23</v>
      </c>
      <c r="H273" t="n">
        <v>0</v>
      </c>
      <c r="I273" t="n">
        <v>82.23</v>
      </c>
      <c r="J273" t="n">
        <v>0.18</v>
      </c>
      <c r="K273" t="n">
        <v>14.8</v>
      </c>
      <c r="L273" t="n">
        <v>97.03</v>
      </c>
      <c r="M273" t="inlineStr">
        <is>
          <t>INR</t>
        </is>
      </c>
      <c r="N273" t="inlineStr">
        <is>
          <t>Paid</t>
        </is>
      </c>
      <c r="O273" t="inlineStr">
        <is>
          <t>Paid</t>
        </is>
      </c>
      <c r="P273" t="n">
        <v>82.23</v>
      </c>
      <c r="Q273" t="n">
        <v>82.23</v>
      </c>
      <c r="R273" t="b">
        <v>0</v>
      </c>
    </row>
    <row r="274">
      <c r="A274" t="inlineStr">
        <is>
          <t>INV0008007</t>
        </is>
      </c>
      <c r="B274" t="inlineStr">
        <is>
          <t>MER00381</t>
        </is>
      </c>
      <c r="C274" t="inlineStr">
        <is>
          <t>2024-09-01</t>
        </is>
      </c>
      <c r="D274" t="inlineStr">
        <is>
          <t>2024-09-30</t>
        </is>
      </c>
      <c r="E274" s="8" t="n">
        <v>45567</v>
      </c>
      <c r="F274" s="8" t="n">
        <v>45582</v>
      </c>
      <c r="G274" t="n">
        <v>57.98</v>
      </c>
      <c r="H274" t="n">
        <v>5.74</v>
      </c>
      <c r="I274" t="n">
        <v>52.24</v>
      </c>
      <c r="J274" t="n">
        <v>0.18</v>
      </c>
      <c r="K274" t="n">
        <v>9.4</v>
      </c>
      <c r="L274" t="n">
        <v>61.64</v>
      </c>
      <c r="M274" t="inlineStr">
        <is>
          <t>INR</t>
        </is>
      </c>
      <c r="N274" t="inlineStr">
        <is>
          <t>Paid</t>
        </is>
      </c>
      <c r="O274" t="inlineStr">
        <is>
          <t>Paid</t>
        </is>
      </c>
      <c r="P274" t="n">
        <v>57.98</v>
      </c>
      <c r="Q274" t="n">
        <v>57.98</v>
      </c>
      <c r="R274" t="b">
        <v>0</v>
      </c>
    </row>
    <row r="275">
      <c r="A275" t="inlineStr">
        <is>
          <t>INV0008008</t>
        </is>
      </c>
      <c r="B275" t="inlineStr">
        <is>
          <t>MER00381</t>
        </is>
      </c>
      <c r="C275" t="inlineStr">
        <is>
          <t>2024-10-01</t>
        </is>
      </c>
      <c r="D275" t="inlineStr">
        <is>
          <t>2024-10-31</t>
        </is>
      </c>
      <c r="E275" s="8" t="n">
        <v>45598</v>
      </c>
      <c r="F275" s="8" t="n">
        <v>45613</v>
      </c>
      <c r="G275" t="n">
        <v>266.88</v>
      </c>
      <c r="H275" t="n">
        <v>0</v>
      </c>
      <c r="I275" t="n">
        <v>266.88</v>
      </c>
      <c r="J275" t="n">
        <v>0.18</v>
      </c>
      <c r="K275" t="n">
        <v>48.04</v>
      </c>
      <c r="L275" t="n">
        <v>314.92</v>
      </c>
      <c r="M275" t="inlineStr">
        <is>
          <t>INR</t>
        </is>
      </c>
      <c r="N275" t="inlineStr">
        <is>
          <t>Paid</t>
        </is>
      </c>
      <c r="O275" t="inlineStr">
        <is>
          <t>Paid</t>
        </is>
      </c>
      <c r="P275" t="n">
        <v>266.88</v>
      </c>
      <c r="Q275" t="n">
        <v>266.88</v>
      </c>
      <c r="R275" t="b">
        <v>0</v>
      </c>
    </row>
    <row r="276">
      <c r="A276" t="inlineStr">
        <is>
          <t>INV0008009</t>
        </is>
      </c>
      <c r="B276" t="inlineStr">
        <is>
          <t>MER00381</t>
        </is>
      </c>
      <c r="C276" t="inlineStr">
        <is>
          <t>2024-11-01</t>
        </is>
      </c>
      <c r="D276" t="inlineStr">
        <is>
          <t>2024-11-30</t>
        </is>
      </c>
      <c r="E276" s="8" t="n">
        <v>45628</v>
      </c>
      <c r="F276" s="8" t="n">
        <v>45643</v>
      </c>
      <c r="G276" t="n">
        <v>162.35</v>
      </c>
      <c r="H276" t="n">
        <v>0</v>
      </c>
      <c r="I276" t="n">
        <v>162.35</v>
      </c>
      <c r="J276" t="n">
        <v>0.18</v>
      </c>
      <c r="K276" t="n">
        <v>29.22</v>
      </c>
      <c r="L276" t="n">
        <v>191.57</v>
      </c>
      <c r="M276" t="inlineStr">
        <is>
          <t>INR</t>
        </is>
      </c>
      <c r="N276" t="inlineStr">
        <is>
          <t>Paid</t>
        </is>
      </c>
      <c r="O276" t="inlineStr">
        <is>
          <t>Paid</t>
        </is>
      </c>
      <c r="P276" t="n">
        <v>162.35</v>
      </c>
      <c r="Q276" t="n">
        <v>162.35</v>
      </c>
      <c r="R276" t="b">
        <v>0</v>
      </c>
    </row>
    <row r="277">
      <c r="A277" t="inlineStr">
        <is>
          <t>INV0008010</t>
        </is>
      </c>
      <c r="B277" t="inlineStr">
        <is>
          <t>MER00381</t>
        </is>
      </c>
      <c r="C277" t="inlineStr">
        <is>
          <t>2024-12-01</t>
        </is>
      </c>
      <c r="D277" t="inlineStr">
        <is>
          <t>2024-12-31</t>
        </is>
      </c>
      <c r="E277" s="8" t="n">
        <v>45659</v>
      </c>
      <c r="F277" s="8" t="n">
        <v>45674</v>
      </c>
      <c r="G277" t="n">
        <v>163.14</v>
      </c>
      <c r="H277" t="n">
        <v>0</v>
      </c>
      <c r="I277" t="n">
        <v>163.14</v>
      </c>
      <c r="J277" t="n">
        <v>0.18</v>
      </c>
      <c r="K277" t="n">
        <v>29.37</v>
      </c>
      <c r="L277" t="n">
        <v>192.51</v>
      </c>
      <c r="M277" t="inlineStr">
        <is>
          <t>INR</t>
        </is>
      </c>
      <c r="N277" t="inlineStr">
        <is>
          <t>Paid</t>
        </is>
      </c>
      <c r="O277" t="inlineStr">
        <is>
          <t>Paid</t>
        </is>
      </c>
      <c r="P277" t="n">
        <v>163.14</v>
      </c>
      <c r="Q277" t="n">
        <v>163.14</v>
      </c>
      <c r="R277" t="b">
        <v>0</v>
      </c>
    </row>
    <row r="278">
      <c r="A278" t="inlineStr">
        <is>
          <t>INV0008011</t>
        </is>
      </c>
      <c r="B278" t="inlineStr">
        <is>
          <t>MER00381</t>
        </is>
      </c>
      <c r="C278" t="inlineStr">
        <is>
          <t>2025-01-01</t>
        </is>
      </c>
      <c r="D278" t="inlineStr">
        <is>
          <t>2025-01-31</t>
        </is>
      </c>
      <c r="E278" s="8" t="n">
        <v>45690</v>
      </c>
      <c r="F278" s="8" t="n">
        <v>45705</v>
      </c>
      <c r="G278" t="n">
        <v>184.86</v>
      </c>
      <c r="H278" t="n">
        <v>0</v>
      </c>
      <c r="I278" t="n">
        <v>184.86</v>
      </c>
      <c r="J278" t="n">
        <v>0.18</v>
      </c>
      <c r="K278" t="n">
        <v>33.27</v>
      </c>
      <c r="L278" t="n">
        <v>218.13</v>
      </c>
      <c r="M278" t="inlineStr">
        <is>
          <t>INR</t>
        </is>
      </c>
      <c r="N278" t="inlineStr">
        <is>
          <t>Paid</t>
        </is>
      </c>
      <c r="O278" t="inlineStr">
        <is>
          <t>Paid</t>
        </is>
      </c>
      <c r="P278" t="n">
        <v>184.86</v>
      </c>
      <c r="Q278" t="n">
        <v>184.86</v>
      </c>
      <c r="R278" t="b">
        <v>0</v>
      </c>
    </row>
    <row r="279">
      <c r="A279" t="inlineStr">
        <is>
          <t>INV0008012</t>
        </is>
      </c>
      <c r="B279" t="inlineStr">
        <is>
          <t>MER00381</t>
        </is>
      </c>
      <c r="C279" t="inlineStr">
        <is>
          <t>2025-02-01</t>
        </is>
      </c>
      <c r="D279" t="inlineStr">
        <is>
          <t>2025-02-28</t>
        </is>
      </c>
      <c r="E279" s="8" t="n">
        <v>45718</v>
      </c>
      <c r="F279" s="8" t="n">
        <v>45733</v>
      </c>
      <c r="G279" t="n">
        <v>210.08</v>
      </c>
      <c r="H279" t="n">
        <v>19.12</v>
      </c>
      <c r="I279" t="n">
        <v>190.96</v>
      </c>
      <c r="J279" t="n">
        <v>0.18</v>
      </c>
      <c r="K279" t="n">
        <v>34.37</v>
      </c>
      <c r="L279" t="n">
        <v>225.33</v>
      </c>
      <c r="M279" t="inlineStr">
        <is>
          <t>INR</t>
        </is>
      </c>
      <c r="N279" t="inlineStr">
        <is>
          <t>Paid</t>
        </is>
      </c>
      <c r="O279" t="inlineStr">
        <is>
          <t>Paid</t>
        </is>
      </c>
      <c r="P279" t="n">
        <v>210.08</v>
      </c>
      <c r="Q279" t="n">
        <v>210.08</v>
      </c>
      <c r="R279" t="b">
        <v>0</v>
      </c>
    </row>
    <row r="280">
      <c r="A280" t="inlineStr">
        <is>
          <t>INV0008013</t>
        </is>
      </c>
      <c r="B280" t="inlineStr">
        <is>
          <t>MER00381</t>
        </is>
      </c>
      <c r="C280" t="inlineStr">
        <is>
          <t>2025-03-01</t>
        </is>
      </c>
      <c r="D280" t="inlineStr">
        <is>
          <t>2025-03-31</t>
        </is>
      </c>
      <c r="E280" s="8" t="n">
        <v>45749</v>
      </c>
      <c r="F280" s="8" t="n">
        <v>45764</v>
      </c>
      <c r="G280" t="n">
        <v>166.18</v>
      </c>
      <c r="H280" t="n">
        <v>0</v>
      </c>
      <c r="I280" t="n">
        <v>166.18</v>
      </c>
      <c r="J280" t="n">
        <v>0.18</v>
      </c>
      <c r="K280" t="n">
        <v>29.91</v>
      </c>
      <c r="L280" t="n">
        <v>196.09</v>
      </c>
      <c r="M280" t="inlineStr">
        <is>
          <t>INR</t>
        </is>
      </c>
      <c r="N280" t="inlineStr">
        <is>
          <t>Paid</t>
        </is>
      </c>
      <c r="O280" t="inlineStr">
        <is>
          <t>Paid</t>
        </is>
      </c>
      <c r="P280" t="n">
        <v>130.8</v>
      </c>
      <c r="Q280" t="n">
        <v>166.18</v>
      </c>
      <c r="R280" t="b">
        <v>1</v>
      </c>
    </row>
    <row r="281">
      <c r="A281" t="inlineStr">
        <is>
          <t>INV0008014</t>
        </is>
      </c>
      <c r="B281" t="inlineStr">
        <is>
          <t>MER00381</t>
        </is>
      </c>
      <c r="C281" t="inlineStr">
        <is>
          <t>2025-04-01</t>
        </is>
      </c>
      <c r="D281" t="inlineStr">
        <is>
          <t>2025-04-30</t>
        </is>
      </c>
      <c r="E281" s="8" t="n">
        <v>45779</v>
      </c>
      <c r="F281" s="8" t="n">
        <v>45794</v>
      </c>
      <c r="G281" t="n">
        <v>147.75</v>
      </c>
      <c r="H281" t="n">
        <v>0</v>
      </c>
      <c r="I281" t="n">
        <v>147.75</v>
      </c>
      <c r="J281" t="n">
        <v>0.18</v>
      </c>
      <c r="K281" t="n">
        <v>26.6</v>
      </c>
      <c r="L281" t="n">
        <v>174.35</v>
      </c>
      <c r="M281" t="inlineStr">
        <is>
          <t>INR</t>
        </is>
      </c>
      <c r="N281" t="inlineStr">
        <is>
          <t>Paid</t>
        </is>
      </c>
      <c r="O281" t="inlineStr">
        <is>
          <t>Paid</t>
        </is>
      </c>
      <c r="P281" t="n">
        <v>121.03</v>
      </c>
      <c r="Q281" t="n">
        <v>147.75</v>
      </c>
      <c r="R281" t="b">
        <v>1</v>
      </c>
    </row>
    <row r="282">
      <c r="A282" t="inlineStr">
        <is>
          <t>INV0008015</t>
        </is>
      </c>
      <c r="B282" t="inlineStr">
        <is>
          <t>MER00381</t>
        </is>
      </c>
      <c r="C282" t="inlineStr">
        <is>
          <t>2025-05-01</t>
        </is>
      </c>
      <c r="D282" t="inlineStr">
        <is>
          <t>2025-05-31</t>
        </is>
      </c>
      <c r="E282" s="8" t="n">
        <v>45810</v>
      </c>
      <c r="F282" s="8" t="n">
        <v>45825</v>
      </c>
      <c r="G282" t="n">
        <v>178.26</v>
      </c>
      <c r="H282" t="n">
        <v>0</v>
      </c>
      <c r="I282" t="n">
        <v>178.26</v>
      </c>
      <c r="J282" t="n">
        <v>0.18</v>
      </c>
      <c r="K282" t="n">
        <v>32.09</v>
      </c>
      <c r="L282" t="n">
        <v>210.35</v>
      </c>
      <c r="M282" t="inlineStr">
        <is>
          <t>INR</t>
        </is>
      </c>
      <c r="N282" t="inlineStr">
        <is>
          <t>Overdue</t>
        </is>
      </c>
      <c r="O282" t="inlineStr">
        <is>
          <t>Unpaid</t>
        </is>
      </c>
      <c r="P282" t="n">
        <v>194.73</v>
      </c>
      <c r="Q282" t="n">
        <v>178.26</v>
      </c>
      <c r="R282" t="b">
        <v>1</v>
      </c>
    </row>
    <row r="283">
      <c r="A283" t="inlineStr">
        <is>
          <t>INV0008016</t>
        </is>
      </c>
      <c r="B283" t="inlineStr">
        <is>
          <t>MER00381</t>
        </is>
      </c>
      <c r="C283" t="inlineStr">
        <is>
          <t>2025-06-01</t>
        </is>
      </c>
      <c r="D283" t="inlineStr">
        <is>
          <t>2025-06-30</t>
        </is>
      </c>
      <c r="E283" s="8" t="n">
        <v>45840</v>
      </c>
      <c r="F283" s="8" t="n">
        <v>45855</v>
      </c>
      <c r="G283" t="n">
        <v>88.26000000000001</v>
      </c>
      <c r="H283" t="n">
        <v>5.91</v>
      </c>
      <c r="I283" t="n">
        <v>82.34999999999999</v>
      </c>
      <c r="J283" t="n">
        <v>0.18</v>
      </c>
      <c r="K283" t="n">
        <v>14.82</v>
      </c>
      <c r="L283" t="n">
        <v>97.17</v>
      </c>
      <c r="M283" t="inlineStr">
        <is>
          <t>INR</t>
        </is>
      </c>
      <c r="N283" t="inlineStr">
        <is>
          <t>Paid</t>
        </is>
      </c>
      <c r="O283" t="inlineStr">
        <is>
          <t>Paid</t>
        </is>
      </c>
      <c r="P283" t="n">
        <v>88.26000000000001</v>
      </c>
      <c r="Q283" t="n">
        <v>88.26000000000001</v>
      </c>
      <c r="R283" t="b">
        <v>0</v>
      </c>
    </row>
    <row r="284">
      <c r="A284" t="inlineStr">
        <is>
          <t>INV0008017</t>
        </is>
      </c>
      <c r="B284" t="inlineStr">
        <is>
          <t>MER00381</t>
        </is>
      </c>
      <c r="C284" t="inlineStr">
        <is>
          <t>2025-07-01</t>
        </is>
      </c>
      <c r="D284" t="inlineStr">
        <is>
          <t>2025-07-31</t>
        </is>
      </c>
      <c r="E284" s="8" t="n">
        <v>45871</v>
      </c>
      <c r="F284" s="8" t="n">
        <v>45886</v>
      </c>
      <c r="G284" t="n">
        <v>166.03</v>
      </c>
      <c r="H284" t="n">
        <v>0</v>
      </c>
      <c r="I284" t="n">
        <v>166.03</v>
      </c>
      <c r="J284" t="n">
        <v>0.18</v>
      </c>
      <c r="K284" t="n">
        <v>29.89</v>
      </c>
      <c r="L284" t="n">
        <v>195.92</v>
      </c>
      <c r="M284" t="inlineStr">
        <is>
          <t>INR</t>
        </is>
      </c>
      <c r="N284" t="inlineStr">
        <is>
          <t>Paid</t>
        </is>
      </c>
      <c r="O284" t="inlineStr">
        <is>
          <t>Paid</t>
        </is>
      </c>
      <c r="P284" t="n">
        <v>166.03</v>
      </c>
      <c r="Q284" t="n">
        <v>166.03</v>
      </c>
      <c r="R284" t="b">
        <v>0</v>
      </c>
    </row>
    <row r="285">
      <c r="A285" t="inlineStr">
        <is>
          <t>INV0008018</t>
        </is>
      </c>
      <c r="B285" t="inlineStr">
        <is>
          <t>MER00381</t>
        </is>
      </c>
      <c r="C285" t="inlineStr">
        <is>
          <t>2025-08-01</t>
        </is>
      </c>
      <c r="D285" t="inlineStr">
        <is>
          <t>2025-08-31</t>
        </is>
      </c>
      <c r="E285" s="8" t="n">
        <v>45902</v>
      </c>
      <c r="F285" s="8" t="n">
        <v>45917</v>
      </c>
      <c r="G285" t="n">
        <v>130.25</v>
      </c>
      <c r="H285" t="n">
        <v>0</v>
      </c>
      <c r="I285" t="n">
        <v>130.25</v>
      </c>
      <c r="J285" t="n">
        <v>0.18</v>
      </c>
      <c r="K285" t="n">
        <v>23.44</v>
      </c>
      <c r="L285" t="n">
        <v>153.69</v>
      </c>
      <c r="M285" t="inlineStr">
        <is>
          <t>INR</t>
        </is>
      </c>
      <c r="N285" t="inlineStr">
        <is>
          <t>Paid</t>
        </is>
      </c>
      <c r="O285" t="inlineStr">
        <is>
          <t>Paid</t>
        </is>
      </c>
      <c r="P285" t="n">
        <v>98.39</v>
      </c>
      <c r="Q285" t="n">
        <v>130.25</v>
      </c>
      <c r="R285" t="b">
        <v>1</v>
      </c>
    </row>
    <row r="286">
      <c r="A286" t="inlineStr">
        <is>
          <t>INV0008019</t>
        </is>
      </c>
      <c r="B286" t="inlineStr">
        <is>
          <t>MER00381</t>
        </is>
      </c>
      <c r="C286" t="inlineStr">
        <is>
          <t>2025-09-01</t>
        </is>
      </c>
      <c r="D286" t="inlineStr">
        <is>
          <t>2025-09-30</t>
        </is>
      </c>
      <c r="E286" s="8" t="n">
        <v>45932</v>
      </c>
      <c r="F286" s="8" t="n">
        <v>45947</v>
      </c>
      <c r="G286" t="n">
        <v>125.71</v>
      </c>
      <c r="H286" t="n">
        <v>0</v>
      </c>
      <c r="I286" t="n">
        <v>125.71</v>
      </c>
      <c r="J286" t="n">
        <v>0.18</v>
      </c>
      <c r="K286" t="n">
        <v>22.63</v>
      </c>
      <c r="L286" t="n">
        <v>148.34</v>
      </c>
      <c r="M286" t="inlineStr">
        <is>
          <t>INR</t>
        </is>
      </c>
      <c r="N286" t="inlineStr">
        <is>
          <t>Paid</t>
        </is>
      </c>
      <c r="O286" t="inlineStr">
        <is>
          <t>Paid</t>
        </is>
      </c>
      <c r="P286" t="n">
        <v>125.71</v>
      </c>
      <c r="Q286" t="n">
        <v>125.71</v>
      </c>
      <c r="R286" t="b">
        <v>0</v>
      </c>
    </row>
    <row r="287">
      <c r="A287" t="inlineStr">
        <is>
          <t>INV0008020</t>
        </is>
      </c>
      <c r="B287" t="inlineStr">
        <is>
          <t>MER00381</t>
        </is>
      </c>
      <c r="C287" t="inlineStr">
        <is>
          <t>2025-10-01</t>
        </is>
      </c>
      <c r="D287" t="inlineStr">
        <is>
          <t>2025-10-31</t>
        </is>
      </c>
      <c r="E287" s="8" t="n">
        <v>45963</v>
      </c>
      <c r="F287" s="8" t="n">
        <v>45978</v>
      </c>
      <c r="G287" t="n">
        <v>332.69</v>
      </c>
      <c r="H287" t="n">
        <v>0</v>
      </c>
      <c r="I287" t="n">
        <v>332.69</v>
      </c>
      <c r="J287" t="n">
        <v>0.18</v>
      </c>
      <c r="K287" t="n">
        <v>59.88</v>
      </c>
      <c r="L287" t="n">
        <v>392.57</v>
      </c>
      <c r="M287" t="inlineStr">
        <is>
          <t>INR</t>
        </is>
      </c>
      <c r="N287" t="inlineStr">
        <is>
          <t>Paid</t>
        </is>
      </c>
      <c r="O287" t="inlineStr">
        <is>
          <t>Paid</t>
        </is>
      </c>
      <c r="P287" t="n">
        <v>268.71</v>
      </c>
      <c r="Q287" t="n">
        <v>332.69</v>
      </c>
      <c r="R287" t="b">
        <v>1</v>
      </c>
    </row>
    <row r="288">
      <c r="A288" t="inlineStr">
        <is>
          <t>INV0008021</t>
        </is>
      </c>
      <c r="B288" t="inlineStr">
        <is>
          <t>MER00381</t>
        </is>
      </c>
      <c r="C288" t="inlineStr">
        <is>
          <t>2025-11-01</t>
        </is>
      </c>
      <c r="D288" t="inlineStr">
        <is>
          <t>2025-11-30</t>
        </is>
      </c>
      <c r="E288" s="8" t="n">
        <v>45993</v>
      </c>
      <c r="F288" s="8" t="n">
        <v>46008</v>
      </c>
      <c r="G288" t="n">
        <v>128.13</v>
      </c>
      <c r="H288" t="n">
        <v>0</v>
      </c>
      <c r="I288" t="n">
        <v>128.13</v>
      </c>
      <c r="J288" t="n">
        <v>0.18</v>
      </c>
      <c r="K288" t="n">
        <v>23.06</v>
      </c>
      <c r="L288" t="n">
        <v>151.19</v>
      </c>
      <c r="M288" t="inlineStr">
        <is>
          <t>INR</t>
        </is>
      </c>
      <c r="N288" t="inlineStr">
        <is>
          <t>Paid</t>
        </is>
      </c>
      <c r="O288" t="inlineStr">
        <is>
          <t>Paid</t>
        </is>
      </c>
      <c r="P288" t="n">
        <v>128.13</v>
      </c>
      <c r="Q288" t="n">
        <v>128.13</v>
      </c>
      <c r="R288" t="b">
        <v>0</v>
      </c>
    </row>
    <row r="289">
      <c r="A289" t="inlineStr">
        <is>
          <t>INV0008022</t>
        </is>
      </c>
      <c r="B289" t="inlineStr">
        <is>
          <t>MER00381</t>
        </is>
      </c>
      <c r="C289" t="inlineStr">
        <is>
          <t>2025-12-01</t>
        </is>
      </c>
      <c r="D289" t="inlineStr">
        <is>
          <t>2025-12-31</t>
        </is>
      </c>
      <c r="E289" s="8" t="n">
        <v>46024</v>
      </c>
      <c r="F289" s="8" t="n">
        <v>46039</v>
      </c>
      <c r="G289" t="n">
        <v>69.98999999999999</v>
      </c>
      <c r="H289" t="n">
        <v>0</v>
      </c>
      <c r="I289" t="n">
        <v>69.98999999999999</v>
      </c>
      <c r="J289" t="n">
        <v>0.18</v>
      </c>
      <c r="K289" t="n">
        <v>12.6</v>
      </c>
      <c r="L289" t="n">
        <v>82.59</v>
      </c>
      <c r="M289" t="inlineStr">
        <is>
          <t>INR</t>
        </is>
      </c>
      <c r="N289" t="inlineStr">
        <is>
          <t>Paid</t>
        </is>
      </c>
      <c r="O289" t="inlineStr">
        <is>
          <t>Paid</t>
        </is>
      </c>
      <c r="P289" t="n">
        <v>69.98999999999999</v>
      </c>
      <c r="Q289" t="n">
        <v>69.98999999999999</v>
      </c>
      <c r="R289" t="b">
        <v>0</v>
      </c>
    </row>
    <row r="290">
      <c r="A290" t="inlineStr">
        <is>
          <t>INV0008023</t>
        </is>
      </c>
      <c r="B290" t="inlineStr">
        <is>
          <t>MER00381</t>
        </is>
      </c>
      <c r="C290" t="inlineStr">
        <is>
          <t>2026-01-01</t>
        </is>
      </c>
      <c r="D290" t="inlineStr">
        <is>
          <t>2026-01-31</t>
        </is>
      </c>
      <c r="E290" s="8" t="n">
        <v>46055</v>
      </c>
      <c r="F290" s="8" t="n">
        <v>46070</v>
      </c>
      <c r="G290" t="n">
        <v>266.25</v>
      </c>
      <c r="H290" t="n">
        <v>0</v>
      </c>
      <c r="I290" t="n">
        <v>266.25</v>
      </c>
      <c r="J290" t="n">
        <v>0.18</v>
      </c>
      <c r="K290" t="n">
        <v>47.92</v>
      </c>
      <c r="L290" t="n">
        <v>314.17</v>
      </c>
      <c r="M290" t="inlineStr">
        <is>
          <t>INR</t>
        </is>
      </c>
      <c r="N290" t="inlineStr">
        <is>
          <t>Overdue</t>
        </is>
      </c>
      <c r="O290" t="inlineStr">
        <is>
          <t>Unpaid</t>
        </is>
      </c>
      <c r="P290" t="n">
        <v>266.25</v>
      </c>
      <c r="Q290" t="n">
        <v>266.25</v>
      </c>
      <c r="R290" t="b">
        <v>0</v>
      </c>
    </row>
    <row r="291">
      <c r="A291" t="inlineStr">
        <is>
          <t>INV0008024</t>
        </is>
      </c>
      <c r="B291" t="inlineStr">
        <is>
          <t>MER00381</t>
        </is>
      </c>
      <c r="C291" t="inlineStr">
        <is>
          <t>2026-02-01</t>
        </is>
      </c>
      <c r="D291" t="inlineStr">
        <is>
          <t>2026-02-28</t>
        </is>
      </c>
      <c r="E291" s="8" t="n">
        <v>46083</v>
      </c>
      <c r="F291" s="8" t="n">
        <v>46098</v>
      </c>
      <c r="G291" t="n">
        <v>149.46</v>
      </c>
      <c r="H291" t="n">
        <v>0</v>
      </c>
      <c r="I291" t="n">
        <v>149.46</v>
      </c>
      <c r="J291" t="n">
        <v>0.18</v>
      </c>
      <c r="K291" t="n">
        <v>26.9</v>
      </c>
      <c r="L291" t="n">
        <v>176.36</v>
      </c>
      <c r="M291" t="inlineStr">
        <is>
          <t>INR</t>
        </is>
      </c>
      <c r="N291" t="inlineStr">
        <is>
          <t>Paid</t>
        </is>
      </c>
      <c r="O291" t="inlineStr">
        <is>
          <t>Paid</t>
        </is>
      </c>
      <c r="P291" t="n">
        <v>149.46</v>
      </c>
      <c r="Q291" t="n">
        <v>149.46</v>
      </c>
      <c r="R291" t="b">
        <v>0</v>
      </c>
    </row>
    <row r="292">
      <c r="A292" t="inlineStr">
        <is>
          <t>INV0008025</t>
        </is>
      </c>
      <c r="B292" t="inlineStr">
        <is>
          <t>MER00381</t>
        </is>
      </c>
      <c r="C292" t="inlineStr">
        <is>
          <t>2026-03-01</t>
        </is>
      </c>
      <c r="D292" t="inlineStr">
        <is>
          <t>2026-03-31</t>
        </is>
      </c>
      <c r="E292" s="8" t="n">
        <v>46114</v>
      </c>
      <c r="F292" s="8" t="n">
        <v>46129</v>
      </c>
      <c r="G292" t="n">
        <v>205.01</v>
      </c>
      <c r="H292" t="n">
        <v>0</v>
      </c>
      <c r="I292" t="n">
        <v>205.01</v>
      </c>
      <c r="J292" t="n">
        <v>0.18</v>
      </c>
      <c r="K292" t="n">
        <v>36.9</v>
      </c>
      <c r="L292" t="n">
        <v>241.91</v>
      </c>
      <c r="M292" t="inlineStr">
        <is>
          <t>INR</t>
        </is>
      </c>
      <c r="N292" t="inlineStr">
        <is>
          <t>Paid</t>
        </is>
      </c>
      <c r="O292" t="inlineStr">
        <is>
          <t>Paid</t>
        </is>
      </c>
      <c r="P292" t="n">
        <v>205.01</v>
      </c>
      <c r="Q292" t="n">
        <v>205.01</v>
      </c>
      <c r="R292" t="b">
        <v>0</v>
      </c>
    </row>
    <row r="293">
      <c r="A293" t="inlineStr">
        <is>
          <t>INV0008026</t>
        </is>
      </c>
      <c r="B293" t="inlineStr">
        <is>
          <t>MER00381</t>
        </is>
      </c>
      <c r="C293" t="inlineStr">
        <is>
          <t>2026-04-01</t>
        </is>
      </c>
      <c r="D293" t="inlineStr">
        <is>
          <t>2026-04-30</t>
        </is>
      </c>
      <c r="E293" s="8" t="n">
        <v>46144</v>
      </c>
      <c r="F293" s="8" t="n">
        <v>46159</v>
      </c>
      <c r="G293" t="n">
        <v>115.87</v>
      </c>
      <c r="H293" t="n">
        <v>0</v>
      </c>
      <c r="I293" t="n">
        <v>115.87</v>
      </c>
      <c r="J293" t="n">
        <v>0.18</v>
      </c>
      <c r="K293" t="n">
        <v>20.86</v>
      </c>
      <c r="L293" t="n">
        <v>136.73</v>
      </c>
      <c r="M293" t="inlineStr">
        <is>
          <t>INR</t>
        </is>
      </c>
      <c r="N293" t="inlineStr">
        <is>
          <t>Paid</t>
        </is>
      </c>
      <c r="O293" t="inlineStr">
        <is>
          <t>Paid</t>
        </is>
      </c>
      <c r="P293" t="n">
        <v>115.87</v>
      </c>
      <c r="Q293" t="n">
        <v>115.87</v>
      </c>
      <c r="R293" t="b">
        <v>0</v>
      </c>
    </row>
    <row r="294">
      <c r="A294" t="inlineStr">
        <is>
          <t>INV0008027</t>
        </is>
      </c>
      <c r="B294" t="inlineStr">
        <is>
          <t>MER00381</t>
        </is>
      </c>
      <c r="C294" t="inlineStr">
        <is>
          <t>2026-05-01</t>
        </is>
      </c>
      <c r="D294" t="inlineStr">
        <is>
          <t>2026-05-31</t>
        </is>
      </c>
      <c r="E294" s="8" t="n">
        <v>46175</v>
      </c>
      <c r="F294" s="8" t="n">
        <v>46190</v>
      </c>
      <c r="G294" t="n">
        <v>175.71</v>
      </c>
      <c r="H294" t="n">
        <v>0</v>
      </c>
      <c r="I294" t="n">
        <v>175.71</v>
      </c>
      <c r="J294" t="n">
        <v>0.18</v>
      </c>
      <c r="K294" t="n">
        <v>31.63</v>
      </c>
      <c r="L294" t="n">
        <v>207.34</v>
      </c>
      <c r="M294" t="inlineStr">
        <is>
          <t>INR</t>
        </is>
      </c>
      <c r="N294" t="inlineStr">
        <is>
          <t>Overdue</t>
        </is>
      </c>
      <c r="O294" t="inlineStr">
        <is>
          <t>Unpaid</t>
        </is>
      </c>
      <c r="P294" t="n">
        <v>175.71</v>
      </c>
      <c r="Q294" t="n">
        <v>175.71</v>
      </c>
      <c r="R294" t="b">
        <v>0</v>
      </c>
    </row>
    <row r="295">
      <c r="A295" t="inlineStr">
        <is>
          <t>INV0008028</t>
        </is>
      </c>
      <c r="B295" t="inlineStr">
        <is>
          <t>MER00381</t>
        </is>
      </c>
      <c r="C295" t="inlineStr">
        <is>
          <t>2026-06-01</t>
        </is>
      </c>
      <c r="D295" t="inlineStr">
        <is>
          <t>2026-06-30</t>
        </is>
      </c>
      <c r="E295" s="8" t="n">
        <v>46205</v>
      </c>
      <c r="F295" s="8" t="n">
        <v>46220</v>
      </c>
      <c r="G295" t="n">
        <v>72.11</v>
      </c>
      <c r="H295" t="n">
        <v>0</v>
      </c>
      <c r="I295" t="n">
        <v>72.11</v>
      </c>
      <c r="J295" t="n">
        <v>0.18</v>
      </c>
      <c r="K295" t="n">
        <v>12.98</v>
      </c>
      <c r="L295" t="n">
        <v>85.09</v>
      </c>
      <c r="M295" t="inlineStr">
        <is>
          <t>INR</t>
        </is>
      </c>
      <c r="N295" t="inlineStr">
        <is>
          <t>Paid</t>
        </is>
      </c>
      <c r="O295" t="inlineStr">
        <is>
          <t>Paid</t>
        </is>
      </c>
      <c r="P295" t="n">
        <v>72.11</v>
      </c>
      <c r="Q295" t="n">
        <v>72.11</v>
      </c>
      <c r="R295" t="b">
        <v>0</v>
      </c>
    </row>
    <row r="296">
      <c r="A296" t="inlineStr">
        <is>
          <t>INV0008029</t>
        </is>
      </c>
      <c r="B296" t="inlineStr">
        <is>
          <t>MER00381</t>
        </is>
      </c>
      <c r="C296" t="inlineStr">
        <is>
          <t>2026-07-01</t>
        </is>
      </c>
      <c r="D296" t="inlineStr">
        <is>
          <t>2026-07-31</t>
        </is>
      </c>
      <c r="E296" s="8" t="n">
        <v>46236</v>
      </c>
      <c r="F296" s="8" t="n">
        <v>46251</v>
      </c>
      <c r="G296" t="n">
        <v>114.65</v>
      </c>
      <c r="H296" t="n">
        <v>0</v>
      </c>
      <c r="I296" t="n">
        <v>114.65</v>
      </c>
      <c r="J296" t="n">
        <v>0.18</v>
      </c>
      <c r="K296" t="n">
        <v>20.64</v>
      </c>
      <c r="L296" t="n">
        <v>135.29</v>
      </c>
      <c r="M296" t="inlineStr">
        <is>
          <t>INR</t>
        </is>
      </c>
      <c r="N296" t="inlineStr">
        <is>
          <t>Paid</t>
        </is>
      </c>
      <c r="O296" t="inlineStr">
        <is>
          <t>Paid</t>
        </is>
      </c>
      <c r="P296" t="n">
        <v>114.65</v>
      </c>
      <c r="Q296" t="n">
        <v>114.65</v>
      </c>
      <c r="R296" t="b">
        <v>0</v>
      </c>
    </row>
    <row r="297">
      <c r="A297" t="inlineStr">
        <is>
          <t>INV0008124</t>
        </is>
      </c>
      <c r="B297" t="inlineStr">
        <is>
          <t>MER00386</t>
        </is>
      </c>
      <c r="C297" t="inlineStr">
        <is>
          <t>2025-05-01</t>
        </is>
      </c>
      <c r="D297" t="inlineStr">
        <is>
          <t>2025-05-31</t>
        </is>
      </c>
      <c r="E297" s="8" t="n">
        <v>45810</v>
      </c>
      <c r="F297" s="8" t="n">
        <v>45825</v>
      </c>
      <c r="G297" t="n">
        <v>504.47</v>
      </c>
      <c r="H297" t="n">
        <v>0</v>
      </c>
      <c r="I297" t="n">
        <v>504.47</v>
      </c>
      <c r="J297" t="n">
        <v>0.18</v>
      </c>
      <c r="K297" t="n">
        <v>90.8</v>
      </c>
      <c r="L297" t="n">
        <v>595.27</v>
      </c>
      <c r="M297" t="inlineStr">
        <is>
          <t>INR</t>
        </is>
      </c>
      <c r="N297" t="inlineStr">
        <is>
          <t>Paid</t>
        </is>
      </c>
      <c r="O297" t="inlineStr">
        <is>
          <t>Paid</t>
        </is>
      </c>
      <c r="P297" t="n">
        <v>504.47</v>
      </c>
      <c r="Q297" t="n">
        <v>504.47</v>
      </c>
      <c r="R297" t="b">
        <v>0</v>
      </c>
    </row>
    <row r="298">
      <c r="A298" t="inlineStr">
        <is>
          <t>INV0008125</t>
        </is>
      </c>
      <c r="B298" t="inlineStr">
        <is>
          <t>MER00386</t>
        </is>
      </c>
      <c r="C298" t="inlineStr">
        <is>
          <t>2025-07-01</t>
        </is>
      </c>
      <c r="D298" t="inlineStr">
        <is>
          <t>2025-07-31</t>
        </is>
      </c>
      <c r="E298" s="8" t="n">
        <v>45871</v>
      </c>
      <c r="F298" s="8" t="n">
        <v>45886</v>
      </c>
      <c r="G298" t="n">
        <v>545.73</v>
      </c>
      <c r="H298" t="n">
        <v>0</v>
      </c>
      <c r="I298" t="n">
        <v>545.73</v>
      </c>
      <c r="J298" t="n">
        <v>0.18</v>
      </c>
      <c r="K298" t="n">
        <v>98.23</v>
      </c>
      <c r="L298" t="n">
        <v>643.96</v>
      </c>
      <c r="M298" t="inlineStr">
        <is>
          <t>INR</t>
        </is>
      </c>
      <c r="N298" t="inlineStr">
        <is>
          <t>Paid</t>
        </is>
      </c>
      <c r="O298" t="inlineStr">
        <is>
          <t>Paid</t>
        </is>
      </c>
      <c r="P298" t="n">
        <v>545.73</v>
      </c>
      <c r="Q298" t="n">
        <v>545.73</v>
      </c>
      <c r="R298" t="b">
        <v>0</v>
      </c>
    </row>
    <row r="299">
      <c r="A299" t="inlineStr">
        <is>
          <t>INV0008126</t>
        </is>
      </c>
      <c r="B299" t="inlineStr">
        <is>
          <t>MER00386</t>
        </is>
      </c>
      <c r="C299" t="inlineStr">
        <is>
          <t>2025-08-01</t>
        </is>
      </c>
      <c r="D299" t="inlineStr">
        <is>
          <t>2025-08-31</t>
        </is>
      </c>
      <c r="E299" s="8" t="n">
        <v>45902</v>
      </c>
      <c r="F299" s="8" t="n">
        <v>45917</v>
      </c>
      <c r="G299" t="n">
        <v>468.28</v>
      </c>
      <c r="H299" t="n">
        <v>0</v>
      </c>
      <c r="I299" t="n">
        <v>468.28</v>
      </c>
      <c r="J299" t="n">
        <v>0.18</v>
      </c>
      <c r="K299" t="n">
        <v>84.29000000000001</v>
      </c>
      <c r="L299" t="n">
        <v>552.5700000000001</v>
      </c>
      <c r="M299" t="inlineStr">
        <is>
          <t>INR</t>
        </is>
      </c>
      <c r="N299" t="inlineStr">
        <is>
          <t>Paid</t>
        </is>
      </c>
      <c r="O299" t="inlineStr">
        <is>
          <t>Paid</t>
        </is>
      </c>
      <c r="P299" t="n">
        <v>468.28</v>
      </c>
      <c r="Q299" t="n">
        <v>468.28</v>
      </c>
      <c r="R299" t="b">
        <v>0</v>
      </c>
    </row>
    <row r="300">
      <c r="A300" t="inlineStr">
        <is>
          <t>INV0008127</t>
        </is>
      </c>
      <c r="B300" t="inlineStr">
        <is>
          <t>MER00386</t>
        </is>
      </c>
      <c r="C300" t="inlineStr">
        <is>
          <t>2025-09-01</t>
        </is>
      </c>
      <c r="D300" t="inlineStr">
        <is>
          <t>2025-09-30</t>
        </is>
      </c>
      <c r="E300" s="8" t="n">
        <v>45932</v>
      </c>
      <c r="F300" s="8" t="n">
        <v>45947</v>
      </c>
      <c r="G300" t="n">
        <v>436.52</v>
      </c>
      <c r="H300" t="n">
        <v>0</v>
      </c>
      <c r="I300" t="n">
        <v>436.52</v>
      </c>
      <c r="J300" t="n">
        <v>0.18</v>
      </c>
      <c r="K300" t="n">
        <v>78.56999999999999</v>
      </c>
      <c r="L300" t="n">
        <v>515.09</v>
      </c>
      <c r="M300" t="inlineStr">
        <is>
          <t>INR</t>
        </is>
      </c>
      <c r="N300" t="inlineStr">
        <is>
          <t>Paid</t>
        </is>
      </c>
      <c r="O300" t="inlineStr">
        <is>
          <t>Paid</t>
        </is>
      </c>
      <c r="P300" t="n">
        <v>436.52</v>
      </c>
      <c r="Q300" t="n">
        <v>436.52</v>
      </c>
      <c r="R300" t="b">
        <v>0</v>
      </c>
    </row>
    <row r="301">
      <c r="A301" t="inlineStr">
        <is>
          <t>INV0008128</t>
        </is>
      </c>
      <c r="B301" t="inlineStr">
        <is>
          <t>MER00386</t>
        </is>
      </c>
      <c r="C301" t="inlineStr">
        <is>
          <t>2025-10-01</t>
        </is>
      </c>
      <c r="D301" t="inlineStr">
        <is>
          <t>2025-10-31</t>
        </is>
      </c>
      <c r="E301" s="8" t="n">
        <v>45963</v>
      </c>
      <c r="F301" s="8" t="n">
        <v>45978</v>
      </c>
      <c r="G301" t="n">
        <v>891.7</v>
      </c>
      <c r="H301" t="n">
        <v>0</v>
      </c>
      <c r="I301" t="n">
        <v>891.7</v>
      </c>
      <c r="J301" t="n">
        <v>0.18</v>
      </c>
      <c r="K301" t="n">
        <v>160.51</v>
      </c>
      <c r="L301" t="n">
        <v>1052.21</v>
      </c>
      <c r="M301" t="inlineStr">
        <is>
          <t>INR</t>
        </is>
      </c>
      <c r="N301" t="inlineStr">
        <is>
          <t>Paid</t>
        </is>
      </c>
      <c r="O301" t="inlineStr">
        <is>
          <t>Paid</t>
        </is>
      </c>
      <c r="P301" t="n">
        <v>891.7</v>
      </c>
      <c r="Q301" t="n">
        <v>891.7</v>
      </c>
      <c r="R301" t="b">
        <v>0</v>
      </c>
    </row>
    <row r="302">
      <c r="A302" t="inlineStr">
        <is>
          <t>INV0008129</t>
        </is>
      </c>
      <c r="B302" t="inlineStr">
        <is>
          <t>MER00386</t>
        </is>
      </c>
      <c r="C302" t="inlineStr">
        <is>
          <t>2025-11-01</t>
        </is>
      </c>
      <c r="D302" t="inlineStr">
        <is>
          <t>2025-11-30</t>
        </is>
      </c>
      <c r="E302" s="8" t="n">
        <v>45993</v>
      </c>
      <c r="F302" s="8" t="n">
        <v>46008</v>
      </c>
      <c r="G302" t="n">
        <v>493.85</v>
      </c>
      <c r="H302" t="n">
        <v>0</v>
      </c>
      <c r="I302" t="n">
        <v>493.85</v>
      </c>
      <c r="J302" t="n">
        <v>0.18</v>
      </c>
      <c r="K302" t="n">
        <v>88.89</v>
      </c>
      <c r="L302" t="n">
        <v>582.74</v>
      </c>
      <c r="M302" t="inlineStr">
        <is>
          <t>INR</t>
        </is>
      </c>
      <c r="N302" t="inlineStr">
        <is>
          <t>Paid</t>
        </is>
      </c>
      <c r="O302" t="inlineStr">
        <is>
          <t>Paid</t>
        </is>
      </c>
      <c r="P302" t="n">
        <v>493.85</v>
      </c>
      <c r="Q302" t="n">
        <v>493.85</v>
      </c>
      <c r="R302" t="b">
        <v>0</v>
      </c>
    </row>
    <row r="303">
      <c r="A303" t="inlineStr">
        <is>
          <t>INV0008130</t>
        </is>
      </c>
      <c r="B303" t="inlineStr">
        <is>
          <t>MER00386</t>
        </is>
      </c>
      <c r="C303" t="inlineStr">
        <is>
          <t>2025-12-01</t>
        </is>
      </c>
      <c r="D303" t="inlineStr">
        <is>
          <t>2025-12-31</t>
        </is>
      </c>
      <c r="E303" s="8" t="n">
        <v>46024</v>
      </c>
      <c r="F303" s="8" t="n">
        <v>46039</v>
      </c>
      <c r="G303" t="n">
        <v>595.91</v>
      </c>
      <c r="H303" t="n">
        <v>0</v>
      </c>
      <c r="I303" t="n">
        <v>595.91</v>
      </c>
      <c r="J303" t="n">
        <v>0.18</v>
      </c>
      <c r="K303" t="n">
        <v>107.26</v>
      </c>
      <c r="L303" t="n">
        <v>703.17</v>
      </c>
      <c r="M303" t="inlineStr">
        <is>
          <t>INR</t>
        </is>
      </c>
      <c r="N303" t="inlineStr">
        <is>
          <t>Overdue</t>
        </is>
      </c>
      <c r="O303" t="inlineStr">
        <is>
          <t>Unpaid</t>
        </is>
      </c>
      <c r="P303" t="n">
        <v>595.91</v>
      </c>
      <c r="Q303" t="n">
        <v>595.91</v>
      </c>
      <c r="R303" t="b">
        <v>0</v>
      </c>
    </row>
    <row r="304">
      <c r="A304" t="inlineStr">
        <is>
          <t>INV0008131</t>
        </is>
      </c>
      <c r="B304" t="inlineStr">
        <is>
          <t>MER00386</t>
        </is>
      </c>
      <c r="C304" t="inlineStr">
        <is>
          <t>2026-02-01</t>
        </is>
      </c>
      <c r="D304" t="inlineStr">
        <is>
          <t>2026-02-28</t>
        </is>
      </c>
      <c r="E304" s="8" t="n">
        <v>46083</v>
      </c>
      <c r="F304" s="8" t="n">
        <v>46098</v>
      </c>
      <c r="G304" t="n">
        <v>570.46</v>
      </c>
      <c r="H304" t="n">
        <v>0</v>
      </c>
      <c r="I304" t="n">
        <v>570.46</v>
      </c>
      <c r="J304" t="n">
        <v>0.18</v>
      </c>
      <c r="K304" t="n">
        <v>102.68</v>
      </c>
      <c r="L304" t="n">
        <v>673.14</v>
      </c>
      <c r="M304" t="inlineStr">
        <is>
          <t>INR</t>
        </is>
      </c>
      <c r="N304" t="inlineStr">
        <is>
          <t>Paid</t>
        </is>
      </c>
      <c r="O304" t="inlineStr">
        <is>
          <t>Paid</t>
        </is>
      </c>
      <c r="P304" t="n">
        <v>570.46</v>
      </c>
      <c r="Q304" t="n">
        <v>570.46</v>
      </c>
      <c r="R304" t="b">
        <v>0</v>
      </c>
    </row>
    <row r="305">
      <c r="A305" t="inlineStr">
        <is>
          <t>INV0008132</t>
        </is>
      </c>
      <c r="B305" t="inlineStr">
        <is>
          <t>MER00386</t>
        </is>
      </c>
      <c r="C305" t="inlineStr">
        <is>
          <t>2026-03-01</t>
        </is>
      </c>
      <c r="D305" t="inlineStr">
        <is>
          <t>2026-03-31</t>
        </is>
      </c>
      <c r="E305" s="8" t="n">
        <v>46114</v>
      </c>
      <c r="F305" s="8" t="n">
        <v>46129</v>
      </c>
      <c r="G305" t="n">
        <v>654.8200000000001</v>
      </c>
      <c r="H305" t="n">
        <v>0</v>
      </c>
      <c r="I305" t="n">
        <v>654.8200000000001</v>
      </c>
      <c r="J305" t="n">
        <v>0.18</v>
      </c>
      <c r="K305" t="n">
        <v>117.87</v>
      </c>
      <c r="L305" t="n">
        <v>772.6900000000001</v>
      </c>
      <c r="M305" t="inlineStr">
        <is>
          <t>INR</t>
        </is>
      </c>
      <c r="N305" t="inlineStr">
        <is>
          <t>Paid</t>
        </is>
      </c>
      <c r="O305" t="inlineStr">
        <is>
          <t>Paid</t>
        </is>
      </c>
      <c r="P305" t="n">
        <v>654.8200000000001</v>
      </c>
      <c r="Q305" t="n">
        <v>654.8200000000001</v>
      </c>
      <c r="R305" t="b">
        <v>0</v>
      </c>
    </row>
    <row r="306">
      <c r="A306" t="inlineStr">
        <is>
          <t>INV0008133</t>
        </is>
      </c>
      <c r="B306" t="inlineStr">
        <is>
          <t>MER00386</t>
        </is>
      </c>
      <c r="C306" t="inlineStr">
        <is>
          <t>2026-04-01</t>
        </is>
      </c>
      <c r="D306" t="inlineStr">
        <is>
          <t>2026-04-30</t>
        </is>
      </c>
      <c r="E306" s="8" t="n">
        <v>46144</v>
      </c>
      <c r="F306" s="8" t="n">
        <v>46159</v>
      </c>
      <c r="G306" t="n">
        <v>440.42</v>
      </c>
      <c r="H306" t="n">
        <v>0</v>
      </c>
      <c r="I306" t="n">
        <v>440.42</v>
      </c>
      <c r="J306" t="n">
        <v>0.18</v>
      </c>
      <c r="K306" t="n">
        <v>79.28</v>
      </c>
      <c r="L306" t="n">
        <v>519.7</v>
      </c>
      <c r="M306" t="inlineStr">
        <is>
          <t>INR</t>
        </is>
      </c>
      <c r="N306" t="inlineStr">
        <is>
          <t>Paid</t>
        </is>
      </c>
      <c r="O306" t="inlineStr">
        <is>
          <t>Paid</t>
        </is>
      </c>
      <c r="P306" t="n">
        <v>440.42</v>
      </c>
      <c r="Q306" t="n">
        <v>440.42</v>
      </c>
      <c r="R306" t="b">
        <v>0</v>
      </c>
    </row>
    <row r="307">
      <c r="A307" t="inlineStr">
        <is>
          <t>INV0008134</t>
        </is>
      </c>
      <c r="B307" t="inlineStr">
        <is>
          <t>MER00386</t>
        </is>
      </c>
      <c r="C307" t="inlineStr">
        <is>
          <t>2026-05-01</t>
        </is>
      </c>
      <c r="D307" t="inlineStr">
        <is>
          <t>2026-05-31</t>
        </is>
      </c>
      <c r="E307" s="8" t="n">
        <v>46175</v>
      </c>
      <c r="F307" s="8" t="n">
        <v>46190</v>
      </c>
      <c r="G307" t="n">
        <v>311.04</v>
      </c>
      <c r="H307" t="n">
        <v>0</v>
      </c>
      <c r="I307" t="n">
        <v>311.04</v>
      </c>
      <c r="J307" t="n">
        <v>0.18</v>
      </c>
      <c r="K307" t="n">
        <v>55.99</v>
      </c>
      <c r="L307" t="n">
        <v>367.03</v>
      </c>
      <c r="M307" t="inlineStr">
        <is>
          <t>INR</t>
        </is>
      </c>
      <c r="N307" t="inlineStr">
        <is>
          <t>Paid</t>
        </is>
      </c>
      <c r="O307" t="inlineStr">
        <is>
          <t>Paid</t>
        </is>
      </c>
      <c r="P307" t="n">
        <v>311.04</v>
      </c>
      <c r="Q307" t="n">
        <v>311.04</v>
      </c>
      <c r="R307" t="b">
        <v>0</v>
      </c>
    </row>
    <row r="308">
      <c r="A308" t="inlineStr">
        <is>
          <t>INV0008135</t>
        </is>
      </c>
      <c r="B308" t="inlineStr">
        <is>
          <t>MER00386</t>
        </is>
      </c>
      <c r="C308" t="inlineStr">
        <is>
          <t>2026-06-01</t>
        </is>
      </c>
      <c r="D308" t="inlineStr">
        <is>
          <t>2026-06-30</t>
        </is>
      </c>
      <c r="E308" s="8" t="n">
        <v>46205</v>
      </c>
      <c r="F308" s="8" t="n">
        <v>46220</v>
      </c>
      <c r="G308" t="n">
        <v>490.55</v>
      </c>
      <c r="H308" t="n">
        <v>71.62</v>
      </c>
      <c r="I308" t="n">
        <v>418.93</v>
      </c>
      <c r="J308" t="n">
        <v>0.18</v>
      </c>
      <c r="K308" t="n">
        <v>75.41</v>
      </c>
      <c r="L308" t="n">
        <v>494.34</v>
      </c>
      <c r="M308" t="inlineStr">
        <is>
          <t>INR</t>
        </is>
      </c>
      <c r="N308" t="inlineStr">
        <is>
          <t>Paid</t>
        </is>
      </c>
      <c r="O308" t="inlineStr">
        <is>
          <t>Paid</t>
        </is>
      </c>
      <c r="P308" t="n">
        <v>490.55</v>
      </c>
      <c r="Q308" t="n">
        <v>490.55</v>
      </c>
      <c r="R308" t="b">
        <v>0</v>
      </c>
    </row>
    <row r="309">
      <c r="A309" t="inlineStr">
        <is>
          <t>INV0008136</t>
        </is>
      </c>
      <c r="B309" t="inlineStr">
        <is>
          <t>MER00386</t>
        </is>
      </c>
      <c r="C309" t="inlineStr">
        <is>
          <t>2026-07-01</t>
        </is>
      </c>
      <c r="D309" t="inlineStr">
        <is>
          <t>2026-07-31</t>
        </is>
      </c>
      <c r="E309" s="8" t="n">
        <v>46236</v>
      </c>
      <c r="F309" s="8" t="n">
        <v>46251</v>
      </c>
      <c r="G309" t="n">
        <v>496.95</v>
      </c>
      <c r="H309" t="n">
        <v>0</v>
      </c>
      <c r="I309" t="n">
        <v>496.95</v>
      </c>
      <c r="J309" t="n">
        <v>0.18</v>
      </c>
      <c r="K309" t="n">
        <v>89.45</v>
      </c>
      <c r="L309" t="n">
        <v>586.4</v>
      </c>
      <c r="M309" t="inlineStr">
        <is>
          <t>INR</t>
        </is>
      </c>
      <c r="N309" t="inlineStr">
        <is>
          <t>Paid</t>
        </is>
      </c>
      <c r="O309" t="inlineStr">
        <is>
          <t>Paid</t>
        </is>
      </c>
      <c r="P309" t="n">
        <v>496.95</v>
      </c>
      <c r="Q309" t="n">
        <v>496.95</v>
      </c>
      <c r="R309" t="b">
        <v>0</v>
      </c>
    </row>
    <row r="310">
      <c r="A310" t="inlineStr">
        <is>
          <t>INV0009199</t>
        </is>
      </c>
      <c r="B310" t="inlineStr">
        <is>
          <t>MER00436</t>
        </is>
      </c>
      <c r="C310" t="inlineStr">
        <is>
          <t>2024-08-01</t>
        </is>
      </c>
      <c r="D310" t="inlineStr">
        <is>
          <t>2024-08-31</t>
        </is>
      </c>
      <c r="E310" s="8" t="n">
        <v>45537</v>
      </c>
      <c r="F310" s="8" t="n">
        <v>45582</v>
      </c>
      <c r="G310" t="n">
        <v>2670.35</v>
      </c>
      <c r="H310" t="n">
        <v>0</v>
      </c>
      <c r="I310" t="n">
        <v>2670.35</v>
      </c>
      <c r="J310" t="n">
        <v>0.18</v>
      </c>
      <c r="K310" t="n">
        <v>480.66</v>
      </c>
      <c r="L310" t="n">
        <v>3151.01</v>
      </c>
      <c r="M310" t="inlineStr">
        <is>
          <t>INR</t>
        </is>
      </c>
      <c r="N310" t="inlineStr">
        <is>
          <t>Paid</t>
        </is>
      </c>
      <c r="O310" t="inlineStr">
        <is>
          <t>Paid</t>
        </is>
      </c>
      <c r="P310" t="n">
        <v>2076.3</v>
      </c>
      <c r="Q310" t="n">
        <v>2670.35</v>
      </c>
      <c r="R310" t="b">
        <v>1</v>
      </c>
    </row>
    <row r="311">
      <c r="A311" t="inlineStr">
        <is>
          <t>INV0009200</t>
        </is>
      </c>
      <c r="B311" t="inlineStr">
        <is>
          <t>MER00436</t>
        </is>
      </c>
      <c r="C311" t="inlineStr">
        <is>
          <t>2024-09-01</t>
        </is>
      </c>
      <c r="D311" t="inlineStr">
        <is>
          <t>2024-09-30</t>
        </is>
      </c>
      <c r="E311" s="8" t="n">
        <v>45567</v>
      </c>
      <c r="F311" s="8" t="n">
        <v>45612</v>
      </c>
      <c r="G311" t="n">
        <v>1873.26</v>
      </c>
      <c r="H311" t="n">
        <v>0</v>
      </c>
      <c r="I311" t="n">
        <v>1873.26</v>
      </c>
      <c r="J311" t="n">
        <v>0.18</v>
      </c>
      <c r="K311" t="n">
        <v>337.19</v>
      </c>
      <c r="L311" t="n">
        <v>2210.45</v>
      </c>
      <c r="M311" t="inlineStr">
        <is>
          <t>INR</t>
        </is>
      </c>
      <c r="N311" t="inlineStr">
        <is>
          <t>Paid</t>
        </is>
      </c>
      <c r="O311" t="inlineStr">
        <is>
          <t>Paid</t>
        </is>
      </c>
      <c r="P311" t="n">
        <v>1873.26</v>
      </c>
      <c r="Q311" t="n">
        <v>1873.26</v>
      </c>
      <c r="R311" t="b">
        <v>0</v>
      </c>
    </row>
    <row r="312">
      <c r="A312" t="inlineStr">
        <is>
          <t>INV0009201</t>
        </is>
      </c>
      <c r="B312" t="inlineStr">
        <is>
          <t>MER00436</t>
        </is>
      </c>
      <c r="C312" t="inlineStr">
        <is>
          <t>2024-10-01</t>
        </is>
      </c>
      <c r="D312" t="inlineStr">
        <is>
          <t>2024-10-31</t>
        </is>
      </c>
      <c r="E312" s="8" t="n">
        <v>45598</v>
      </c>
      <c r="F312" s="8" t="n">
        <v>45643</v>
      </c>
      <c r="G312" t="n">
        <v>3070.16</v>
      </c>
      <c r="H312" t="n">
        <v>0</v>
      </c>
      <c r="I312" t="n">
        <v>3070.16</v>
      </c>
      <c r="J312" t="n">
        <v>0.18</v>
      </c>
      <c r="K312" t="n">
        <v>552.63</v>
      </c>
      <c r="L312" t="n">
        <v>3622.79</v>
      </c>
      <c r="M312" t="inlineStr">
        <is>
          <t>INR</t>
        </is>
      </c>
      <c r="N312" t="inlineStr">
        <is>
          <t>Paid</t>
        </is>
      </c>
      <c r="O312" t="inlineStr">
        <is>
          <t>Paid</t>
        </is>
      </c>
      <c r="P312" t="n">
        <v>3070.16</v>
      </c>
      <c r="Q312" t="n">
        <v>3070.16</v>
      </c>
      <c r="R312" t="b">
        <v>0</v>
      </c>
    </row>
    <row r="313">
      <c r="A313" t="inlineStr">
        <is>
          <t>INV0009202</t>
        </is>
      </c>
      <c r="B313" t="inlineStr">
        <is>
          <t>MER00436</t>
        </is>
      </c>
      <c r="C313" t="inlineStr">
        <is>
          <t>2024-11-01</t>
        </is>
      </c>
      <c r="D313" t="inlineStr">
        <is>
          <t>2024-11-30</t>
        </is>
      </c>
      <c r="E313" s="8" t="n">
        <v>45628</v>
      </c>
      <c r="F313" s="8" t="n">
        <v>45673</v>
      </c>
      <c r="G313" t="n">
        <v>2387.68</v>
      </c>
      <c r="H313" t="n">
        <v>0</v>
      </c>
      <c r="I313" t="n">
        <v>2387.68</v>
      </c>
      <c r="J313" t="n">
        <v>0.18</v>
      </c>
      <c r="K313" t="n">
        <v>429.78</v>
      </c>
      <c r="L313" t="n">
        <v>2817.46</v>
      </c>
      <c r="M313" t="inlineStr">
        <is>
          <t>INR</t>
        </is>
      </c>
      <c r="N313" t="inlineStr">
        <is>
          <t>Paid</t>
        </is>
      </c>
      <c r="O313" t="inlineStr">
        <is>
          <t>Paid</t>
        </is>
      </c>
      <c r="P313" t="n">
        <v>2387.68</v>
      </c>
      <c r="Q313" t="n">
        <v>2387.68</v>
      </c>
      <c r="R313" t="b">
        <v>0</v>
      </c>
    </row>
    <row r="314">
      <c r="A314" t="inlineStr">
        <is>
          <t>INV0009203</t>
        </is>
      </c>
      <c r="B314" t="inlineStr">
        <is>
          <t>MER00436</t>
        </is>
      </c>
      <c r="C314" t="inlineStr">
        <is>
          <t>2024-12-01</t>
        </is>
      </c>
      <c r="D314" t="inlineStr">
        <is>
          <t>2024-12-31</t>
        </is>
      </c>
      <c r="E314" s="8" t="n">
        <v>45659</v>
      </c>
      <c r="F314" s="8" t="n">
        <v>45704</v>
      </c>
      <c r="G314" t="n">
        <v>2514.43</v>
      </c>
      <c r="H314" t="n">
        <v>0</v>
      </c>
      <c r="I314" t="n">
        <v>2514.43</v>
      </c>
      <c r="J314" t="n">
        <v>0.18</v>
      </c>
      <c r="K314" t="n">
        <v>452.6</v>
      </c>
      <c r="L314" t="n">
        <v>2967.03</v>
      </c>
      <c r="M314" t="inlineStr">
        <is>
          <t>INR</t>
        </is>
      </c>
      <c r="N314" t="inlineStr">
        <is>
          <t>Paid</t>
        </is>
      </c>
      <c r="O314" t="inlineStr">
        <is>
          <t>Paid</t>
        </is>
      </c>
      <c r="P314" t="n">
        <v>2514.43</v>
      </c>
      <c r="Q314" t="n">
        <v>2514.43</v>
      </c>
      <c r="R314" t="b">
        <v>0</v>
      </c>
    </row>
    <row r="315">
      <c r="A315" t="inlineStr">
        <is>
          <t>INV0009204</t>
        </is>
      </c>
      <c r="B315" t="inlineStr">
        <is>
          <t>MER00436</t>
        </is>
      </c>
      <c r="C315" t="inlineStr">
        <is>
          <t>2025-01-01</t>
        </is>
      </c>
      <c r="D315" t="inlineStr">
        <is>
          <t>2025-01-31</t>
        </is>
      </c>
      <c r="E315" s="8" t="n">
        <v>45690</v>
      </c>
      <c r="F315" s="8" t="n">
        <v>45735</v>
      </c>
      <c r="G315" t="n">
        <v>2913.71</v>
      </c>
      <c r="H315" t="n">
        <v>0</v>
      </c>
      <c r="I315" t="n">
        <v>2913.71</v>
      </c>
      <c r="J315" t="n">
        <v>0.18</v>
      </c>
      <c r="K315" t="n">
        <v>524.47</v>
      </c>
      <c r="L315" t="n">
        <v>3438.18</v>
      </c>
      <c r="M315" t="inlineStr">
        <is>
          <t>INR</t>
        </is>
      </c>
      <c r="N315" t="inlineStr">
        <is>
          <t>Paid</t>
        </is>
      </c>
      <c r="O315" t="inlineStr">
        <is>
          <t>Paid</t>
        </is>
      </c>
      <c r="P315" t="n">
        <v>2913.71</v>
      </c>
      <c r="Q315" t="n">
        <v>2913.71</v>
      </c>
      <c r="R315" t="b">
        <v>0</v>
      </c>
    </row>
    <row r="316">
      <c r="A316" t="inlineStr">
        <is>
          <t>INV0009205</t>
        </is>
      </c>
      <c r="B316" t="inlineStr">
        <is>
          <t>MER00436</t>
        </is>
      </c>
      <c r="C316" t="inlineStr">
        <is>
          <t>2025-02-01</t>
        </is>
      </c>
      <c r="D316" t="inlineStr">
        <is>
          <t>2025-02-28</t>
        </is>
      </c>
      <c r="E316" s="8" t="n">
        <v>45718</v>
      </c>
      <c r="F316" s="8" t="n">
        <v>45763</v>
      </c>
      <c r="G316" t="n">
        <v>1761.93</v>
      </c>
      <c r="H316" t="n">
        <v>0</v>
      </c>
      <c r="I316" t="n">
        <v>1761.93</v>
      </c>
      <c r="J316" t="n">
        <v>0.18</v>
      </c>
      <c r="K316" t="n">
        <v>317.15</v>
      </c>
      <c r="L316" t="n">
        <v>2079.08</v>
      </c>
      <c r="M316" t="inlineStr">
        <is>
          <t>INR</t>
        </is>
      </c>
      <c r="N316" t="inlineStr">
        <is>
          <t>Paid</t>
        </is>
      </c>
      <c r="O316" t="inlineStr">
        <is>
          <t>Paid</t>
        </is>
      </c>
      <c r="P316" t="n">
        <v>1761.93</v>
      </c>
      <c r="Q316" t="n">
        <v>1761.93</v>
      </c>
      <c r="R316" t="b">
        <v>0</v>
      </c>
    </row>
    <row r="317">
      <c r="A317" t="inlineStr">
        <is>
          <t>INV0009206</t>
        </is>
      </c>
      <c r="B317" t="inlineStr">
        <is>
          <t>MER00436</t>
        </is>
      </c>
      <c r="C317" t="inlineStr">
        <is>
          <t>2025-03-01</t>
        </is>
      </c>
      <c r="D317" t="inlineStr">
        <is>
          <t>2025-03-31</t>
        </is>
      </c>
      <c r="E317" s="8" t="n">
        <v>45749</v>
      </c>
      <c r="F317" s="8" t="n">
        <v>45794</v>
      </c>
      <c r="G317" t="n">
        <v>2385.39</v>
      </c>
      <c r="H317" t="n">
        <v>0</v>
      </c>
      <c r="I317" t="n">
        <v>2385.39</v>
      </c>
      <c r="J317" t="n">
        <v>0.18</v>
      </c>
      <c r="K317" t="n">
        <v>429.37</v>
      </c>
      <c r="L317" t="n">
        <v>2814.76</v>
      </c>
      <c r="M317" t="inlineStr">
        <is>
          <t>INR</t>
        </is>
      </c>
      <c r="N317" t="inlineStr">
        <is>
          <t>Paid</t>
        </is>
      </c>
      <c r="O317" t="inlineStr">
        <is>
          <t>Paid</t>
        </is>
      </c>
      <c r="P317" t="n">
        <v>2385.39</v>
      </c>
      <c r="Q317" t="n">
        <v>2385.39</v>
      </c>
      <c r="R317" t="b">
        <v>0</v>
      </c>
    </row>
    <row r="318">
      <c r="A318" t="inlineStr">
        <is>
          <t>INV0009207</t>
        </is>
      </c>
      <c r="B318" t="inlineStr">
        <is>
          <t>MER00436</t>
        </is>
      </c>
      <c r="C318" t="inlineStr">
        <is>
          <t>2025-04-01</t>
        </is>
      </c>
      <c r="D318" t="inlineStr">
        <is>
          <t>2025-04-30</t>
        </is>
      </c>
      <c r="E318" s="8" t="n">
        <v>45779</v>
      </c>
      <c r="F318" s="8" t="n">
        <v>45824</v>
      </c>
      <c r="G318" t="n">
        <v>1729.18</v>
      </c>
      <c r="H318" t="n">
        <v>191.94</v>
      </c>
      <c r="I318" t="n">
        <v>1537.24</v>
      </c>
      <c r="J318" t="n">
        <v>0.18</v>
      </c>
      <c r="K318" t="n">
        <v>276.7</v>
      </c>
      <c r="L318" t="n">
        <v>1813.94</v>
      </c>
      <c r="M318" t="inlineStr">
        <is>
          <t>INR</t>
        </is>
      </c>
      <c r="N318" t="inlineStr">
        <is>
          <t>Paid</t>
        </is>
      </c>
      <c r="O318" t="inlineStr">
        <is>
          <t>Paid</t>
        </is>
      </c>
      <c r="P318" t="n">
        <v>1729.18</v>
      </c>
      <c r="Q318" t="n">
        <v>1729.18</v>
      </c>
      <c r="R318" t="b">
        <v>0</v>
      </c>
    </row>
    <row r="319">
      <c r="A319" t="inlineStr">
        <is>
          <t>INV0009208</t>
        </is>
      </c>
      <c r="B319" t="inlineStr">
        <is>
          <t>MER00436</t>
        </is>
      </c>
      <c r="C319" t="inlineStr">
        <is>
          <t>2025-05-01</t>
        </is>
      </c>
      <c r="D319" t="inlineStr">
        <is>
          <t>2025-05-31</t>
        </is>
      </c>
      <c r="E319" s="8" t="n">
        <v>45810</v>
      </c>
      <c r="F319" s="8" t="n">
        <v>45855</v>
      </c>
      <c r="G319" t="n">
        <v>2139.74</v>
      </c>
      <c r="H319" t="n">
        <v>0</v>
      </c>
      <c r="I319" t="n">
        <v>2139.74</v>
      </c>
      <c r="J319" t="n">
        <v>0.18</v>
      </c>
      <c r="K319" t="n">
        <v>385.15</v>
      </c>
      <c r="L319" t="n">
        <v>2524.89</v>
      </c>
      <c r="M319" t="inlineStr">
        <is>
          <t>INR</t>
        </is>
      </c>
      <c r="N319" t="inlineStr">
        <is>
          <t>Paid</t>
        </is>
      </c>
      <c r="O319" t="inlineStr">
        <is>
          <t>Paid</t>
        </is>
      </c>
      <c r="P319" t="n">
        <v>2139.74</v>
      </c>
      <c r="Q319" t="n">
        <v>2139.74</v>
      </c>
      <c r="R319" t="b">
        <v>0</v>
      </c>
    </row>
    <row r="320">
      <c r="A320" t="inlineStr">
        <is>
          <t>INV0009209</t>
        </is>
      </c>
      <c r="B320" t="inlineStr">
        <is>
          <t>MER00436</t>
        </is>
      </c>
      <c r="C320" t="inlineStr">
        <is>
          <t>2025-06-01</t>
        </is>
      </c>
      <c r="D320" t="inlineStr">
        <is>
          <t>2025-06-30</t>
        </is>
      </c>
      <c r="E320" s="8" t="n">
        <v>45840</v>
      </c>
      <c r="F320" s="8" t="n">
        <v>45885</v>
      </c>
      <c r="G320" t="n">
        <v>1887.08</v>
      </c>
      <c r="H320" t="n">
        <v>0</v>
      </c>
      <c r="I320" t="n">
        <v>1887.08</v>
      </c>
      <c r="J320" t="n">
        <v>0.18</v>
      </c>
      <c r="K320" t="n">
        <v>339.67</v>
      </c>
      <c r="L320" t="n">
        <v>2226.75</v>
      </c>
      <c r="M320" t="inlineStr">
        <is>
          <t>INR</t>
        </is>
      </c>
      <c r="N320" t="inlineStr">
        <is>
          <t>Paid</t>
        </is>
      </c>
      <c r="O320" t="inlineStr">
        <is>
          <t>Paid</t>
        </is>
      </c>
      <c r="P320" t="n">
        <v>1887.08</v>
      </c>
      <c r="Q320" t="n">
        <v>1887.08</v>
      </c>
      <c r="R320" t="b">
        <v>0</v>
      </c>
    </row>
    <row r="321">
      <c r="A321" t="inlineStr">
        <is>
          <t>INV0009210</t>
        </is>
      </c>
      <c r="B321" t="inlineStr">
        <is>
          <t>MER00436</t>
        </is>
      </c>
      <c r="C321" t="inlineStr">
        <is>
          <t>2025-07-01</t>
        </is>
      </c>
      <c r="D321" t="inlineStr">
        <is>
          <t>2025-07-31</t>
        </is>
      </c>
      <c r="E321" s="8" t="n">
        <v>45871</v>
      </c>
      <c r="F321" s="8" t="n">
        <v>45916</v>
      </c>
      <c r="G321" t="n">
        <v>2486.93</v>
      </c>
      <c r="H321" t="n">
        <v>0</v>
      </c>
      <c r="I321" t="n">
        <v>2486.93</v>
      </c>
      <c r="J321" t="n">
        <v>0.18</v>
      </c>
      <c r="K321" t="n">
        <v>447.65</v>
      </c>
      <c r="L321" t="n">
        <v>2934.58</v>
      </c>
      <c r="M321" t="inlineStr">
        <is>
          <t>INR</t>
        </is>
      </c>
      <c r="N321" t="inlineStr">
        <is>
          <t>Paid</t>
        </is>
      </c>
      <c r="O321" t="inlineStr">
        <is>
          <t>Paid</t>
        </is>
      </c>
      <c r="P321" t="n">
        <v>2486.93</v>
      </c>
      <c r="Q321" t="n">
        <v>2486.93</v>
      </c>
      <c r="R321" t="b">
        <v>0</v>
      </c>
    </row>
    <row r="322">
      <c r="A322" t="inlineStr">
        <is>
          <t>INV0009211</t>
        </is>
      </c>
      <c r="B322" t="inlineStr">
        <is>
          <t>MER00436</t>
        </is>
      </c>
      <c r="C322" t="inlineStr">
        <is>
          <t>2025-08-01</t>
        </is>
      </c>
      <c r="D322" t="inlineStr">
        <is>
          <t>2025-08-31</t>
        </is>
      </c>
      <c r="E322" s="8" t="n">
        <v>45902</v>
      </c>
      <c r="F322" s="8" t="n">
        <v>45947</v>
      </c>
      <c r="G322" t="n">
        <v>2105.13</v>
      </c>
      <c r="H322" t="n">
        <v>0</v>
      </c>
      <c r="I322" t="n">
        <v>2105.13</v>
      </c>
      <c r="J322" t="n">
        <v>0.18</v>
      </c>
      <c r="K322" t="n">
        <v>378.92</v>
      </c>
      <c r="L322" t="n">
        <v>2484.05</v>
      </c>
      <c r="M322" t="inlineStr">
        <is>
          <t>INR</t>
        </is>
      </c>
      <c r="N322" t="inlineStr">
        <is>
          <t>Paid</t>
        </is>
      </c>
      <c r="O322" t="inlineStr">
        <is>
          <t>Paid</t>
        </is>
      </c>
      <c r="P322" t="n">
        <v>2105.13</v>
      </c>
      <c r="Q322" t="n">
        <v>2105.13</v>
      </c>
      <c r="R322" t="b">
        <v>0</v>
      </c>
    </row>
    <row r="323">
      <c r="A323" t="inlineStr">
        <is>
          <t>INV0009212</t>
        </is>
      </c>
      <c r="B323" t="inlineStr">
        <is>
          <t>MER00436</t>
        </is>
      </c>
      <c r="C323" t="inlineStr">
        <is>
          <t>2025-09-01</t>
        </is>
      </c>
      <c r="D323" t="inlineStr">
        <is>
          <t>2025-09-30</t>
        </is>
      </c>
      <c r="E323" s="8" t="n">
        <v>45932</v>
      </c>
      <c r="F323" s="8" t="n">
        <v>45977</v>
      </c>
      <c r="G323" t="n">
        <v>1492.38</v>
      </c>
      <c r="H323" t="n">
        <v>0</v>
      </c>
      <c r="I323" t="n">
        <v>1492.38</v>
      </c>
      <c r="J323" t="n">
        <v>0.18</v>
      </c>
      <c r="K323" t="n">
        <v>268.63</v>
      </c>
      <c r="L323" t="n">
        <v>1761.01</v>
      </c>
      <c r="M323" t="inlineStr">
        <is>
          <t>INR</t>
        </is>
      </c>
      <c r="N323" t="inlineStr">
        <is>
          <t>Paid</t>
        </is>
      </c>
      <c r="O323" t="inlineStr">
        <is>
          <t>Paid</t>
        </is>
      </c>
      <c r="P323" t="n">
        <v>2230.73</v>
      </c>
      <c r="Q323" t="n">
        <v>1492.38</v>
      </c>
      <c r="R323" t="b">
        <v>1</v>
      </c>
    </row>
    <row r="324">
      <c r="A324" t="inlineStr">
        <is>
          <t>INV0009213</t>
        </is>
      </c>
      <c r="B324" t="inlineStr">
        <is>
          <t>MER00436</t>
        </is>
      </c>
      <c r="C324" t="inlineStr">
        <is>
          <t>2025-10-01</t>
        </is>
      </c>
      <c r="D324" t="inlineStr">
        <is>
          <t>2025-10-31</t>
        </is>
      </c>
      <c r="E324" s="8" t="n">
        <v>45963</v>
      </c>
      <c r="F324" s="8" t="n">
        <v>46008</v>
      </c>
      <c r="G324" t="n">
        <v>3322.24</v>
      </c>
      <c r="H324" t="n">
        <v>0</v>
      </c>
      <c r="I324" t="n">
        <v>3322.24</v>
      </c>
      <c r="J324" t="n">
        <v>0.18</v>
      </c>
      <c r="K324" t="n">
        <v>598</v>
      </c>
      <c r="L324" t="n">
        <v>3920.24</v>
      </c>
      <c r="M324" t="inlineStr">
        <is>
          <t>INR</t>
        </is>
      </c>
      <c r="N324" t="inlineStr">
        <is>
          <t>Paid</t>
        </is>
      </c>
      <c r="O324" t="inlineStr">
        <is>
          <t>Paid</t>
        </is>
      </c>
      <c r="P324" t="n">
        <v>3322.24</v>
      </c>
      <c r="Q324" t="n">
        <v>3322.24</v>
      </c>
      <c r="R324" t="b">
        <v>0</v>
      </c>
    </row>
    <row r="325">
      <c r="A325" t="inlineStr">
        <is>
          <t>INV0009214</t>
        </is>
      </c>
      <c r="B325" t="inlineStr">
        <is>
          <t>MER00436</t>
        </is>
      </c>
      <c r="C325" t="inlineStr">
        <is>
          <t>2025-11-01</t>
        </is>
      </c>
      <c r="D325" t="inlineStr">
        <is>
          <t>2025-11-30</t>
        </is>
      </c>
      <c r="E325" s="8" t="n">
        <v>45993</v>
      </c>
      <c r="F325" s="8" t="n">
        <v>46038</v>
      </c>
      <c r="G325" t="n">
        <v>4259.18</v>
      </c>
      <c r="H325" t="n">
        <v>0</v>
      </c>
      <c r="I325" t="n">
        <v>4259.18</v>
      </c>
      <c r="J325" t="n">
        <v>0.18</v>
      </c>
      <c r="K325" t="n">
        <v>766.65</v>
      </c>
      <c r="L325" t="n">
        <v>5025.83</v>
      </c>
      <c r="M325" t="inlineStr">
        <is>
          <t>INR</t>
        </is>
      </c>
      <c r="N325" t="inlineStr">
        <is>
          <t>Paid</t>
        </is>
      </c>
      <c r="O325" t="inlineStr">
        <is>
          <t>Paid</t>
        </is>
      </c>
      <c r="P325" t="n">
        <v>4259.18</v>
      </c>
      <c r="Q325" t="n">
        <v>4259.18</v>
      </c>
      <c r="R325" t="b">
        <v>0</v>
      </c>
    </row>
    <row r="326">
      <c r="A326" t="inlineStr">
        <is>
          <t>INV0009215</t>
        </is>
      </c>
      <c r="B326" t="inlineStr">
        <is>
          <t>MER00436</t>
        </is>
      </c>
      <c r="C326" t="inlineStr">
        <is>
          <t>2025-12-01</t>
        </is>
      </c>
      <c r="D326" t="inlineStr">
        <is>
          <t>2025-12-31</t>
        </is>
      </c>
      <c r="E326" s="8" t="n">
        <v>46024</v>
      </c>
      <c r="F326" s="8" t="n">
        <v>46069</v>
      </c>
      <c r="G326" t="n">
        <v>3922.97</v>
      </c>
      <c r="H326" t="n">
        <v>0</v>
      </c>
      <c r="I326" t="n">
        <v>3922.97</v>
      </c>
      <c r="J326" t="n">
        <v>0.18</v>
      </c>
      <c r="K326" t="n">
        <v>706.13</v>
      </c>
      <c r="L326" t="n">
        <v>4629.1</v>
      </c>
      <c r="M326" t="inlineStr">
        <is>
          <t>INR</t>
        </is>
      </c>
      <c r="N326" t="inlineStr">
        <is>
          <t>Paid</t>
        </is>
      </c>
      <c r="O326" t="inlineStr">
        <is>
          <t>Paid</t>
        </is>
      </c>
      <c r="P326" t="n">
        <v>3922.97</v>
      </c>
      <c r="Q326" t="n">
        <v>3922.97</v>
      </c>
      <c r="R326" t="b">
        <v>0</v>
      </c>
    </row>
    <row r="327">
      <c r="A327" t="inlineStr">
        <is>
          <t>INV0009216</t>
        </is>
      </c>
      <c r="B327" t="inlineStr">
        <is>
          <t>MER00436</t>
        </is>
      </c>
      <c r="C327" t="inlineStr">
        <is>
          <t>2026-01-01</t>
        </is>
      </c>
      <c r="D327" t="inlineStr">
        <is>
          <t>2026-01-31</t>
        </is>
      </c>
      <c r="E327" s="8" t="n">
        <v>46055</v>
      </c>
      <c r="F327" s="8" t="n">
        <v>46100</v>
      </c>
      <c r="G327" t="n">
        <v>4041.32</v>
      </c>
      <c r="H327" t="n">
        <v>0</v>
      </c>
      <c r="I327" t="n">
        <v>4041.32</v>
      </c>
      <c r="J327" t="n">
        <v>0.18</v>
      </c>
      <c r="K327" t="n">
        <v>727.4400000000001</v>
      </c>
      <c r="L327" t="n">
        <v>4768.76</v>
      </c>
      <c r="M327" t="inlineStr">
        <is>
          <t>INR</t>
        </is>
      </c>
      <c r="N327" t="inlineStr">
        <is>
          <t>Paid</t>
        </is>
      </c>
      <c r="O327" t="inlineStr">
        <is>
          <t>Paid</t>
        </is>
      </c>
      <c r="P327" t="n">
        <v>4041.32</v>
      </c>
      <c r="Q327" t="n">
        <v>4041.32</v>
      </c>
      <c r="R327" t="b">
        <v>0</v>
      </c>
    </row>
    <row r="328">
      <c r="A328" t="inlineStr">
        <is>
          <t>INV0009217</t>
        </is>
      </c>
      <c r="B328" t="inlineStr">
        <is>
          <t>MER00436</t>
        </is>
      </c>
      <c r="C328" t="inlineStr">
        <is>
          <t>2026-02-01</t>
        </is>
      </c>
      <c r="D328" t="inlineStr">
        <is>
          <t>2026-02-28</t>
        </is>
      </c>
      <c r="E328" s="8" t="n">
        <v>46083</v>
      </c>
      <c r="F328" s="8" t="n">
        <v>46128</v>
      </c>
      <c r="G328" t="n">
        <v>2057.76</v>
      </c>
      <c r="H328" t="n">
        <v>0</v>
      </c>
      <c r="I328" t="n">
        <v>2057.76</v>
      </c>
      <c r="J328" t="n">
        <v>0.18</v>
      </c>
      <c r="K328" t="n">
        <v>370.4</v>
      </c>
      <c r="L328" t="n">
        <v>2428.16</v>
      </c>
      <c r="M328" t="inlineStr">
        <is>
          <t>INR</t>
        </is>
      </c>
      <c r="N328" t="inlineStr">
        <is>
          <t>Paid</t>
        </is>
      </c>
      <c r="O328" t="inlineStr">
        <is>
          <t>Paid</t>
        </is>
      </c>
      <c r="P328" t="n">
        <v>2057.76</v>
      </c>
      <c r="Q328" t="n">
        <v>2057.76</v>
      </c>
      <c r="R328" t="b">
        <v>0</v>
      </c>
    </row>
    <row r="329">
      <c r="A329" t="inlineStr">
        <is>
          <t>INV0009218</t>
        </is>
      </c>
      <c r="B329" t="inlineStr">
        <is>
          <t>MER00436</t>
        </is>
      </c>
      <c r="C329" t="inlineStr">
        <is>
          <t>2026-03-01</t>
        </is>
      </c>
      <c r="D329" t="inlineStr">
        <is>
          <t>2026-03-31</t>
        </is>
      </c>
      <c r="E329" s="8" t="n">
        <v>46114</v>
      </c>
      <c r="F329" s="8" t="n">
        <v>46159</v>
      </c>
      <c r="G329" t="n">
        <v>2442.44</v>
      </c>
      <c r="H329" t="n">
        <v>0</v>
      </c>
      <c r="I329" t="n">
        <v>2442.44</v>
      </c>
      <c r="J329" t="n">
        <v>0.18</v>
      </c>
      <c r="K329" t="n">
        <v>439.64</v>
      </c>
      <c r="L329" t="n">
        <v>2882.08</v>
      </c>
      <c r="M329" t="inlineStr">
        <is>
          <t>INR</t>
        </is>
      </c>
      <c r="N329" t="inlineStr">
        <is>
          <t>Paid</t>
        </is>
      </c>
      <c r="O329" t="inlineStr">
        <is>
          <t>Paid</t>
        </is>
      </c>
      <c r="P329" t="n">
        <v>2442.44</v>
      </c>
      <c r="Q329" t="n">
        <v>2442.44</v>
      </c>
      <c r="R329" t="b">
        <v>0</v>
      </c>
    </row>
    <row r="330">
      <c r="A330" t="inlineStr">
        <is>
          <t>INV0009219</t>
        </is>
      </c>
      <c r="B330" t="inlineStr">
        <is>
          <t>MER00436</t>
        </is>
      </c>
      <c r="C330" t="inlineStr">
        <is>
          <t>2026-04-01</t>
        </is>
      </c>
      <c r="D330" t="inlineStr">
        <is>
          <t>2026-04-30</t>
        </is>
      </c>
      <c r="E330" s="8" t="n">
        <v>46144</v>
      </c>
      <c r="F330" s="8" t="n">
        <v>46189</v>
      </c>
      <c r="G330" t="n">
        <v>1939.93</v>
      </c>
      <c r="H330" t="n">
        <v>0</v>
      </c>
      <c r="I330" t="n">
        <v>1939.93</v>
      </c>
      <c r="J330" t="n">
        <v>0.18</v>
      </c>
      <c r="K330" t="n">
        <v>349.19</v>
      </c>
      <c r="L330" t="n">
        <v>2289.12</v>
      </c>
      <c r="M330" t="inlineStr">
        <is>
          <t>INR</t>
        </is>
      </c>
      <c r="N330" t="inlineStr">
        <is>
          <t>Paid</t>
        </is>
      </c>
      <c r="O330" t="inlineStr">
        <is>
          <t>Paid</t>
        </is>
      </c>
      <c r="P330" t="n">
        <v>1939.93</v>
      </c>
      <c r="Q330" t="n">
        <v>1939.93</v>
      </c>
      <c r="R330" t="b">
        <v>0</v>
      </c>
    </row>
    <row r="331">
      <c r="A331" t="inlineStr">
        <is>
          <t>INV0009220</t>
        </is>
      </c>
      <c r="B331" t="inlineStr">
        <is>
          <t>MER00436</t>
        </is>
      </c>
      <c r="C331" t="inlineStr">
        <is>
          <t>2026-05-01</t>
        </is>
      </c>
      <c r="D331" t="inlineStr">
        <is>
          <t>2026-05-31</t>
        </is>
      </c>
      <c r="E331" s="8" t="n">
        <v>46175</v>
      </c>
      <c r="F331" s="8" t="n">
        <v>46220</v>
      </c>
      <c r="G331" t="n">
        <v>2341.65</v>
      </c>
      <c r="H331" t="n">
        <v>0</v>
      </c>
      <c r="I331" t="n">
        <v>2341.65</v>
      </c>
      <c r="J331" t="n">
        <v>0.18</v>
      </c>
      <c r="K331" t="n">
        <v>421.5</v>
      </c>
      <c r="L331" t="n">
        <v>2763.15</v>
      </c>
      <c r="M331" t="inlineStr">
        <is>
          <t>INR</t>
        </is>
      </c>
      <c r="N331" t="inlineStr">
        <is>
          <t>Paid</t>
        </is>
      </c>
      <c r="O331" t="inlineStr">
        <is>
          <t>Paid</t>
        </is>
      </c>
      <c r="P331" t="n">
        <v>2341.65</v>
      </c>
      <c r="Q331" t="n">
        <v>2341.65</v>
      </c>
      <c r="R331" t="b">
        <v>0</v>
      </c>
    </row>
    <row r="332">
      <c r="A332" t="inlineStr">
        <is>
          <t>INV0009221</t>
        </is>
      </c>
      <c r="B332" t="inlineStr">
        <is>
          <t>MER00436</t>
        </is>
      </c>
      <c r="C332" t="inlineStr">
        <is>
          <t>2026-06-01</t>
        </is>
      </c>
      <c r="D332" t="inlineStr">
        <is>
          <t>2026-06-30</t>
        </is>
      </c>
      <c r="E332" s="8" t="n">
        <v>46205</v>
      </c>
      <c r="F332" s="8" t="n">
        <v>46250</v>
      </c>
      <c r="G332" t="n">
        <v>3911.34</v>
      </c>
      <c r="H332" t="n">
        <v>0</v>
      </c>
      <c r="I332" t="n">
        <v>3911.34</v>
      </c>
      <c r="J332" t="n">
        <v>0.18</v>
      </c>
      <c r="K332" t="n">
        <v>704.04</v>
      </c>
      <c r="L332" t="n">
        <v>4615.38</v>
      </c>
      <c r="M332" t="inlineStr">
        <is>
          <t>INR</t>
        </is>
      </c>
      <c r="N332" t="inlineStr">
        <is>
          <t>Paid</t>
        </is>
      </c>
      <c r="O332" t="inlineStr">
        <is>
          <t>Paid</t>
        </is>
      </c>
      <c r="P332" t="n">
        <v>3911.34</v>
      </c>
      <c r="Q332" t="n">
        <v>3911.34</v>
      </c>
      <c r="R332" t="b">
        <v>0</v>
      </c>
    </row>
    <row r="333">
      <c r="A333" t="inlineStr">
        <is>
          <t>INV0009222</t>
        </is>
      </c>
      <c r="B333" t="inlineStr">
        <is>
          <t>MER00436</t>
        </is>
      </c>
      <c r="C333" t="inlineStr">
        <is>
          <t>2026-07-01</t>
        </is>
      </c>
      <c r="D333" t="inlineStr">
        <is>
          <t>2026-07-31</t>
        </is>
      </c>
      <c r="E333" s="8" t="n">
        <v>46236</v>
      </c>
      <c r="F333" s="8" t="n">
        <v>46281</v>
      </c>
      <c r="G333" t="n">
        <v>2210.18</v>
      </c>
      <c r="H333" t="n">
        <v>0</v>
      </c>
      <c r="I333" t="n">
        <v>2210.18</v>
      </c>
      <c r="J333" t="n">
        <v>0.18</v>
      </c>
      <c r="K333" t="n">
        <v>397.83</v>
      </c>
      <c r="L333" t="n">
        <v>2608.01</v>
      </c>
      <c r="M333" t="inlineStr">
        <is>
          <t>INR</t>
        </is>
      </c>
      <c r="N333" t="inlineStr">
        <is>
          <t>Paid</t>
        </is>
      </c>
      <c r="O333" t="inlineStr">
        <is>
          <t>Paid</t>
        </is>
      </c>
      <c r="P333" t="n">
        <v>2210.18</v>
      </c>
      <c r="Q333" t="n">
        <v>2210.18</v>
      </c>
      <c r="R333" t="b">
        <v>0</v>
      </c>
    </row>
    <row r="334">
      <c r="A334" t="inlineStr">
        <is>
          <t>INV0009635</t>
        </is>
      </c>
      <c r="B334" t="inlineStr">
        <is>
          <t>MER00457</t>
        </is>
      </c>
      <c r="C334" t="inlineStr">
        <is>
          <t>2024-08-01</t>
        </is>
      </c>
      <c r="D334" t="inlineStr">
        <is>
          <t>2024-08-31</t>
        </is>
      </c>
      <c r="E334" s="8" t="n">
        <v>45537</v>
      </c>
      <c r="F334" s="8" t="n">
        <v>45552</v>
      </c>
      <c r="G334" t="n">
        <v>649.52</v>
      </c>
      <c r="H334" t="n">
        <v>0</v>
      </c>
      <c r="I334" t="n">
        <v>649.52</v>
      </c>
      <c r="J334" t="n">
        <v>0.18</v>
      </c>
      <c r="K334" t="n">
        <v>116.91</v>
      </c>
      <c r="L334" t="n">
        <v>766.4299999999999</v>
      </c>
      <c r="M334" t="inlineStr">
        <is>
          <t>INR</t>
        </is>
      </c>
      <c r="N334" t="inlineStr">
        <is>
          <t>Paid</t>
        </is>
      </c>
      <c r="O334" t="inlineStr">
        <is>
          <t>Paid</t>
        </is>
      </c>
      <c r="P334" t="n">
        <v>649.52</v>
      </c>
      <c r="Q334" t="n">
        <v>649.52</v>
      </c>
      <c r="R334" t="b">
        <v>0</v>
      </c>
    </row>
    <row r="335">
      <c r="A335" t="inlineStr">
        <is>
          <t>INV0009636</t>
        </is>
      </c>
      <c r="B335" t="inlineStr">
        <is>
          <t>MER00457</t>
        </is>
      </c>
      <c r="C335" t="inlineStr">
        <is>
          <t>2024-09-01</t>
        </is>
      </c>
      <c r="D335" t="inlineStr">
        <is>
          <t>2024-09-30</t>
        </is>
      </c>
      <c r="E335" s="8" t="n">
        <v>45567</v>
      </c>
      <c r="F335" s="8" t="n">
        <v>45582</v>
      </c>
      <c r="G335" t="n">
        <v>606.49</v>
      </c>
      <c r="H335" t="n">
        <v>0</v>
      </c>
      <c r="I335" t="n">
        <v>606.49</v>
      </c>
      <c r="J335" t="n">
        <v>0.18</v>
      </c>
      <c r="K335" t="n">
        <v>109.17</v>
      </c>
      <c r="L335" t="n">
        <v>715.66</v>
      </c>
      <c r="M335" t="inlineStr">
        <is>
          <t>INR</t>
        </is>
      </c>
      <c r="N335" t="inlineStr">
        <is>
          <t>Paid</t>
        </is>
      </c>
      <c r="O335" t="inlineStr">
        <is>
          <t>Paid</t>
        </is>
      </c>
      <c r="P335" t="n">
        <v>606.49</v>
      </c>
      <c r="Q335" t="n">
        <v>606.49</v>
      </c>
      <c r="R335" t="b">
        <v>0</v>
      </c>
    </row>
    <row r="336">
      <c r="A336" t="inlineStr">
        <is>
          <t>INV0009637</t>
        </is>
      </c>
      <c r="B336" t="inlineStr">
        <is>
          <t>MER00457</t>
        </is>
      </c>
      <c r="C336" t="inlineStr">
        <is>
          <t>2024-10-01</t>
        </is>
      </c>
      <c r="D336" t="inlineStr">
        <is>
          <t>2024-10-31</t>
        </is>
      </c>
      <c r="E336" s="8" t="n">
        <v>45598</v>
      </c>
      <c r="F336" s="8" t="n">
        <v>45613</v>
      </c>
      <c r="G336" t="n">
        <v>1431.77</v>
      </c>
      <c r="H336" t="n">
        <v>0</v>
      </c>
      <c r="I336" t="n">
        <v>1431.77</v>
      </c>
      <c r="J336" t="n">
        <v>0.18</v>
      </c>
      <c r="K336" t="n">
        <v>257.72</v>
      </c>
      <c r="L336" t="n">
        <v>1689.49</v>
      </c>
      <c r="M336" t="inlineStr">
        <is>
          <t>INR</t>
        </is>
      </c>
      <c r="N336" t="inlineStr">
        <is>
          <t>Paid</t>
        </is>
      </c>
      <c r="O336" t="inlineStr">
        <is>
          <t>Paid</t>
        </is>
      </c>
      <c r="P336" t="n">
        <v>1431.77</v>
      </c>
      <c r="Q336" t="n">
        <v>1431.77</v>
      </c>
      <c r="R336" t="b">
        <v>0</v>
      </c>
    </row>
    <row r="337">
      <c r="A337" t="inlineStr">
        <is>
          <t>INV0009638</t>
        </is>
      </c>
      <c r="B337" t="inlineStr">
        <is>
          <t>MER00457</t>
        </is>
      </c>
      <c r="C337" t="inlineStr">
        <is>
          <t>2024-11-01</t>
        </is>
      </c>
      <c r="D337" t="inlineStr">
        <is>
          <t>2024-11-30</t>
        </is>
      </c>
      <c r="E337" s="8" t="n">
        <v>45628</v>
      </c>
      <c r="F337" s="8" t="n">
        <v>45643</v>
      </c>
      <c r="G337" t="n">
        <v>1344.4</v>
      </c>
      <c r="H337" t="n">
        <v>0</v>
      </c>
      <c r="I337" t="n">
        <v>1344.4</v>
      </c>
      <c r="J337" t="n">
        <v>0.18</v>
      </c>
      <c r="K337" t="n">
        <v>241.99</v>
      </c>
      <c r="L337" t="n">
        <v>1586.39</v>
      </c>
      <c r="M337" t="inlineStr">
        <is>
          <t>INR</t>
        </is>
      </c>
      <c r="N337" t="inlineStr">
        <is>
          <t>Paid</t>
        </is>
      </c>
      <c r="O337" t="inlineStr">
        <is>
          <t>Paid</t>
        </is>
      </c>
      <c r="P337" t="n">
        <v>1344.4</v>
      </c>
      <c r="Q337" t="n">
        <v>1344.4</v>
      </c>
      <c r="R337" t="b">
        <v>0</v>
      </c>
    </row>
    <row r="338">
      <c r="A338" t="inlineStr">
        <is>
          <t>INV0009639</t>
        </is>
      </c>
      <c r="B338" t="inlineStr">
        <is>
          <t>MER00457</t>
        </is>
      </c>
      <c r="C338" t="inlineStr">
        <is>
          <t>2024-12-01</t>
        </is>
      </c>
      <c r="D338" t="inlineStr">
        <is>
          <t>2024-12-31</t>
        </is>
      </c>
      <c r="E338" s="8" t="n">
        <v>45659</v>
      </c>
      <c r="F338" s="8" t="n">
        <v>45674</v>
      </c>
      <c r="G338" t="n">
        <v>937.6900000000001</v>
      </c>
      <c r="H338" t="n">
        <v>0</v>
      </c>
      <c r="I338" t="n">
        <v>937.6900000000001</v>
      </c>
      <c r="J338" t="n">
        <v>0.18</v>
      </c>
      <c r="K338" t="n">
        <v>168.78</v>
      </c>
      <c r="L338" t="n">
        <v>1106.47</v>
      </c>
      <c r="M338" t="inlineStr">
        <is>
          <t>INR</t>
        </is>
      </c>
      <c r="N338" t="inlineStr">
        <is>
          <t>Overdue</t>
        </is>
      </c>
      <c r="O338" t="inlineStr">
        <is>
          <t>Unpaid</t>
        </is>
      </c>
      <c r="P338" t="n">
        <v>937.6900000000001</v>
      </c>
      <c r="Q338" t="n">
        <v>937.6900000000001</v>
      </c>
      <c r="R338" t="b">
        <v>0</v>
      </c>
    </row>
    <row r="339">
      <c r="A339" t="inlineStr">
        <is>
          <t>INV0009640</t>
        </is>
      </c>
      <c r="B339" t="inlineStr">
        <is>
          <t>MER00457</t>
        </is>
      </c>
      <c r="C339" t="inlineStr">
        <is>
          <t>2025-01-01</t>
        </is>
      </c>
      <c r="D339" t="inlineStr">
        <is>
          <t>2025-01-31</t>
        </is>
      </c>
      <c r="E339" s="8" t="n">
        <v>45690</v>
      </c>
      <c r="F339" s="8" t="n">
        <v>45705</v>
      </c>
      <c r="G339" t="n">
        <v>1178.06</v>
      </c>
      <c r="H339" t="n">
        <v>0</v>
      </c>
      <c r="I339" t="n">
        <v>1178.06</v>
      </c>
      <c r="J339" t="n">
        <v>0.18</v>
      </c>
      <c r="K339" t="n">
        <v>212.05</v>
      </c>
      <c r="L339" t="n">
        <v>1390.11</v>
      </c>
      <c r="M339" t="inlineStr">
        <is>
          <t>INR</t>
        </is>
      </c>
      <c r="N339" t="inlineStr">
        <is>
          <t>Paid</t>
        </is>
      </c>
      <c r="O339" t="inlineStr">
        <is>
          <t>Paid</t>
        </is>
      </c>
      <c r="P339" t="n">
        <v>1178.06</v>
      </c>
      <c r="Q339" t="n">
        <v>1178.06</v>
      </c>
      <c r="R339" t="b">
        <v>0</v>
      </c>
    </row>
    <row r="340">
      <c r="A340" t="inlineStr">
        <is>
          <t>INV0009641</t>
        </is>
      </c>
      <c r="B340" t="inlineStr">
        <is>
          <t>MER00457</t>
        </is>
      </c>
      <c r="C340" t="inlineStr">
        <is>
          <t>2025-02-01</t>
        </is>
      </c>
      <c r="D340" t="inlineStr">
        <is>
          <t>2025-02-28</t>
        </is>
      </c>
      <c r="E340" s="8" t="n">
        <v>45718</v>
      </c>
      <c r="F340" s="8" t="n">
        <v>45733</v>
      </c>
      <c r="G340" t="n">
        <v>948.54</v>
      </c>
      <c r="H340" t="n">
        <v>94.84999999999999</v>
      </c>
      <c r="I340" t="n">
        <v>853.6900000000001</v>
      </c>
      <c r="J340" t="n">
        <v>0.18</v>
      </c>
      <c r="K340" t="n">
        <v>153.66</v>
      </c>
      <c r="L340" t="n">
        <v>1007.35</v>
      </c>
      <c r="M340" t="inlineStr">
        <is>
          <t>INR</t>
        </is>
      </c>
      <c r="N340" t="inlineStr">
        <is>
          <t>Paid</t>
        </is>
      </c>
      <c r="O340" t="inlineStr">
        <is>
          <t>Paid</t>
        </is>
      </c>
      <c r="P340" t="n">
        <v>948.54</v>
      </c>
      <c r="Q340" t="n">
        <v>948.54</v>
      </c>
      <c r="R340" t="b">
        <v>0</v>
      </c>
    </row>
    <row r="341">
      <c r="A341" t="inlineStr">
        <is>
          <t>INV0009642</t>
        </is>
      </c>
      <c r="B341" t="inlineStr">
        <is>
          <t>MER00457</t>
        </is>
      </c>
      <c r="C341" t="inlineStr">
        <is>
          <t>2025-03-01</t>
        </is>
      </c>
      <c r="D341" t="inlineStr">
        <is>
          <t>2025-03-31</t>
        </is>
      </c>
      <c r="E341" s="8" t="n">
        <v>45749</v>
      </c>
      <c r="F341" s="8" t="n">
        <v>45764</v>
      </c>
      <c r="G341" t="n">
        <v>1066.84</v>
      </c>
      <c r="H341" t="n">
        <v>0</v>
      </c>
      <c r="I341" t="n">
        <v>1066.84</v>
      </c>
      <c r="J341" t="n">
        <v>0.18</v>
      </c>
      <c r="K341" t="n">
        <v>192.03</v>
      </c>
      <c r="L341" t="n">
        <v>1258.87</v>
      </c>
      <c r="M341" t="inlineStr">
        <is>
          <t>INR</t>
        </is>
      </c>
      <c r="N341" t="inlineStr">
        <is>
          <t>Paid</t>
        </is>
      </c>
      <c r="O341" t="inlineStr">
        <is>
          <t>Paid</t>
        </is>
      </c>
      <c r="P341" t="n">
        <v>1066.84</v>
      </c>
      <c r="Q341" t="n">
        <v>1066.84</v>
      </c>
      <c r="R341" t="b">
        <v>0</v>
      </c>
    </row>
    <row r="342">
      <c r="A342" t="inlineStr">
        <is>
          <t>INV0009643</t>
        </is>
      </c>
      <c r="B342" t="inlineStr">
        <is>
          <t>MER00457</t>
        </is>
      </c>
      <c r="C342" t="inlineStr">
        <is>
          <t>2025-04-01</t>
        </is>
      </c>
      <c r="D342" t="inlineStr">
        <is>
          <t>2025-04-30</t>
        </is>
      </c>
      <c r="E342" s="8" t="n">
        <v>45779</v>
      </c>
      <c r="F342" s="8" t="n">
        <v>45794</v>
      </c>
      <c r="G342" t="n">
        <v>196.74</v>
      </c>
      <c r="H342" t="n">
        <v>0</v>
      </c>
      <c r="I342" t="n">
        <v>196.74</v>
      </c>
      <c r="J342" t="n">
        <v>0.18</v>
      </c>
      <c r="K342" t="n">
        <v>35.41</v>
      </c>
      <c r="L342" t="n">
        <v>232.15</v>
      </c>
      <c r="M342" t="inlineStr">
        <is>
          <t>INR</t>
        </is>
      </c>
      <c r="N342" t="inlineStr">
        <is>
          <t>Paid</t>
        </is>
      </c>
      <c r="O342" t="inlineStr">
        <is>
          <t>Paid</t>
        </is>
      </c>
      <c r="P342" t="n">
        <v>175.6</v>
      </c>
      <c r="Q342" t="n">
        <v>196.74</v>
      </c>
      <c r="R342" t="b">
        <v>1</v>
      </c>
    </row>
    <row r="343">
      <c r="A343" t="inlineStr">
        <is>
          <t>INV0009644</t>
        </is>
      </c>
      <c r="B343" t="inlineStr">
        <is>
          <t>MER00457</t>
        </is>
      </c>
      <c r="C343" t="inlineStr">
        <is>
          <t>2025-05-01</t>
        </is>
      </c>
      <c r="D343" t="inlineStr">
        <is>
          <t>2025-05-31</t>
        </is>
      </c>
      <c r="E343" s="8" t="n">
        <v>45810</v>
      </c>
      <c r="F343" s="8" t="n">
        <v>45825</v>
      </c>
      <c r="G343" t="n">
        <v>906.09</v>
      </c>
      <c r="H343" t="n">
        <v>0</v>
      </c>
      <c r="I343" t="n">
        <v>906.09</v>
      </c>
      <c r="J343" t="n">
        <v>0.18</v>
      </c>
      <c r="K343" t="n">
        <v>163.1</v>
      </c>
      <c r="L343" t="n">
        <v>1069.19</v>
      </c>
      <c r="M343" t="inlineStr">
        <is>
          <t>INR</t>
        </is>
      </c>
      <c r="N343" t="inlineStr">
        <is>
          <t>Paid</t>
        </is>
      </c>
      <c r="O343" t="inlineStr">
        <is>
          <t>Paid</t>
        </is>
      </c>
      <c r="P343" t="n">
        <v>906.09</v>
      </c>
      <c r="Q343" t="n">
        <v>906.09</v>
      </c>
      <c r="R343" t="b">
        <v>0</v>
      </c>
    </row>
    <row r="344">
      <c r="A344" t="inlineStr">
        <is>
          <t>INV0009645</t>
        </is>
      </c>
      <c r="B344" t="inlineStr">
        <is>
          <t>MER00457</t>
        </is>
      </c>
      <c r="C344" t="inlineStr">
        <is>
          <t>2025-06-01</t>
        </is>
      </c>
      <c r="D344" t="inlineStr">
        <is>
          <t>2025-06-30</t>
        </is>
      </c>
      <c r="E344" s="8" t="n">
        <v>45840</v>
      </c>
      <c r="F344" s="8" t="n">
        <v>45855</v>
      </c>
      <c r="G344" t="n">
        <v>510.86</v>
      </c>
      <c r="H344" t="n">
        <v>0</v>
      </c>
      <c r="I344" t="n">
        <v>510.86</v>
      </c>
      <c r="J344" t="n">
        <v>0.18</v>
      </c>
      <c r="K344" t="n">
        <v>91.95</v>
      </c>
      <c r="L344" t="n">
        <v>602.8099999999999</v>
      </c>
      <c r="M344" t="inlineStr">
        <is>
          <t>INR</t>
        </is>
      </c>
      <c r="N344" t="inlineStr">
        <is>
          <t>Paid</t>
        </is>
      </c>
      <c r="O344" t="inlineStr">
        <is>
          <t>Paid</t>
        </is>
      </c>
      <c r="P344" t="n">
        <v>510.86</v>
      </c>
      <c r="Q344" t="n">
        <v>510.86</v>
      </c>
      <c r="R344" t="b">
        <v>0</v>
      </c>
    </row>
    <row r="345">
      <c r="A345" t="inlineStr">
        <is>
          <t>INV0009646</t>
        </is>
      </c>
      <c r="B345" t="inlineStr">
        <is>
          <t>MER00457</t>
        </is>
      </c>
      <c r="C345" t="inlineStr">
        <is>
          <t>2025-07-01</t>
        </is>
      </c>
      <c r="D345" t="inlineStr">
        <is>
          <t>2025-07-31</t>
        </is>
      </c>
      <c r="E345" s="8" t="n">
        <v>45871</v>
      </c>
      <c r="F345" s="8" t="n">
        <v>45886</v>
      </c>
      <c r="G345" t="n">
        <v>460.79</v>
      </c>
      <c r="H345" t="n">
        <v>0</v>
      </c>
      <c r="I345" t="n">
        <v>460.79</v>
      </c>
      <c r="J345" t="n">
        <v>0.18</v>
      </c>
      <c r="K345" t="n">
        <v>82.94</v>
      </c>
      <c r="L345" t="n">
        <v>543.73</v>
      </c>
      <c r="M345" t="inlineStr">
        <is>
          <t>INR</t>
        </is>
      </c>
      <c r="N345" t="inlineStr">
        <is>
          <t>Paid</t>
        </is>
      </c>
      <c r="O345" t="inlineStr">
        <is>
          <t>Paid</t>
        </is>
      </c>
      <c r="P345" t="n">
        <v>460.79</v>
      </c>
      <c r="Q345" t="n">
        <v>460.79</v>
      </c>
      <c r="R345" t="b">
        <v>0</v>
      </c>
    </row>
    <row r="346">
      <c r="A346" t="inlineStr">
        <is>
          <t>INV0009647</t>
        </is>
      </c>
      <c r="B346" t="inlineStr">
        <is>
          <t>MER00457</t>
        </is>
      </c>
      <c r="C346" t="inlineStr">
        <is>
          <t>2025-08-01</t>
        </is>
      </c>
      <c r="D346" t="inlineStr">
        <is>
          <t>2025-08-31</t>
        </is>
      </c>
      <c r="E346" s="8" t="n">
        <v>45902</v>
      </c>
      <c r="F346" s="8" t="n">
        <v>45917</v>
      </c>
      <c r="G346" t="n">
        <v>835.25</v>
      </c>
      <c r="H346" t="n">
        <v>0</v>
      </c>
      <c r="I346" t="n">
        <v>835.25</v>
      </c>
      <c r="J346" t="n">
        <v>0.18</v>
      </c>
      <c r="K346" t="n">
        <v>150.34</v>
      </c>
      <c r="L346" t="n">
        <v>985.59</v>
      </c>
      <c r="M346" t="inlineStr">
        <is>
          <t>INR</t>
        </is>
      </c>
      <c r="N346" t="inlineStr">
        <is>
          <t>Paid</t>
        </is>
      </c>
      <c r="O346" t="inlineStr">
        <is>
          <t>Paid</t>
        </is>
      </c>
      <c r="P346" t="n">
        <v>662.79</v>
      </c>
      <c r="Q346" t="n">
        <v>835.25</v>
      </c>
      <c r="R346" t="b">
        <v>1</v>
      </c>
    </row>
    <row r="347">
      <c r="A347" t="inlineStr">
        <is>
          <t>INV0009648</t>
        </is>
      </c>
      <c r="B347" t="inlineStr">
        <is>
          <t>MER00457</t>
        </is>
      </c>
      <c r="C347" t="inlineStr">
        <is>
          <t>2025-09-01</t>
        </is>
      </c>
      <c r="D347" t="inlineStr">
        <is>
          <t>2025-09-30</t>
        </is>
      </c>
      <c r="E347" s="8" t="n">
        <v>45932</v>
      </c>
      <c r="F347" s="8" t="n">
        <v>45947</v>
      </c>
      <c r="G347" t="n">
        <v>1211.26</v>
      </c>
      <c r="H347" t="n">
        <v>0</v>
      </c>
      <c r="I347" t="n">
        <v>1211.26</v>
      </c>
      <c r="J347" t="n">
        <v>0.18</v>
      </c>
      <c r="K347" t="n">
        <v>218.03</v>
      </c>
      <c r="L347" t="n">
        <v>1429.29</v>
      </c>
      <c r="M347" t="inlineStr">
        <is>
          <t>INR</t>
        </is>
      </c>
      <c r="N347" t="inlineStr">
        <is>
          <t>Paid</t>
        </is>
      </c>
      <c r="O347" t="inlineStr">
        <is>
          <t>Paid</t>
        </is>
      </c>
      <c r="P347" t="n">
        <v>1345.44</v>
      </c>
      <c r="Q347" t="n">
        <v>1211.26</v>
      </c>
      <c r="R347" t="b">
        <v>1</v>
      </c>
    </row>
    <row r="348">
      <c r="A348" t="inlineStr">
        <is>
          <t>INV0009649</t>
        </is>
      </c>
      <c r="B348" t="inlineStr">
        <is>
          <t>MER00457</t>
        </is>
      </c>
      <c r="C348" t="inlineStr">
        <is>
          <t>2025-10-01</t>
        </is>
      </c>
      <c r="D348" t="inlineStr">
        <is>
          <t>2025-10-31</t>
        </is>
      </c>
      <c r="E348" s="8" t="n">
        <v>45963</v>
      </c>
      <c r="F348" s="8" t="n">
        <v>45978</v>
      </c>
      <c r="G348" t="n">
        <v>1645.28</v>
      </c>
      <c r="H348" t="n">
        <v>0</v>
      </c>
      <c r="I348" t="n">
        <v>1645.28</v>
      </c>
      <c r="J348" t="n">
        <v>0.18</v>
      </c>
      <c r="K348" t="n">
        <v>296.15</v>
      </c>
      <c r="L348" t="n">
        <v>1941.43</v>
      </c>
      <c r="M348" t="inlineStr">
        <is>
          <t>INR</t>
        </is>
      </c>
      <c r="N348" t="inlineStr">
        <is>
          <t>Paid</t>
        </is>
      </c>
      <c r="O348" t="inlineStr">
        <is>
          <t>Paid</t>
        </is>
      </c>
      <c r="P348" t="n">
        <v>1987.66</v>
      </c>
      <c r="Q348" t="n">
        <v>1645.28</v>
      </c>
      <c r="R348" t="b">
        <v>1</v>
      </c>
    </row>
    <row r="349">
      <c r="A349" t="inlineStr">
        <is>
          <t>INV0009650</t>
        </is>
      </c>
      <c r="B349" t="inlineStr">
        <is>
          <t>MER00457</t>
        </is>
      </c>
      <c r="C349" t="inlineStr">
        <is>
          <t>2025-11-01</t>
        </is>
      </c>
      <c r="D349" t="inlineStr">
        <is>
          <t>2025-11-30</t>
        </is>
      </c>
      <c r="E349" s="8" t="n">
        <v>45993</v>
      </c>
      <c r="F349" s="8" t="n">
        <v>46008</v>
      </c>
      <c r="G349" t="n">
        <v>406.43</v>
      </c>
      <c r="H349" t="n">
        <v>0</v>
      </c>
      <c r="I349" t="n">
        <v>406.43</v>
      </c>
      <c r="J349" t="n">
        <v>0.18</v>
      </c>
      <c r="K349" t="n">
        <v>73.16</v>
      </c>
      <c r="L349" t="n">
        <v>479.59</v>
      </c>
      <c r="M349" t="inlineStr">
        <is>
          <t>INR</t>
        </is>
      </c>
      <c r="N349" t="inlineStr">
        <is>
          <t>Paid</t>
        </is>
      </c>
      <c r="O349" t="inlineStr">
        <is>
          <t>Paid</t>
        </is>
      </c>
      <c r="P349" t="n">
        <v>406.43</v>
      </c>
      <c r="Q349" t="n">
        <v>406.43</v>
      </c>
      <c r="R349" t="b">
        <v>0</v>
      </c>
    </row>
    <row r="350">
      <c r="A350" t="inlineStr">
        <is>
          <t>INV0009651</t>
        </is>
      </c>
      <c r="B350" t="inlineStr">
        <is>
          <t>MER00457</t>
        </is>
      </c>
      <c r="C350" t="inlineStr">
        <is>
          <t>2025-12-01</t>
        </is>
      </c>
      <c r="D350" t="inlineStr">
        <is>
          <t>2025-12-31</t>
        </is>
      </c>
      <c r="E350" s="8" t="n">
        <v>46024</v>
      </c>
      <c r="F350" s="8" t="n">
        <v>46039</v>
      </c>
      <c r="G350" t="n">
        <v>982.46</v>
      </c>
      <c r="H350" t="n">
        <v>0</v>
      </c>
      <c r="I350" t="n">
        <v>982.46</v>
      </c>
      <c r="J350" t="n">
        <v>0.18</v>
      </c>
      <c r="K350" t="n">
        <v>176.84</v>
      </c>
      <c r="L350" t="n">
        <v>1159.3</v>
      </c>
      <c r="M350" t="inlineStr">
        <is>
          <t>INR</t>
        </is>
      </c>
      <c r="N350" t="inlineStr">
        <is>
          <t>Overdue</t>
        </is>
      </c>
      <c r="O350" t="inlineStr">
        <is>
          <t>Unpaid</t>
        </is>
      </c>
      <c r="P350" t="n">
        <v>730.5</v>
      </c>
      <c r="Q350" t="n">
        <v>982.46</v>
      </c>
      <c r="R350" t="b">
        <v>1</v>
      </c>
    </row>
    <row r="351">
      <c r="A351" t="inlineStr">
        <is>
          <t>INV0009652</t>
        </is>
      </c>
      <c r="B351" t="inlineStr">
        <is>
          <t>MER00457</t>
        </is>
      </c>
      <c r="C351" t="inlineStr">
        <is>
          <t>2026-01-01</t>
        </is>
      </c>
      <c r="D351" t="inlineStr">
        <is>
          <t>2026-01-31</t>
        </is>
      </c>
      <c r="E351" s="8" t="n">
        <v>46055</v>
      </c>
      <c r="F351" s="8" t="n">
        <v>46070</v>
      </c>
      <c r="G351" t="n">
        <v>1699.29</v>
      </c>
      <c r="H351" t="n">
        <v>0</v>
      </c>
      <c r="I351" t="n">
        <v>1699.29</v>
      </c>
      <c r="J351" t="n">
        <v>0.18</v>
      </c>
      <c r="K351" t="n">
        <v>305.87</v>
      </c>
      <c r="L351" t="n">
        <v>2005.16</v>
      </c>
      <c r="M351" t="inlineStr">
        <is>
          <t>INR</t>
        </is>
      </c>
      <c r="N351" t="inlineStr">
        <is>
          <t>Paid</t>
        </is>
      </c>
      <c r="O351" t="inlineStr">
        <is>
          <t>Paid</t>
        </is>
      </c>
      <c r="P351" t="n">
        <v>1699.29</v>
      </c>
      <c r="Q351" t="n">
        <v>1699.29</v>
      </c>
      <c r="R351" t="b">
        <v>0</v>
      </c>
    </row>
    <row r="352">
      <c r="A352" t="inlineStr">
        <is>
          <t>INV0009653</t>
        </is>
      </c>
      <c r="B352" t="inlineStr">
        <is>
          <t>MER00457</t>
        </is>
      </c>
      <c r="C352" t="inlineStr">
        <is>
          <t>2026-02-01</t>
        </is>
      </c>
      <c r="D352" t="inlineStr">
        <is>
          <t>2026-02-28</t>
        </is>
      </c>
      <c r="E352" s="8" t="n">
        <v>46083</v>
      </c>
      <c r="F352" s="8" t="n">
        <v>46098</v>
      </c>
      <c r="G352" t="n">
        <v>926.55</v>
      </c>
      <c r="H352" t="n">
        <v>0</v>
      </c>
      <c r="I352" t="n">
        <v>926.55</v>
      </c>
      <c r="J352" t="n">
        <v>0.18</v>
      </c>
      <c r="K352" t="n">
        <v>166.78</v>
      </c>
      <c r="L352" t="n">
        <v>1093.33</v>
      </c>
      <c r="M352" t="inlineStr">
        <is>
          <t>INR</t>
        </is>
      </c>
      <c r="N352" t="inlineStr">
        <is>
          <t>Paid</t>
        </is>
      </c>
      <c r="O352" t="inlineStr">
        <is>
          <t>Paid</t>
        </is>
      </c>
      <c r="P352" t="n">
        <v>926.55</v>
      </c>
      <c r="Q352" t="n">
        <v>926.55</v>
      </c>
      <c r="R352" t="b">
        <v>0</v>
      </c>
    </row>
    <row r="353">
      <c r="A353" t="inlineStr">
        <is>
          <t>INV0009654</t>
        </is>
      </c>
      <c r="B353" t="inlineStr">
        <is>
          <t>MER00457</t>
        </is>
      </c>
      <c r="C353" t="inlineStr">
        <is>
          <t>2026-03-01</t>
        </is>
      </c>
      <c r="D353" t="inlineStr">
        <is>
          <t>2026-03-31</t>
        </is>
      </c>
      <c r="E353" s="8" t="n">
        <v>46114</v>
      </c>
      <c r="F353" s="8" t="n">
        <v>46129</v>
      </c>
      <c r="G353" t="n">
        <v>1929.77</v>
      </c>
      <c r="H353" t="n">
        <v>0</v>
      </c>
      <c r="I353" t="n">
        <v>1929.77</v>
      </c>
      <c r="J353" t="n">
        <v>0.18</v>
      </c>
      <c r="K353" t="n">
        <v>347.36</v>
      </c>
      <c r="L353" t="n">
        <v>2277.13</v>
      </c>
      <c r="M353" t="inlineStr">
        <is>
          <t>INR</t>
        </is>
      </c>
      <c r="N353" t="inlineStr">
        <is>
          <t>Paid</t>
        </is>
      </c>
      <c r="O353" t="inlineStr">
        <is>
          <t>Paid</t>
        </is>
      </c>
      <c r="P353" t="n">
        <v>2157.96</v>
      </c>
      <c r="Q353" t="n">
        <v>1929.77</v>
      </c>
      <c r="R353" t="b">
        <v>1</v>
      </c>
    </row>
    <row r="354">
      <c r="A354" t="inlineStr">
        <is>
          <t>INV0009655</t>
        </is>
      </c>
      <c r="B354" t="inlineStr">
        <is>
          <t>MER00457</t>
        </is>
      </c>
      <c r="C354" t="inlineStr">
        <is>
          <t>2026-04-01</t>
        </is>
      </c>
      <c r="D354" t="inlineStr">
        <is>
          <t>2026-04-30</t>
        </is>
      </c>
      <c r="E354" s="8" t="n">
        <v>46144</v>
      </c>
      <c r="F354" s="8" t="n">
        <v>46159</v>
      </c>
      <c r="G354" t="n">
        <v>1383.66</v>
      </c>
      <c r="H354" t="n">
        <v>0</v>
      </c>
      <c r="I354" t="n">
        <v>1383.66</v>
      </c>
      <c r="J354" t="n">
        <v>0.18</v>
      </c>
      <c r="K354" t="n">
        <v>249.06</v>
      </c>
      <c r="L354" t="n">
        <v>1632.72</v>
      </c>
      <c r="M354" t="inlineStr">
        <is>
          <t>INR</t>
        </is>
      </c>
      <c r="N354" t="inlineStr">
        <is>
          <t>Paid</t>
        </is>
      </c>
      <c r="O354" t="inlineStr">
        <is>
          <t>Paid</t>
        </is>
      </c>
      <c r="P354" t="n">
        <v>1383.66</v>
      </c>
      <c r="Q354" t="n">
        <v>1383.66</v>
      </c>
      <c r="R354" t="b">
        <v>0</v>
      </c>
    </row>
    <row r="355">
      <c r="A355" t="inlineStr">
        <is>
          <t>INV0009656</t>
        </is>
      </c>
      <c r="B355" t="inlineStr">
        <is>
          <t>MER00457</t>
        </is>
      </c>
      <c r="C355" t="inlineStr">
        <is>
          <t>2026-05-01</t>
        </is>
      </c>
      <c r="D355" t="inlineStr">
        <is>
          <t>2026-05-31</t>
        </is>
      </c>
      <c r="E355" s="8" t="n">
        <v>46175</v>
      </c>
      <c r="F355" s="8" t="n">
        <v>46190</v>
      </c>
      <c r="G355" t="n">
        <v>824.37</v>
      </c>
      <c r="H355" t="n">
        <v>0</v>
      </c>
      <c r="I355" t="n">
        <v>824.37</v>
      </c>
      <c r="J355" t="n">
        <v>0.18</v>
      </c>
      <c r="K355" t="n">
        <v>148.39</v>
      </c>
      <c r="L355" t="n">
        <v>972.76</v>
      </c>
      <c r="M355" t="inlineStr">
        <is>
          <t>INR</t>
        </is>
      </c>
      <c r="N355" t="inlineStr">
        <is>
          <t>Paid</t>
        </is>
      </c>
      <c r="O355" t="inlineStr">
        <is>
          <t>Paid</t>
        </is>
      </c>
      <c r="P355" t="n">
        <v>824.37</v>
      </c>
      <c r="Q355" t="n">
        <v>824.37</v>
      </c>
      <c r="R355" t="b">
        <v>0</v>
      </c>
    </row>
    <row r="356">
      <c r="A356" t="inlineStr">
        <is>
          <t>INV0009657</t>
        </is>
      </c>
      <c r="B356" t="inlineStr">
        <is>
          <t>MER00457</t>
        </is>
      </c>
      <c r="C356" t="inlineStr">
        <is>
          <t>2026-06-01</t>
        </is>
      </c>
      <c r="D356" t="inlineStr">
        <is>
          <t>2026-06-30</t>
        </is>
      </c>
      <c r="E356" s="8" t="n">
        <v>46205</v>
      </c>
      <c r="F356" s="8" t="n">
        <v>46220</v>
      </c>
      <c r="G356" t="n">
        <v>268.12</v>
      </c>
      <c r="H356" t="n">
        <v>0</v>
      </c>
      <c r="I356" t="n">
        <v>268.12</v>
      </c>
      <c r="J356" t="n">
        <v>0.18</v>
      </c>
      <c r="K356" t="n">
        <v>48.26</v>
      </c>
      <c r="L356" t="n">
        <v>316.38</v>
      </c>
      <c r="M356" t="inlineStr">
        <is>
          <t>INR</t>
        </is>
      </c>
      <c r="N356" t="inlineStr">
        <is>
          <t>Paid</t>
        </is>
      </c>
      <c r="O356" t="inlineStr">
        <is>
          <t>Paid</t>
        </is>
      </c>
      <c r="P356" t="n">
        <v>268.12</v>
      </c>
      <c r="Q356" t="n">
        <v>268.12</v>
      </c>
      <c r="R356" t="b">
        <v>0</v>
      </c>
    </row>
    <row r="357">
      <c r="A357" t="inlineStr">
        <is>
          <t>INV0009658</t>
        </is>
      </c>
      <c r="B357" t="inlineStr">
        <is>
          <t>MER00457</t>
        </is>
      </c>
      <c r="C357" t="inlineStr">
        <is>
          <t>2026-07-01</t>
        </is>
      </c>
      <c r="D357" t="inlineStr">
        <is>
          <t>2026-07-31</t>
        </is>
      </c>
      <c r="E357" s="8" t="n">
        <v>46236</v>
      </c>
      <c r="F357" s="8" t="n">
        <v>46251</v>
      </c>
      <c r="G357" t="n">
        <v>1733.23</v>
      </c>
      <c r="H357" t="n">
        <v>0</v>
      </c>
      <c r="I357" t="n">
        <v>1733.23</v>
      </c>
      <c r="J357" t="n">
        <v>0.18</v>
      </c>
      <c r="K357" t="n">
        <v>311.98</v>
      </c>
      <c r="L357" t="n">
        <v>2045.21</v>
      </c>
      <c r="M357" t="inlineStr">
        <is>
          <t>INR</t>
        </is>
      </c>
      <c r="N357" t="inlineStr">
        <is>
          <t>Paid</t>
        </is>
      </c>
      <c r="O357" t="inlineStr">
        <is>
          <t>Paid</t>
        </is>
      </c>
      <c r="P357" t="n">
        <v>1733.23</v>
      </c>
      <c r="Q357" t="n">
        <v>1733.23</v>
      </c>
      <c r="R357" t="b">
        <v>0</v>
      </c>
    </row>
    <row r="358">
      <c r="A358" t="inlineStr">
        <is>
          <t>INV0010152</t>
        </is>
      </c>
      <c r="B358" t="inlineStr">
        <is>
          <t>MER00480</t>
        </is>
      </c>
      <c r="C358" t="inlineStr">
        <is>
          <t>2024-08-01</t>
        </is>
      </c>
      <c r="D358" t="inlineStr">
        <is>
          <t>2024-08-31</t>
        </is>
      </c>
      <c r="E358" s="8" t="n">
        <v>45537</v>
      </c>
      <c r="F358" s="8" t="n">
        <v>45567</v>
      </c>
      <c r="G358" t="n">
        <v>2100.99</v>
      </c>
      <c r="H358" t="n">
        <v>0</v>
      </c>
      <c r="I358" t="n">
        <v>2100.99</v>
      </c>
      <c r="J358" t="n">
        <v>0.18</v>
      </c>
      <c r="K358" t="n">
        <v>378.18</v>
      </c>
      <c r="L358" t="n">
        <v>2479.17</v>
      </c>
      <c r="M358" t="inlineStr">
        <is>
          <t>INR</t>
        </is>
      </c>
      <c r="N358" t="inlineStr">
        <is>
          <t>Paid</t>
        </is>
      </c>
      <c r="O358" t="inlineStr">
        <is>
          <t>Paid</t>
        </is>
      </c>
      <c r="P358" t="n">
        <v>2100.99</v>
      </c>
      <c r="Q358" t="n">
        <v>2100.99</v>
      </c>
      <c r="R358" t="b">
        <v>0</v>
      </c>
    </row>
    <row r="359">
      <c r="A359" t="inlineStr">
        <is>
          <t>INV0010153</t>
        </is>
      </c>
      <c r="B359" t="inlineStr">
        <is>
          <t>MER00480</t>
        </is>
      </c>
      <c r="C359" t="inlineStr">
        <is>
          <t>2024-09-01</t>
        </is>
      </c>
      <c r="D359" t="inlineStr">
        <is>
          <t>2024-09-30</t>
        </is>
      </c>
      <c r="E359" s="8" t="n">
        <v>45567</v>
      </c>
      <c r="F359" s="8" t="n">
        <v>45597</v>
      </c>
      <c r="G359" t="n">
        <v>1247.41</v>
      </c>
      <c r="H359" t="n">
        <v>0</v>
      </c>
      <c r="I359" t="n">
        <v>1247.41</v>
      </c>
      <c r="J359" t="n">
        <v>0.18</v>
      </c>
      <c r="K359" t="n">
        <v>224.53</v>
      </c>
      <c r="L359" t="n">
        <v>1471.94</v>
      </c>
      <c r="M359" t="inlineStr">
        <is>
          <t>INR</t>
        </is>
      </c>
      <c r="N359" t="inlineStr">
        <is>
          <t>Paid</t>
        </is>
      </c>
      <c r="O359" t="inlineStr">
        <is>
          <t>Paid</t>
        </is>
      </c>
      <c r="P359" t="n">
        <v>1247.41</v>
      </c>
      <c r="Q359" t="n">
        <v>1247.41</v>
      </c>
      <c r="R359" t="b">
        <v>0</v>
      </c>
    </row>
    <row r="360">
      <c r="A360" t="inlineStr">
        <is>
          <t>INV0010154</t>
        </is>
      </c>
      <c r="B360" t="inlineStr">
        <is>
          <t>MER00480</t>
        </is>
      </c>
      <c r="C360" t="inlineStr">
        <is>
          <t>2024-10-01</t>
        </is>
      </c>
      <c r="D360" t="inlineStr">
        <is>
          <t>2024-10-31</t>
        </is>
      </c>
      <c r="E360" s="8" t="n">
        <v>45598</v>
      </c>
      <c r="F360" s="8" t="n">
        <v>45628</v>
      </c>
      <c r="G360" t="n">
        <v>2066.7</v>
      </c>
      <c r="H360" t="n">
        <v>0</v>
      </c>
      <c r="I360" t="n">
        <v>2066.7</v>
      </c>
      <c r="J360" t="n">
        <v>0.18</v>
      </c>
      <c r="K360" t="n">
        <v>372.01</v>
      </c>
      <c r="L360" t="n">
        <v>2438.71</v>
      </c>
      <c r="M360" t="inlineStr">
        <is>
          <t>INR</t>
        </is>
      </c>
      <c r="N360" t="inlineStr">
        <is>
          <t>Paid</t>
        </is>
      </c>
      <c r="O360" t="inlineStr">
        <is>
          <t>Paid</t>
        </is>
      </c>
      <c r="P360" t="n">
        <v>2066.7</v>
      </c>
      <c r="Q360" t="n">
        <v>2066.7</v>
      </c>
      <c r="R360" t="b">
        <v>0</v>
      </c>
    </row>
    <row r="361">
      <c r="A361" t="inlineStr">
        <is>
          <t>INV0010155</t>
        </is>
      </c>
      <c r="B361" t="inlineStr">
        <is>
          <t>MER00480</t>
        </is>
      </c>
      <c r="C361" t="inlineStr">
        <is>
          <t>2024-11-01</t>
        </is>
      </c>
      <c r="D361" t="inlineStr">
        <is>
          <t>2024-11-30</t>
        </is>
      </c>
      <c r="E361" s="8" t="n">
        <v>45628</v>
      </c>
      <c r="F361" s="8" t="n">
        <v>45658</v>
      </c>
      <c r="G361" t="n">
        <v>3844.6</v>
      </c>
      <c r="H361" t="n">
        <v>238.37</v>
      </c>
      <c r="I361" t="n">
        <v>3606.23</v>
      </c>
      <c r="J361" t="n">
        <v>0.18</v>
      </c>
      <c r="K361" t="n">
        <v>649.12</v>
      </c>
      <c r="L361" t="n">
        <v>4255.35</v>
      </c>
      <c r="M361" t="inlineStr">
        <is>
          <t>INR</t>
        </is>
      </c>
      <c r="N361" t="inlineStr">
        <is>
          <t>Paid</t>
        </is>
      </c>
      <c r="O361" t="inlineStr">
        <is>
          <t>Paid</t>
        </is>
      </c>
      <c r="P361" t="n">
        <v>3844.6</v>
      </c>
      <c r="Q361" t="n">
        <v>3844.6</v>
      </c>
      <c r="R361" t="b">
        <v>0</v>
      </c>
    </row>
    <row r="362">
      <c r="A362" t="inlineStr">
        <is>
          <t>INV0010156</t>
        </is>
      </c>
      <c r="B362" t="inlineStr">
        <is>
          <t>MER00480</t>
        </is>
      </c>
      <c r="C362" t="inlineStr">
        <is>
          <t>2024-12-01</t>
        </is>
      </c>
      <c r="D362" t="inlineStr">
        <is>
          <t>2024-12-31</t>
        </is>
      </c>
      <c r="E362" s="8" t="n">
        <v>45659</v>
      </c>
      <c r="F362" s="8" t="n">
        <v>45689</v>
      </c>
      <c r="G362" t="n">
        <v>1214.36</v>
      </c>
      <c r="H362" t="n">
        <v>0</v>
      </c>
      <c r="I362" t="n">
        <v>1214.36</v>
      </c>
      <c r="J362" t="n">
        <v>0.18</v>
      </c>
      <c r="K362" t="n">
        <v>218.58</v>
      </c>
      <c r="L362" t="n">
        <v>1432.94</v>
      </c>
      <c r="M362" t="inlineStr">
        <is>
          <t>INR</t>
        </is>
      </c>
      <c r="N362" t="inlineStr">
        <is>
          <t>Overdue</t>
        </is>
      </c>
      <c r="O362" t="inlineStr">
        <is>
          <t>Unpaid</t>
        </is>
      </c>
      <c r="P362" t="n">
        <v>1214.36</v>
      </c>
      <c r="Q362" t="n">
        <v>1214.36</v>
      </c>
      <c r="R362" t="b">
        <v>0</v>
      </c>
    </row>
    <row r="363">
      <c r="A363" t="inlineStr">
        <is>
          <t>INV0010157</t>
        </is>
      </c>
      <c r="B363" t="inlineStr">
        <is>
          <t>MER00480</t>
        </is>
      </c>
      <c r="C363" t="inlineStr">
        <is>
          <t>2025-01-01</t>
        </is>
      </c>
      <c r="D363" t="inlineStr">
        <is>
          <t>2025-01-31</t>
        </is>
      </c>
      <c r="E363" s="8" t="n">
        <v>45690</v>
      </c>
      <c r="F363" s="8" t="n">
        <v>45720</v>
      </c>
      <c r="G363" t="n">
        <v>1554.66</v>
      </c>
      <c r="H363" t="n">
        <v>0</v>
      </c>
      <c r="I363" t="n">
        <v>1554.66</v>
      </c>
      <c r="J363" t="n">
        <v>0.18</v>
      </c>
      <c r="K363" t="n">
        <v>279.84</v>
      </c>
      <c r="L363" t="n">
        <v>1834.5</v>
      </c>
      <c r="M363" t="inlineStr">
        <is>
          <t>INR</t>
        </is>
      </c>
      <c r="N363" t="inlineStr">
        <is>
          <t>Paid</t>
        </is>
      </c>
      <c r="O363" t="inlineStr">
        <is>
          <t>Paid</t>
        </is>
      </c>
      <c r="P363" t="n">
        <v>1554.66</v>
      </c>
      <c r="Q363" t="n">
        <v>1554.66</v>
      </c>
      <c r="R363" t="b">
        <v>0</v>
      </c>
    </row>
    <row r="364">
      <c r="A364" t="inlineStr">
        <is>
          <t>INV0010158</t>
        </is>
      </c>
      <c r="B364" t="inlineStr">
        <is>
          <t>MER00480</t>
        </is>
      </c>
      <c r="C364" t="inlineStr">
        <is>
          <t>2025-02-01</t>
        </is>
      </c>
      <c r="D364" t="inlineStr">
        <is>
          <t>2025-02-28</t>
        </is>
      </c>
      <c r="E364" s="8" t="n">
        <v>45718</v>
      </c>
      <c r="F364" s="8" t="n">
        <v>45748</v>
      </c>
      <c r="G364" t="n">
        <v>1697.34</v>
      </c>
      <c r="H364" t="n">
        <v>0</v>
      </c>
      <c r="I364" t="n">
        <v>1697.34</v>
      </c>
      <c r="J364" t="n">
        <v>0.18</v>
      </c>
      <c r="K364" t="n">
        <v>305.52</v>
      </c>
      <c r="L364" t="n">
        <v>2002.86</v>
      </c>
      <c r="M364" t="inlineStr">
        <is>
          <t>INR</t>
        </is>
      </c>
      <c r="N364" t="inlineStr">
        <is>
          <t>Overdue</t>
        </is>
      </c>
      <c r="O364" t="inlineStr">
        <is>
          <t>Unpaid</t>
        </is>
      </c>
      <c r="P364" t="n">
        <v>1697.34</v>
      </c>
      <c r="Q364" t="n">
        <v>1697.34</v>
      </c>
      <c r="R364" t="b">
        <v>0</v>
      </c>
    </row>
    <row r="365">
      <c r="A365" t="inlineStr">
        <is>
          <t>INV0010159</t>
        </is>
      </c>
      <c r="B365" t="inlineStr">
        <is>
          <t>MER00480</t>
        </is>
      </c>
      <c r="C365" t="inlineStr">
        <is>
          <t>2025-03-01</t>
        </is>
      </c>
      <c r="D365" t="inlineStr">
        <is>
          <t>2025-03-31</t>
        </is>
      </c>
      <c r="E365" s="8" t="n">
        <v>45749</v>
      </c>
      <c r="F365" s="8" t="n">
        <v>45779</v>
      </c>
      <c r="G365" t="n">
        <v>2685.8</v>
      </c>
      <c r="H365" t="n">
        <v>0</v>
      </c>
      <c r="I365" t="n">
        <v>2685.8</v>
      </c>
      <c r="J365" t="n">
        <v>0.18</v>
      </c>
      <c r="K365" t="n">
        <v>483.44</v>
      </c>
      <c r="L365" t="n">
        <v>3169.24</v>
      </c>
      <c r="M365" t="inlineStr">
        <is>
          <t>INR</t>
        </is>
      </c>
      <c r="N365" t="inlineStr">
        <is>
          <t>Paid</t>
        </is>
      </c>
      <c r="O365" t="inlineStr">
        <is>
          <t>Paid</t>
        </is>
      </c>
      <c r="P365" t="n">
        <v>2685.8</v>
      </c>
      <c r="Q365" t="n">
        <v>2685.8</v>
      </c>
      <c r="R365" t="b">
        <v>0</v>
      </c>
    </row>
    <row r="366">
      <c r="A366" t="inlineStr">
        <is>
          <t>INV0010160</t>
        </is>
      </c>
      <c r="B366" t="inlineStr">
        <is>
          <t>MER00480</t>
        </is>
      </c>
      <c r="C366" t="inlineStr">
        <is>
          <t>2025-04-01</t>
        </is>
      </c>
      <c r="D366" t="inlineStr">
        <is>
          <t>2025-04-30</t>
        </is>
      </c>
      <c r="E366" s="8" t="n">
        <v>45779</v>
      </c>
      <c r="F366" s="8" t="n">
        <v>45809</v>
      </c>
      <c r="G366" t="n">
        <v>1856.05</v>
      </c>
      <c r="H366" t="n">
        <v>0</v>
      </c>
      <c r="I366" t="n">
        <v>1856.05</v>
      </c>
      <c r="J366" t="n">
        <v>0.18</v>
      </c>
      <c r="K366" t="n">
        <v>334.09</v>
      </c>
      <c r="L366" t="n">
        <v>2190.14</v>
      </c>
      <c r="M366" t="inlineStr">
        <is>
          <t>INR</t>
        </is>
      </c>
      <c r="N366" t="inlineStr">
        <is>
          <t>Paid</t>
        </is>
      </c>
      <c r="O366" t="inlineStr">
        <is>
          <t>Paid</t>
        </is>
      </c>
      <c r="P366" t="n">
        <v>1856.05</v>
      </c>
      <c r="Q366" t="n">
        <v>1856.05</v>
      </c>
      <c r="R366" t="b">
        <v>0</v>
      </c>
    </row>
    <row r="367">
      <c r="A367" t="inlineStr">
        <is>
          <t>INV0010161</t>
        </is>
      </c>
      <c r="B367" t="inlineStr">
        <is>
          <t>MER00480</t>
        </is>
      </c>
      <c r="C367" t="inlineStr">
        <is>
          <t>2025-05-01</t>
        </is>
      </c>
      <c r="D367" t="inlineStr">
        <is>
          <t>2025-05-31</t>
        </is>
      </c>
      <c r="E367" s="8" t="n">
        <v>45810</v>
      </c>
      <c r="F367" s="8" t="n">
        <v>45840</v>
      </c>
      <c r="G367" t="n">
        <v>2472.33</v>
      </c>
      <c r="H367" t="n">
        <v>0</v>
      </c>
      <c r="I367" t="n">
        <v>2472.33</v>
      </c>
      <c r="J367" t="n">
        <v>0.18</v>
      </c>
      <c r="K367" t="n">
        <v>445.02</v>
      </c>
      <c r="L367" t="n">
        <v>2917.35</v>
      </c>
      <c r="M367" t="inlineStr">
        <is>
          <t>INR</t>
        </is>
      </c>
      <c r="N367" t="inlineStr">
        <is>
          <t>Overdue</t>
        </is>
      </c>
      <c r="O367" t="inlineStr">
        <is>
          <t>Unpaid</t>
        </is>
      </c>
      <c r="P367" t="n">
        <v>2472.33</v>
      </c>
      <c r="Q367" t="n">
        <v>2472.33</v>
      </c>
      <c r="R367" t="b">
        <v>0</v>
      </c>
    </row>
    <row r="368">
      <c r="A368" t="inlineStr">
        <is>
          <t>INV0010162</t>
        </is>
      </c>
      <c r="B368" t="inlineStr">
        <is>
          <t>MER00480</t>
        </is>
      </c>
      <c r="C368" t="inlineStr">
        <is>
          <t>2025-06-01</t>
        </is>
      </c>
      <c r="D368" t="inlineStr">
        <is>
          <t>2025-06-30</t>
        </is>
      </c>
      <c r="E368" s="8" t="n">
        <v>45840</v>
      </c>
      <c r="F368" s="8" t="n">
        <v>45870</v>
      </c>
      <c r="G368" t="n">
        <v>2289.45</v>
      </c>
      <c r="H368" t="n">
        <v>247.26</v>
      </c>
      <c r="I368" t="n">
        <v>2042.19</v>
      </c>
      <c r="J368" t="n">
        <v>0.18</v>
      </c>
      <c r="K368" t="n">
        <v>367.59</v>
      </c>
      <c r="L368" t="n">
        <v>2409.78</v>
      </c>
      <c r="M368" t="inlineStr">
        <is>
          <t>INR</t>
        </is>
      </c>
      <c r="N368" t="inlineStr">
        <is>
          <t>Overdue</t>
        </is>
      </c>
      <c r="O368" t="inlineStr">
        <is>
          <t>Unpaid</t>
        </is>
      </c>
      <c r="P368" t="n">
        <v>2289.45</v>
      </c>
      <c r="Q368" t="n">
        <v>2289.45</v>
      </c>
      <c r="R368" t="b">
        <v>0</v>
      </c>
    </row>
    <row r="369">
      <c r="A369" t="inlineStr">
        <is>
          <t>INV0010163</t>
        </is>
      </c>
      <c r="B369" t="inlineStr">
        <is>
          <t>MER00480</t>
        </is>
      </c>
      <c r="C369" t="inlineStr">
        <is>
          <t>2025-07-01</t>
        </is>
      </c>
      <c r="D369" t="inlineStr">
        <is>
          <t>2025-07-31</t>
        </is>
      </c>
      <c r="E369" s="8" t="n">
        <v>45871</v>
      </c>
      <c r="F369" s="8" t="n">
        <v>45901</v>
      </c>
      <c r="G369" t="n">
        <v>2116.24</v>
      </c>
      <c r="H369" t="n">
        <v>0</v>
      </c>
      <c r="I369" t="n">
        <v>2116.24</v>
      </c>
      <c r="J369" t="n">
        <v>0.18</v>
      </c>
      <c r="K369" t="n">
        <v>380.92</v>
      </c>
      <c r="L369" t="n">
        <v>2497.16</v>
      </c>
      <c r="M369" t="inlineStr">
        <is>
          <t>INR</t>
        </is>
      </c>
      <c r="N369" t="inlineStr">
        <is>
          <t>Overdue</t>
        </is>
      </c>
      <c r="O369" t="inlineStr">
        <is>
          <t>Unpaid</t>
        </is>
      </c>
      <c r="P369" t="n">
        <v>2116.24</v>
      </c>
      <c r="Q369" t="n">
        <v>2116.24</v>
      </c>
      <c r="R369" t="b">
        <v>0</v>
      </c>
    </row>
    <row r="370">
      <c r="A370" t="inlineStr">
        <is>
          <t>INV0010164</t>
        </is>
      </c>
      <c r="B370" t="inlineStr">
        <is>
          <t>MER00480</t>
        </is>
      </c>
      <c r="C370" t="inlineStr">
        <is>
          <t>2025-08-01</t>
        </is>
      </c>
      <c r="D370" t="inlineStr">
        <is>
          <t>2025-08-31</t>
        </is>
      </c>
      <c r="E370" s="8" t="n">
        <v>45902</v>
      </c>
      <c r="F370" s="8" t="n">
        <v>45932</v>
      </c>
      <c r="G370" t="n">
        <v>1693.91</v>
      </c>
      <c r="H370" t="n">
        <v>0</v>
      </c>
      <c r="I370" t="n">
        <v>1693.91</v>
      </c>
      <c r="J370" t="n">
        <v>0.18</v>
      </c>
      <c r="K370" t="n">
        <v>304.9</v>
      </c>
      <c r="L370" t="n">
        <v>1998.81</v>
      </c>
      <c r="M370" t="inlineStr">
        <is>
          <t>INR</t>
        </is>
      </c>
      <c r="N370" t="inlineStr">
        <is>
          <t>Paid</t>
        </is>
      </c>
      <c r="O370" t="inlineStr">
        <is>
          <t>Paid</t>
        </is>
      </c>
      <c r="P370" t="n">
        <v>1693.91</v>
      </c>
      <c r="Q370" t="n">
        <v>1693.91</v>
      </c>
      <c r="R370" t="b">
        <v>0</v>
      </c>
    </row>
    <row r="371">
      <c r="A371" t="inlineStr">
        <is>
          <t>INV0010165</t>
        </is>
      </c>
      <c r="B371" t="inlineStr">
        <is>
          <t>MER00480</t>
        </is>
      </c>
      <c r="C371" t="inlineStr">
        <is>
          <t>2025-09-01</t>
        </is>
      </c>
      <c r="D371" t="inlineStr">
        <is>
          <t>2025-09-30</t>
        </is>
      </c>
      <c r="E371" s="8" t="n">
        <v>45932</v>
      </c>
      <c r="F371" s="8" t="n">
        <v>45962</v>
      </c>
      <c r="G371" t="n">
        <v>984.5599999999999</v>
      </c>
      <c r="H371" t="n">
        <v>56.12</v>
      </c>
      <c r="I371" t="n">
        <v>928.4400000000001</v>
      </c>
      <c r="J371" t="n">
        <v>0.18</v>
      </c>
      <c r="K371" t="n">
        <v>167.12</v>
      </c>
      <c r="L371" t="n">
        <v>1095.56</v>
      </c>
      <c r="M371" t="inlineStr">
        <is>
          <t>INR</t>
        </is>
      </c>
      <c r="N371" t="inlineStr">
        <is>
          <t>Paid</t>
        </is>
      </c>
      <c r="O371" t="inlineStr">
        <is>
          <t>Paid</t>
        </is>
      </c>
      <c r="P371" t="n">
        <v>984.5599999999999</v>
      </c>
      <c r="Q371" t="n">
        <v>984.5599999999999</v>
      </c>
      <c r="R371" t="b">
        <v>0</v>
      </c>
    </row>
    <row r="372">
      <c r="A372" t="inlineStr">
        <is>
          <t>INV0010166</t>
        </is>
      </c>
      <c r="B372" t="inlineStr">
        <is>
          <t>MER00480</t>
        </is>
      </c>
      <c r="C372" t="inlineStr">
        <is>
          <t>2025-10-01</t>
        </is>
      </c>
      <c r="D372" t="inlineStr">
        <is>
          <t>2025-10-31</t>
        </is>
      </c>
      <c r="E372" s="8" t="n">
        <v>45963</v>
      </c>
      <c r="F372" s="8" t="n">
        <v>45993</v>
      </c>
      <c r="G372" t="n">
        <v>2332.78</v>
      </c>
      <c r="H372" t="n">
        <v>0</v>
      </c>
      <c r="I372" t="n">
        <v>2332.78</v>
      </c>
      <c r="J372" t="n">
        <v>0.18</v>
      </c>
      <c r="K372" t="n">
        <v>419.9</v>
      </c>
      <c r="L372" t="n">
        <v>2752.68</v>
      </c>
      <c r="M372" t="inlineStr">
        <is>
          <t>INR</t>
        </is>
      </c>
      <c r="N372" t="inlineStr">
        <is>
          <t>Paid</t>
        </is>
      </c>
      <c r="O372" t="inlineStr">
        <is>
          <t>Paid</t>
        </is>
      </c>
      <c r="P372" t="n">
        <v>2332.78</v>
      </c>
      <c r="Q372" t="n">
        <v>2332.78</v>
      </c>
      <c r="R372" t="b">
        <v>0</v>
      </c>
    </row>
    <row r="373">
      <c r="A373" t="inlineStr">
        <is>
          <t>INV0010167</t>
        </is>
      </c>
      <c r="B373" t="inlineStr">
        <is>
          <t>MER00480</t>
        </is>
      </c>
      <c r="C373" t="inlineStr">
        <is>
          <t>2025-11-01</t>
        </is>
      </c>
      <c r="D373" t="inlineStr">
        <is>
          <t>2025-11-30</t>
        </is>
      </c>
      <c r="E373" s="8" t="n">
        <v>45993</v>
      </c>
      <c r="F373" s="8" t="n">
        <v>46023</v>
      </c>
      <c r="G373" t="n">
        <v>3183.34</v>
      </c>
      <c r="H373" t="n">
        <v>0</v>
      </c>
      <c r="I373" t="n">
        <v>3183.34</v>
      </c>
      <c r="J373" t="n">
        <v>0.18</v>
      </c>
      <c r="K373" t="n">
        <v>573</v>
      </c>
      <c r="L373" t="n">
        <v>3756.34</v>
      </c>
      <c r="M373" t="inlineStr">
        <is>
          <t>INR</t>
        </is>
      </c>
      <c r="N373" t="inlineStr">
        <is>
          <t>Paid</t>
        </is>
      </c>
      <c r="O373" t="inlineStr">
        <is>
          <t>Paid</t>
        </is>
      </c>
      <c r="P373" t="n">
        <v>3183.34</v>
      </c>
      <c r="Q373" t="n">
        <v>3183.34</v>
      </c>
      <c r="R373" t="b">
        <v>0</v>
      </c>
    </row>
    <row r="374">
      <c r="A374" t="inlineStr">
        <is>
          <t>INV0010168</t>
        </is>
      </c>
      <c r="B374" t="inlineStr">
        <is>
          <t>MER00480</t>
        </is>
      </c>
      <c r="C374" t="inlineStr">
        <is>
          <t>2025-12-01</t>
        </is>
      </c>
      <c r="D374" t="inlineStr">
        <is>
          <t>2025-12-31</t>
        </is>
      </c>
      <c r="E374" s="8" t="n">
        <v>46024</v>
      </c>
      <c r="F374" s="8" t="n">
        <v>46054</v>
      </c>
      <c r="G374" t="n">
        <v>1782.29</v>
      </c>
      <c r="H374" t="n">
        <v>0</v>
      </c>
      <c r="I374" t="n">
        <v>1782.29</v>
      </c>
      <c r="J374" t="n">
        <v>0.18</v>
      </c>
      <c r="K374" t="n">
        <v>320.81</v>
      </c>
      <c r="L374" t="n">
        <v>2103.1</v>
      </c>
      <c r="M374" t="inlineStr">
        <is>
          <t>INR</t>
        </is>
      </c>
      <c r="N374" t="inlineStr">
        <is>
          <t>Paid</t>
        </is>
      </c>
      <c r="O374" t="inlineStr">
        <is>
          <t>Paid</t>
        </is>
      </c>
      <c r="P374" t="n">
        <v>1782.29</v>
      </c>
      <c r="Q374" t="n">
        <v>1782.29</v>
      </c>
      <c r="R374" t="b">
        <v>0</v>
      </c>
    </row>
    <row r="375">
      <c r="A375" t="inlineStr">
        <is>
          <t>INV0010169</t>
        </is>
      </c>
      <c r="B375" t="inlineStr">
        <is>
          <t>MER00480</t>
        </is>
      </c>
      <c r="C375" t="inlineStr">
        <is>
          <t>2026-01-01</t>
        </is>
      </c>
      <c r="D375" t="inlineStr">
        <is>
          <t>2026-01-31</t>
        </is>
      </c>
      <c r="E375" s="8" t="n">
        <v>46055</v>
      </c>
      <c r="F375" s="8" t="n">
        <v>46085</v>
      </c>
      <c r="G375" t="n">
        <v>4094.07</v>
      </c>
      <c r="H375" t="n">
        <v>0</v>
      </c>
      <c r="I375" t="n">
        <v>4094.07</v>
      </c>
      <c r="J375" t="n">
        <v>0.18</v>
      </c>
      <c r="K375" t="n">
        <v>736.9299999999999</v>
      </c>
      <c r="L375" t="n">
        <v>4831</v>
      </c>
      <c r="M375" t="inlineStr">
        <is>
          <t>INR</t>
        </is>
      </c>
      <c r="N375" t="inlineStr">
        <is>
          <t>Paid</t>
        </is>
      </c>
      <c r="O375" t="inlineStr">
        <is>
          <t>Paid</t>
        </is>
      </c>
      <c r="P375" t="n">
        <v>4094.07</v>
      </c>
      <c r="Q375" t="n">
        <v>4094.07</v>
      </c>
      <c r="R375" t="b">
        <v>0</v>
      </c>
    </row>
    <row r="376">
      <c r="A376" t="inlineStr">
        <is>
          <t>INV0010170</t>
        </is>
      </c>
      <c r="B376" t="inlineStr">
        <is>
          <t>MER00480</t>
        </is>
      </c>
      <c r="C376" t="inlineStr">
        <is>
          <t>2026-02-01</t>
        </is>
      </c>
      <c r="D376" t="inlineStr">
        <is>
          <t>2026-02-28</t>
        </is>
      </c>
      <c r="E376" s="8" t="n">
        <v>46083</v>
      </c>
      <c r="F376" s="8" t="n">
        <v>46113</v>
      </c>
      <c r="G376" t="n">
        <v>2461.39</v>
      </c>
      <c r="H376" t="n">
        <v>0</v>
      </c>
      <c r="I376" t="n">
        <v>2461.39</v>
      </c>
      <c r="J376" t="n">
        <v>0.18</v>
      </c>
      <c r="K376" t="n">
        <v>443.05</v>
      </c>
      <c r="L376" t="n">
        <v>2904.44</v>
      </c>
      <c r="M376" t="inlineStr">
        <is>
          <t>INR</t>
        </is>
      </c>
      <c r="N376" t="inlineStr">
        <is>
          <t>Paid</t>
        </is>
      </c>
      <c r="O376" t="inlineStr">
        <is>
          <t>Paid</t>
        </is>
      </c>
      <c r="P376" t="n">
        <v>2461.39</v>
      </c>
      <c r="Q376" t="n">
        <v>2461.39</v>
      </c>
      <c r="R376" t="b">
        <v>0</v>
      </c>
    </row>
    <row r="377">
      <c r="A377" t="inlineStr">
        <is>
          <t>INV0010171</t>
        </is>
      </c>
      <c r="B377" t="inlineStr">
        <is>
          <t>MER00480</t>
        </is>
      </c>
      <c r="C377" t="inlineStr">
        <is>
          <t>2026-03-01</t>
        </is>
      </c>
      <c r="D377" t="inlineStr">
        <is>
          <t>2026-03-31</t>
        </is>
      </c>
      <c r="E377" s="8" t="n">
        <v>46114</v>
      </c>
      <c r="F377" s="8" t="n">
        <v>46144</v>
      </c>
      <c r="G377" t="n">
        <v>1229.01</v>
      </c>
      <c r="H377" t="n">
        <v>0</v>
      </c>
      <c r="I377" t="n">
        <v>1229.01</v>
      </c>
      <c r="J377" t="n">
        <v>0.18</v>
      </c>
      <c r="K377" t="n">
        <v>221.22</v>
      </c>
      <c r="L377" t="n">
        <v>1450.23</v>
      </c>
      <c r="M377" t="inlineStr">
        <is>
          <t>INR</t>
        </is>
      </c>
      <c r="N377" t="inlineStr">
        <is>
          <t>Paid</t>
        </is>
      </c>
      <c r="O377" t="inlineStr">
        <is>
          <t>Paid</t>
        </is>
      </c>
      <c r="P377" t="n">
        <v>1229.01</v>
      </c>
      <c r="Q377" t="n">
        <v>1229.01</v>
      </c>
      <c r="R377" t="b">
        <v>0</v>
      </c>
    </row>
    <row r="378">
      <c r="A378" t="inlineStr">
        <is>
          <t>INV0010172</t>
        </is>
      </c>
      <c r="B378" t="inlineStr">
        <is>
          <t>MER00480</t>
        </is>
      </c>
      <c r="C378" t="inlineStr">
        <is>
          <t>2026-04-01</t>
        </is>
      </c>
      <c r="D378" t="inlineStr">
        <is>
          <t>2026-04-30</t>
        </is>
      </c>
      <c r="E378" s="8" t="n">
        <v>46144</v>
      </c>
      <c r="F378" s="8" t="n">
        <v>46174</v>
      </c>
      <c r="G378" t="n">
        <v>1694.93</v>
      </c>
      <c r="H378" t="n">
        <v>0</v>
      </c>
      <c r="I378" t="n">
        <v>1694.93</v>
      </c>
      <c r="J378" t="n">
        <v>0.18</v>
      </c>
      <c r="K378" t="n">
        <v>305.09</v>
      </c>
      <c r="L378" t="n">
        <v>2000.02</v>
      </c>
      <c r="M378" t="inlineStr">
        <is>
          <t>INR</t>
        </is>
      </c>
      <c r="N378" t="inlineStr">
        <is>
          <t>Paid</t>
        </is>
      </c>
      <c r="O378" t="inlineStr">
        <is>
          <t>Paid</t>
        </is>
      </c>
      <c r="P378" t="n">
        <v>1694.93</v>
      </c>
      <c r="Q378" t="n">
        <v>1694.93</v>
      </c>
      <c r="R378" t="b">
        <v>0</v>
      </c>
    </row>
    <row r="379">
      <c r="A379" t="inlineStr">
        <is>
          <t>INV0010173</t>
        </is>
      </c>
      <c r="B379" t="inlineStr">
        <is>
          <t>MER00480</t>
        </is>
      </c>
      <c r="C379" t="inlineStr">
        <is>
          <t>2026-05-01</t>
        </is>
      </c>
      <c r="D379" t="inlineStr">
        <is>
          <t>2026-05-31</t>
        </is>
      </c>
      <c r="E379" s="8" t="n">
        <v>46175</v>
      </c>
      <c r="F379" s="8" t="n">
        <v>46205</v>
      </c>
      <c r="G379" t="n">
        <v>2457.13</v>
      </c>
      <c r="H379" t="n">
        <v>0</v>
      </c>
      <c r="I379" t="n">
        <v>2457.13</v>
      </c>
      <c r="J379" t="n">
        <v>0.18</v>
      </c>
      <c r="K379" t="n">
        <v>442.28</v>
      </c>
      <c r="L379" t="n">
        <v>2899.41</v>
      </c>
      <c r="M379" t="inlineStr">
        <is>
          <t>INR</t>
        </is>
      </c>
      <c r="N379" t="inlineStr">
        <is>
          <t>Paid</t>
        </is>
      </c>
      <c r="O379" t="inlineStr">
        <is>
          <t>Paid</t>
        </is>
      </c>
      <c r="P379" t="n">
        <v>2220.38</v>
      </c>
      <c r="Q379" t="n">
        <v>2457.13</v>
      </c>
      <c r="R379" t="b">
        <v>1</v>
      </c>
    </row>
    <row r="380">
      <c r="A380" t="inlineStr">
        <is>
          <t>INV0010174</t>
        </is>
      </c>
      <c r="B380" t="inlineStr">
        <is>
          <t>MER00480</t>
        </is>
      </c>
      <c r="C380" t="inlineStr">
        <is>
          <t>2026-06-01</t>
        </is>
      </c>
      <c r="D380" t="inlineStr">
        <is>
          <t>2026-06-30</t>
        </is>
      </c>
      <c r="E380" s="8" t="n">
        <v>46205</v>
      </c>
      <c r="F380" s="8" t="n">
        <v>46235</v>
      </c>
      <c r="G380" t="n">
        <v>2272.62</v>
      </c>
      <c r="H380" t="n">
        <v>0</v>
      </c>
      <c r="I380" t="n">
        <v>2272.62</v>
      </c>
      <c r="J380" t="n">
        <v>0.18</v>
      </c>
      <c r="K380" t="n">
        <v>409.07</v>
      </c>
      <c r="L380" t="n">
        <v>2681.69</v>
      </c>
      <c r="M380" t="inlineStr">
        <is>
          <t>INR</t>
        </is>
      </c>
      <c r="N380" t="inlineStr">
        <is>
          <t>Paid</t>
        </is>
      </c>
      <c r="O380" t="inlineStr">
        <is>
          <t>Paid</t>
        </is>
      </c>
      <c r="P380" t="n">
        <v>2272.62</v>
      </c>
      <c r="Q380" t="n">
        <v>2272.62</v>
      </c>
      <c r="R380" t="b">
        <v>0</v>
      </c>
    </row>
    <row r="381">
      <c r="A381" t="inlineStr">
        <is>
          <t>INV0010175</t>
        </is>
      </c>
      <c r="B381" t="inlineStr">
        <is>
          <t>MER00480</t>
        </is>
      </c>
      <c r="C381" t="inlineStr">
        <is>
          <t>2026-07-01</t>
        </is>
      </c>
      <c r="D381" t="inlineStr">
        <is>
          <t>2026-07-31</t>
        </is>
      </c>
      <c r="E381" s="8" t="n">
        <v>46236</v>
      </c>
      <c r="F381" s="8" t="n">
        <v>46266</v>
      </c>
      <c r="G381" t="n">
        <v>2165.5</v>
      </c>
      <c r="H381" t="n">
        <v>0</v>
      </c>
      <c r="I381" t="n">
        <v>2165.5</v>
      </c>
      <c r="J381" t="n">
        <v>0.18</v>
      </c>
      <c r="K381" t="n">
        <v>389.79</v>
      </c>
      <c r="L381" t="n">
        <v>2555.29</v>
      </c>
      <c r="M381" t="inlineStr">
        <is>
          <t>INR</t>
        </is>
      </c>
      <c r="N381" t="inlineStr">
        <is>
          <t>Paid</t>
        </is>
      </c>
      <c r="O381" t="inlineStr">
        <is>
          <t>Paid</t>
        </is>
      </c>
      <c r="P381" t="n">
        <v>2165.5</v>
      </c>
      <c r="Q381" t="n">
        <v>2165.5</v>
      </c>
      <c r="R381" t="b">
        <v>0</v>
      </c>
    </row>
    <row r="382">
      <c r="A382" t="inlineStr">
        <is>
          <t>INV0010246</t>
        </is>
      </c>
      <c r="B382" t="inlineStr">
        <is>
          <t>MER00484</t>
        </is>
      </c>
      <c r="C382" t="inlineStr">
        <is>
          <t>2024-08-01</t>
        </is>
      </c>
      <c r="D382" t="inlineStr">
        <is>
          <t>2024-08-31</t>
        </is>
      </c>
      <c r="E382" s="8" t="n">
        <v>45537</v>
      </c>
      <c r="F382" s="8" t="n">
        <v>45567</v>
      </c>
      <c r="G382" t="n">
        <v>174.66</v>
      </c>
      <c r="H382" t="n">
        <v>0</v>
      </c>
      <c r="I382" t="n">
        <v>174.66</v>
      </c>
      <c r="J382" t="n">
        <v>0.18</v>
      </c>
      <c r="K382" t="n">
        <v>31.44</v>
      </c>
      <c r="L382" t="n">
        <v>206.1</v>
      </c>
      <c r="M382" t="inlineStr">
        <is>
          <t>INR</t>
        </is>
      </c>
      <c r="N382" t="inlineStr">
        <is>
          <t>Paid</t>
        </is>
      </c>
      <c r="O382" t="inlineStr">
        <is>
          <t>Paid</t>
        </is>
      </c>
      <c r="P382" t="n">
        <v>174.66</v>
      </c>
      <c r="Q382" t="n">
        <v>174.66</v>
      </c>
      <c r="R382" t="b">
        <v>0</v>
      </c>
    </row>
    <row r="383">
      <c r="A383" t="inlineStr">
        <is>
          <t>INV0010247</t>
        </is>
      </c>
      <c r="B383" t="inlineStr">
        <is>
          <t>MER00484</t>
        </is>
      </c>
      <c r="C383" t="inlineStr">
        <is>
          <t>2024-09-01</t>
        </is>
      </c>
      <c r="D383" t="inlineStr">
        <is>
          <t>2024-09-30</t>
        </is>
      </c>
      <c r="E383" s="8" t="n">
        <v>45567</v>
      </c>
      <c r="F383" s="8" t="n">
        <v>45597</v>
      </c>
      <c r="G383" t="n">
        <v>839.45</v>
      </c>
      <c r="H383" t="n">
        <v>0</v>
      </c>
      <c r="I383" t="n">
        <v>839.45</v>
      </c>
      <c r="J383" t="n">
        <v>0.18</v>
      </c>
      <c r="K383" t="n">
        <v>151.1</v>
      </c>
      <c r="L383" t="n">
        <v>990.55</v>
      </c>
      <c r="M383" t="inlineStr">
        <is>
          <t>INR</t>
        </is>
      </c>
      <c r="N383" t="inlineStr">
        <is>
          <t>Paid</t>
        </is>
      </c>
      <c r="O383" t="inlineStr">
        <is>
          <t>Paid</t>
        </is>
      </c>
      <c r="P383" t="n">
        <v>839.45</v>
      </c>
      <c r="Q383" t="n">
        <v>839.45</v>
      </c>
      <c r="R383" t="b">
        <v>0</v>
      </c>
    </row>
    <row r="384">
      <c r="A384" t="inlineStr">
        <is>
          <t>INV0010248</t>
        </is>
      </c>
      <c r="B384" t="inlineStr">
        <is>
          <t>MER00484</t>
        </is>
      </c>
      <c r="C384" t="inlineStr">
        <is>
          <t>2024-10-01</t>
        </is>
      </c>
      <c r="D384" t="inlineStr">
        <is>
          <t>2024-10-31</t>
        </is>
      </c>
      <c r="E384" s="8" t="n">
        <v>45598</v>
      </c>
      <c r="F384" s="8" t="n">
        <v>45628</v>
      </c>
      <c r="G384" t="n">
        <v>192.22</v>
      </c>
      <c r="H384" t="n">
        <v>0</v>
      </c>
      <c r="I384" t="n">
        <v>192.22</v>
      </c>
      <c r="J384" t="n">
        <v>0.18</v>
      </c>
      <c r="K384" t="n">
        <v>34.6</v>
      </c>
      <c r="L384" t="n">
        <v>226.82</v>
      </c>
      <c r="M384" t="inlineStr">
        <is>
          <t>INR</t>
        </is>
      </c>
      <c r="N384" t="inlineStr">
        <is>
          <t>Paid</t>
        </is>
      </c>
      <c r="O384" t="inlineStr">
        <is>
          <t>Paid</t>
        </is>
      </c>
      <c r="P384" t="n">
        <v>192.22</v>
      </c>
      <c r="Q384" t="n">
        <v>192.22</v>
      </c>
      <c r="R384" t="b">
        <v>0</v>
      </c>
    </row>
    <row r="385">
      <c r="A385" t="inlineStr">
        <is>
          <t>INV0010249</t>
        </is>
      </c>
      <c r="B385" t="inlineStr">
        <is>
          <t>MER00484</t>
        </is>
      </c>
      <c r="C385" t="inlineStr">
        <is>
          <t>2024-11-01</t>
        </is>
      </c>
      <c r="D385" t="inlineStr">
        <is>
          <t>2024-11-30</t>
        </is>
      </c>
      <c r="E385" s="8" t="n">
        <v>45628</v>
      </c>
      <c r="F385" s="8" t="n">
        <v>45658</v>
      </c>
      <c r="G385" t="n">
        <v>74.37</v>
      </c>
      <c r="H385" t="n">
        <v>0</v>
      </c>
      <c r="I385" t="n">
        <v>74.37</v>
      </c>
      <c r="J385" t="n">
        <v>0.18</v>
      </c>
      <c r="K385" t="n">
        <v>13.39</v>
      </c>
      <c r="L385" t="n">
        <v>87.76000000000001</v>
      </c>
      <c r="M385" t="inlineStr">
        <is>
          <t>INR</t>
        </is>
      </c>
      <c r="N385" t="inlineStr">
        <is>
          <t>Paid</t>
        </is>
      </c>
      <c r="O385" t="inlineStr">
        <is>
          <t>Paid</t>
        </is>
      </c>
      <c r="P385" t="n">
        <v>74.37</v>
      </c>
      <c r="Q385" t="n">
        <v>74.37</v>
      </c>
      <c r="R385" t="b">
        <v>0</v>
      </c>
    </row>
    <row r="386">
      <c r="A386" t="inlineStr">
        <is>
          <t>INV0010250</t>
        </is>
      </c>
      <c r="B386" t="inlineStr">
        <is>
          <t>MER00484</t>
        </is>
      </c>
      <c r="C386" t="inlineStr">
        <is>
          <t>2024-12-01</t>
        </is>
      </c>
      <c r="D386" t="inlineStr">
        <is>
          <t>2024-12-31</t>
        </is>
      </c>
      <c r="E386" s="8" t="n">
        <v>45659</v>
      </c>
      <c r="F386" s="8" t="n">
        <v>45689</v>
      </c>
      <c r="G386" t="n">
        <v>693.33</v>
      </c>
      <c r="H386" t="n">
        <v>0</v>
      </c>
      <c r="I386" t="n">
        <v>693.33</v>
      </c>
      <c r="J386" t="n">
        <v>0.18</v>
      </c>
      <c r="K386" t="n">
        <v>124.8</v>
      </c>
      <c r="L386" t="n">
        <v>818.13</v>
      </c>
      <c r="M386" t="inlineStr">
        <is>
          <t>INR</t>
        </is>
      </c>
      <c r="N386" t="inlineStr">
        <is>
          <t>Paid</t>
        </is>
      </c>
      <c r="O386" t="inlineStr">
        <is>
          <t>Paid</t>
        </is>
      </c>
      <c r="P386" t="n">
        <v>693.33</v>
      </c>
      <c r="Q386" t="n">
        <v>693.33</v>
      </c>
      <c r="R386" t="b">
        <v>0</v>
      </c>
    </row>
    <row r="387">
      <c r="A387" t="inlineStr">
        <is>
          <t>INV0010251</t>
        </is>
      </c>
      <c r="B387" t="inlineStr">
        <is>
          <t>MER00484</t>
        </is>
      </c>
      <c r="C387" t="inlineStr">
        <is>
          <t>2025-01-01</t>
        </is>
      </c>
      <c r="D387" t="inlineStr">
        <is>
          <t>2025-01-31</t>
        </is>
      </c>
      <c r="E387" s="8" t="n">
        <v>45690</v>
      </c>
      <c r="F387" s="8" t="n">
        <v>45720</v>
      </c>
      <c r="G387" t="n">
        <v>111.76</v>
      </c>
      <c r="H387" t="n">
        <v>8.83</v>
      </c>
      <c r="I387" t="n">
        <v>102.93</v>
      </c>
      <c r="J387" t="n">
        <v>0.18</v>
      </c>
      <c r="K387" t="n">
        <v>18.53</v>
      </c>
      <c r="L387" t="n">
        <v>121.46</v>
      </c>
      <c r="M387" t="inlineStr">
        <is>
          <t>INR</t>
        </is>
      </c>
      <c r="N387" t="inlineStr">
        <is>
          <t>Paid</t>
        </is>
      </c>
      <c r="O387" t="inlineStr">
        <is>
          <t>Paid</t>
        </is>
      </c>
      <c r="P387" t="n">
        <v>111.76</v>
      </c>
      <c r="Q387" t="n">
        <v>111.76</v>
      </c>
      <c r="R387" t="b">
        <v>0</v>
      </c>
    </row>
    <row r="388">
      <c r="A388" t="inlineStr">
        <is>
          <t>INV0010252</t>
        </is>
      </c>
      <c r="B388" t="inlineStr">
        <is>
          <t>MER00484</t>
        </is>
      </c>
      <c r="C388" t="inlineStr">
        <is>
          <t>2025-02-01</t>
        </is>
      </c>
      <c r="D388" t="inlineStr">
        <is>
          <t>2025-02-28</t>
        </is>
      </c>
      <c r="E388" s="8" t="n">
        <v>45718</v>
      </c>
      <c r="F388" s="8" t="n">
        <v>45748</v>
      </c>
      <c r="G388" t="n">
        <v>75.53</v>
      </c>
      <c r="H388" t="n">
        <v>0</v>
      </c>
      <c r="I388" t="n">
        <v>75.53</v>
      </c>
      <c r="J388" t="n">
        <v>0.18</v>
      </c>
      <c r="K388" t="n">
        <v>13.6</v>
      </c>
      <c r="L388" t="n">
        <v>89.13</v>
      </c>
      <c r="M388" t="inlineStr">
        <is>
          <t>INR</t>
        </is>
      </c>
      <c r="N388" t="inlineStr">
        <is>
          <t>Paid</t>
        </is>
      </c>
      <c r="O388" t="inlineStr">
        <is>
          <t>Paid</t>
        </is>
      </c>
      <c r="P388" t="n">
        <v>75.53</v>
      </c>
      <c r="Q388" t="n">
        <v>75.53</v>
      </c>
      <c r="R388" t="b">
        <v>0</v>
      </c>
    </row>
    <row r="389">
      <c r="A389" t="inlineStr">
        <is>
          <t>INV0010253</t>
        </is>
      </c>
      <c r="B389" t="inlineStr">
        <is>
          <t>MER00484</t>
        </is>
      </c>
      <c r="C389" t="inlineStr">
        <is>
          <t>2025-03-01</t>
        </is>
      </c>
      <c r="D389" t="inlineStr">
        <is>
          <t>2025-03-31</t>
        </is>
      </c>
      <c r="E389" s="8" t="n">
        <v>45749</v>
      </c>
      <c r="F389" s="8" t="n">
        <v>45779</v>
      </c>
      <c r="G389" t="n">
        <v>133.19</v>
      </c>
      <c r="H389" t="n">
        <v>0</v>
      </c>
      <c r="I389" t="n">
        <v>133.19</v>
      </c>
      <c r="J389" t="n">
        <v>0.18</v>
      </c>
      <c r="K389" t="n">
        <v>23.97</v>
      </c>
      <c r="L389" t="n">
        <v>157.16</v>
      </c>
      <c r="M389" t="inlineStr">
        <is>
          <t>INR</t>
        </is>
      </c>
      <c r="N389" t="inlineStr">
        <is>
          <t>Overdue</t>
        </is>
      </c>
      <c r="O389" t="inlineStr">
        <is>
          <t>Unpaid</t>
        </is>
      </c>
      <c r="P389" t="n">
        <v>133.19</v>
      </c>
      <c r="Q389" t="n">
        <v>133.19</v>
      </c>
      <c r="R389" t="b">
        <v>0</v>
      </c>
    </row>
    <row r="390">
      <c r="A390" t="inlineStr">
        <is>
          <t>INV0010254</t>
        </is>
      </c>
      <c r="B390" t="inlineStr">
        <is>
          <t>MER00484</t>
        </is>
      </c>
      <c r="C390" t="inlineStr">
        <is>
          <t>2025-04-01</t>
        </is>
      </c>
      <c r="D390" t="inlineStr">
        <is>
          <t>2025-04-30</t>
        </is>
      </c>
      <c r="E390" s="8" t="n">
        <v>45779</v>
      </c>
      <c r="F390" s="8" t="n">
        <v>45809</v>
      </c>
      <c r="G390" t="n">
        <v>139.53</v>
      </c>
      <c r="H390" t="n">
        <v>0</v>
      </c>
      <c r="I390" t="n">
        <v>139.53</v>
      </c>
      <c r="J390" t="n">
        <v>0.18</v>
      </c>
      <c r="K390" t="n">
        <v>25.12</v>
      </c>
      <c r="L390" t="n">
        <v>164.65</v>
      </c>
      <c r="M390" t="inlineStr">
        <is>
          <t>INR</t>
        </is>
      </c>
      <c r="N390" t="inlineStr">
        <is>
          <t>Paid</t>
        </is>
      </c>
      <c r="O390" t="inlineStr">
        <is>
          <t>Paid</t>
        </is>
      </c>
      <c r="P390" t="n">
        <v>139.53</v>
      </c>
      <c r="Q390" t="n">
        <v>139.53</v>
      </c>
      <c r="R390" t="b">
        <v>0</v>
      </c>
    </row>
    <row r="391">
      <c r="A391" t="inlineStr">
        <is>
          <t>INV0010255</t>
        </is>
      </c>
      <c r="B391" t="inlineStr">
        <is>
          <t>MER00484</t>
        </is>
      </c>
      <c r="C391" t="inlineStr">
        <is>
          <t>2025-05-01</t>
        </is>
      </c>
      <c r="D391" t="inlineStr">
        <is>
          <t>2025-05-31</t>
        </is>
      </c>
      <c r="E391" s="8" t="n">
        <v>45810</v>
      </c>
      <c r="F391" s="8" t="n">
        <v>45840</v>
      </c>
      <c r="G391" t="n">
        <v>404.09</v>
      </c>
      <c r="H391" t="n">
        <v>0</v>
      </c>
      <c r="I391" t="n">
        <v>404.09</v>
      </c>
      <c r="J391" t="n">
        <v>0.18</v>
      </c>
      <c r="K391" t="n">
        <v>72.73999999999999</v>
      </c>
      <c r="L391" t="n">
        <v>476.83</v>
      </c>
      <c r="M391" t="inlineStr">
        <is>
          <t>INR</t>
        </is>
      </c>
      <c r="N391" t="inlineStr">
        <is>
          <t>Paid</t>
        </is>
      </c>
      <c r="O391" t="inlineStr">
        <is>
          <t>Paid</t>
        </is>
      </c>
      <c r="P391" t="n">
        <v>404.09</v>
      </c>
      <c r="Q391" t="n">
        <v>404.09</v>
      </c>
      <c r="R391" t="b">
        <v>0</v>
      </c>
    </row>
    <row r="392">
      <c r="A392" t="inlineStr">
        <is>
          <t>INV0010256</t>
        </is>
      </c>
      <c r="B392" t="inlineStr">
        <is>
          <t>MER00484</t>
        </is>
      </c>
      <c r="C392" t="inlineStr">
        <is>
          <t>2025-06-01</t>
        </is>
      </c>
      <c r="D392" t="inlineStr">
        <is>
          <t>2025-06-30</t>
        </is>
      </c>
      <c r="E392" s="8" t="n">
        <v>45840</v>
      </c>
      <c r="F392" s="8" t="n">
        <v>45870</v>
      </c>
      <c r="G392" t="n">
        <v>434.49</v>
      </c>
      <c r="H392" t="n">
        <v>0</v>
      </c>
      <c r="I392" t="n">
        <v>434.49</v>
      </c>
      <c r="J392" t="n">
        <v>0.18</v>
      </c>
      <c r="K392" t="n">
        <v>78.20999999999999</v>
      </c>
      <c r="L392" t="n">
        <v>512.7</v>
      </c>
      <c r="M392" t="inlineStr">
        <is>
          <t>INR</t>
        </is>
      </c>
      <c r="N392" t="inlineStr">
        <is>
          <t>Paid</t>
        </is>
      </c>
      <c r="O392" t="inlineStr">
        <is>
          <t>Paid</t>
        </is>
      </c>
      <c r="P392" t="n">
        <v>434.49</v>
      </c>
      <c r="Q392" t="n">
        <v>434.49</v>
      </c>
      <c r="R392" t="b">
        <v>0</v>
      </c>
    </row>
    <row r="393">
      <c r="A393" t="inlineStr">
        <is>
          <t>INV0010257</t>
        </is>
      </c>
      <c r="B393" t="inlineStr">
        <is>
          <t>MER00484</t>
        </is>
      </c>
      <c r="C393" t="inlineStr">
        <is>
          <t>2025-07-01</t>
        </is>
      </c>
      <c r="D393" t="inlineStr">
        <is>
          <t>2025-07-31</t>
        </is>
      </c>
      <c r="E393" s="8" t="n">
        <v>45871</v>
      </c>
      <c r="F393" s="8" t="n">
        <v>45901</v>
      </c>
      <c r="G393" t="n">
        <v>226.33</v>
      </c>
      <c r="H393" t="n">
        <v>0</v>
      </c>
      <c r="I393" t="n">
        <v>226.33</v>
      </c>
      <c r="J393" t="n">
        <v>0.18</v>
      </c>
      <c r="K393" t="n">
        <v>40.74</v>
      </c>
      <c r="L393" t="n">
        <v>267.07</v>
      </c>
      <c r="M393" t="inlineStr">
        <is>
          <t>INR</t>
        </is>
      </c>
      <c r="N393" t="inlineStr">
        <is>
          <t>Paid</t>
        </is>
      </c>
      <c r="O393" t="inlineStr">
        <is>
          <t>Paid</t>
        </is>
      </c>
      <c r="P393" t="n">
        <v>226.33</v>
      </c>
      <c r="Q393" t="n">
        <v>226.33</v>
      </c>
      <c r="R393" t="b">
        <v>0</v>
      </c>
    </row>
    <row r="394">
      <c r="A394" t="inlineStr">
        <is>
          <t>INV0010258</t>
        </is>
      </c>
      <c r="B394" t="inlineStr">
        <is>
          <t>MER00484</t>
        </is>
      </c>
      <c r="C394" t="inlineStr">
        <is>
          <t>2025-08-01</t>
        </is>
      </c>
      <c r="D394" t="inlineStr">
        <is>
          <t>2025-08-31</t>
        </is>
      </c>
      <c r="E394" s="8" t="n">
        <v>45902</v>
      </c>
      <c r="F394" s="8" t="n">
        <v>45932</v>
      </c>
      <c r="G394" t="n">
        <v>402.69</v>
      </c>
      <c r="H394" t="n">
        <v>0</v>
      </c>
      <c r="I394" t="n">
        <v>402.69</v>
      </c>
      <c r="J394" t="n">
        <v>0.18</v>
      </c>
      <c r="K394" t="n">
        <v>72.48</v>
      </c>
      <c r="L394" t="n">
        <v>475.17</v>
      </c>
      <c r="M394" t="inlineStr">
        <is>
          <t>INR</t>
        </is>
      </c>
      <c r="N394" t="inlineStr">
        <is>
          <t>Void</t>
        </is>
      </c>
      <c r="O394" t="inlineStr">
        <is>
          <t>Unpaid</t>
        </is>
      </c>
      <c r="P394" t="n">
        <v>402.69</v>
      </c>
      <c r="Q394" t="n">
        <v>402.69</v>
      </c>
      <c r="R394" t="b">
        <v>0</v>
      </c>
    </row>
    <row r="395">
      <c r="A395" t="inlineStr">
        <is>
          <t>INV0010259</t>
        </is>
      </c>
      <c r="B395" t="inlineStr">
        <is>
          <t>MER00484</t>
        </is>
      </c>
      <c r="C395" t="inlineStr">
        <is>
          <t>2025-09-01</t>
        </is>
      </c>
      <c r="D395" t="inlineStr">
        <is>
          <t>2025-09-30</t>
        </is>
      </c>
      <c r="E395" s="8" t="n">
        <v>45932</v>
      </c>
      <c r="F395" s="8" t="n">
        <v>45962</v>
      </c>
      <c r="G395" t="n">
        <v>130.94</v>
      </c>
      <c r="H395" t="n">
        <v>0</v>
      </c>
      <c r="I395" t="n">
        <v>130.94</v>
      </c>
      <c r="J395" t="n">
        <v>0.18</v>
      </c>
      <c r="K395" t="n">
        <v>23.57</v>
      </c>
      <c r="L395" t="n">
        <v>154.51</v>
      </c>
      <c r="M395" t="inlineStr">
        <is>
          <t>INR</t>
        </is>
      </c>
      <c r="N395" t="inlineStr">
        <is>
          <t>Paid</t>
        </is>
      </c>
      <c r="O395" t="inlineStr">
        <is>
          <t>Paid</t>
        </is>
      </c>
      <c r="P395" t="n">
        <v>130.94</v>
      </c>
      <c r="Q395" t="n">
        <v>130.94</v>
      </c>
      <c r="R395" t="b">
        <v>0</v>
      </c>
    </row>
    <row r="396">
      <c r="A396" t="inlineStr">
        <is>
          <t>INV0010260</t>
        </is>
      </c>
      <c r="B396" t="inlineStr">
        <is>
          <t>MER00484</t>
        </is>
      </c>
      <c r="C396" t="inlineStr">
        <is>
          <t>2025-10-01</t>
        </is>
      </c>
      <c r="D396" t="inlineStr">
        <is>
          <t>2025-10-31</t>
        </is>
      </c>
      <c r="E396" s="8" t="n">
        <v>45963</v>
      </c>
      <c r="F396" s="8" t="n">
        <v>45993</v>
      </c>
      <c r="G396" t="n">
        <v>603.8099999999999</v>
      </c>
      <c r="H396" t="n">
        <v>0</v>
      </c>
      <c r="I396" t="n">
        <v>603.8099999999999</v>
      </c>
      <c r="J396" t="n">
        <v>0.18</v>
      </c>
      <c r="K396" t="n">
        <v>108.69</v>
      </c>
      <c r="L396" t="n">
        <v>712.5</v>
      </c>
      <c r="M396" t="inlineStr">
        <is>
          <t>INR</t>
        </is>
      </c>
      <c r="N396" t="inlineStr">
        <is>
          <t>Paid</t>
        </is>
      </c>
      <c r="O396" t="inlineStr">
        <is>
          <t>Paid</t>
        </is>
      </c>
      <c r="P396" t="n">
        <v>603.8099999999999</v>
      </c>
      <c r="Q396" t="n">
        <v>603.8099999999999</v>
      </c>
      <c r="R396" t="b">
        <v>0</v>
      </c>
    </row>
    <row r="397">
      <c r="A397" t="inlineStr">
        <is>
          <t>INV0010261</t>
        </is>
      </c>
      <c r="B397" t="inlineStr">
        <is>
          <t>MER00484</t>
        </is>
      </c>
      <c r="C397" t="inlineStr">
        <is>
          <t>2025-11-01</t>
        </is>
      </c>
      <c r="D397" t="inlineStr">
        <is>
          <t>2025-11-30</t>
        </is>
      </c>
      <c r="E397" s="8" t="n">
        <v>45993</v>
      </c>
      <c r="F397" s="8" t="n">
        <v>46023</v>
      </c>
      <c r="G397" t="n">
        <v>1016.57</v>
      </c>
      <c r="H397" t="n">
        <v>0</v>
      </c>
      <c r="I397" t="n">
        <v>1016.57</v>
      </c>
      <c r="J397" t="n">
        <v>0.18</v>
      </c>
      <c r="K397" t="n">
        <v>182.98</v>
      </c>
      <c r="L397" t="n">
        <v>1199.55</v>
      </c>
      <c r="M397" t="inlineStr">
        <is>
          <t>INR</t>
        </is>
      </c>
      <c r="N397" t="inlineStr">
        <is>
          <t>Paid</t>
        </is>
      </c>
      <c r="O397" t="inlineStr">
        <is>
          <t>Paid</t>
        </is>
      </c>
      <c r="P397" t="n">
        <v>1016.57</v>
      </c>
      <c r="Q397" t="n">
        <v>1016.57</v>
      </c>
      <c r="R397" t="b">
        <v>0</v>
      </c>
    </row>
    <row r="398">
      <c r="A398" t="inlineStr">
        <is>
          <t>INV0010262</t>
        </is>
      </c>
      <c r="B398" t="inlineStr">
        <is>
          <t>MER00484</t>
        </is>
      </c>
      <c r="C398" t="inlineStr">
        <is>
          <t>2025-12-01</t>
        </is>
      </c>
      <c r="D398" t="inlineStr">
        <is>
          <t>2025-12-31</t>
        </is>
      </c>
      <c r="E398" s="8" t="n">
        <v>46024</v>
      </c>
      <c r="F398" s="8" t="n">
        <v>46054</v>
      </c>
      <c r="G398" t="n">
        <v>194.11</v>
      </c>
      <c r="H398" t="n">
        <v>0</v>
      </c>
      <c r="I398" t="n">
        <v>194.11</v>
      </c>
      <c r="J398" t="n">
        <v>0.18</v>
      </c>
      <c r="K398" t="n">
        <v>34.94</v>
      </c>
      <c r="L398" t="n">
        <v>229.05</v>
      </c>
      <c r="M398" t="inlineStr">
        <is>
          <t>INR</t>
        </is>
      </c>
      <c r="N398" t="inlineStr">
        <is>
          <t>Paid</t>
        </is>
      </c>
      <c r="O398" t="inlineStr">
        <is>
          <t>Paid</t>
        </is>
      </c>
      <c r="P398" t="n">
        <v>194.11</v>
      </c>
      <c r="Q398" t="n">
        <v>194.11</v>
      </c>
      <c r="R398" t="b">
        <v>0</v>
      </c>
    </row>
    <row r="399">
      <c r="A399" t="inlineStr">
        <is>
          <t>INV0010263</t>
        </is>
      </c>
      <c r="B399" t="inlineStr">
        <is>
          <t>MER00484</t>
        </is>
      </c>
      <c r="C399" t="inlineStr">
        <is>
          <t>2026-01-01</t>
        </is>
      </c>
      <c r="D399" t="inlineStr">
        <is>
          <t>2026-01-31</t>
        </is>
      </c>
      <c r="E399" s="8" t="n">
        <v>46055</v>
      </c>
      <c r="F399" s="8" t="n">
        <v>46085</v>
      </c>
      <c r="G399" t="n">
        <v>303.93</v>
      </c>
      <c r="H399" t="n">
        <v>0</v>
      </c>
      <c r="I399" t="n">
        <v>303.93</v>
      </c>
      <c r="J399" t="n">
        <v>0.18</v>
      </c>
      <c r="K399" t="n">
        <v>54.71</v>
      </c>
      <c r="L399" t="n">
        <v>358.64</v>
      </c>
      <c r="M399" t="inlineStr">
        <is>
          <t>INR</t>
        </is>
      </c>
      <c r="N399" t="inlineStr">
        <is>
          <t>Paid</t>
        </is>
      </c>
      <c r="O399" t="inlineStr">
        <is>
          <t>Paid</t>
        </is>
      </c>
      <c r="P399" t="n">
        <v>303.93</v>
      </c>
      <c r="Q399" t="n">
        <v>303.93</v>
      </c>
      <c r="R399" t="b">
        <v>0</v>
      </c>
    </row>
    <row r="400">
      <c r="A400" t="inlineStr">
        <is>
          <t>INV0010264</t>
        </is>
      </c>
      <c r="B400" t="inlineStr">
        <is>
          <t>MER00484</t>
        </is>
      </c>
      <c r="C400" t="inlineStr">
        <is>
          <t>2026-02-01</t>
        </is>
      </c>
      <c r="D400" t="inlineStr">
        <is>
          <t>2026-02-28</t>
        </is>
      </c>
      <c r="E400" s="8" t="n">
        <v>46083</v>
      </c>
      <c r="F400" s="8" t="n">
        <v>46113</v>
      </c>
      <c r="G400" t="n">
        <v>480.12</v>
      </c>
      <c r="H400" t="n">
        <v>0</v>
      </c>
      <c r="I400" t="n">
        <v>480.12</v>
      </c>
      <c r="J400" t="n">
        <v>0.18</v>
      </c>
      <c r="K400" t="n">
        <v>86.42</v>
      </c>
      <c r="L400" t="n">
        <v>566.54</v>
      </c>
      <c r="M400" t="inlineStr">
        <is>
          <t>INR</t>
        </is>
      </c>
      <c r="N400" t="inlineStr">
        <is>
          <t>Paid</t>
        </is>
      </c>
      <c r="O400" t="inlineStr">
        <is>
          <t>Paid</t>
        </is>
      </c>
      <c r="P400" t="n">
        <v>480.12</v>
      </c>
      <c r="Q400" t="n">
        <v>480.12</v>
      </c>
      <c r="R400" t="b">
        <v>0</v>
      </c>
    </row>
    <row r="401">
      <c r="A401" t="inlineStr">
        <is>
          <t>INV0010265</t>
        </is>
      </c>
      <c r="B401" t="inlineStr">
        <is>
          <t>MER00484</t>
        </is>
      </c>
      <c r="C401" t="inlineStr">
        <is>
          <t>2026-03-01</t>
        </is>
      </c>
      <c r="D401" t="inlineStr">
        <is>
          <t>2026-03-31</t>
        </is>
      </c>
      <c r="E401" s="8" t="n">
        <v>46114</v>
      </c>
      <c r="F401" s="8" t="n">
        <v>46144</v>
      </c>
      <c r="G401" t="n">
        <v>306.81</v>
      </c>
      <c r="H401" t="n">
        <v>0</v>
      </c>
      <c r="I401" t="n">
        <v>306.81</v>
      </c>
      <c r="J401" t="n">
        <v>0.18</v>
      </c>
      <c r="K401" t="n">
        <v>55.23</v>
      </c>
      <c r="L401" t="n">
        <v>362.04</v>
      </c>
      <c r="M401" t="inlineStr">
        <is>
          <t>INR</t>
        </is>
      </c>
      <c r="N401" t="inlineStr">
        <is>
          <t>Paid</t>
        </is>
      </c>
      <c r="O401" t="inlineStr">
        <is>
          <t>Paid</t>
        </is>
      </c>
      <c r="P401" t="n">
        <v>306.81</v>
      </c>
      <c r="Q401" t="n">
        <v>306.81</v>
      </c>
      <c r="R401" t="b">
        <v>0</v>
      </c>
    </row>
    <row r="402">
      <c r="A402" t="inlineStr">
        <is>
          <t>INV0010266</t>
        </is>
      </c>
      <c r="B402" t="inlineStr">
        <is>
          <t>MER00484</t>
        </is>
      </c>
      <c r="C402" t="inlineStr">
        <is>
          <t>2026-04-01</t>
        </is>
      </c>
      <c r="D402" t="inlineStr">
        <is>
          <t>2026-04-30</t>
        </is>
      </c>
      <c r="E402" s="8" t="n">
        <v>46144</v>
      </c>
      <c r="F402" s="8" t="n">
        <v>46174</v>
      </c>
      <c r="G402" t="n">
        <v>196.03</v>
      </c>
      <c r="H402" t="n">
        <v>0</v>
      </c>
      <c r="I402" t="n">
        <v>196.03</v>
      </c>
      <c r="J402" t="n">
        <v>0.18</v>
      </c>
      <c r="K402" t="n">
        <v>35.29</v>
      </c>
      <c r="L402" t="n">
        <v>231.32</v>
      </c>
      <c r="M402" t="inlineStr">
        <is>
          <t>INR</t>
        </is>
      </c>
      <c r="N402" t="inlineStr">
        <is>
          <t>Paid</t>
        </is>
      </c>
      <c r="O402" t="inlineStr">
        <is>
          <t>Paid</t>
        </is>
      </c>
      <c r="P402" t="n">
        <v>196.03</v>
      </c>
      <c r="Q402" t="n">
        <v>196.03</v>
      </c>
      <c r="R402" t="b">
        <v>0</v>
      </c>
    </row>
    <row r="403">
      <c r="A403" t="inlineStr">
        <is>
          <t>INV0010267</t>
        </is>
      </c>
      <c r="B403" t="inlineStr">
        <is>
          <t>MER00484</t>
        </is>
      </c>
      <c r="C403" t="inlineStr">
        <is>
          <t>2026-05-01</t>
        </is>
      </c>
      <c r="D403" t="inlineStr">
        <is>
          <t>2026-05-31</t>
        </is>
      </c>
      <c r="E403" s="8" t="n">
        <v>46175</v>
      </c>
      <c r="F403" s="8" t="n">
        <v>46205</v>
      </c>
      <c r="G403" t="n">
        <v>205.27</v>
      </c>
      <c r="H403" t="n">
        <v>0</v>
      </c>
      <c r="I403" t="n">
        <v>205.27</v>
      </c>
      <c r="J403" t="n">
        <v>0.18</v>
      </c>
      <c r="K403" t="n">
        <v>36.95</v>
      </c>
      <c r="L403" t="n">
        <v>242.22</v>
      </c>
      <c r="M403" t="inlineStr">
        <is>
          <t>INR</t>
        </is>
      </c>
      <c r="N403" t="inlineStr">
        <is>
          <t>Paid</t>
        </is>
      </c>
      <c r="O403" t="inlineStr">
        <is>
          <t>Paid</t>
        </is>
      </c>
      <c r="P403" t="n">
        <v>205.27</v>
      </c>
      <c r="Q403" t="n">
        <v>205.27</v>
      </c>
      <c r="R403" t="b">
        <v>0</v>
      </c>
    </row>
    <row r="404">
      <c r="A404" t="inlineStr">
        <is>
          <t>INV0010268</t>
        </is>
      </c>
      <c r="B404" t="inlineStr">
        <is>
          <t>MER00484</t>
        </is>
      </c>
      <c r="C404" t="inlineStr">
        <is>
          <t>2026-06-01</t>
        </is>
      </c>
      <c r="D404" t="inlineStr">
        <is>
          <t>2026-06-30</t>
        </is>
      </c>
      <c r="E404" s="8" t="n">
        <v>46205</v>
      </c>
      <c r="F404" s="8" t="n">
        <v>46235</v>
      </c>
      <c r="G404" t="n">
        <v>166.22</v>
      </c>
      <c r="H404" t="n">
        <v>0</v>
      </c>
      <c r="I404" t="n">
        <v>166.22</v>
      </c>
      <c r="J404" t="n">
        <v>0.18</v>
      </c>
      <c r="K404" t="n">
        <v>29.92</v>
      </c>
      <c r="L404" t="n">
        <v>196.14</v>
      </c>
      <c r="M404" t="inlineStr">
        <is>
          <t>INR</t>
        </is>
      </c>
      <c r="N404" t="inlineStr">
        <is>
          <t>Paid</t>
        </is>
      </c>
      <c r="O404" t="inlineStr">
        <is>
          <t>Paid</t>
        </is>
      </c>
      <c r="P404" t="n">
        <v>166.22</v>
      </c>
      <c r="Q404" t="n">
        <v>166.22</v>
      </c>
      <c r="R404" t="b">
        <v>0</v>
      </c>
    </row>
    <row r="405">
      <c r="A405" t="inlineStr">
        <is>
          <t>INV0010269</t>
        </is>
      </c>
      <c r="B405" t="inlineStr">
        <is>
          <t>MER00484</t>
        </is>
      </c>
      <c r="C405" t="inlineStr">
        <is>
          <t>2026-07-01</t>
        </is>
      </c>
      <c r="D405" t="inlineStr">
        <is>
          <t>2026-07-31</t>
        </is>
      </c>
      <c r="E405" s="8" t="n">
        <v>46236</v>
      </c>
      <c r="F405" s="8" t="n">
        <v>46266</v>
      </c>
      <c r="G405" t="n">
        <v>165.23</v>
      </c>
      <c r="H405" t="n">
        <v>0</v>
      </c>
      <c r="I405" t="n">
        <v>165.23</v>
      </c>
      <c r="J405" t="n">
        <v>0.18</v>
      </c>
      <c r="K405" t="n">
        <v>29.74</v>
      </c>
      <c r="L405" t="n">
        <v>194.97</v>
      </c>
      <c r="M405" t="inlineStr">
        <is>
          <t>INR</t>
        </is>
      </c>
      <c r="N405" t="inlineStr">
        <is>
          <t>Paid</t>
        </is>
      </c>
      <c r="O405" t="inlineStr">
        <is>
          <t>Paid</t>
        </is>
      </c>
      <c r="P405" t="n">
        <v>165.23</v>
      </c>
      <c r="Q405" t="n">
        <v>165.23</v>
      </c>
      <c r="R405" t="b">
        <v>0</v>
      </c>
    </row>
    <row r="406">
      <c r="A406" t="inlineStr">
        <is>
          <t>INV0010618</t>
        </is>
      </c>
      <c r="B406" t="inlineStr">
        <is>
          <t>MER00502</t>
        </is>
      </c>
      <c r="C406" t="inlineStr">
        <is>
          <t>2024-08-01</t>
        </is>
      </c>
      <c r="D406" t="inlineStr">
        <is>
          <t>2024-08-31</t>
        </is>
      </c>
      <c r="E406" s="8" t="n">
        <v>45537</v>
      </c>
      <c r="F406" s="8" t="n">
        <v>45552</v>
      </c>
      <c r="G406" t="n">
        <v>70.94</v>
      </c>
      <c r="H406" t="n">
        <v>0</v>
      </c>
      <c r="I406" t="n">
        <v>70.94</v>
      </c>
      <c r="J406" t="n">
        <v>0.18</v>
      </c>
      <c r="K406" t="n">
        <v>12.77</v>
      </c>
      <c r="L406" t="n">
        <v>83.70999999999999</v>
      </c>
      <c r="M406" t="inlineStr">
        <is>
          <t>INR</t>
        </is>
      </c>
      <c r="N406" t="inlineStr">
        <is>
          <t>Overdue</t>
        </is>
      </c>
      <c r="O406" t="inlineStr">
        <is>
          <t>Unpaid</t>
        </is>
      </c>
      <c r="P406" t="n">
        <v>70.94</v>
      </c>
      <c r="Q406" t="n">
        <v>70.94</v>
      </c>
      <c r="R406" t="b">
        <v>0</v>
      </c>
    </row>
    <row r="407">
      <c r="A407" t="inlineStr">
        <is>
          <t>INV0010619</t>
        </is>
      </c>
      <c r="B407" t="inlineStr">
        <is>
          <t>MER00502</t>
        </is>
      </c>
      <c r="C407" t="inlineStr">
        <is>
          <t>2024-10-01</t>
        </is>
      </c>
      <c r="D407" t="inlineStr">
        <is>
          <t>2024-10-31</t>
        </is>
      </c>
      <c r="E407" s="8" t="n">
        <v>45598</v>
      </c>
      <c r="F407" s="8" t="n">
        <v>45613</v>
      </c>
      <c r="G407" t="n">
        <v>200.43</v>
      </c>
      <c r="H407" t="n">
        <v>0</v>
      </c>
      <c r="I407" t="n">
        <v>200.43</v>
      </c>
      <c r="J407" t="n">
        <v>0.18</v>
      </c>
      <c r="K407" t="n">
        <v>36.08</v>
      </c>
      <c r="L407" t="n">
        <v>236.51</v>
      </c>
      <c r="M407" t="inlineStr">
        <is>
          <t>INR</t>
        </is>
      </c>
      <c r="N407" t="inlineStr">
        <is>
          <t>Paid</t>
        </is>
      </c>
      <c r="O407" t="inlineStr">
        <is>
          <t>Paid</t>
        </is>
      </c>
      <c r="P407" t="n">
        <v>200.43</v>
      </c>
      <c r="Q407" t="n">
        <v>200.43</v>
      </c>
      <c r="R407" t="b">
        <v>0</v>
      </c>
    </row>
    <row r="408">
      <c r="A408" t="inlineStr">
        <is>
          <t>INV0010620</t>
        </is>
      </c>
      <c r="B408" t="inlineStr">
        <is>
          <t>MER00502</t>
        </is>
      </c>
      <c r="C408" t="inlineStr">
        <is>
          <t>2024-11-01</t>
        </is>
      </c>
      <c r="D408" t="inlineStr">
        <is>
          <t>2024-11-30</t>
        </is>
      </c>
      <c r="E408" s="8" t="n">
        <v>45628</v>
      </c>
      <c r="F408" s="8" t="n">
        <v>45643</v>
      </c>
      <c r="G408" t="n">
        <v>244.12</v>
      </c>
      <c r="H408" t="n">
        <v>0</v>
      </c>
      <c r="I408" t="n">
        <v>244.12</v>
      </c>
      <c r="J408" t="n">
        <v>0.18</v>
      </c>
      <c r="K408" t="n">
        <v>43.94</v>
      </c>
      <c r="L408" t="n">
        <v>288.06</v>
      </c>
      <c r="M408" t="inlineStr">
        <is>
          <t>INR</t>
        </is>
      </c>
      <c r="N408" t="inlineStr">
        <is>
          <t>Paid</t>
        </is>
      </c>
      <c r="O408" t="inlineStr">
        <is>
          <t>Paid</t>
        </is>
      </c>
      <c r="P408" t="n">
        <v>299.69</v>
      </c>
      <c r="Q408" t="n">
        <v>244.12</v>
      </c>
      <c r="R408" t="b">
        <v>1</v>
      </c>
    </row>
    <row r="409">
      <c r="A409" t="inlineStr">
        <is>
          <t>INV0010621</t>
        </is>
      </c>
      <c r="B409" t="inlineStr">
        <is>
          <t>MER00502</t>
        </is>
      </c>
      <c r="C409" t="inlineStr">
        <is>
          <t>2024-12-01</t>
        </is>
      </c>
      <c r="D409" t="inlineStr">
        <is>
          <t>2024-12-31</t>
        </is>
      </c>
      <c r="E409" s="8" t="n">
        <v>45659</v>
      </c>
      <c r="F409" s="8" t="n">
        <v>45674</v>
      </c>
      <c r="G409" t="n">
        <v>179.84</v>
      </c>
      <c r="H409" t="n">
        <v>0</v>
      </c>
      <c r="I409" t="n">
        <v>179.84</v>
      </c>
      <c r="J409" t="n">
        <v>0.18</v>
      </c>
      <c r="K409" t="n">
        <v>32.37</v>
      </c>
      <c r="L409" t="n">
        <v>212.21</v>
      </c>
      <c r="M409" t="inlineStr">
        <is>
          <t>INR</t>
        </is>
      </c>
      <c r="N409" t="inlineStr">
        <is>
          <t>Paid</t>
        </is>
      </c>
      <c r="O409" t="inlineStr">
        <is>
          <t>Paid</t>
        </is>
      </c>
      <c r="P409" t="n">
        <v>179.84</v>
      </c>
      <c r="Q409" t="n">
        <v>179.84</v>
      </c>
      <c r="R409" t="b">
        <v>0</v>
      </c>
    </row>
    <row r="410">
      <c r="A410" t="inlineStr">
        <is>
          <t>INV0010622</t>
        </is>
      </c>
      <c r="B410" t="inlineStr">
        <is>
          <t>MER00502</t>
        </is>
      </c>
      <c r="C410" t="inlineStr">
        <is>
          <t>2025-01-01</t>
        </is>
      </c>
      <c r="D410" t="inlineStr">
        <is>
          <t>2025-01-31</t>
        </is>
      </c>
      <c r="E410" s="8" t="n">
        <v>45690</v>
      </c>
      <c r="F410" s="8" t="n">
        <v>45705</v>
      </c>
      <c r="G410" t="n">
        <v>385.83</v>
      </c>
      <c r="H410" t="n">
        <v>0</v>
      </c>
      <c r="I410" t="n">
        <v>385.83</v>
      </c>
      <c r="J410" t="n">
        <v>0.18</v>
      </c>
      <c r="K410" t="n">
        <v>69.45</v>
      </c>
      <c r="L410" t="n">
        <v>455.28</v>
      </c>
      <c r="M410" t="inlineStr">
        <is>
          <t>INR</t>
        </is>
      </c>
      <c r="N410" t="inlineStr">
        <is>
          <t>Paid</t>
        </is>
      </c>
      <c r="O410" t="inlineStr">
        <is>
          <t>Paid</t>
        </is>
      </c>
      <c r="P410" t="n">
        <v>385.83</v>
      </c>
      <c r="Q410" t="n">
        <v>385.83</v>
      </c>
      <c r="R410" t="b">
        <v>0</v>
      </c>
    </row>
    <row r="411">
      <c r="A411" t="inlineStr">
        <is>
          <t>INV0010623</t>
        </is>
      </c>
      <c r="B411" t="inlineStr">
        <is>
          <t>MER00502</t>
        </is>
      </c>
      <c r="C411" t="inlineStr">
        <is>
          <t>2025-02-01</t>
        </is>
      </c>
      <c r="D411" t="inlineStr">
        <is>
          <t>2025-02-28</t>
        </is>
      </c>
      <c r="E411" s="8" t="n">
        <v>45718</v>
      </c>
      <c r="F411" s="8" t="n">
        <v>45733</v>
      </c>
      <c r="G411" t="n">
        <v>81.73999999999999</v>
      </c>
      <c r="H411" t="n">
        <v>0</v>
      </c>
      <c r="I411" t="n">
        <v>81.73999999999999</v>
      </c>
      <c r="J411" t="n">
        <v>0.18</v>
      </c>
      <c r="K411" t="n">
        <v>14.71</v>
      </c>
      <c r="L411" t="n">
        <v>96.45</v>
      </c>
      <c r="M411" t="inlineStr">
        <is>
          <t>INR</t>
        </is>
      </c>
      <c r="N411" t="inlineStr">
        <is>
          <t>Paid</t>
        </is>
      </c>
      <c r="O411" t="inlineStr">
        <is>
          <t>Paid</t>
        </is>
      </c>
      <c r="P411" t="n">
        <v>81.73999999999999</v>
      </c>
      <c r="Q411" t="n">
        <v>81.73999999999999</v>
      </c>
      <c r="R411" t="b">
        <v>0</v>
      </c>
    </row>
    <row r="412">
      <c r="A412" t="inlineStr">
        <is>
          <t>INV0010624</t>
        </is>
      </c>
      <c r="B412" t="inlineStr">
        <is>
          <t>MER00502</t>
        </is>
      </c>
      <c r="C412" t="inlineStr">
        <is>
          <t>2025-03-01</t>
        </is>
      </c>
      <c r="D412" t="inlineStr">
        <is>
          <t>2025-03-31</t>
        </is>
      </c>
      <c r="E412" s="8" t="n">
        <v>45749</v>
      </c>
      <c r="F412" s="8" t="n">
        <v>45764</v>
      </c>
      <c r="G412" t="n">
        <v>357.16</v>
      </c>
      <c r="H412" t="n">
        <v>0</v>
      </c>
      <c r="I412" t="n">
        <v>357.16</v>
      </c>
      <c r="J412" t="n">
        <v>0.18</v>
      </c>
      <c r="K412" t="n">
        <v>64.29000000000001</v>
      </c>
      <c r="L412" t="n">
        <v>421.45</v>
      </c>
      <c r="M412" t="inlineStr">
        <is>
          <t>INR</t>
        </is>
      </c>
      <c r="N412" t="inlineStr">
        <is>
          <t>Paid</t>
        </is>
      </c>
      <c r="O412" t="inlineStr">
        <is>
          <t>Paid</t>
        </is>
      </c>
      <c r="P412" t="n">
        <v>357.16</v>
      </c>
      <c r="Q412" t="n">
        <v>357.16</v>
      </c>
      <c r="R412" t="b">
        <v>0</v>
      </c>
    </row>
    <row r="413">
      <c r="A413" t="inlineStr">
        <is>
          <t>INV0010625</t>
        </is>
      </c>
      <c r="B413" t="inlineStr">
        <is>
          <t>MER00502</t>
        </is>
      </c>
      <c r="C413" t="inlineStr">
        <is>
          <t>2025-04-01</t>
        </is>
      </c>
      <c r="D413" t="inlineStr">
        <is>
          <t>2025-04-30</t>
        </is>
      </c>
      <c r="E413" s="8" t="n">
        <v>45779</v>
      </c>
      <c r="F413" s="8" t="n">
        <v>45794</v>
      </c>
      <c r="G413" t="n">
        <v>296.78</v>
      </c>
      <c r="H413" t="n">
        <v>0</v>
      </c>
      <c r="I413" t="n">
        <v>296.78</v>
      </c>
      <c r="J413" t="n">
        <v>0.18</v>
      </c>
      <c r="K413" t="n">
        <v>53.42</v>
      </c>
      <c r="L413" t="n">
        <v>350.2</v>
      </c>
      <c r="M413" t="inlineStr">
        <is>
          <t>INR</t>
        </is>
      </c>
      <c r="N413" t="inlineStr">
        <is>
          <t>Paid</t>
        </is>
      </c>
      <c r="O413" t="inlineStr">
        <is>
          <t>Paid</t>
        </is>
      </c>
      <c r="P413" t="n">
        <v>296.78</v>
      </c>
      <c r="Q413" t="n">
        <v>296.78</v>
      </c>
      <c r="R413" t="b">
        <v>0</v>
      </c>
    </row>
    <row r="414">
      <c r="A414" t="inlineStr">
        <is>
          <t>INV0010626</t>
        </is>
      </c>
      <c r="B414" t="inlineStr">
        <is>
          <t>MER00502</t>
        </is>
      </c>
      <c r="C414" t="inlineStr">
        <is>
          <t>2025-05-01</t>
        </is>
      </c>
      <c r="D414" t="inlineStr">
        <is>
          <t>2025-05-31</t>
        </is>
      </c>
      <c r="E414" s="8" t="n">
        <v>45810</v>
      </c>
      <c r="F414" s="8" t="n">
        <v>45825</v>
      </c>
      <c r="G414" t="n">
        <v>204.61</v>
      </c>
      <c r="H414" t="n">
        <v>0</v>
      </c>
      <c r="I414" t="n">
        <v>204.61</v>
      </c>
      <c r="J414" t="n">
        <v>0.18</v>
      </c>
      <c r="K414" t="n">
        <v>36.83</v>
      </c>
      <c r="L414" t="n">
        <v>241.44</v>
      </c>
      <c r="M414" t="inlineStr">
        <is>
          <t>INR</t>
        </is>
      </c>
      <c r="N414" t="inlineStr">
        <is>
          <t>Paid</t>
        </is>
      </c>
      <c r="O414" t="inlineStr">
        <is>
          <t>Paid</t>
        </is>
      </c>
      <c r="P414" t="n">
        <v>204.61</v>
      </c>
      <c r="Q414" t="n">
        <v>204.61</v>
      </c>
      <c r="R414" t="b">
        <v>0</v>
      </c>
    </row>
    <row r="415">
      <c r="A415" t="inlineStr">
        <is>
          <t>INV0010627</t>
        </is>
      </c>
      <c r="B415" t="inlineStr">
        <is>
          <t>MER00502</t>
        </is>
      </c>
      <c r="C415" t="inlineStr">
        <is>
          <t>2025-06-01</t>
        </is>
      </c>
      <c r="D415" t="inlineStr">
        <is>
          <t>2025-06-30</t>
        </is>
      </c>
      <c r="E415" s="8" t="n">
        <v>45840</v>
      </c>
      <c r="F415" s="8" t="n">
        <v>45855</v>
      </c>
      <c r="G415" t="n">
        <v>272.77</v>
      </c>
      <c r="H415" t="n">
        <v>0</v>
      </c>
      <c r="I415" t="n">
        <v>272.77</v>
      </c>
      <c r="J415" t="n">
        <v>0.18</v>
      </c>
      <c r="K415" t="n">
        <v>49.1</v>
      </c>
      <c r="L415" t="n">
        <v>321.87</v>
      </c>
      <c r="M415" t="inlineStr">
        <is>
          <t>INR</t>
        </is>
      </c>
      <c r="N415" t="inlineStr">
        <is>
          <t>Paid</t>
        </is>
      </c>
      <c r="O415" t="inlineStr">
        <is>
          <t>Paid</t>
        </is>
      </c>
      <c r="P415" t="n">
        <v>272.77</v>
      </c>
      <c r="Q415" t="n">
        <v>272.77</v>
      </c>
      <c r="R415" t="b">
        <v>0</v>
      </c>
    </row>
    <row r="416">
      <c r="A416" t="inlineStr">
        <is>
          <t>INV0010628</t>
        </is>
      </c>
      <c r="B416" t="inlineStr">
        <is>
          <t>MER00502</t>
        </is>
      </c>
      <c r="C416" t="inlineStr">
        <is>
          <t>2025-07-01</t>
        </is>
      </c>
      <c r="D416" t="inlineStr">
        <is>
          <t>2025-07-31</t>
        </is>
      </c>
      <c r="E416" s="8" t="n">
        <v>45871</v>
      </c>
      <c r="F416" s="8" t="n">
        <v>45886</v>
      </c>
      <c r="G416" t="n">
        <v>243.32</v>
      </c>
      <c r="H416" t="n">
        <v>0</v>
      </c>
      <c r="I416" t="n">
        <v>243.32</v>
      </c>
      <c r="J416" t="n">
        <v>0.18</v>
      </c>
      <c r="K416" t="n">
        <v>43.8</v>
      </c>
      <c r="L416" t="n">
        <v>287.12</v>
      </c>
      <c r="M416" t="inlineStr">
        <is>
          <t>INR</t>
        </is>
      </c>
      <c r="N416" t="inlineStr">
        <is>
          <t>Paid</t>
        </is>
      </c>
      <c r="O416" t="inlineStr">
        <is>
          <t>Paid</t>
        </is>
      </c>
      <c r="P416" t="n">
        <v>194.17</v>
      </c>
      <c r="Q416" t="n">
        <v>243.32</v>
      </c>
      <c r="R416" t="b">
        <v>1</v>
      </c>
    </row>
    <row r="417">
      <c r="A417" t="inlineStr">
        <is>
          <t>INV0010629</t>
        </is>
      </c>
      <c r="B417" t="inlineStr">
        <is>
          <t>MER00502</t>
        </is>
      </c>
      <c r="C417" t="inlineStr">
        <is>
          <t>2025-08-01</t>
        </is>
      </c>
      <c r="D417" t="inlineStr">
        <is>
          <t>2025-08-31</t>
        </is>
      </c>
      <c r="E417" s="8" t="n">
        <v>45902</v>
      </c>
      <c r="F417" s="8" t="n">
        <v>45917</v>
      </c>
      <c r="G417" t="n">
        <v>221.15</v>
      </c>
      <c r="H417" t="n">
        <v>16.14</v>
      </c>
      <c r="I417" t="n">
        <v>205.01</v>
      </c>
      <c r="J417" t="n">
        <v>0.18</v>
      </c>
      <c r="K417" t="n">
        <v>36.9</v>
      </c>
      <c r="L417" t="n">
        <v>241.91</v>
      </c>
      <c r="M417" t="inlineStr">
        <is>
          <t>INR</t>
        </is>
      </c>
      <c r="N417" t="inlineStr">
        <is>
          <t>Paid</t>
        </is>
      </c>
      <c r="O417" t="inlineStr">
        <is>
          <t>Paid</t>
        </is>
      </c>
      <c r="P417" t="n">
        <v>221.15</v>
      </c>
      <c r="Q417" t="n">
        <v>221.15</v>
      </c>
      <c r="R417" t="b">
        <v>0</v>
      </c>
    </row>
    <row r="418">
      <c r="A418" t="inlineStr">
        <is>
          <t>INV0010630</t>
        </is>
      </c>
      <c r="B418" t="inlineStr">
        <is>
          <t>MER00502</t>
        </is>
      </c>
      <c r="C418" t="inlineStr">
        <is>
          <t>2025-09-01</t>
        </is>
      </c>
      <c r="D418" t="inlineStr">
        <is>
          <t>2025-09-30</t>
        </is>
      </c>
      <c r="E418" s="8" t="n">
        <v>45932</v>
      </c>
      <c r="F418" s="8" t="n">
        <v>45947</v>
      </c>
      <c r="G418" t="n">
        <v>257.98</v>
      </c>
      <c r="H418" t="n">
        <v>0</v>
      </c>
      <c r="I418" t="n">
        <v>257.98</v>
      </c>
      <c r="J418" t="n">
        <v>0.18</v>
      </c>
      <c r="K418" t="n">
        <v>46.44</v>
      </c>
      <c r="L418" t="n">
        <v>304.42</v>
      </c>
      <c r="M418" t="inlineStr">
        <is>
          <t>INR</t>
        </is>
      </c>
      <c r="N418" t="inlineStr">
        <is>
          <t>Paid</t>
        </is>
      </c>
      <c r="O418" t="inlineStr">
        <is>
          <t>Paid</t>
        </is>
      </c>
      <c r="P418" t="n">
        <v>257.98</v>
      </c>
      <c r="Q418" t="n">
        <v>257.98</v>
      </c>
      <c r="R418" t="b">
        <v>0</v>
      </c>
    </row>
    <row r="419">
      <c r="A419" t="inlineStr">
        <is>
          <t>INV0010631</t>
        </is>
      </c>
      <c r="B419" t="inlineStr">
        <is>
          <t>MER00502</t>
        </is>
      </c>
      <c r="C419" t="inlineStr">
        <is>
          <t>2025-10-01</t>
        </is>
      </c>
      <c r="D419" t="inlineStr">
        <is>
          <t>2025-10-31</t>
        </is>
      </c>
      <c r="E419" s="8" t="n">
        <v>45963</v>
      </c>
      <c r="F419" s="8" t="n">
        <v>45978</v>
      </c>
      <c r="G419" t="n">
        <v>280.01</v>
      </c>
      <c r="H419" t="n">
        <v>0</v>
      </c>
      <c r="I419" t="n">
        <v>280.01</v>
      </c>
      <c r="J419" t="n">
        <v>0.18</v>
      </c>
      <c r="K419" t="n">
        <v>50.4</v>
      </c>
      <c r="L419" t="n">
        <v>330.41</v>
      </c>
      <c r="M419" t="inlineStr">
        <is>
          <t>INR</t>
        </is>
      </c>
      <c r="N419" t="inlineStr">
        <is>
          <t>Paid</t>
        </is>
      </c>
      <c r="O419" t="inlineStr">
        <is>
          <t>Paid</t>
        </is>
      </c>
      <c r="P419" t="n">
        <v>280.01</v>
      </c>
      <c r="Q419" t="n">
        <v>280.01</v>
      </c>
      <c r="R419" t="b">
        <v>0</v>
      </c>
    </row>
    <row r="420">
      <c r="A420" t="inlineStr">
        <is>
          <t>INV0010632</t>
        </is>
      </c>
      <c r="B420" t="inlineStr">
        <is>
          <t>MER00502</t>
        </is>
      </c>
      <c r="C420" t="inlineStr">
        <is>
          <t>2025-11-01</t>
        </is>
      </c>
      <c r="D420" t="inlineStr">
        <is>
          <t>2025-11-30</t>
        </is>
      </c>
      <c r="E420" s="8" t="n">
        <v>45993</v>
      </c>
      <c r="F420" s="8" t="n">
        <v>46008</v>
      </c>
      <c r="G420" t="n">
        <v>463.78</v>
      </c>
      <c r="H420" t="n">
        <v>0</v>
      </c>
      <c r="I420" t="n">
        <v>463.78</v>
      </c>
      <c r="J420" t="n">
        <v>0.18</v>
      </c>
      <c r="K420" t="n">
        <v>83.48</v>
      </c>
      <c r="L420" t="n">
        <v>547.26</v>
      </c>
      <c r="M420" t="inlineStr">
        <is>
          <t>INR</t>
        </is>
      </c>
      <c r="N420" t="inlineStr">
        <is>
          <t>Paid</t>
        </is>
      </c>
      <c r="O420" t="inlineStr">
        <is>
          <t>Paid</t>
        </is>
      </c>
      <c r="P420" t="n">
        <v>463.78</v>
      </c>
      <c r="Q420" t="n">
        <v>463.78</v>
      </c>
      <c r="R420" t="b">
        <v>0</v>
      </c>
    </row>
    <row r="421">
      <c r="A421" t="inlineStr">
        <is>
          <t>INV0010633</t>
        </is>
      </c>
      <c r="B421" t="inlineStr">
        <is>
          <t>MER00502</t>
        </is>
      </c>
      <c r="C421" t="inlineStr">
        <is>
          <t>2025-12-01</t>
        </is>
      </c>
      <c r="D421" t="inlineStr">
        <is>
          <t>2025-12-31</t>
        </is>
      </c>
      <c r="E421" s="8" t="n">
        <v>46024</v>
      </c>
      <c r="F421" s="8" t="n">
        <v>46039</v>
      </c>
      <c r="G421" t="n">
        <v>192.19</v>
      </c>
      <c r="H421" t="n">
        <v>0</v>
      </c>
      <c r="I421" t="n">
        <v>192.19</v>
      </c>
      <c r="J421" t="n">
        <v>0.18</v>
      </c>
      <c r="K421" t="n">
        <v>34.59</v>
      </c>
      <c r="L421" t="n">
        <v>226.78</v>
      </c>
      <c r="M421" t="inlineStr">
        <is>
          <t>INR</t>
        </is>
      </c>
      <c r="N421" t="inlineStr">
        <is>
          <t>Paid</t>
        </is>
      </c>
      <c r="O421" t="inlineStr">
        <is>
          <t>Paid</t>
        </is>
      </c>
      <c r="P421" t="n">
        <v>192.19</v>
      </c>
      <c r="Q421" t="n">
        <v>192.19</v>
      </c>
      <c r="R421" t="b">
        <v>0</v>
      </c>
    </row>
    <row r="422">
      <c r="A422" t="inlineStr">
        <is>
          <t>INV0010634</t>
        </is>
      </c>
      <c r="B422" t="inlineStr">
        <is>
          <t>MER00502</t>
        </is>
      </c>
      <c r="C422" t="inlineStr">
        <is>
          <t>2026-01-01</t>
        </is>
      </c>
      <c r="D422" t="inlineStr">
        <is>
          <t>2026-01-31</t>
        </is>
      </c>
      <c r="E422" s="8" t="n">
        <v>46055</v>
      </c>
      <c r="F422" s="8" t="n">
        <v>46070</v>
      </c>
      <c r="G422" t="n">
        <v>258.48</v>
      </c>
      <c r="H422" t="n">
        <v>0</v>
      </c>
      <c r="I422" t="n">
        <v>258.48</v>
      </c>
      <c r="J422" t="n">
        <v>0.18</v>
      </c>
      <c r="K422" t="n">
        <v>46.53</v>
      </c>
      <c r="L422" t="n">
        <v>305.01</v>
      </c>
      <c r="M422" t="inlineStr">
        <is>
          <t>INR</t>
        </is>
      </c>
      <c r="N422" t="inlineStr">
        <is>
          <t>Paid</t>
        </is>
      </c>
      <c r="O422" t="inlineStr">
        <is>
          <t>Paid</t>
        </is>
      </c>
      <c r="P422" t="n">
        <v>258.48</v>
      </c>
      <c r="Q422" t="n">
        <v>258.48</v>
      </c>
      <c r="R422" t="b">
        <v>0</v>
      </c>
    </row>
    <row r="423">
      <c r="A423" t="inlineStr">
        <is>
          <t>INV0010635</t>
        </is>
      </c>
      <c r="B423" t="inlineStr">
        <is>
          <t>MER00502</t>
        </is>
      </c>
      <c r="C423" t="inlineStr">
        <is>
          <t>2026-02-01</t>
        </is>
      </c>
      <c r="D423" t="inlineStr">
        <is>
          <t>2026-02-28</t>
        </is>
      </c>
      <c r="E423" s="8" t="n">
        <v>46083</v>
      </c>
      <c r="F423" s="8" t="n">
        <v>46098</v>
      </c>
      <c r="G423" t="n">
        <v>286.89</v>
      </c>
      <c r="H423" t="n">
        <v>0</v>
      </c>
      <c r="I423" t="n">
        <v>286.89</v>
      </c>
      <c r="J423" t="n">
        <v>0.18</v>
      </c>
      <c r="K423" t="n">
        <v>51.64</v>
      </c>
      <c r="L423" t="n">
        <v>338.53</v>
      </c>
      <c r="M423" t="inlineStr">
        <is>
          <t>INR</t>
        </is>
      </c>
      <c r="N423" t="inlineStr">
        <is>
          <t>Paid</t>
        </is>
      </c>
      <c r="O423" t="inlineStr">
        <is>
          <t>Paid</t>
        </is>
      </c>
      <c r="P423" t="n">
        <v>286.89</v>
      </c>
      <c r="Q423" t="n">
        <v>286.89</v>
      </c>
      <c r="R423" t="b">
        <v>0</v>
      </c>
    </row>
    <row r="424">
      <c r="A424" t="inlineStr">
        <is>
          <t>INV0010636</t>
        </is>
      </c>
      <c r="B424" t="inlineStr">
        <is>
          <t>MER00502</t>
        </is>
      </c>
      <c r="C424" t="inlineStr">
        <is>
          <t>2026-03-01</t>
        </is>
      </c>
      <c r="D424" t="inlineStr">
        <is>
          <t>2026-03-31</t>
        </is>
      </c>
      <c r="E424" s="8" t="n">
        <v>46114</v>
      </c>
      <c r="F424" s="8" t="n">
        <v>46129</v>
      </c>
      <c r="G424" t="n">
        <v>426.9</v>
      </c>
      <c r="H424" t="n">
        <v>0</v>
      </c>
      <c r="I424" t="n">
        <v>426.9</v>
      </c>
      <c r="J424" t="n">
        <v>0.18</v>
      </c>
      <c r="K424" t="n">
        <v>76.84</v>
      </c>
      <c r="L424" t="n">
        <v>503.74</v>
      </c>
      <c r="M424" t="inlineStr">
        <is>
          <t>INR</t>
        </is>
      </c>
      <c r="N424" t="inlineStr">
        <is>
          <t>Paid</t>
        </is>
      </c>
      <c r="O424" t="inlineStr">
        <is>
          <t>Paid</t>
        </is>
      </c>
      <c r="P424" t="n">
        <v>426.9</v>
      </c>
      <c r="Q424" t="n">
        <v>426.9</v>
      </c>
      <c r="R424" t="b">
        <v>0</v>
      </c>
    </row>
    <row r="425">
      <c r="A425" t="inlineStr">
        <is>
          <t>INV0010637</t>
        </is>
      </c>
      <c r="B425" t="inlineStr">
        <is>
          <t>MER00502</t>
        </is>
      </c>
      <c r="C425" t="inlineStr">
        <is>
          <t>2026-04-01</t>
        </is>
      </c>
      <c r="D425" t="inlineStr">
        <is>
          <t>2026-04-30</t>
        </is>
      </c>
      <c r="E425" s="8" t="n">
        <v>46144</v>
      </c>
      <c r="F425" s="8" t="n">
        <v>46159</v>
      </c>
      <c r="G425" t="n">
        <v>207.32</v>
      </c>
      <c r="H425" t="n">
        <v>0</v>
      </c>
      <c r="I425" t="n">
        <v>207.32</v>
      </c>
      <c r="J425" t="n">
        <v>0.18</v>
      </c>
      <c r="K425" t="n">
        <v>37.32</v>
      </c>
      <c r="L425" t="n">
        <v>244.64</v>
      </c>
      <c r="M425" t="inlineStr">
        <is>
          <t>INR</t>
        </is>
      </c>
      <c r="N425" t="inlineStr">
        <is>
          <t>Paid</t>
        </is>
      </c>
      <c r="O425" t="inlineStr">
        <is>
          <t>Paid</t>
        </is>
      </c>
      <c r="P425" t="n">
        <v>207.32</v>
      </c>
      <c r="Q425" t="n">
        <v>207.32</v>
      </c>
      <c r="R425" t="b">
        <v>0</v>
      </c>
    </row>
    <row r="426">
      <c r="A426" t="inlineStr">
        <is>
          <t>INV0010638</t>
        </is>
      </c>
      <c r="B426" t="inlineStr">
        <is>
          <t>MER00502</t>
        </is>
      </c>
      <c r="C426" t="inlineStr">
        <is>
          <t>2026-05-01</t>
        </is>
      </c>
      <c r="D426" t="inlineStr">
        <is>
          <t>2026-05-31</t>
        </is>
      </c>
      <c r="E426" s="8" t="n">
        <v>46175</v>
      </c>
      <c r="F426" s="8" t="n">
        <v>46190</v>
      </c>
      <c r="G426" t="n">
        <v>359.19</v>
      </c>
      <c r="H426" t="n">
        <v>0</v>
      </c>
      <c r="I426" t="n">
        <v>359.19</v>
      </c>
      <c r="J426" t="n">
        <v>0.18</v>
      </c>
      <c r="K426" t="n">
        <v>64.65000000000001</v>
      </c>
      <c r="L426" t="n">
        <v>423.84</v>
      </c>
      <c r="M426" t="inlineStr">
        <is>
          <t>INR</t>
        </is>
      </c>
      <c r="N426" t="inlineStr">
        <is>
          <t>Paid</t>
        </is>
      </c>
      <c r="O426" t="inlineStr">
        <is>
          <t>Paid</t>
        </is>
      </c>
      <c r="P426" t="n">
        <v>359.19</v>
      </c>
      <c r="Q426" t="n">
        <v>359.19</v>
      </c>
      <c r="R426" t="b">
        <v>0</v>
      </c>
    </row>
    <row r="427">
      <c r="A427" t="inlineStr">
        <is>
          <t>INV0010639</t>
        </is>
      </c>
      <c r="B427" t="inlineStr">
        <is>
          <t>MER00502</t>
        </is>
      </c>
      <c r="C427" t="inlineStr">
        <is>
          <t>2026-06-01</t>
        </is>
      </c>
      <c r="D427" t="inlineStr">
        <is>
          <t>2026-06-30</t>
        </is>
      </c>
      <c r="E427" s="8" t="n">
        <v>46205</v>
      </c>
      <c r="F427" s="8" t="n">
        <v>46220</v>
      </c>
      <c r="G427" t="n">
        <v>342.5</v>
      </c>
      <c r="H427" t="n">
        <v>0</v>
      </c>
      <c r="I427" t="n">
        <v>342.5</v>
      </c>
      <c r="J427" t="n">
        <v>0.18</v>
      </c>
      <c r="K427" t="n">
        <v>61.65</v>
      </c>
      <c r="L427" t="n">
        <v>404.15</v>
      </c>
      <c r="M427" t="inlineStr">
        <is>
          <t>INR</t>
        </is>
      </c>
      <c r="N427" t="inlineStr">
        <is>
          <t>Paid</t>
        </is>
      </c>
      <c r="O427" t="inlineStr">
        <is>
          <t>Paid</t>
        </is>
      </c>
      <c r="P427" t="n">
        <v>342.5</v>
      </c>
      <c r="Q427" t="n">
        <v>342.5</v>
      </c>
      <c r="R427" t="b">
        <v>0</v>
      </c>
    </row>
    <row r="428">
      <c r="A428" t="inlineStr">
        <is>
          <t>INV0010640</t>
        </is>
      </c>
      <c r="B428" t="inlineStr">
        <is>
          <t>MER00502</t>
        </is>
      </c>
      <c r="C428" t="inlineStr">
        <is>
          <t>2026-07-01</t>
        </is>
      </c>
      <c r="D428" t="inlineStr">
        <is>
          <t>2026-07-31</t>
        </is>
      </c>
      <c r="E428" s="8" t="n">
        <v>46236</v>
      </c>
      <c r="F428" s="8" t="n">
        <v>46251</v>
      </c>
      <c r="G428" t="n">
        <v>274.66</v>
      </c>
      <c r="H428" t="n">
        <v>0</v>
      </c>
      <c r="I428" t="n">
        <v>274.66</v>
      </c>
      <c r="J428" t="n">
        <v>0.18</v>
      </c>
      <c r="K428" t="n">
        <v>49.44</v>
      </c>
      <c r="L428" t="n">
        <v>324.1</v>
      </c>
      <c r="M428" t="inlineStr">
        <is>
          <t>INR</t>
        </is>
      </c>
      <c r="N428" t="inlineStr">
        <is>
          <t>Paid</t>
        </is>
      </c>
      <c r="O428" t="inlineStr">
        <is>
          <t>Paid</t>
        </is>
      </c>
      <c r="P428" t="n">
        <v>274.66</v>
      </c>
      <c r="Q428" t="n">
        <v>274.66</v>
      </c>
      <c r="R428" t="b">
        <v>0</v>
      </c>
    </row>
    <row r="429">
      <c r="A429" t="inlineStr">
        <is>
          <t>INV0011058</t>
        </is>
      </c>
      <c r="B429" t="inlineStr">
        <is>
          <t>MER00523</t>
        </is>
      </c>
      <c r="C429" t="inlineStr">
        <is>
          <t>2024-08-01</t>
        </is>
      </c>
      <c r="D429" t="inlineStr">
        <is>
          <t>2024-08-31</t>
        </is>
      </c>
      <c r="E429" s="8" t="n">
        <v>45537</v>
      </c>
      <c r="F429" s="8" t="n">
        <v>45567</v>
      </c>
      <c r="G429" t="n">
        <v>264.26</v>
      </c>
      <c r="H429" t="n">
        <v>0</v>
      </c>
      <c r="I429" t="n">
        <v>264.26</v>
      </c>
      <c r="J429" t="n">
        <v>0.18</v>
      </c>
      <c r="K429" t="n">
        <v>47.57</v>
      </c>
      <c r="L429" t="n">
        <v>311.83</v>
      </c>
      <c r="M429" t="inlineStr">
        <is>
          <t>INR</t>
        </is>
      </c>
      <c r="N429" t="inlineStr">
        <is>
          <t>Void</t>
        </is>
      </c>
      <c r="O429" t="inlineStr">
        <is>
          <t>Unpaid</t>
        </is>
      </c>
      <c r="P429" t="n">
        <v>264.26</v>
      </c>
      <c r="Q429" t="n">
        <v>264.26</v>
      </c>
      <c r="R429" t="b">
        <v>0</v>
      </c>
    </row>
    <row r="430">
      <c r="A430" t="inlineStr">
        <is>
          <t>INV0011059</t>
        </is>
      </c>
      <c r="B430" t="inlineStr">
        <is>
          <t>MER00523</t>
        </is>
      </c>
      <c r="C430" t="inlineStr">
        <is>
          <t>2024-09-01</t>
        </is>
      </c>
      <c r="D430" t="inlineStr">
        <is>
          <t>2024-09-30</t>
        </is>
      </c>
      <c r="E430" s="8" t="n">
        <v>45567</v>
      </c>
      <c r="F430" s="8" t="n">
        <v>45597</v>
      </c>
      <c r="G430" t="n">
        <v>229.63</v>
      </c>
      <c r="H430" t="n">
        <v>0</v>
      </c>
      <c r="I430" t="n">
        <v>229.63</v>
      </c>
      <c r="J430" t="n">
        <v>0.18</v>
      </c>
      <c r="K430" t="n">
        <v>41.33</v>
      </c>
      <c r="L430" t="n">
        <v>270.96</v>
      </c>
      <c r="M430" t="inlineStr">
        <is>
          <t>INR</t>
        </is>
      </c>
      <c r="N430" t="inlineStr">
        <is>
          <t>Paid</t>
        </is>
      </c>
      <c r="O430" t="inlineStr">
        <is>
          <t>Paid</t>
        </is>
      </c>
      <c r="P430" t="n">
        <v>229.63</v>
      </c>
      <c r="Q430" t="n">
        <v>229.63</v>
      </c>
      <c r="R430" t="b">
        <v>0</v>
      </c>
    </row>
    <row r="431">
      <c r="A431" t="inlineStr">
        <is>
          <t>INV0011060</t>
        </is>
      </c>
      <c r="B431" t="inlineStr">
        <is>
          <t>MER00523</t>
        </is>
      </c>
      <c r="C431" t="inlineStr">
        <is>
          <t>2024-10-01</t>
        </is>
      </c>
      <c r="D431" t="inlineStr">
        <is>
          <t>2024-10-31</t>
        </is>
      </c>
      <c r="E431" s="8" t="n">
        <v>45598</v>
      </c>
      <c r="F431" s="8" t="n">
        <v>45628</v>
      </c>
      <c r="G431" t="n">
        <v>386.4</v>
      </c>
      <c r="H431" t="n">
        <v>0</v>
      </c>
      <c r="I431" t="n">
        <v>386.4</v>
      </c>
      <c r="J431" t="n">
        <v>0.18</v>
      </c>
      <c r="K431" t="n">
        <v>69.55</v>
      </c>
      <c r="L431" t="n">
        <v>455.95</v>
      </c>
      <c r="M431" t="inlineStr">
        <is>
          <t>INR</t>
        </is>
      </c>
      <c r="N431" t="inlineStr">
        <is>
          <t>Overdue</t>
        </is>
      </c>
      <c r="O431" t="inlineStr">
        <is>
          <t>Unpaid</t>
        </is>
      </c>
      <c r="P431" t="n">
        <v>386.4</v>
      </c>
      <c r="Q431" t="n">
        <v>386.4</v>
      </c>
      <c r="R431" t="b">
        <v>0</v>
      </c>
    </row>
    <row r="432">
      <c r="A432" t="inlineStr">
        <is>
          <t>INV0011061</t>
        </is>
      </c>
      <c r="B432" t="inlineStr">
        <is>
          <t>MER00523</t>
        </is>
      </c>
      <c r="C432" t="inlineStr">
        <is>
          <t>2024-11-01</t>
        </is>
      </c>
      <c r="D432" t="inlineStr">
        <is>
          <t>2024-11-30</t>
        </is>
      </c>
      <c r="E432" s="8" t="n">
        <v>45628</v>
      </c>
      <c r="F432" s="8" t="n">
        <v>45658</v>
      </c>
      <c r="G432" t="n">
        <v>462.49</v>
      </c>
      <c r="H432" t="n">
        <v>0</v>
      </c>
      <c r="I432" t="n">
        <v>462.49</v>
      </c>
      <c r="J432" t="n">
        <v>0.18</v>
      </c>
      <c r="K432" t="n">
        <v>83.25</v>
      </c>
      <c r="L432" t="n">
        <v>545.74</v>
      </c>
      <c r="M432" t="inlineStr">
        <is>
          <t>INR</t>
        </is>
      </c>
      <c r="N432" t="inlineStr">
        <is>
          <t>Paid</t>
        </is>
      </c>
      <c r="O432" t="inlineStr">
        <is>
          <t>Paid</t>
        </is>
      </c>
      <c r="P432" t="n">
        <v>462.49</v>
      </c>
      <c r="Q432" t="n">
        <v>462.49</v>
      </c>
      <c r="R432" t="b">
        <v>0</v>
      </c>
    </row>
    <row r="433">
      <c r="A433" t="inlineStr">
        <is>
          <t>INV0011062</t>
        </is>
      </c>
      <c r="B433" t="inlineStr">
        <is>
          <t>MER00523</t>
        </is>
      </c>
      <c r="C433" t="inlineStr">
        <is>
          <t>2024-12-01</t>
        </is>
      </c>
      <c r="D433" t="inlineStr">
        <is>
          <t>2024-12-31</t>
        </is>
      </c>
      <c r="E433" s="8" t="n">
        <v>45659</v>
      </c>
      <c r="F433" s="8" t="n">
        <v>45689</v>
      </c>
      <c r="G433" t="n">
        <v>498.06</v>
      </c>
      <c r="H433" t="n">
        <v>0</v>
      </c>
      <c r="I433" t="n">
        <v>498.06</v>
      </c>
      <c r="J433" t="n">
        <v>0.18</v>
      </c>
      <c r="K433" t="n">
        <v>89.65000000000001</v>
      </c>
      <c r="L433" t="n">
        <v>587.71</v>
      </c>
      <c r="M433" t="inlineStr">
        <is>
          <t>INR</t>
        </is>
      </c>
      <c r="N433" t="inlineStr">
        <is>
          <t>Paid</t>
        </is>
      </c>
      <c r="O433" t="inlineStr">
        <is>
          <t>Paid</t>
        </is>
      </c>
      <c r="P433" t="n">
        <v>498.06</v>
      </c>
      <c r="Q433" t="n">
        <v>498.06</v>
      </c>
      <c r="R433" t="b">
        <v>0</v>
      </c>
    </row>
    <row r="434">
      <c r="A434" t="inlineStr">
        <is>
          <t>INV0011063</t>
        </is>
      </c>
      <c r="B434" t="inlineStr">
        <is>
          <t>MER00523</t>
        </is>
      </c>
      <c r="C434" t="inlineStr">
        <is>
          <t>2025-01-01</t>
        </is>
      </c>
      <c r="D434" t="inlineStr">
        <is>
          <t>2025-01-31</t>
        </is>
      </c>
      <c r="E434" s="8" t="n">
        <v>45690</v>
      </c>
      <c r="F434" s="8" t="n">
        <v>45720</v>
      </c>
      <c r="G434" t="n">
        <v>575.53</v>
      </c>
      <c r="H434" t="n">
        <v>0</v>
      </c>
      <c r="I434" t="n">
        <v>575.53</v>
      </c>
      <c r="J434" t="n">
        <v>0.18</v>
      </c>
      <c r="K434" t="n">
        <v>103.6</v>
      </c>
      <c r="L434" t="n">
        <v>679.13</v>
      </c>
      <c r="M434" t="inlineStr">
        <is>
          <t>INR</t>
        </is>
      </c>
      <c r="N434" t="inlineStr">
        <is>
          <t>Paid</t>
        </is>
      </c>
      <c r="O434" t="inlineStr">
        <is>
          <t>Paid</t>
        </is>
      </c>
      <c r="P434" t="n">
        <v>575.53</v>
      </c>
      <c r="Q434" t="n">
        <v>575.53</v>
      </c>
      <c r="R434" t="b">
        <v>0</v>
      </c>
    </row>
    <row r="435">
      <c r="A435" t="inlineStr">
        <is>
          <t>INV0011064</t>
        </is>
      </c>
      <c r="B435" t="inlineStr">
        <is>
          <t>MER00523</t>
        </is>
      </c>
      <c r="C435" t="inlineStr">
        <is>
          <t>2025-02-01</t>
        </is>
      </c>
      <c r="D435" t="inlineStr">
        <is>
          <t>2025-02-28</t>
        </is>
      </c>
      <c r="E435" s="8" t="n">
        <v>45718</v>
      </c>
      <c r="F435" s="8" t="n">
        <v>45748</v>
      </c>
      <c r="G435" t="n">
        <v>521.8</v>
      </c>
      <c r="H435" t="n">
        <v>0</v>
      </c>
      <c r="I435" t="n">
        <v>521.8</v>
      </c>
      <c r="J435" t="n">
        <v>0.18</v>
      </c>
      <c r="K435" t="n">
        <v>93.92</v>
      </c>
      <c r="L435" t="n">
        <v>615.72</v>
      </c>
      <c r="M435" t="inlineStr">
        <is>
          <t>INR</t>
        </is>
      </c>
      <c r="N435" t="inlineStr">
        <is>
          <t>Paid</t>
        </is>
      </c>
      <c r="O435" t="inlineStr">
        <is>
          <t>Paid</t>
        </is>
      </c>
      <c r="P435" t="n">
        <v>521.8</v>
      </c>
      <c r="Q435" t="n">
        <v>521.8</v>
      </c>
      <c r="R435" t="b">
        <v>0</v>
      </c>
    </row>
    <row r="436">
      <c r="A436" t="inlineStr">
        <is>
          <t>INV0011065</t>
        </is>
      </c>
      <c r="B436" t="inlineStr">
        <is>
          <t>MER00523</t>
        </is>
      </c>
      <c r="C436" t="inlineStr">
        <is>
          <t>2025-03-01</t>
        </is>
      </c>
      <c r="D436" t="inlineStr">
        <is>
          <t>2025-03-31</t>
        </is>
      </c>
      <c r="E436" s="8" t="n">
        <v>45749</v>
      </c>
      <c r="F436" s="8" t="n">
        <v>45779</v>
      </c>
      <c r="G436" t="n">
        <v>402</v>
      </c>
      <c r="H436" t="n">
        <v>0</v>
      </c>
      <c r="I436" t="n">
        <v>402</v>
      </c>
      <c r="J436" t="n">
        <v>0.18</v>
      </c>
      <c r="K436" t="n">
        <v>72.36</v>
      </c>
      <c r="L436" t="n">
        <v>474.36</v>
      </c>
      <c r="M436" t="inlineStr">
        <is>
          <t>INR</t>
        </is>
      </c>
      <c r="N436" t="inlineStr">
        <is>
          <t>Paid</t>
        </is>
      </c>
      <c r="O436" t="inlineStr">
        <is>
          <t>Paid</t>
        </is>
      </c>
      <c r="P436" t="n">
        <v>402</v>
      </c>
      <c r="Q436" t="n">
        <v>402</v>
      </c>
      <c r="R436" t="b">
        <v>0</v>
      </c>
    </row>
    <row r="437">
      <c r="A437" t="inlineStr">
        <is>
          <t>INV0011066</t>
        </is>
      </c>
      <c r="B437" t="inlineStr">
        <is>
          <t>MER00523</t>
        </is>
      </c>
      <c r="C437" t="inlineStr">
        <is>
          <t>2025-04-01</t>
        </is>
      </c>
      <c r="D437" t="inlineStr">
        <is>
          <t>2025-04-30</t>
        </is>
      </c>
      <c r="E437" s="8" t="n">
        <v>45779</v>
      </c>
      <c r="F437" s="8" t="n">
        <v>45809</v>
      </c>
      <c r="G437" t="n">
        <v>374.09</v>
      </c>
      <c r="H437" t="n">
        <v>0</v>
      </c>
      <c r="I437" t="n">
        <v>374.09</v>
      </c>
      <c r="J437" t="n">
        <v>0.18</v>
      </c>
      <c r="K437" t="n">
        <v>67.34</v>
      </c>
      <c r="L437" t="n">
        <v>441.43</v>
      </c>
      <c r="M437" t="inlineStr">
        <is>
          <t>INR</t>
        </is>
      </c>
      <c r="N437" t="inlineStr">
        <is>
          <t>Paid</t>
        </is>
      </c>
      <c r="O437" t="inlineStr">
        <is>
          <t>Paid</t>
        </is>
      </c>
      <c r="P437" t="n">
        <v>374.09</v>
      </c>
      <c r="Q437" t="n">
        <v>374.09</v>
      </c>
      <c r="R437" t="b">
        <v>0</v>
      </c>
    </row>
    <row r="438">
      <c r="A438" t="inlineStr">
        <is>
          <t>INV0011067</t>
        </is>
      </c>
      <c r="B438" t="inlineStr">
        <is>
          <t>MER00523</t>
        </is>
      </c>
      <c r="C438" t="inlineStr">
        <is>
          <t>2025-05-01</t>
        </is>
      </c>
      <c r="D438" t="inlineStr">
        <is>
          <t>2025-05-31</t>
        </is>
      </c>
      <c r="E438" s="8" t="n">
        <v>45810</v>
      </c>
      <c r="F438" s="8" t="n">
        <v>45840</v>
      </c>
      <c r="G438" t="n">
        <v>290.04</v>
      </c>
      <c r="H438" t="n">
        <v>0</v>
      </c>
      <c r="I438" t="n">
        <v>290.04</v>
      </c>
      <c r="J438" t="n">
        <v>0.18</v>
      </c>
      <c r="K438" t="n">
        <v>52.21</v>
      </c>
      <c r="L438" t="n">
        <v>342.25</v>
      </c>
      <c r="M438" t="inlineStr">
        <is>
          <t>INR</t>
        </is>
      </c>
      <c r="N438" t="inlineStr">
        <is>
          <t>Paid</t>
        </is>
      </c>
      <c r="O438" t="inlineStr">
        <is>
          <t>Paid</t>
        </is>
      </c>
      <c r="P438" t="n">
        <v>290.04</v>
      </c>
      <c r="Q438" t="n">
        <v>290.04</v>
      </c>
      <c r="R438" t="b">
        <v>0</v>
      </c>
    </row>
    <row r="439">
      <c r="A439" t="inlineStr">
        <is>
          <t>INV0011068</t>
        </is>
      </c>
      <c r="B439" t="inlineStr">
        <is>
          <t>MER00523</t>
        </is>
      </c>
      <c r="C439" t="inlineStr">
        <is>
          <t>2025-06-01</t>
        </is>
      </c>
      <c r="D439" t="inlineStr">
        <is>
          <t>2025-06-30</t>
        </is>
      </c>
      <c r="E439" s="8" t="n">
        <v>45840</v>
      </c>
      <c r="F439" s="8" t="n">
        <v>45870</v>
      </c>
      <c r="G439" t="n">
        <v>297.32</v>
      </c>
      <c r="H439" t="n">
        <v>0</v>
      </c>
      <c r="I439" t="n">
        <v>297.32</v>
      </c>
      <c r="J439" t="n">
        <v>0.18</v>
      </c>
      <c r="K439" t="n">
        <v>53.52</v>
      </c>
      <c r="L439" t="n">
        <v>350.84</v>
      </c>
      <c r="M439" t="inlineStr">
        <is>
          <t>INR</t>
        </is>
      </c>
      <c r="N439" t="inlineStr">
        <is>
          <t>Paid</t>
        </is>
      </c>
      <c r="O439" t="inlineStr">
        <is>
          <t>Paid</t>
        </is>
      </c>
      <c r="P439" t="n">
        <v>297.32</v>
      </c>
      <c r="Q439" t="n">
        <v>297.32</v>
      </c>
      <c r="R439" t="b">
        <v>0</v>
      </c>
    </row>
    <row r="440">
      <c r="A440" t="inlineStr">
        <is>
          <t>INV0011069</t>
        </is>
      </c>
      <c r="B440" t="inlineStr">
        <is>
          <t>MER00523</t>
        </is>
      </c>
      <c r="C440" t="inlineStr">
        <is>
          <t>2025-07-01</t>
        </is>
      </c>
      <c r="D440" t="inlineStr">
        <is>
          <t>2025-07-31</t>
        </is>
      </c>
      <c r="E440" s="8" t="n">
        <v>45871</v>
      </c>
      <c r="F440" s="8" t="n">
        <v>45901</v>
      </c>
      <c r="G440" t="n">
        <v>276.08</v>
      </c>
      <c r="H440" t="n">
        <v>0</v>
      </c>
      <c r="I440" t="n">
        <v>276.08</v>
      </c>
      <c r="J440" t="n">
        <v>0.18</v>
      </c>
      <c r="K440" t="n">
        <v>49.69</v>
      </c>
      <c r="L440" t="n">
        <v>325.77</v>
      </c>
      <c r="M440" t="inlineStr">
        <is>
          <t>INR</t>
        </is>
      </c>
      <c r="N440" t="inlineStr">
        <is>
          <t>Paid</t>
        </is>
      </c>
      <c r="O440" t="inlineStr">
        <is>
          <t>Paid</t>
        </is>
      </c>
      <c r="P440" t="n">
        <v>276.08</v>
      </c>
      <c r="Q440" t="n">
        <v>276.08</v>
      </c>
      <c r="R440" t="b">
        <v>0</v>
      </c>
    </row>
    <row r="441">
      <c r="A441" t="inlineStr">
        <is>
          <t>INV0011070</t>
        </is>
      </c>
      <c r="B441" t="inlineStr">
        <is>
          <t>MER00523</t>
        </is>
      </c>
      <c r="C441" t="inlineStr">
        <is>
          <t>2025-08-01</t>
        </is>
      </c>
      <c r="D441" t="inlineStr">
        <is>
          <t>2025-08-31</t>
        </is>
      </c>
      <c r="E441" s="8" t="n">
        <v>45902</v>
      </c>
      <c r="F441" s="8" t="n">
        <v>45932</v>
      </c>
      <c r="G441" t="n">
        <v>575.89</v>
      </c>
      <c r="H441" t="n">
        <v>0</v>
      </c>
      <c r="I441" t="n">
        <v>575.89</v>
      </c>
      <c r="J441" t="n">
        <v>0.18</v>
      </c>
      <c r="K441" t="n">
        <v>103.66</v>
      </c>
      <c r="L441" t="n">
        <v>679.55</v>
      </c>
      <c r="M441" t="inlineStr">
        <is>
          <t>INR</t>
        </is>
      </c>
      <c r="N441" t="inlineStr">
        <is>
          <t>Paid</t>
        </is>
      </c>
      <c r="O441" t="inlineStr">
        <is>
          <t>Paid</t>
        </is>
      </c>
      <c r="P441" t="n">
        <v>575.89</v>
      </c>
      <c r="Q441" t="n">
        <v>575.89</v>
      </c>
      <c r="R441" t="b">
        <v>0</v>
      </c>
    </row>
    <row r="442">
      <c r="A442" t="inlineStr">
        <is>
          <t>INV0011071</t>
        </is>
      </c>
      <c r="B442" t="inlineStr">
        <is>
          <t>MER00523</t>
        </is>
      </c>
      <c r="C442" t="inlineStr">
        <is>
          <t>2025-09-01</t>
        </is>
      </c>
      <c r="D442" t="inlineStr">
        <is>
          <t>2025-09-30</t>
        </is>
      </c>
      <c r="E442" s="8" t="n">
        <v>45932</v>
      </c>
      <c r="F442" s="8" t="n">
        <v>45962</v>
      </c>
      <c r="G442" t="n">
        <v>271.02</v>
      </c>
      <c r="H442" t="n">
        <v>0</v>
      </c>
      <c r="I442" t="n">
        <v>271.02</v>
      </c>
      <c r="J442" t="n">
        <v>0.18</v>
      </c>
      <c r="K442" t="n">
        <v>48.78</v>
      </c>
      <c r="L442" t="n">
        <v>319.8</v>
      </c>
      <c r="M442" t="inlineStr">
        <is>
          <t>INR</t>
        </is>
      </c>
      <c r="N442" t="inlineStr">
        <is>
          <t>Paid</t>
        </is>
      </c>
      <c r="O442" t="inlineStr">
        <is>
          <t>Paid</t>
        </is>
      </c>
      <c r="P442" t="n">
        <v>271.02</v>
      </c>
      <c r="Q442" t="n">
        <v>271.02</v>
      </c>
      <c r="R442" t="b">
        <v>0</v>
      </c>
    </row>
    <row r="443">
      <c r="A443" t="inlineStr">
        <is>
          <t>INV0011072</t>
        </is>
      </c>
      <c r="B443" t="inlineStr">
        <is>
          <t>MER00523</t>
        </is>
      </c>
      <c r="C443" t="inlineStr">
        <is>
          <t>2025-10-01</t>
        </is>
      </c>
      <c r="D443" t="inlineStr">
        <is>
          <t>2025-10-31</t>
        </is>
      </c>
      <c r="E443" s="8" t="n">
        <v>45963</v>
      </c>
      <c r="F443" s="8" t="n">
        <v>45993</v>
      </c>
      <c r="G443" t="n">
        <v>444.63</v>
      </c>
      <c r="H443" t="n">
        <v>0</v>
      </c>
      <c r="I443" t="n">
        <v>444.63</v>
      </c>
      <c r="J443" t="n">
        <v>0.18</v>
      </c>
      <c r="K443" t="n">
        <v>80.03</v>
      </c>
      <c r="L443" t="n">
        <v>524.66</v>
      </c>
      <c r="M443" t="inlineStr">
        <is>
          <t>INR</t>
        </is>
      </c>
      <c r="N443" t="inlineStr">
        <is>
          <t>Paid</t>
        </is>
      </c>
      <c r="O443" t="inlineStr">
        <is>
          <t>Paid</t>
        </is>
      </c>
      <c r="P443" t="n">
        <v>444.63</v>
      </c>
      <c r="Q443" t="n">
        <v>444.63</v>
      </c>
      <c r="R443" t="b">
        <v>0</v>
      </c>
    </row>
    <row r="444">
      <c r="A444" t="inlineStr">
        <is>
          <t>INV0011073</t>
        </is>
      </c>
      <c r="B444" t="inlineStr">
        <is>
          <t>MER00523</t>
        </is>
      </c>
      <c r="C444" t="inlineStr">
        <is>
          <t>2025-11-01</t>
        </is>
      </c>
      <c r="D444" t="inlineStr">
        <is>
          <t>2025-11-30</t>
        </is>
      </c>
      <c r="E444" s="8" t="n">
        <v>45993</v>
      </c>
      <c r="F444" s="8" t="n">
        <v>46023</v>
      </c>
      <c r="G444" t="n">
        <v>611.25</v>
      </c>
      <c r="H444" t="n">
        <v>0</v>
      </c>
      <c r="I444" t="n">
        <v>611.25</v>
      </c>
      <c r="J444" t="n">
        <v>0.18</v>
      </c>
      <c r="K444" t="n">
        <v>110.02</v>
      </c>
      <c r="L444" t="n">
        <v>721.27</v>
      </c>
      <c r="M444" t="inlineStr">
        <is>
          <t>INR</t>
        </is>
      </c>
      <c r="N444" t="inlineStr">
        <is>
          <t>Paid</t>
        </is>
      </c>
      <c r="O444" t="inlineStr">
        <is>
          <t>Paid</t>
        </is>
      </c>
      <c r="P444" t="n">
        <v>611.25</v>
      </c>
      <c r="Q444" t="n">
        <v>611.25</v>
      </c>
      <c r="R444" t="b">
        <v>0</v>
      </c>
    </row>
    <row r="445">
      <c r="A445" t="inlineStr">
        <is>
          <t>INV0011074</t>
        </is>
      </c>
      <c r="B445" t="inlineStr">
        <is>
          <t>MER00523</t>
        </is>
      </c>
      <c r="C445" t="inlineStr">
        <is>
          <t>2025-12-01</t>
        </is>
      </c>
      <c r="D445" t="inlineStr">
        <is>
          <t>2025-12-31</t>
        </is>
      </c>
      <c r="E445" s="8" t="n">
        <v>46024</v>
      </c>
      <c r="F445" s="8" t="n">
        <v>46054</v>
      </c>
      <c r="G445" t="n">
        <v>462.67</v>
      </c>
      <c r="H445" t="n">
        <v>0</v>
      </c>
      <c r="I445" t="n">
        <v>462.67</v>
      </c>
      <c r="J445" t="n">
        <v>0.18</v>
      </c>
      <c r="K445" t="n">
        <v>83.28</v>
      </c>
      <c r="L445" t="n">
        <v>545.95</v>
      </c>
      <c r="M445" t="inlineStr">
        <is>
          <t>INR</t>
        </is>
      </c>
      <c r="N445" t="inlineStr">
        <is>
          <t>Overdue</t>
        </is>
      </c>
      <c r="O445" t="inlineStr">
        <is>
          <t>Unpaid</t>
        </is>
      </c>
      <c r="P445" t="n">
        <v>462.67</v>
      </c>
      <c r="Q445" t="n">
        <v>462.67</v>
      </c>
      <c r="R445" t="b">
        <v>0</v>
      </c>
    </row>
    <row r="446">
      <c r="A446" t="inlineStr">
        <is>
          <t>INV0011075</t>
        </is>
      </c>
      <c r="B446" t="inlineStr">
        <is>
          <t>MER00523</t>
        </is>
      </c>
      <c r="C446" t="inlineStr">
        <is>
          <t>2026-01-01</t>
        </is>
      </c>
      <c r="D446" t="inlineStr">
        <is>
          <t>2026-01-31</t>
        </is>
      </c>
      <c r="E446" s="8" t="n">
        <v>46055</v>
      </c>
      <c r="F446" s="8" t="n">
        <v>46085</v>
      </c>
      <c r="G446" t="n">
        <v>423.46</v>
      </c>
      <c r="H446" t="n">
        <v>0</v>
      </c>
      <c r="I446" t="n">
        <v>423.46</v>
      </c>
      <c r="J446" t="n">
        <v>0.18</v>
      </c>
      <c r="K446" t="n">
        <v>76.22</v>
      </c>
      <c r="L446" t="n">
        <v>499.68</v>
      </c>
      <c r="M446" t="inlineStr">
        <is>
          <t>INR</t>
        </is>
      </c>
      <c r="N446" t="inlineStr">
        <is>
          <t>Paid</t>
        </is>
      </c>
      <c r="O446" t="inlineStr">
        <is>
          <t>Paid</t>
        </is>
      </c>
      <c r="P446" t="n">
        <v>423.46</v>
      </c>
      <c r="Q446" t="n">
        <v>423.46</v>
      </c>
      <c r="R446" t="b">
        <v>0</v>
      </c>
    </row>
    <row r="447">
      <c r="A447" t="inlineStr">
        <is>
          <t>INV0011076</t>
        </is>
      </c>
      <c r="B447" t="inlineStr">
        <is>
          <t>MER00523</t>
        </is>
      </c>
      <c r="C447" t="inlineStr">
        <is>
          <t>2026-02-01</t>
        </is>
      </c>
      <c r="D447" t="inlineStr">
        <is>
          <t>2026-02-28</t>
        </is>
      </c>
      <c r="E447" s="8" t="n">
        <v>46083</v>
      </c>
      <c r="F447" s="8" t="n">
        <v>46113</v>
      </c>
      <c r="G447" t="n">
        <v>524.42</v>
      </c>
      <c r="H447" t="n">
        <v>0</v>
      </c>
      <c r="I447" t="n">
        <v>524.42</v>
      </c>
      <c r="J447" t="n">
        <v>0.18</v>
      </c>
      <c r="K447" t="n">
        <v>94.40000000000001</v>
      </c>
      <c r="L447" t="n">
        <v>618.8200000000001</v>
      </c>
      <c r="M447" t="inlineStr">
        <is>
          <t>INR</t>
        </is>
      </c>
      <c r="N447" t="inlineStr">
        <is>
          <t>Paid</t>
        </is>
      </c>
      <c r="O447" t="inlineStr">
        <is>
          <t>Paid</t>
        </is>
      </c>
      <c r="P447" t="n">
        <v>524.42</v>
      </c>
      <c r="Q447" t="n">
        <v>524.42</v>
      </c>
      <c r="R447" t="b">
        <v>0</v>
      </c>
    </row>
    <row r="448">
      <c r="A448" t="inlineStr">
        <is>
          <t>INV0011077</t>
        </is>
      </c>
      <c r="B448" t="inlineStr">
        <is>
          <t>MER00523</t>
        </is>
      </c>
      <c r="C448" t="inlineStr">
        <is>
          <t>2026-03-01</t>
        </is>
      </c>
      <c r="D448" t="inlineStr">
        <is>
          <t>2026-03-31</t>
        </is>
      </c>
      <c r="E448" s="8" t="n">
        <v>46114</v>
      </c>
      <c r="F448" s="8" t="n">
        <v>46144</v>
      </c>
      <c r="G448" t="n">
        <v>448.3</v>
      </c>
      <c r="H448" t="n">
        <v>0</v>
      </c>
      <c r="I448" t="n">
        <v>448.3</v>
      </c>
      <c r="J448" t="n">
        <v>0.18</v>
      </c>
      <c r="K448" t="n">
        <v>80.69</v>
      </c>
      <c r="L448" t="n">
        <v>528.99</v>
      </c>
      <c r="M448" t="inlineStr">
        <is>
          <t>INR</t>
        </is>
      </c>
      <c r="N448" t="inlineStr">
        <is>
          <t>Paid</t>
        </is>
      </c>
      <c r="O448" t="inlineStr">
        <is>
          <t>Paid</t>
        </is>
      </c>
      <c r="P448" t="n">
        <v>448.3</v>
      </c>
      <c r="Q448" t="n">
        <v>448.3</v>
      </c>
      <c r="R448" t="b">
        <v>0</v>
      </c>
    </row>
    <row r="449">
      <c r="A449" t="inlineStr">
        <is>
          <t>INV0011078</t>
        </is>
      </c>
      <c r="B449" t="inlineStr">
        <is>
          <t>MER00523</t>
        </is>
      </c>
      <c r="C449" t="inlineStr">
        <is>
          <t>2026-04-01</t>
        </is>
      </c>
      <c r="D449" t="inlineStr">
        <is>
          <t>2026-04-30</t>
        </is>
      </c>
      <c r="E449" s="8" t="n">
        <v>46144</v>
      </c>
      <c r="F449" s="8" t="n">
        <v>46174</v>
      </c>
      <c r="G449" t="n">
        <v>217.26</v>
      </c>
      <c r="H449" t="n">
        <v>0</v>
      </c>
      <c r="I449" t="n">
        <v>217.26</v>
      </c>
      <c r="J449" t="n">
        <v>0.18</v>
      </c>
      <c r="K449" t="n">
        <v>39.11</v>
      </c>
      <c r="L449" t="n">
        <v>256.37</v>
      </c>
      <c r="M449" t="inlineStr">
        <is>
          <t>INR</t>
        </is>
      </c>
      <c r="N449" t="inlineStr">
        <is>
          <t>Overdue</t>
        </is>
      </c>
      <c r="O449" t="inlineStr">
        <is>
          <t>Partially Paid</t>
        </is>
      </c>
      <c r="P449" t="n">
        <v>217.26</v>
      </c>
      <c r="Q449" t="n">
        <v>217.26</v>
      </c>
      <c r="R449" t="b">
        <v>0</v>
      </c>
    </row>
    <row r="450">
      <c r="A450" t="inlineStr">
        <is>
          <t>INV0011079</t>
        </is>
      </c>
      <c r="B450" t="inlineStr">
        <is>
          <t>MER00523</t>
        </is>
      </c>
      <c r="C450" t="inlineStr">
        <is>
          <t>2026-05-01</t>
        </is>
      </c>
      <c r="D450" t="inlineStr">
        <is>
          <t>2026-05-31</t>
        </is>
      </c>
      <c r="E450" s="8" t="n">
        <v>46175</v>
      </c>
      <c r="F450" s="8" t="n">
        <v>46205</v>
      </c>
      <c r="G450" t="n">
        <v>436.84</v>
      </c>
      <c r="H450" t="n">
        <v>0</v>
      </c>
      <c r="I450" t="n">
        <v>436.84</v>
      </c>
      <c r="J450" t="n">
        <v>0.18</v>
      </c>
      <c r="K450" t="n">
        <v>78.63</v>
      </c>
      <c r="L450" t="n">
        <v>515.47</v>
      </c>
      <c r="M450" t="inlineStr">
        <is>
          <t>INR</t>
        </is>
      </c>
      <c r="N450" t="inlineStr">
        <is>
          <t>Paid</t>
        </is>
      </c>
      <c r="O450" t="inlineStr">
        <is>
          <t>Paid</t>
        </is>
      </c>
      <c r="P450" t="n">
        <v>436.84</v>
      </c>
      <c r="Q450" t="n">
        <v>436.84</v>
      </c>
      <c r="R450" t="b">
        <v>0</v>
      </c>
    </row>
    <row r="451">
      <c r="A451" t="inlineStr">
        <is>
          <t>INV0011080</t>
        </is>
      </c>
      <c r="B451" t="inlineStr">
        <is>
          <t>MER00523</t>
        </is>
      </c>
      <c r="C451" t="inlineStr">
        <is>
          <t>2026-06-01</t>
        </is>
      </c>
      <c r="D451" t="inlineStr">
        <is>
          <t>2026-06-30</t>
        </is>
      </c>
      <c r="E451" s="8" t="n">
        <v>46205</v>
      </c>
      <c r="F451" s="8" t="n">
        <v>46235</v>
      </c>
      <c r="G451" t="n">
        <v>472.72</v>
      </c>
      <c r="H451" t="n">
        <v>0</v>
      </c>
      <c r="I451" t="n">
        <v>472.72</v>
      </c>
      <c r="J451" t="n">
        <v>0.18</v>
      </c>
      <c r="K451" t="n">
        <v>85.09</v>
      </c>
      <c r="L451" t="n">
        <v>557.8099999999999</v>
      </c>
      <c r="M451" t="inlineStr">
        <is>
          <t>INR</t>
        </is>
      </c>
      <c r="N451" t="inlineStr">
        <is>
          <t>Paid</t>
        </is>
      </c>
      <c r="O451" t="inlineStr">
        <is>
          <t>Paid</t>
        </is>
      </c>
      <c r="P451" t="n">
        <v>472.72</v>
      </c>
      <c r="Q451" t="n">
        <v>472.72</v>
      </c>
      <c r="R451" t="b">
        <v>0</v>
      </c>
    </row>
    <row r="452">
      <c r="A452" t="inlineStr">
        <is>
          <t>INV0011081</t>
        </is>
      </c>
      <c r="B452" t="inlineStr">
        <is>
          <t>MER00523</t>
        </is>
      </c>
      <c r="C452" t="inlineStr">
        <is>
          <t>2026-07-01</t>
        </is>
      </c>
      <c r="D452" t="inlineStr">
        <is>
          <t>2026-07-31</t>
        </is>
      </c>
      <c r="E452" s="8" t="n">
        <v>46236</v>
      </c>
      <c r="F452" s="8" t="n">
        <v>46266</v>
      </c>
      <c r="G452" t="n">
        <v>380.99</v>
      </c>
      <c r="H452" t="n">
        <v>0</v>
      </c>
      <c r="I452" t="n">
        <v>380.99</v>
      </c>
      <c r="J452" t="n">
        <v>0.18</v>
      </c>
      <c r="K452" t="n">
        <v>68.58</v>
      </c>
      <c r="L452" t="n">
        <v>449.57</v>
      </c>
      <c r="M452" t="inlineStr">
        <is>
          <t>INR</t>
        </is>
      </c>
      <c r="N452" t="inlineStr">
        <is>
          <t>Paid</t>
        </is>
      </c>
      <c r="O452" t="inlineStr">
        <is>
          <t>Paid</t>
        </is>
      </c>
      <c r="P452" t="n">
        <v>380.99</v>
      </c>
      <c r="Q452" t="n">
        <v>380.99</v>
      </c>
      <c r="R452" t="b">
        <v>0</v>
      </c>
    </row>
    <row r="453">
      <c r="A453" t="inlineStr">
        <is>
          <t>INV0011206</t>
        </is>
      </c>
      <c r="B453" t="inlineStr">
        <is>
          <t>MER00530</t>
        </is>
      </c>
      <c r="C453" t="inlineStr">
        <is>
          <t>2024-08-01</t>
        </is>
      </c>
      <c r="D453" t="inlineStr">
        <is>
          <t>2024-08-31</t>
        </is>
      </c>
      <c r="E453" s="8" t="n">
        <v>45537</v>
      </c>
      <c r="F453" s="8" t="n">
        <v>45552</v>
      </c>
      <c r="G453" t="n">
        <v>224.28</v>
      </c>
      <c r="H453" t="n">
        <v>0</v>
      </c>
      <c r="I453" t="n">
        <v>224.28</v>
      </c>
      <c r="J453" t="n">
        <v>0.18</v>
      </c>
      <c r="K453" t="n">
        <v>40.37</v>
      </c>
      <c r="L453" t="n">
        <v>264.65</v>
      </c>
      <c r="M453" t="inlineStr">
        <is>
          <t>INR</t>
        </is>
      </c>
      <c r="N453" t="inlineStr">
        <is>
          <t>Paid</t>
        </is>
      </c>
      <c r="O453" t="inlineStr">
        <is>
          <t>Paid</t>
        </is>
      </c>
      <c r="P453" t="n">
        <v>224.28</v>
      </c>
      <c r="Q453" t="n">
        <v>224.28</v>
      </c>
      <c r="R453" t="b">
        <v>0</v>
      </c>
    </row>
    <row r="454">
      <c r="A454" t="inlineStr">
        <is>
          <t>INV0011207</t>
        </is>
      </c>
      <c r="B454" t="inlineStr">
        <is>
          <t>MER00530</t>
        </is>
      </c>
      <c r="C454" t="inlineStr">
        <is>
          <t>2024-09-01</t>
        </is>
      </c>
      <c r="D454" t="inlineStr">
        <is>
          <t>2024-09-30</t>
        </is>
      </c>
      <c r="E454" s="8" t="n">
        <v>45567</v>
      </c>
      <c r="F454" s="8" t="n">
        <v>45582</v>
      </c>
      <c r="G454" t="n">
        <v>313.55</v>
      </c>
      <c r="H454" t="n">
        <v>0</v>
      </c>
      <c r="I454" t="n">
        <v>313.55</v>
      </c>
      <c r="J454" t="n">
        <v>0.18</v>
      </c>
      <c r="K454" t="n">
        <v>56.44</v>
      </c>
      <c r="L454" t="n">
        <v>369.99</v>
      </c>
      <c r="M454" t="inlineStr">
        <is>
          <t>INR</t>
        </is>
      </c>
      <c r="N454" t="inlineStr">
        <is>
          <t>Paid</t>
        </is>
      </c>
      <c r="O454" t="inlineStr">
        <is>
          <t>Paid</t>
        </is>
      </c>
      <c r="P454" t="n">
        <v>245.03</v>
      </c>
      <c r="Q454" t="n">
        <v>313.55</v>
      </c>
      <c r="R454" t="b">
        <v>1</v>
      </c>
    </row>
    <row r="455">
      <c r="A455" t="inlineStr">
        <is>
          <t>INV0011208</t>
        </is>
      </c>
      <c r="B455" t="inlineStr">
        <is>
          <t>MER00530</t>
        </is>
      </c>
      <c r="C455" t="inlineStr">
        <is>
          <t>2024-10-01</t>
        </is>
      </c>
      <c r="D455" t="inlineStr">
        <is>
          <t>2024-10-31</t>
        </is>
      </c>
      <c r="E455" s="8" t="n">
        <v>45598</v>
      </c>
      <c r="F455" s="8" t="n">
        <v>45613</v>
      </c>
      <c r="G455" t="n">
        <v>245.67</v>
      </c>
      <c r="H455" t="n">
        <v>0</v>
      </c>
      <c r="I455" t="n">
        <v>245.67</v>
      </c>
      <c r="J455" t="n">
        <v>0.18</v>
      </c>
      <c r="K455" t="n">
        <v>44.22</v>
      </c>
      <c r="L455" t="n">
        <v>289.89</v>
      </c>
      <c r="M455" t="inlineStr">
        <is>
          <t>INR</t>
        </is>
      </c>
      <c r="N455" t="inlineStr">
        <is>
          <t>Paid</t>
        </is>
      </c>
      <c r="O455" t="inlineStr">
        <is>
          <t>Paid</t>
        </is>
      </c>
      <c r="P455" t="n">
        <v>326.58</v>
      </c>
      <c r="Q455" t="n">
        <v>245.67</v>
      </c>
      <c r="R455" t="b">
        <v>1</v>
      </c>
    </row>
    <row r="456">
      <c r="A456" t="inlineStr">
        <is>
          <t>INV0011209</t>
        </is>
      </c>
      <c r="B456" t="inlineStr">
        <is>
          <t>MER00530</t>
        </is>
      </c>
      <c r="C456" t="inlineStr">
        <is>
          <t>2024-11-01</t>
        </is>
      </c>
      <c r="D456" t="inlineStr">
        <is>
          <t>2024-11-30</t>
        </is>
      </c>
      <c r="E456" s="8" t="n">
        <v>45628</v>
      </c>
      <c r="F456" s="8" t="n">
        <v>45643</v>
      </c>
      <c r="G456" t="n">
        <v>540.5599999999999</v>
      </c>
      <c r="H456" t="n">
        <v>0</v>
      </c>
      <c r="I456" t="n">
        <v>540.5599999999999</v>
      </c>
      <c r="J456" t="n">
        <v>0.18</v>
      </c>
      <c r="K456" t="n">
        <v>97.3</v>
      </c>
      <c r="L456" t="n">
        <v>637.86</v>
      </c>
      <c r="M456" t="inlineStr">
        <is>
          <t>INR</t>
        </is>
      </c>
      <c r="N456" t="inlineStr">
        <is>
          <t>Paid</t>
        </is>
      </c>
      <c r="O456" t="inlineStr">
        <is>
          <t>Paid</t>
        </is>
      </c>
      <c r="P456" t="n">
        <v>540.5599999999999</v>
      </c>
      <c r="Q456" t="n">
        <v>540.5599999999999</v>
      </c>
      <c r="R456" t="b">
        <v>0</v>
      </c>
    </row>
    <row r="457">
      <c r="A457" t="inlineStr">
        <is>
          <t>INV0011210</t>
        </is>
      </c>
      <c r="B457" t="inlineStr">
        <is>
          <t>MER00530</t>
        </is>
      </c>
      <c r="C457" t="inlineStr">
        <is>
          <t>2024-12-01</t>
        </is>
      </c>
      <c r="D457" t="inlineStr">
        <is>
          <t>2024-12-31</t>
        </is>
      </c>
      <c r="E457" s="8" t="n">
        <v>45659</v>
      </c>
      <c r="F457" s="8" t="n">
        <v>45674</v>
      </c>
      <c r="G457" t="n">
        <v>165.03</v>
      </c>
      <c r="H457" t="n">
        <v>10.4</v>
      </c>
      <c r="I457" t="n">
        <v>154.63</v>
      </c>
      <c r="J457" t="n">
        <v>0.18</v>
      </c>
      <c r="K457" t="n">
        <v>27.83</v>
      </c>
      <c r="L457" t="n">
        <v>182.46</v>
      </c>
      <c r="M457" t="inlineStr">
        <is>
          <t>INR</t>
        </is>
      </c>
      <c r="N457" t="inlineStr">
        <is>
          <t>Paid</t>
        </is>
      </c>
      <c r="O457" t="inlineStr">
        <is>
          <t>Paid</t>
        </is>
      </c>
      <c r="P457" t="n">
        <v>165.03</v>
      </c>
      <c r="Q457" t="n">
        <v>165.03</v>
      </c>
      <c r="R457" t="b">
        <v>0</v>
      </c>
    </row>
    <row r="458">
      <c r="A458" t="inlineStr">
        <is>
          <t>INV0011211</t>
        </is>
      </c>
      <c r="B458" t="inlineStr">
        <is>
          <t>MER00530</t>
        </is>
      </c>
      <c r="C458" t="inlineStr">
        <is>
          <t>2025-01-01</t>
        </is>
      </c>
      <c r="D458" t="inlineStr">
        <is>
          <t>2025-01-31</t>
        </is>
      </c>
      <c r="E458" s="8" t="n">
        <v>45690</v>
      </c>
      <c r="F458" s="8" t="n">
        <v>45705</v>
      </c>
      <c r="G458" t="n">
        <v>221.95</v>
      </c>
      <c r="H458" t="n">
        <v>0</v>
      </c>
      <c r="I458" t="n">
        <v>221.95</v>
      </c>
      <c r="J458" t="n">
        <v>0.18</v>
      </c>
      <c r="K458" t="n">
        <v>39.95</v>
      </c>
      <c r="L458" t="n">
        <v>261.9</v>
      </c>
      <c r="M458" t="inlineStr">
        <is>
          <t>INR</t>
        </is>
      </c>
      <c r="N458" t="inlineStr">
        <is>
          <t>Paid</t>
        </is>
      </c>
      <c r="O458" t="inlineStr">
        <is>
          <t>Paid</t>
        </is>
      </c>
      <c r="P458" t="n">
        <v>221.95</v>
      </c>
      <c r="Q458" t="n">
        <v>221.95</v>
      </c>
      <c r="R458" t="b">
        <v>0</v>
      </c>
    </row>
    <row r="459">
      <c r="A459" t="inlineStr">
        <is>
          <t>INV0011212</t>
        </is>
      </c>
      <c r="B459" t="inlineStr">
        <is>
          <t>MER00530</t>
        </is>
      </c>
      <c r="C459" t="inlineStr">
        <is>
          <t>2025-02-01</t>
        </is>
      </c>
      <c r="D459" t="inlineStr">
        <is>
          <t>2025-02-28</t>
        </is>
      </c>
      <c r="E459" s="8" t="n">
        <v>45718</v>
      </c>
      <c r="F459" s="8" t="n">
        <v>45733</v>
      </c>
      <c r="G459" t="n">
        <v>63.08</v>
      </c>
      <c r="H459" t="n">
        <v>0</v>
      </c>
      <c r="I459" t="n">
        <v>63.08</v>
      </c>
      <c r="J459" t="n">
        <v>0.18</v>
      </c>
      <c r="K459" t="n">
        <v>11.35</v>
      </c>
      <c r="L459" t="n">
        <v>74.43000000000001</v>
      </c>
      <c r="M459" t="inlineStr">
        <is>
          <t>INR</t>
        </is>
      </c>
      <c r="N459" t="inlineStr">
        <is>
          <t>Paid</t>
        </is>
      </c>
      <c r="O459" t="inlineStr">
        <is>
          <t>Paid</t>
        </is>
      </c>
      <c r="P459" t="n">
        <v>63.08</v>
      </c>
      <c r="Q459" t="n">
        <v>63.08</v>
      </c>
      <c r="R459" t="b">
        <v>0</v>
      </c>
    </row>
    <row r="460">
      <c r="A460" t="inlineStr">
        <is>
          <t>INV0011213</t>
        </is>
      </c>
      <c r="B460" t="inlineStr">
        <is>
          <t>MER00530</t>
        </is>
      </c>
      <c r="C460" t="inlineStr">
        <is>
          <t>2025-03-01</t>
        </is>
      </c>
      <c r="D460" t="inlineStr">
        <is>
          <t>2025-03-31</t>
        </is>
      </c>
      <c r="E460" s="8" t="n">
        <v>45749</v>
      </c>
      <c r="F460" s="8" t="n">
        <v>45764</v>
      </c>
      <c r="G460" t="n">
        <v>269.77</v>
      </c>
      <c r="H460" t="n">
        <v>35.34</v>
      </c>
      <c r="I460" t="n">
        <v>234.43</v>
      </c>
      <c r="J460" t="n">
        <v>0.18</v>
      </c>
      <c r="K460" t="n">
        <v>42.2</v>
      </c>
      <c r="L460" t="n">
        <v>276.63</v>
      </c>
      <c r="M460" t="inlineStr">
        <is>
          <t>INR</t>
        </is>
      </c>
      <c r="N460" t="inlineStr">
        <is>
          <t>Paid</t>
        </is>
      </c>
      <c r="O460" t="inlineStr">
        <is>
          <t>Paid</t>
        </is>
      </c>
      <c r="P460" t="n">
        <v>269.77</v>
      </c>
      <c r="Q460" t="n">
        <v>269.77</v>
      </c>
      <c r="R460" t="b">
        <v>0</v>
      </c>
    </row>
    <row r="461">
      <c r="A461" t="inlineStr">
        <is>
          <t>INV0011214</t>
        </is>
      </c>
      <c r="B461" t="inlineStr">
        <is>
          <t>MER00530</t>
        </is>
      </c>
      <c r="C461" t="inlineStr">
        <is>
          <t>2025-04-01</t>
        </is>
      </c>
      <c r="D461" t="inlineStr">
        <is>
          <t>2025-04-30</t>
        </is>
      </c>
      <c r="E461" s="8" t="n">
        <v>45779</v>
      </c>
      <c r="F461" s="8" t="n">
        <v>45794</v>
      </c>
      <c r="G461" t="n">
        <v>107.14</v>
      </c>
      <c r="H461" t="n">
        <v>0</v>
      </c>
      <c r="I461" t="n">
        <v>107.14</v>
      </c>
      <c r="J461" t="n">
        <v>0.18</v>
      </c>
      <c r="K461" t="n">
        <v>19.29</v>
      </c>
      <c r="L461" t="n">
        <v>126.43</v>
      </c>
      <c r="M461" t="inlineStr">
        <is>
          <t>INR</t>
        </is>
      </c>
      <c r="N461" t="inlineStr">
        <is>
          <t>Paid</t>
        </is>
      </c>
      <c r="O461" t="inlineStr">
        <is>
          <t>Paid</t>
        </is>
      </c>
      <c r="P461" t="n">
        <v>107.14</v>
      </c>
      <c r="Q461" t="n">
        <v>107.14</v>
      </c>
      <c r="R461" t="b">
        <v>0</v>
      </c>
    </row>
    <row r="462">
      <c r="A462" t="inlineStr">
        <is>
          <t>INV0011215</t>
        </is>
      </c>
      <c r="B462" t="inlineStr">
        <is>
          <t>MER00530</t>
        </is>
      </c>
      <c r="C462" t="inlineStr">
        <is>
          <t>2025-05-01</t>
        </is>
      </c>
      <c r="D462" t="inlineStr">
        <is>
          <t>2025-05-31</t>
        </is>
      </c>
      <c r="E462" s="8" t="n">
        <v>45810</v>
      </c>
      <c r="F462" s="8" t="n">
        <v>45825</v>
      </c>
      <c r="G462" t="n">
        <v>361.8</v>
      </c>
      <c r="H462" t="n">
        <v>0</v>
      </c>
      <c r="I462" t="n">
        <v>361.8</v>
      </c>
      <c r="J462" t="n">
        <v>0.18</v>
      </c>
      <c r="K462" t="n">
        <v>65.12</v>
      </c>
      <c r="L462" t="n">
        <v>426.92</v>
      </c>
      <c r="M462" t="inlineStr">
        <is>
          <t>INR</t>
        </is>
      </c>
      <c r="N462" t="inlineStr">
        <is>
          <t>Paid</t>
        </is>
      </c>
      <c r="O462" t="inlineStr">
        <is>
          <t>Paid</t>
        </is>
      </c>
      <c r="P462" t="n">
        <v>361.8</v>
      </c>
      <c r="Q462" t="n">
        <v>361.8</v>
      </c>
      <c r="R462" t="b">
        <v>0</v>
      </c>
    </row>
    <row r="463">
      <c r="A463" t="inlineStr">
        <is>
          <t>INV0011216</t>
        </is>
      </c>
      <c r="B463" t="inlineStr">
        <is>
          <t>MER00530</t>
        </is>
      </c>
      <c r="C463" t="inlineStr">
        <is>
          <t>2025-06-01</t>
        </is>
      </c>
      <c r="D463" t="inlineStr">
        <is>
          <t>2025-06-30</t>
        </is>
      </c>
      <c r="E463" s="8" t="n">
        <v>45840</v>
      </c>
      <c r="F463" s="8" t="n">
        <v>45855</v>
      </c>
      <c r="G463" t="n">
        <v>533.21</v>
      </c>
      <c r="H463" t="n">
        <v>0</v>
      </c>
      <c r="I463" t="n">
        <v>533.21</v>
      </c>
      <c r="J463" t="n">
        <v>0.18</v>
      </c>
      <c r="K463" t="n">
        <v>95.98</v>
      </c>
      <c r="L463" t="n">
        <v>629.1900000000001</v>
      </c>
      <c r="M463" t="inlineStr">
        <is>
          <t>INR</t>
        </is>
      </c>
      <c r="N463" t="inlineStr">
        <is>
          <t>Paid</t>
        </is>
      </c>
      <c r="O463" t="inlineStr">
        <is>
          <t>Paid</t>
        </is>
      </c>
      <c r="P463" t="n">
        <v>533.21</v>
      </c>
      <c r="Q463" t="n">
        <v>533.21</v>
      </c>
      <c r="R463" t="b">
        <v>0</v>
      </c>
    </row>
    <row r="464">
      <c r="A464" t="inlineStr">
        <is>
          <t>INV0011217</t>
        </is>
      </c>
      <c r="B464" t="inlineStr">
        <is>
          <t>MER00530</t>
        </is>
      </c>
      <c r="C464" t="inlineStr">
        <is>
          <t>2025-07-01</t>
        </is>
      </c>
      <c r="D464" t="inlineStr">
        <is>
          <t>2025-07-31</t>
        </is>
      </c>
      <c r="E464" s="8" t="n">
        <v>45871</v>
      </c>
      <c r="F464" s="8" t="n">
        <v>45886</v>
      </c>
      <c r="G464" t="n">
        <v>258.36</v>
      </c>
      <c r="H464" t="n">
        <v>24.8</v>
      </c>
      <c r="I464" t="n">
        <v>233.56</v>
      </c>
      <c r="J464" t="n">
        <v>0.18</v>
      </c>
      <c r="K464" t="n">
        <v>42.04</v>
      </c>
      <c r="L464" t="n">
        <v>275.6</v>
      </c>
      <c r="M464" t="inlineStr">
        <is>
          <t>INR</t>
        </is>
      </c>
      <c r="N464" t="inlineStr">
        <is>
          <t>Paid</t>
        </is>
      </c>
      <c r="O464" t="inlineStr">
        <is>
          <t>Paid</t>
        </is>
      </c>
      <c r="P464" t="n">
        <v>258.36</v>
      </c>
      <c r="Q464" t="n">
        <v>258.36</v>
      </c>
      <c r="R464" t="b">
        <v>0</v>
      </c>
    </row>
    <row r="465">
      <c r="A465" t="inlineStr">
        <is>
          <t>INV0011218</t>
        </is>
      </c>
      <c r="B465" t="inlineStr">
        <is>
          <t>MER00530</t>
        </is>
      </c>
      <c r="C465" t="inlineStr">
        <is>
          <t>2025-08-01</t>
        </is>
      </c>
      <c r="D465" t="inlineStr">
        <is>
          <t>2025-08-31</t>
        </is>
      </c>
      <c r="E465" s="8" t="n">
        <v>45902</v>
      </c>
      <c r="F465" s="8" t="n">
        <v>45917</v>
      </c>
      <c r="G465" t="n">
        <v>329.84</v>
      </c>
      <c r="H465" t="n">
        <v>0</v>
      </c>
      <c r="I465" t="n">
        <v>329.84</v>
      </c>
      <c r="J465" t="n">
        <v>0.18</v>
      </c>
      <c r="K465" t="n">
        <v>59.37</v>
      </c>
      <c r="L465" t="n">
        <v>389.21</v>
      </c>
      <c r="M465" t="inlineStr">
        <is>
          <t>INR</t>
        </is>
      </c>
      <c r="N465" t="inlineStr">
        <is>
          <t>Paid</t>
        </is>
      </c>
      <c r="O465" t="inlineStr">
        <is>
          <t>Paid</t>
        </is>
      </c>
      <c r="P465" t="n">
        <v>329.84</v>
      </c>
      <c r="Q465" t="n">
        <v>329.84</v>
      </c>
      <c r="R465" t="b">
        <v>0</v>
      </c>
    </row>
    <row r="466">
      <c r="A466" t="inlineStr">
        <is>
          <t>INV0011219</t>
        </is>
      </c>
      <c r="B466" t="inlineStr">
        <is>
          <t>MER00530</t>
        </is>
      </c>
      <c r="C466" t="inlineStr">
        <is>
          <t>2025-09-01</t>
        </is>
      </c>
      <c r="D466" t="inlineStr">
        <is>
          <t>2025-09-30</t>
        </is>
      </c>
      <c r="E466" s="8" t="n">
        <v>45932</v>
      </c>
      <c r="F466" s="8" t="n">
        <v>45947</v>
      </c>
      <c r="G466" t="n">
        <v>279.16</v>
      </c>
      <c r="H466" t="n">
        <v>0</v>
      </c>
      <c r="I466" t="n">
        <v>279.16</v>
      </c>
      <c r="J466" t="n">
        <v>0.18</v>
      </c>
      <c r="K466" t="n">
        <v>50.25</v>
      </c>
      <c r="L466" t="n">
        <v>329.41</v>
      </c>
      <c r="M466" t="inlineStr">
        <is>
          <t>INR</t>
        </is>
      </c>
      <c r="N466" t="inlineStr">
        <is>
          <t>Paid</t>
        </is>
      </c>
      <c r="O466" t="inlineStr">
        <is>
          <t>Paid</t>
        </is>
      </c>
      <c r="P466" t="n">
        <v>279.16</v>
      </c>
      <c r="Q466" t="n">
        <v>279.16</v>
      </c>
      <c r="R466" t="b">
        <v>0</v>
      </c>
    </row>
    <row r="467">
      <c r="A467" t="inlineStr">
        <is>
          <t>INV0011220</t>
        </is>
      </c>
      <c r="B467" t="inlineStr">
        <is>
          <t>MER00530</t>
        </is>
      </c>
      <c r="C467" t="inlineStr">
        <is>
          <t>2025-10-01</t>
        </is>
      </c>
      <c r="D467" t="inlineStr">
        <is>
          <t>2025-10-31</t>
        </is>
      </c>
      <c r="E467" s="8" t="n">
        <v>45963</v>
      </c>
      <c r="F467" s="8" t="n">
        <v>45978</v>
      </c>
      <c r="G467" t="n">
        <v>772.33</v>
      </c>
      <c r="H467" t="n">
        <v>0</v>
      </c>
      <c r="I467" t="n">
        <v>772.33</v>
      </c>
      <c r="J467" t="n">
        <v>0.18</v>
      </c>
      <c r="K467" t="n">
        <v>139.02</v>
      </c>
      <c r="L467" t="n">
        <v>911.35</v>
      </c>
      <c r="M467" t="inlineStr">
        <is>
          <t>INR</t>
        </is>
      </c>
      <c r="N467" t="inlineStr">
        <is>
          <t>Paid</t>
        </is>
      </c>
      <c r="O467" t="inlineStr">
        <is>
          <t>Paid</t>
        </is>
      </c>
      <c r="P467" t="n">
        <v>772.33</v>
      </c>
      <c r="Q467" t="n">
        <v>772.33</v>
      </c>
      <c r="R467" t="b">
        <v>0</v>
      </c>
    </row>
    <row r="468">
      <c r="A468" t="inlineStr">
        <is>
          <t>INV0011221</t>
        </is>
      </c>
      <c r="B468" t="inlineStr">
        <is>
          <t>MER00530</t>
        </is>
      </c>
      <c r="C468" t="inlineStr">
        <is>
          <t>2025-11-01</t>
        </is>
      </c>
      <c r="D468" t="inlineStr">
        <is>
          <t>2025-11-30</t>
        </is>
      </c>
      <c r="E468" s="8" t="n">
        <v>45993</v>
      </c>
      <c r="F468" s="8" t="n">
        <v>46008</v>
      </c>
      <c r="G468" t="n">
        <v>338.23</v>
      </c>
      <c r="H468" t="n">
        <v>0</v>
      </c>
      <c r="I468" t="n">
        <v>338.23</v>
      </c>
      <c r="J468" t="n">
        <v>0.18</v>
      </c>
      <c r="K468" t="n">
        <v>60.88</v>
      </c>
      <c r="L468" t="n">
        <v>399.11</v>
      </c>
      <c r="M468" t="inlineStr">
        <is>
          <t>INR</t>
        </is>
      </c>
      <c r="N468" t="inlineStr">
        <is>
          <t>Paid</t>
        </is>
      </c>
      <c r="O468" t="inlineStr">
        <is>
          <t>Paid</t>
        </is>
      </c>
      <c r="P468" t="n">
        <v>338.23</v>
      </c>
      <c r="Q468" t="n">
        <v>338.23</v>
      </c>
      <c r="R468" t="b">
        <v>0</v>
      </c>
    </row>
    <row r="469">
      <c r="A469" t="inlineStr">
        <is>
          <t>INV0011222</t>
        </is>
      </c>
      <c r="B469" t="inlineStr">
        <is>
          <t>MER00530</t>
        </is>
      </c>
      <c r="C469" t="inlineStr">
        <is>
          <t>2025-12-01</t>
        </is>
      </c>
      <c r="D469" t="inlineStr">
        <is>
          <t>2025-12-31</t>
        </is>
      </c>
      <c r="E469" s="8" t="n">
        <v>46024</v>
      </c>
      <c r="F469" s="8" t="n">
        <v>46039</v>
      </c>
      <c r="G469" t="n">
        <v>277.53</v>
      </c>
      <c r="H469" t="n">
        <v>0</v>
      </c>
      <c r="I469" t="n">
        <v>277.53</v>
      </c>
      <c r="J469" t="n">
        <v>0.18</v>
      </c>
      <c r="K469" t="n">
        <v>49.96</v>
      </c>
      <c r="L469" t="n">
        <v>327.49</v>
      </c>
      <c r="M469" t="inlineStr">
        <is>
          <t>INR</t>
        </is>
      </c>
      <c r="N469" t="inlineStr">
        <is>
          <t>Paid</t>
        </is>
      </c>
      <c r="O469" t="inlineStr">
        <is>
          <t>Paid</t>
        </is>
      </c>
      <c r="P469" t="n">
        <v>277.53</v>
      </c>
      <c r="Q469" t="n">
        <v>277.53</v>
      </c>
      <c r="R469" t="b">
        <v>0</v>
      </c>
    </row>
    <row r="470">
      <c r="A470" t="inlineStr">
        <is>
          <t>INV0011223</t>
        </is>
      </c>
      <c r="B470" t="inlineStr">
        <is>
          <t>MER00530</t>
        </is>
      </c>
      <c r="C470" t="inlineStr">
        <is>
          <t>2026-01-01</t>
        </is>
      </c>
      <c r="D470" t="inlineStr">
        <is>
          <t>2026-01-31</t>
        </is>
      </c>
      <c r="E470" s="8" t="n">
        <v>46055</v>
      </c>
      <c r="F470" s="8" t="n">
        <v>46070</v>
      </c>
      <c r="G470" t="n">
        <v>216.46</v>
      </c>
      <c r="H470" t="n">
        <v>0</v>
      </c>
      <c r="I470" t="n">
        <v>216.46</v>
      </c>
      <c r="J470" t="n">
        <v>0.18</v>
      </c>
      <c r="K470" t="n">
        <v>38.96</v>
      </c>
      <c r="L470" t="n">
        <v>255.42</v>
      </c>
      <c r="M470" t="inlineStr">
        <is>
          <t>INR</t>
        </is>
      </c>
      <c r="N470" t="inlineStr">
        <is>
          <t>Paid</t>
        </is>
      </c>
      <c r="O470" t="inlineStr">
        <is>
          <t>Paid</t>
        </is>
      </c>
      <c r="P470" t="n">
        <v>216.46</v>
      </c>
      <c r="Q470" t="n">
        <v>216.46</v>
      </c>
      <c r="R470" t="b">
        <v>0</v>
      </c>
    </row>
    <row r="471">
      <c r="A471" t="inlineStr">
        <is>
          <t>INV0011224</t>
        </is>
      </c>
      <c r="B471" t="inlineStr">
        <is>
          <t>MER00530</t>
        </is>
      </c>
      <c r="C471" t="inlineStr">
        <is>
          <t>2026-02-01</t>
        </is>
      </c>
      <c r="D471" t="inlineStr">
        <is>
          <t>2026-02-28</t>
        </is>
      </c>
      <c r="E471" s="8" t="n">
        <v>46083</v>
      </c>
      <c r="F471" s="8" t="n">
        <v>46098</v>
      </c>
      <c r="G471" t="n">
        <v>407.9</v>
      </c>
      <c r="H471" t="n">
        <v>0</v>
      </c>
      <c r="I471" t="n">
        <v>407.9</v>
      </c>
      <c r="J471" t="n">
        <v>0.18</v>
      </c>
      <c r="K471" t="n">
        <v>73.42</v>
      </c>
      <c r="L471" t="n">
        <v>481.32</v>
      </c>
      <c r="M471" t="inlineStr">
        <is>
          <t>INR</t>
        </is>
      </c>
      <c r="N471" t="inlineStr">
        <is>
          <t>Paid</t>
        </is>
      </c>
      <c r="O471" t="inlineStr">
        <is>
          <t>Paid</t>
        </is>
      </c>
      <c r="P471" t="n">
        <v>407.9</v>
      </c>
      <c r="Q471" t="n">
        <v>407.9</v>
      </c>
      <c r="R471" t="b">
        <v>0</v>
      </c>
    </row>
    <row r="472">
      <c r="A472" t="inlineStr">
        <is>
          <t>INV0011225</t>
        </is>
      </c>
      <c r="B472" t="inlineStr">
        <is>
          <t>MER00530</t>
        </is>
      </c>
      <c r="C472" t="inlineStr">
        <is>
          <t>2026-03-01</t>
        </is>
      </c>
      <c r="D472" t="inlineStr">
        <is>
          <t>2026-03-31</t>
        </is>
      </c>
      <c r="E472" s="8" t="n">
        <v>46114</v>
      </c>
      <c r="F472" s="8" t="n">
        <v>46129</v>
      </c>
      <c r="G472" t="n">
        <v>388.19</v>
      </c>
      <c r="H472" t="n">
        <v>0</v>
      </c>
      <c r="I472" t="n">
        <v>388.19</v>
      </c>
      <c r="J472" t="n">
        <v>0.18</v>
      </c>
      <c r="K472" t="n">
        <v>69.87</v>
      </c>
      <c r="L472" t="n">
        <v>458.06</v>
      </c>
      <c r="M472" t="inlineStr">
        <is>
          <t>INR</t>
        </is>
      </c>
      <c r="N472" t="inlineStr">
        <is>
          <t>Void</t>
        </is>
      </c>
      <c r="O472" t="inlineStr">
        <is>
          <t>Unpaid</t>
        </is>
      </c>
      <c r="P472" t="n">
        <v>433.43</v>
      </c>
      <c r="Q472" t="n">
        <v>388.19</v>
      </c>
      <c r="R472" t="b">
        <v>1</v>
      </c>
    </row>
    <row r="473">
      <c r="A473" t="inlineStr">
        <is>
          <t>INV0011226</t>
        </is>
      </c>
      <c r="B473" t="inlineStr">
        <is>
          <t>MER00530</t>
        </is>
      </c>
      <c r="C473" t="inlineStr">
        <is>
          <t>2026-04-01</t>
        </is>
      </c>
      <c r="D473" t="inlineStr">
        <is>
          <t>2026-04-30</t>
        </is>
      </c>
      <c r="E473" s="8" t="n">
        <v>46144</v>
      </c>
      <c r="F473" s="8" t="n">
        <v>46159</v>
      </c>
      <c r="G473" t="n">
        <v>195.49</v>
      </c>
      <c r="H473" t="n">
        <v>27.17</v>
      </c>
      <c r="I473" t="n">
        <v>168.32</v>
      </c>
      <c r="J473" t="n">
        <v>0.18</v>
      </c>
      <c r="K473" t="n">
        <v>30.3</v>
      </c>
      <c r="L473" t="n">
        <v>198.62</v>
      </c>
      <c r="M473" t="inlineStr">
        <is>
          <t>INR</t>
        </is>
      </c>
      <c r="N473" t="inlineStr">
        <is>
          <t>Paid</t>
        </is>
      </c>
      <c r="O473" t="inlineStr">
        <is>
          <t>Paid</t>
        </is>
      </c>
      <c r="P473" t="n">
        <v>195.49</v>
      </c>
      <c r="Q473" t="n">
        <v>195.49</v>
      </c>
      <c r="R473" t="b">
        <v>0</v>
      </c>
    </row>
    <row r="474">
      <c r="A474" t="inlineStr">
        <is>
          <t>INV0011227</t>
        </is>
      </c>
      <c r="B474" t="inlineStr">
        <is>
          <t>MER00530</t>
        </is>
      </c>
      <c r="C474" t="inlineStr">
        <is>
          <t>2026-05-01</t>
        </is>
      </c>
      <c r="D474" t="inlineStr">
        <is>
          <t>2026-05-31</t>
        </is>
      </c>
      <c r="E474" s="8" t="n">
        <v>46175</v>
      </c>
      <c r="F474" s="8" t="n">
        <v>46190</v>
      </c>
      <c r="G474" t="n">
        <v>1010.27</v>
      </c>
      <c r="H474" t="n">
        <v>0</v>
      </c>
      <c r="I474" t="n">
        <v>1010.27</v>
      </c>
      <c r="J474" t="n">
        <v>0.18</v>
      </c>
      <c r="K474" t="n">
        <v>181.85</v>
      </c>
      <c r="L474" t="n">
        <v>1192.12</v>
      </c>
      <c r="M474" t="inlineStr">
        <is>
          <t>INR</t>
        </is>
      </c>
      <c r="N474" t="inlineStr">
        <is>
          <t>Paid</t>
        </is>
      </c>
      <c r="O474" t="inlineStr">
        <is>
          <t>Paid</t>
        </is>
      </c>
      <c r="P474" t="n">
        <v>1010.27</v>
      </c>
      <c r="Q474" t="n">
        <v>1010.27</v>
      </c>
      <c r="R474" t="b">
        <v>0</v>
      </c>
    </row>
    <row r="475">
      <c r="A475" t="inlineStr">
        <is>
          <t>INV0011228</t>
        </is>
      </c>
      <c r="B475" t="inlineStr">
        <is>
          <t>MER00530</t>
        </is>
      </c>
      <c r="C475" t="inlineStr">
        <is>
          <t>2026-06-01</t>
        </is>
      </c>
      <c r="D475" t="inlineStr">
        <is>
          <t>2026-06-30</t>
        </is>
      </c>
      <c r="E475" s="8" t="n">
        <v>46205</v>
      </c>
      <c r="F475" s="8" t="n">
        <v>46220</v>
      </c>
      <c r="G475" t="n">
        <v>813.87</v>
      </c>
      <c r="H475" t="n">
        <v>104.99</v>
      </c>
      <c r="I475" t="n">
        <v>708.88</v>
      </c>
      <c r="J475" t="n">
        <v>0.18</v>
      </c>
      <c r="K475" t="n">
        <v>127.6</v>
      </c>
      <c r="L475" t="n">
        <v>836.48</v>
      </c>
      <c r="M475" t="inlineStr">
        <is>
          <t>INR</t>
        </is>
      </c>
      <c r="N475" t="inlineStr">
        <is>
          <t>Paid</t>
        </is>
      </c>
      <c r="O475" t="inlineStr">
        <is>
          <t>Paid</t>
        </is>
      </c>
      <c r="P475" t="n">
        <v>813.87</v>
      </c>
      <c r="Q475" t="n">
        <v>813.87</v>
      </c>
      <c r="R475" t="b">
        <v>0</v>
      </c>
    </row>
    <row r="476">
      <c r="A476" t="inlineStr">
        <is>
          <t>INV0011229</t>
        </is>
      </c>
      <c r="B476" t="inlineStr">
        <is>
          <t>MER00530</t>
        </is>
      </c>
      <c r="C476" t="inlineStr">
        <is>
          <t>2026-07-01</t>
        </is>
      </c>
      <c r="D476" t="inlineStr">
        <is>
          <t>2026-07-31</t>
        </is>
      </c>
      <c r="E476" s="8" t="n">
        <v>46236</v>
      </c>
      <c r="F476" s="8" t="n">
        <v>46251</v>
      </c>
      <c r="G476" t="n">
        <v>216.74</v>
      </c>
      <c r="H476" t="n">
        <v>0</v>
      </c>
      <c r="I476" t="n">
        <v>216.74</v>
      </c>
      <c r="J476" t="n">
        <v>0.18</v>
      </c>
      <c r="K476" t="n">
        <v>39.01</v>
      </c>
      <c r="L476" t="n">
        <v>255.75</v>
      </c>
      <c r="M476" t="inlineStr">
        <is>
          <t>INR</t>
        </is>
      </c>
      <c r="N476" t="inlineStr">
        <is>
          <t>Paid</t>
        </is>
      </c>
      <c r="O476" t="inlineStr">
        <is>
          <t>Paid</t>
        </is>
      </c>
      <c r="P476" t="n">
        <v>216.74</v>
      </c>
      <c r="Q476" t="n">
        <v>216.74</v>
      </c>
      <c r="R476" t="b">
        <v>0</v>
      </c>
    </row>
    <row r="477">
      <c r="A477" t="inlineStr">
        <is>
          <t>INV0011615</t>
        </is>
      </c>
      <c r="B477" t="inlineStr">
        <is>
          <t>MER00549</t>
        </is>
      </c>
      <c r="C477" t="inlineStr">
        <is>
          <t>2024-08-01</t>
        </is>
      </c>
      <c r="D477" t="inlineStr">
        <is>
          <t>2024-08-31</t>
        </is>
      </c>
      <c r="E477" s="8" t="n">
        <v>45537</v>
      </c>
      <c r="F477" s="8" t="n">
        <v>45582</v>
      </c>
      <c r="G477" t="n">
        <v>3129.21</v>
      </c>
      <c r="H477" t="n">
        <v>0</v>
      </c>
      <c r="I477" t="n">
        <v>3129.21</v>
      </c>
      <c r="J477" t="n">
        <v>0.18</v>
      </c>
      <c r="K477" t="n">
        <v>563.26</v>
      </c>
      <c r="L477" t="n">
        <v>3692.47</v>
      </c>
      <c r="M477" t="inlineStr">
        <is>
          <t>INR</t>
        </is>
      </c>
      <c r="N477" t="inlineStr">
        <is>
          <t>Paid</t>
        </is>
      </c>
      <c r="O477" t="inlineStr">
        <is>
          <t>Paid</t>
        </is>
      </c>
      <c r="P477" t="n">
        <v>3129.21</v>
      </c>
      <c r="Q477" t="n">
        <v>3129.21</v>
      </c>
      <c r="R477" t="b">
        <v>0</v>
      </c>
    </row>
    <row r="478">
      <c r="A478" t="inlineStr">
        <is>
          <t>INV0011616</t>
        </is>
      </c>
      <c r="B478" t="inlineStr">
        <is>
          <t>MER00549</t>
        </is>
      </c>
      <c r="C478" t="inlineStr">
        <is>
          <t>2024-09-01</t>
        </is>
      </c>
      <c r="D478" t="inlineStr">
        <is>
          <t>2024-09-30</t>
        </is>
      </c>
      <c r="E478" s="8" t="n">
        <v>45567</v>
      </c>
      <c r="F478" s="8" t="n">
        <v>45612</v>
      </c>
      <c r="G478" t="n">
        <v>2564.83</v>
      </c>
      <c r="H478" t="n">
        <v>0</v>
      </c>
      <c r="I478" t="n">
        <v>2564.83</v>
      </c>
      <c r="J478" t="n">
        <v>0.18</v>
      </c>
      <c r="K478" t="n">
        <v>461.67</v>
      </c>
      <c r="L478" t="n">
        <v>3026.5</v>
      </c>
      <c r="M478" t="inlineStr">
        <is>
          <t>INR</t>
        </is>
      </c>
      <c r="N478" t="inlineStr">
        <is>
          <t>Paid</t>
        </is>
      </c>
      <c r="O478" t="inlineStr">
        <is>
          <t>Paid</t>
        </is>
      </c>
      <c r="P478" t="n">
        <v>2564.83</v>
      </c>
      <c r="Q478" t="n">
        <v>2564.83</v>
      </c>
      <c r="R478" t="b">
        <v>0</v>
      </c>
    </row>
    <row r="479">
      <c r="A479" t="inlineStr">
        <is>
          <t>INV0011617</t>
        </is>
      </c>
      <c r="B479" t="inlineStr">
        <is>
          <t>MER00549</t>
        </is>
      </c>
      <c r="C479" t="inlineStr">
        <is>
          <t>2024-10-01</t>
        </is>
      </c>
      <c r="D479" t="inlineStr">
        <is>
          <t>2024-10-31</t>
        </is>
      </c>
      <c r="E479" s="8" t="n">
        <v>45598</v>
      </c>
      <c r="F479" s="8" t="n">
        <v>45643</v>
      </c>
      <c r="G479" t="n">
        <v>4985.93</v>
      </c>
      <c r="H479" t="n">
        <v>0</v>
      </c>
      <c r="I479" t="n">
        <v>4985.93</v>
      </c>
      <c r="J479" t="n">
        <v>0.18</v>
      </c>
      <c r="K479" t="n">
        <v>897.47</v>
      </c>
      <c r="L479" t="n">
        <v>5883.4</v>
      </c>
      <c r="M479" t="inlineStr">
        <is>
          <t>INR</t>
        </is>
      </c>
      <c r="N479" t="inlineStr">
        <is>
          <t>Paid</t>
        </is>
      </c>
      <c r="O479" t="inlineStr">
        <is>
          <t>Paid</t>
        </is>
      </c>
      <c r="P479" t="n">
        <v>4985.93</v>
      </c>
      <c r="Q479" t="n">
        <v>4985.93</v>
      </c>
      <c r="R479" t="b">
        <v>0</v>
      </c>
    </row>
    <row r="480">
      <c r="A480" t="inlineStr">
        <is>
          <t>INV0011618</t>
        </is>
      </c>
      <c r="B480" t="inlineStr">
        <is>
          <t>MER00549</t>
        </is>
      </c>
      <c r="C480" t="inlineStr">
        <is>
          <t>2024-11-01</t>
        </is>
      </c>
      <c r="D480" t="inlineStr">
        <is>
          <t>2024-11-30</t>
        </is>
      </c>
      <c r="E480" s="8" t="n">
        <v>45628</v>
      </c>
      <c r="F480" s="8" t="n">
        <v>45673</v>
      </c>
      <c r="G480" t="n">
        <v>6313.58</v>
      </c>
      <c r="H480" t="n">
        <v>0</v>
      </c>
      <c r="I480" t="n">
        <v>6313.58</v>
      </c>
      <c r="J480" t="n">
        <v>0.18</v>
      </c>
      <c r="K480" t="n">
        <v>1136.44</v>
      </c>
      <c r="L480" t="n">
        <v>7450.02</v>
      </c>
      <c r="M480" t="inlineStr">
        <is>
          <t>INR</t>
        </is>
      </c>
      <c r="N480" t="inlineStr">
        <is>
          <t>Paid</t>
        </is>
      </c>
      <c r="O480" t="inlineStr">
        <is>
          <t>Paid</t>
        </is>
      </c>
      <c r="P480" t="n">
        <v>6313.58</v>
      </c>
      <c r="Q480" t="n">
        <v>6313.58</v>
      </c>
      <c r="R480" t="b">
        <v>0</v>
      </c>
    </row>
    <row r="481">
      <c r="A481" t="inlineStr">
        <is>
          <t>INV0011619</t>
        </is>
      </c>
      <c r="B481" t="inlineStr">
        <is>
          <t>MER00549</t>
        </is>
      </c>
      <c r="C481" t="inlineStr">
        <is>
          <t>2024-12-01</t>
        </is>
      </c>
      <c r="D481" t="inlineStr">
        <is>
          <t>2024-12-31</t>
        </is>
      </c>
      <c r="E481" s="8" t="n">
        <v>45659</v>
      </c>
      <c r="F481" s="8" t="n">
        <v>45704</v>
      </c>
      <c r="G481" t="n">
        <v>2901.76</v>
      </c>
      <c r="H481" t="n">
        <v>0</v>
      </c>
      <c r="I481" t="n">
        <v>2901.76</v>
      </c>
      <c r="J481" t="n">
        <v>0.18</v>
      </c>
      <c r="K481" t="n">
        <v>522.3200000000001</v>
      </c>
      <c r="L481" t="n">
        <v>3424.08</v>
      </c>
      <c r="M481" t="inlineStr">
        <is>
          <t>INR</t>
        </is>
      </c>
      <c r="N481" t="inlineStr">
        <is>
          <t>Paid</t>
        </is>
      </c>
      <c r="O481" t="inlineStr">
        <is>
          <t>Paid</t>
        </is>
      </c>
      <c r="P481" t="n">
        <v>2901.76</v>
      </c>
      <c r="Q481" t="n">
        <v>2901.76</v>
      </c>
      <c r="R481" t="b">
        <v>0</v>
      </c>
    </row>
    <row r="482">
      <c r="A482" t="inlineStr">
        <is>
          <t>INV0011620</t>
        </is>
      </c>
      <c r="B482" t="inlineStr">
        <is>
          <t>MER00549</t>
        </is>
      </c>
      <c r="C482" t="inlineStr">
        <is>
          <t>2025-01-01</t>
        </is>
      </c>
      <c r="D482" t="inlineStr">
        <is>
          <t>2025-01-31</t>
        </is>
      </c>
      <c r="E482" s="8" t="n">
        <v>45690</v>
      </c>
      <c r="F482" s="8" t="n">
        <v>45735</v>
      </c>
      <c r="G482" t="n">
        <v>3062.25</v>
      </c>
      <c r="H482" t="n">
        <v>0</v>
      </c>
      <c r="I482" t="n">
        <v>3062.25</v>
      </c>
      <c r="J482" t="n">
        <v>0.18</v>
      </c>
      <c r="K482" t="n">
        <v>551.2</v>
      </c>
      <c r="L482" t="n">
        <v>3613.45</v>
      </c>
      <c r="M482" t="inlineStr">
        <is>
          <t>INR</t>
        </is>
      </c>
      <c r="N482" t="inlineStr">
        <is>
          <t>Overdue</t>
        </is>
      </c>
      <c r="O482" t="inlineStr">
        <is>
          <t>Unpaid</t>
        </is>
      </c>
      <c r="P482" t="n">
        <v>3062.25</v>
      </c>
      <c r="Q482" t="n">
        <v>3062.25</v>
      </c>
      <c r="R482" t="b">
        <v>0</v>
      </c>
    </row>
    <row r="483">
      <c r="A483" t="inlineStr">
        <is>
          <t>INV0011621</t>
        </is>
      </c>
      <c r="B483" t="inlineStr">
        <is>
          <t>MER00549</t>
        </is>
      </c>
      <c r="C483" t="inlineStr">
        <is>
          <t>2025-02-01</t>
        </is>
      </c>
      <c r="D483" t="inlineStr">
        <is>
          <t>2025-02-28</t>
        </is>
      </c>
      <c r="E483" s="8" t="n">
        <v>45718</v>
      </c>
      <c r="F483" s="8" t="n">
        <v>45763</v>
      </c>
      <c r="G483" t="n">
        <v>4078.99</v>
      </c>
      <c r="H483" t="n">
        <v>0</v>
      </c>
      <c r="I483" t="n">
        <v>4078.99</v>
      </c>
      <c r="J483" t="n">
        <v>0.18</v>
      </c>
      <c r="K483" t="n">
        <v>734.22</v>
      </c>
      <c r="L483" t="n">
        <v>4813.21</v>
      </c>
      <c r="M483" t="inlineStr">
        <is>
          <t>INR</t>
        </is>
      </c>
      <c r="N483" t="inlineStr">
        <is>
          <t>Paid</t>
        </is>
      </c>
      <c r="O483" t="inlineStr">
        <is>
          <t>Paid</t>
        </is>
      </c>
      <c r="P483" t="n">
        <v>4078.99</v>
      </c>
      <c r="Q483" t="n">
        <v>4078.99</v>
      </c>
      <c r="R483" t="b">
        <v>0</v>
      </c>
    </row>
    <row r="484">
      <c r="A484" t="inlineStr">
        <is>
          <t>INV0011622</t>
        </is>
      </c>
      <c r="B484" t="inlineStr">
        <is>
          <t>MER00549</t>
        </is>
      </c>
      <c r="C484" t="inlineStr">
        <is>
          <t>2025-03-01</t>
        </is>
      </c>
      <c r="D484" t="inlineStr">
        <is>
          <t>2025-03-31</t>
        </is>
      </c>
      <c r="E484" s="8" t="n">
        <v>45749</v>
      </c>
      <c r="F484" s="8" t="n">
        <v>45794</v>
      </c>
      <c r="G484" t="n">
        <v>2911.01</v>
      </c>
      <c r="H484" t="n">
        <v>0</v>
      </c>
      <c r="I484" t="n">
        <v>2911.01</v>
      </c>
      <c r="J484" t="n">
        <v>0.18</v>
      </c>
      <c r="K484" t="n">
        <v>523.98</v>
      </c>
      <c r="L484" t="n">
        <v>3434.99</v>
      </c>
      <c r="M484" t="inlineStr">
        <is>
          <t>INR</t>
        </is>
      </c>
      <c r="N484" t="inlineStr">
        <is>
          <t>Paid</t>
        </is>
      </c>
      <c r="O484" t="inlineStr">
        <is>
          <t>Paid</t>
        </is>
      </c>
      <c r="P484" t="n">
        <v>2911.01</v>
      </c>
      <c r="Q484" t="n">
        <v>2911.01</v>
      </c>
      <c r="R484" t="b">
        <v>0</v>
      </c>
    </row>
    <row r="485">
      <c r="A485" t="inlineStr">
        <is>
          <t>INV0011623</t>
        </is>
      </c>
      <c r="B485" t="inlineStr">
        <is>
          <t>MER00549</t>
        </is>
      </c>
      <c r="C485" t="inlineStr">
        <is>
          <t>2025-04-01</t>
        </is>
      </c>
      <c r="D485" t="inlineStr">
        <is>
          <t>2025-04-30</t>
        </is>
      </c>
      <c r="E485" s="8" t="n">
        <v>45779</v>
      </c>
      <c r="F485" s="8" t="n">
        <v>45824</v>
      </c>
      <c r="G485" t="n">
        <v>3888.39</v>
      </c>
      <c r="H485" t="n">
        <v>0</v>
      </c>
      <c r="I485" t="n">
        <v>3888.39</v>
      </c>
      <c r="J485" t="n">
        <v>0.18</v>
      </c>
      <c r="K485" t="n">
        <v>699.91</v>
      </c>
      <c r="L485" t="n">
        <v>4588.3</v>
      </c>
      <c r="M485" t="inlineStr">
        <is>
          <t>INR</t>
        </is>
      </c>
      <c r="N485" t="inlineStr">
        <is>
          <t>Paid</t>
        </is>
      </c>
      <c r="O485" t="inlineStr">
        <is>
          <t>Paid</t>
        </is>
      </c>
      <c r="P485" t="n">
        <v>3888.39</v>
      </c>
      <c r="Q485" t="n">
        <v>3888.39</v>
      </c>
      <c r="R485" t="b">
        <v>0</v>
      </c>
    </row>
    <row r="486">
      <c r="A486" t="inlineStr">
        <is>
          <t>INV0011624</t>
        </is>
      </c>
      <c r="B486" t="inlineStr">
        <is>
          <t>MER00549</t>
        </is>
      </c>
      <c r="C486" t="inlineStr">
        <is>
          <t>2025-05-01</t>
        </is>
      </c>
      <c r="D486" t="inlineStr">
        <is>
          <t>2025-05-31</t>
        </is>
      </c>
      <c r="E486" s="8" t="n">
        <v>45810</v>
      </c>
      <c r="F486" s="8" t="n">
        <v>45855</v>
      </c>
      <c r="G486" t="n">
        <v>3625.93</v>
      </c>
      <c r="H486" t="n">
        <v>0</v>
      </c>
      <c r="I486" t="n">
        <v>3625.93</v>
      </c>
      <c r="J486" t="n">
        <v>0.18</v>
      </c>
      <c r="K486" t="n">
        <v>652.67</v>
      </c>
      <c r="L486" t="n">
        <v>4278.6</v>
      </c>
      <c r="M486" t="inlineStr">
        <is>
          <t>INR</t>
        </is>
      </c>
      <c r="N486" t="inlineStr">
        <is>
          <t>Overdue</t>
        </is>
      </c>
      <c r="O486" t="inlineStr">
        <is>
          <t>Unpaid</t>
        </is>
      </c>
      <c r="P486" t="n">
        <v>3625.93</v>
      </c>
      <c r="Q486" t="n">
        <v>3625.93</v>
      </c>
      <c r="R486" t="b">
        <v>0</v>
      </c>
    </row>
    <row r="487">
      <c r="A487" t="inlineStr">
        <is>
          <t>INV0011625</t>
        </is>
      </c>
      <c r="B487" t="inlineStr">
        <is>
          <t>MER00549</t>
        </is>
      </c>
      <c r="C487" t="inlineStr">
        <is>
          <t>2025-06-01</t>
        </is>
      </c>
      <c r="D487" t="inlineStr">
        <is>
          <t>2025-06-30</t>
        </is>
      </c>
      <c r="E487" s="8" t="n">
        <v>45840</v>
      </c>
      <c r="F487" s="8" t="n">
        <v>45885</v>
      </c>
      <c r="G487" t="n">
        <v>4324.38</v>
      </c>
      <c r="H487" t="n">
        <v>0</v>
      </c>
      <c r="I487" t="n">
        <v>4324.38</v>
      </c>
      <c r="J487" t="n">
        <v>0.18</v>
      </c>
      <c r="K487" t="n">
        <v>778.39</v>
      </c>
      <c r="L487" t="n">
        <v>5102.77</v>
      </c>
      <c r="M487" t="inlineStr">
        <is>
          <t>INR</t>
        </is>
      </c>
      <c r="N487" t="inlineStr">
        <is>
          <t>Paid</t>
        </is>
      </c>
      <c r="O487" t="inlineStr">
        <is>
          <t>Paid</t>
        </is>
      </c>
      <c r="P487" t="n">
        <v>4324.38</v>
      </c>
      <c r="Q487" t="n">
        <v>4324.38</v>
      </c>
      <c r="R487" t="b">
        <v>0</v>
      </c>
    </row>
    <row r="488">
      <c r="A488" t="inlineStr">
        <is>
          <t>INV0011626</t>
        </is>
      </c>
      <c r="B488" t="inlineStr">
        <is>
          <t>MER00549</t>
        </is>
      </c>
      <c r="C488" t="inlineStr">
        <is>
          <t>2025-07-01</t>
        </is>
      </c>
      <c r="D488" t="inlineStr">
        <is>
          <t>2025-07-31</t>
        </is>
      </c>
      <c r="E488" s="8" t="n">
        <v>45871</v>
      </c>
      <c r="F488" s="8" t="n">
        <v>45916</v>
      </c>
      <c r="G488" t="n">
        <v>4558.55</v>
      </c>
      <c r="H488" t="n">
        <v>0</v>
      </c>
      <c r="I488" t="n">
        <v>4558.55</v>
      </c>
      <c r="J488" t="n">
        <v>0.18</v>
      </c>
      <c r="K488" t="n">
        <v>820.54</v>
      </c>
      <c r="L488" t="n">
        <v>5379.09</v>
      </c>
      <c r="M488" t="inlineStr">
        <is>
          <t>INR</t>
        </is>
      </c>
      <c r="N488" t="inlineStr">
        <is>
          <t>Paid</t>
        </is>
      </c>
      <c r="O488" t="inlineStr">
        <is>
          <t>Paid</t>
        </is>
      </c>
      <c r="P488" t="n">
        <v>4558.55</v>
      </c>
      <c r="Q488" t="n">
        <v>4558.55</v>
      </c>
      <c r="R488" t="b">
        <v>0</v>
      </c>
    </row>
    <row r="489">
      <c r="A489" t="inlineStr">
        <is>
          <t>INV0011627</t>
        </is>
      </c>
      <c r="B489" t="inlineStr">
        <is>
          <t>MER00549</t>
        </is>
      </c>
      <c r="C489" t="inlineStr">
        <is>
          <t>2025-08-01</t>
        </is>
      </c>
      <c r="D489" t="inlineStr">
        <is>
          <t>2025-08-31</t>
        </is>
      </c>
      <c r="E489" s="8" t="n">
        <v>45902</v>
      </c>
      <c r="F489" s="8" t="n">
        <v>45947</v>
      </c>
      <c r="G489" t="n">
        <v>4020.79</v>
      </c>
      <c r="H489" t="n">
        <v>0</v>
      </c>
      <c r="I489" t="n">
        <v>4020.79</v>
      </c>
      <c r="J489" t="n">
        <v>0.18</v>
      </c>
      <c r="K489" t="n">
        <v>723.74</v>
      </c>
      <c r="L489" t="n">
        <v>4744.53</v>
      </c>
      <c r="M489" t="inlineStr">
        <is>
          <t>INR</t>
        </is>
      </c>
      <c r="N489" t="inlineStr">
        <is>
          <t>Paid</t>
        </is>
      </c>
      <c r="O489" t="inlineStr">
        <is>
          <t>Paid</t>
        </is>
      </c>
      <c r="P489" t="n">
        <v>4020.79</v>
      </c>
      <c r="Q489" t="n">
        <v>4020.79</v>
      </c>
      <c r="R489" t="b">
        <v>0</v>
      </c>
    </row>
    <row r="490">
      <c r="A490" t="inlineStr">
        <is>
          <t>INV0011628</t>
        </is>
      </c>
      <c r="B490" t="inlineStr">
        <is>
          <t>MER00549</t>
        </is>
      </c>
      <c r="C490" t="inlineStr">
        <is>
          <t>2025-09-01</t>
        </is>
      </c>
      <c r="D490" t="inlineStr">
        <is>
          <t>2025-09-30</t>
        </is>
      </c>
      <c r="E490" s="8" t="n">
        <v>45932</v>
      </c>
      <c r="F490" s="8" t="n">
        <v>45977</v>
      </c>
      <c r="G490" t="n">
        <v>4934.88</v>
      </c>
      <c r="H490" t="n">
        <v>0</v>
      </c>
      <c r="I490" t="n">
        <v>4934.88</v>
      </c>
      <c r="J490" t="n">
        <v>0.18</v>
      </c>
      <c r="K490" t="n">
        <v>888.28</v>
      </c>
      <c r="L490" t="n">
        <v>5823.16</v>
      </c>
      <c r="M490" t="inlineStr">
        <is>
          <t>INR</t>
        </is>
      </c>
      <c r="N490" t="inlineStr">
        <is>
          <t>Paid</t>
        </is>
      </c>
      <c r="O490" t="inlineStr">
        <is>
          <t>Paid</t>
        </is>
      </c>
      <c r="P490" t="n">
        <v>4339.96</v>
      </c>
      <c r="Q490" t="n">
        <v>4934.88</v>
      </c>
      <c r="R490" t="b">
        <v>1</v>
      </c>
    </row>
    <row r="491">
      <c r="A491" t="inlineStr">
        <is>
          <t>INV0011629</t>
        </is>
      </c>
      <c r="B491" t="inlineStr">
        <is>
          <t>MER00549</t>
        </is>
      </c>
      <c r="C491" t="inlineStr">
        <is>
          <t>2025-10-01</t>
        </is>
      </c>
      <c r="D491" t="inlineStr">
        <is>
          <t>2025-10-31</t>
        </is>
      </c>
      <c r="E491" s="8" t="n">
        <v>45963</v>
      </c>
      <c r="F491" s="8" t="n">
        <v>46008</v>
      </c>
      <c r="G491" t="n">
        <v>5657.68</v>
      </c>
      <c r="H491" t="n">
        <v>758.13</v>
      </c>
      <c r="I491" t="n">
        <v>4899.55</v>
      </c>
      <c r="J491" t="n">
        <v>0.18</v>
      </c>
      <c r="K491" t="n">
        <v>881.92</v>
      </c>
      <c r="L491" t="n">
        <v>5781.47</v>
      </c>
      <c r="M491" t="inlineStr">
        <is>
          <t>INR</t>
        </is>
      </c>
      <c r="N491" t="inlineStr">
        <is>
          <t>Paid</t>
        </is>
      </c>
      <c r="O491" t="inlineStr">
        <is>
          <t>Paid</t>
        </is>
      </c>
      <c r="P491" t="n">
        <v>5657.68</v>
      </c>
      <c r="Q491" t="n">
        <v>5657.68</v>
      </c>
      <c r="R491" t="b">
        <v>0</v>
      </c>
    </row>
    <row r="492">
      <c r="A492" t="inlineStr">
        <is>
          <t>INV0011630</t>
        </is>
      </c>
      <c r="B492" t="inlineStr">
        <is>
          <t>MER00549</t>
        </is>
      </c>
      <c r="C492" t="inlineStr">
        <is>
          <t>2025-11-01</t>
        </is>
      </c>
      <c r="D492" t="inlineStr">
        <is>
          <t>2025-11-30</t>
        </is>
      </c>
      <c r="E492" s="8" t="n">
        <v>45993</v>
      </c>
      <c r="F492" s="8" t="n">
        <v>46038</v>
      </c>
      <c r="G492" t="n">
        <v>6432.41</v>
      </c>
      <c r="H492" t="n">
        <v>0</v>
      </c>
      <c r="I492" t="n">
        <v>6432.41</v>
      </c>
      <c r="J492" t="n">
        <v>0.18</v>
      </c>
      <c r="K492" t="n">
        <v>1157.83</v>
      </c>
      <c r="L492" t="n">
        <v>7590.24</v>
      </c>
      <c r="M492" t="inlineStr">
        <is>
          <t>INR</t>
        </is>
      </c>
      <c r="N492" t="inlineStr">
        <is>
          <t>Paid</t>
        </is>
      </c>
      <c r="O492" t="inlineStr">
        <is>
          <t>Paid</t>
        </is>
      </c>
      <c r="P492" t="n">
        <v>6432.41</v>
      </c>
      <c r="Q492" t="n">
        <v>6432.41</v>
      </c>
      <c r="R492" t="b">
        <v>0</v>
      </c>
    </row>
    <row r="493">
      <c r="A493" t="inlineStr">
        <is>
          <t>INV0011631</t>
        </is>
      </c>
      <c r="B493" t="inlineStr">
        <is>
          <t>MER00549</t>
        </is>
      </c>
      <c r="C493" t="inlineStr">
        <is>
          <t>2025-12-01</t>
        </is>
      </c>
      <c r="D493" t="inlineStr">
        <is>
          <t>2025-12-31</t>
        </is>
      </c>
      <c r="E493" s="8" t="n">
        <v>46024</v>
      </c>
      <c r="F493" s="8" t="n">
        <v>46069</v>
      </c>
      <c r="G493" t="n">
        <v>4149.86</v>
      </c>
      <c r="H493" t="n">
        <v>0</v>
      </c>
      <c r="I493" t="n">
        <v>4149.86</v>
      </c>
      <c r="J493" t="n">
        <v>0.18</v>
      </c>
      <c r="K493" t="n">
        <v>746.97</v>
      </c>
      <c r="L493" t="n">
        <v>4896.83</v>
      </c>
      <c r="M493" t="inlineStr">
        <is>
          <t>INR</t>
        </is>
      </c>
      <c r="N493" t="inlineStr">
        <is>
          <t>Paid</t>
        </is>
      </c>
      <c r="O493" t="inlineStr">
        <is>
          <t>Paid</t>
        </is>
      </c>
      <c r="P493" t="n">
        <v>4149.86</v>
      </c>
      <c r="Q493" t="n">
        <v>4149.86</v>
      </c>
      <c r="R493" t="b">
        <v>0</v>
      </c>
    </row>
    <row r="494">
      <c r="A494" t="inlineStr">
        <is>
          <t>INV0011632</t>
        </is>
      </c>
      <c r="B494" t="inlineStr">
        <is>
          <t>MER00549</t>
        </is>
      </c>
      <c r="C494" t="inlineStr">
        <is>
          <t>2026-01-01</t>
        </is>
      </c>
      <c r="D494" t="inlineStr">
        <is>
          <t>2026-01-31</t>
        </is>
      </c>
      <c r="E494" s="8" t="n">
        <v>46055</v>
      </c>
      <c r="F494" s="8" t="n">
        <v>46100</v>
      </c>
      <c r="G494" t="n">
        <v>4930.58</v>
      </c>
      <c r="H494" t="n">
        <v>0</v>
      </c>
      <c r="I494" t="n">
        <v>4930.58</v>
      </c>
      <c r="J494" t="n">
        <v>0.18</v>
      </c>
      <c r="K494" t="n">
        <v>887.5</v>
      </c>
      <c r="L494" t="n">
        <v>5818.08</v>
      </c>
      <c r="M494" t="inlineStr">
        <is>
          <t>INR</t>
        </is>
      </c>
      <c r="N494" t="inlineStr">
        <is>
          <t>Paid</t>
        </is>
      </c>
      <c r="O494" t="inlineStr">
        <is>
          <t>Paid</t>
        </is>
      </c>
      <c r="P494" t="n">
        <v>4930.58</v>
      </c>
      <c r="Q494" t="n">
        <v>4930.58</v>
      </c>
      <c r="R494" t="b">
        <v>0</v>
      </c>
    </row>
    <row r="495">
      <c r="A495" t="inlineStr">
        <is>
          <t>INV0011633</t>
        </is>
      </c>
      <c r="B495" t="inlineStr">
        <is>
          <t>MER00549</t>
        </is>
      </c>
      <c r="C495" t="inlineStr">
        <is>
          <t>2026-02-01</t>
        </is>
      </c>
      <c r="D495" t="inlineStr">
        <is>
          <t>2026-02-28</t>
        </is>
      </c>
      <c r="E495" s="8" t="n">
        <v>46083</v>
      </c>
      <c r="F495" s="8" t="n">
        <v>46128</v>
      </c>
      <c r="G495" t="n">
        <v>4720.58</v>
      </c>
      <c r="H495" t="n">
        <v>0</v>
      </c>
      <c r="I495" t="n">
        <v>4720.58</v>
      </c>
      <c r="J495" t="n">
        <v>0.18</v>
      </c>
      <c r="K495" t="n">
        <v>849.7</v>
      </c>
      <c r="L495" t="n">
        <v>5570.28</v>
      </c>
      <c r="M495" t="inlineStr">
        <is>
          <t>INR</t>
        </is>
      </c>
      <c r="N495" t="inlineStr">
        <is>
          <t>Paid</t>
        </is>
      </c>
      <c r="O495" t="inlineStr">
        <is>
          <t>Paid</t>
        </is>
      </c>
      <c r="P495" t="n">
        <v>4720.58</v>
      </c>
      <c r="Q495" t="n">
        <v>4720.58</v>
      </c>
      <c r="R495" t="b">
        <v>0</v>
      </c>
    </row>
    <row r="496">
      <c r="A496" t="inlineStr">
        <is>
          <t>INV0011634</t>
        </is>
      </c>
      <c r="B496" t="inlineStr">
        <is>
          <t>MER00549</t>
        </is>
      </c>
      <c r="C496" t="inlineStr">
        <is>
          <t>2026-03-01</t>
        </is>
      </c>
      <c r="D496" t="inlineStr">
        <is>
          <t>2026-03-31</t>
        </is>
      </c>
      <c r="E496" s="8" t="n">
        <v>46114</v>
      </c>
      <c r="F496" s="8" t="n">
        <v>46159</v>
      </c>
      <c r="G496" t="n">
        <v>3468.46</v>
      </c>
      <c r="H496" t="n">
        <v>0</v>
      </c>
      <c r="I496" t="n">
        <v>3468.46</v>
      </c>
      <c r="J496" t="n">
        <v>0.18</v>
      </c>
      <c r="K496" t="n">
        <v>624.3200000000001</v>
      </c>
      <c r="L496" t="n">
        <v>4092.78</v>
      </c>
      <c r="M496" t="inlineStr">
        <is>
          <t>INR</t>
        </is>
      </c>
      <c r="N496" t="inlineStr">
        <is>
          <t>Paid</t>
        </is>
      </c>
      <c r="O496" t="inlineStr">
        <is>
          <t>Paid</t>
        </is>
      </c>
      <c r="P496" t="n">
        <v>3468.46</v>
      </c>
      <c r="Q496" t="n">
        <v>3468.46</v>
      </c>
      <c r="R496" t="b">
        <v>0</v>
      </c>
    </row>
    <row r="497">
      <c r="A497" t="inlineStr">
        <is>
          <t>INV0011635</t>
        </is>
      </c>
      <c r="B497" t="inlineStr">
        <is>
          <t>MER00549</t>
        </is>
      </c>
      <c r="C497" t="inlineStr">
        <is>
          <t>2026-05-01</t>
        </is>
      </c>
      <c r="D497" t="inlineStr">
        <is>
          <t>2026-05-31</t>
        </is>
      </c>
      <c r="E497" s="8" t="n">
        <v>46175</v>
      </c>
      <c r="F497" s="8" t="n">
        <v>46220</v>
      </c>
      <c r="G497" t="n">
        <v>3210.49</v>
      </c>
      <c r="H497" t="n">
        <v>0</v>
      </c>
      <c r="I497" t="n">
        <v>3210.49</v>
      </c>
      <c r="J497" t="n">
        <v>0.18</v>
      </c>
      <c r="K497" t="n">
        <v>577.89</v>
      </c>
      <c r="L497" t="n">
        <v>3788.38</v>
      </c>
      <c r="M497" t="inlineStr">
        <is>
          <t>INR</t>
        </is>
      </c>
      <c r="N497" t="inlineStr">
        <is>
          <t>Paid</t>
        </is>
      </c>
      <c r="O497" t="inlineStr">
        <is>
          <t>Paid</t>
        </is>
      </c>
      <c r="P497" t="n">
        <v>3210.49</v>
      </c>
      <c r="Q497" t="n">
        <v>3210.49</v>
      </c>
      <c r="R497" t="b">
        <v>0</v>
      </c>
    </row>
    <row r="498">
      <c r="A498" t="inlineStr">
        <is>
          <t>INV0011636</t>
        </is>
      </c>
      <c r="B498" t="inlineStr">
        <is>
          <t>MER00549</t>
        </is>
      </c>
      <c r="C498" t="inlineStr">
        <is>
          <t>2026-06-01</t>
        </is>
      </c>
      <c r="D498" t="inlineStr">
        <is>
          <t>2026-06-30</t>
        </is>
      </c>
      <c r="E498" s="8" t="n">
        <v>46205</v>
      </c>
      <c r="F498" s="8" t="n">
        <v>46250</v>
      </c>
      <c r="G498" t="n">
        <v>4259.61</v>
      </c>
      <c r="H498" t="n">
        <v>0</v>
      </c>
      <c r="I498" t="n">
        <v>4259.61</v>
      </c>
      <c r="J498" t="n">
        <v>0.18</v>
      </c>
      <c r="K498" t="n">
        <v>766.73</v>
      </c>
      <c r="L498" t="n">
        <v>5026.34</v>
      </c>
      <c r="M498" t="inlineStr">
        <is>
          <t>INR</t>
        </is>
      </c>
      <c r="N498" t="inlineStr">
        <is>
          <t>Paid</t>
        </is>
      </c>
      <c r="O498" t="inlineStr">
        <is>
          <t>Paid</t>
        </is>
      </c>
      <c r="P498" t="n">
        <v>4259.61</v>
      </c>
      <c r="Q498" t="n">
        <v>4259.61</v>
      </c>
      <c r="R498" t="b">
        <v>0</v>
      </c>
    </row>
    <row r="499">
      <c r="A499" t="inlineStr">
        <is>
          <t>INV0011637</t>
        </is>
      </c>
      <c r="B499" t="inlineStr">
        <is>
          <t>MER00549</t>
        </is>
      </c>
      <c r="C499" t="inlineStr">
        <is>
          <t>2026-07-01</t>
        </is>
      </c>
      <c r="D499" t="inlineStr">
        <is>
          <t>2026-07-31</t>
        </is>
      </c>
      <c r="E499" s="8" t="n">
        <v>46236</v>
      </c>
      <c r="F499" s="8" t="n">
        <v>46281</v>
      </c>
      <c r="G499" t="n">
        <v>3682.69</v>
      </c>
      <c r="H499" t="n">
        <v>0</v>
      </c>
      <c r="I499" t="n">
        <v>3682.69</v>
      </c>
      <c r="J499" t="n">
        <v>0.18</v>
      </c>
      <c r="K499" t="n">
        <v>662.88</v>
      </c>
      <c r="L499" t="n">
        <v>4345.57</v>
      </c>
      <c r="M499" t="inlineStr">
        <is>
          <t>INR</t>
        </is>
      </c>
      <c r="N499" t="inlineStr">
        <is>
          <t>Issued</t>
        </is>
      </c>
      <c r="O499" t="inlineStr">
        <is>
          <t>Unpaid</t>
        </is>
      </c>
      <c r="P499" t="n">
        <v>3682.69</v>
      </c>
      <c r="Q499" t="n">
        <v>3682.69</v>
      </c>
      <c r="R499" t="b">
        <v>0</v>
      </c>
    </row>
    <row r="500">
      <c r="A500" t="inlineStr">
        <is>
          <t>INV0012092</t>
        </is>
      </c>
      <c r="B500" t="inlineStr">
        <is>
          <t>MER00572</t>
        </is>
      </c>
      <c r="C500" t="inlineStr">
        <is>
          <t>2024-08-01</t>
        </is>
      </c>
      <c r="D500" t="inlineStr">
        <is>
          <t>2024-08-31</t>
        </is>
      </c>
      <c r="E500" s="8" t="n">
        <v>45537</v>
      </c>
      <c r="F500" s="8" t="n">
        <v>45567</v>
      </c>
      <c r="G500" t="n">
        <v>1168.18</v>
      </c>
      <c r="H500" t="n">
        <v>0</v>
      </c>
      <c r="I500" t="n">
        <v>1168.18</v>
      </c>
      <c r="J500" t="n">
        <v>0.18</v>
      </c>
      <c r="K500" t="n">
        <v>210.27</v>
      </c>
      <c r="L500" t="n">
        <v>1378.45</v>
      </c>
      <c r="M500" t="inlineStr">
        <is>
          <t>INR</t>
        </is>
      </c>
      <c r="N500" t="inlineStr">
        <is>
          <t>Paid</t>
        </is>
      </c>
      <c r="O500" t="inlineStr">
        <is>
          <t>Paid</t>
        </is>
      </c>
      <c r="P500" t="n">
        <v>1168.18</v>
      </c>
      <c r="Q500" t="n">
        <v>1168.18</v>
      </c>
      <c r="R500" t="b">
        <v>0</v>
      </c>
    </row>
    <row r="501">
      <c r="A501" t="inlineStr">
        <is>
          <t>INV0012093</t>
        </is>
      </c>
      <c r="B501" t="inlineStr">
        <is>
          <t>MER00572</t>
        </is>
      </c>
      <c r="C501" t="inlineStr">
        <is>
          <t>2024-09-01</t>
        </is>
      </c>
      <c r="D501" t="inlineStr">
        <is>
          <t>2024-09-30</t>
        </is>
      </c>
      <c r="E501" s="8" t="n">
        <v>45567</v>
      </c>
      <c r="F501" s="8" t="n">
        <v>45597</v>
      </c>
      <c r="G501" t="n">
        <v>1401.79</v>
      </c>
      <c r="H501" t="n">
        <v>187.84</v>
      </c>
      <c r="I501" t="n">
        <v>1213.95</v>
      </c>
      <c r="J501" t="n">
        <v>0.18</v>
      </c>
      <c r="K501" t="n">
        <v>218.51</v>
      </c>
      <c r="L501" t="n">
        <v>1432.46</v>
      </c>
      <c r="M501" t="inlineStr">
        <is>
          <t>INR</t>
        </is>
      </c>
      <c r="N501" t="inlineStr">
        <is>
          <t>Paid</t>
        </is>
      </c>
      <c r="O501" t="inlineStr">
        <is>
          <t>Paid</t>
        </is>
      </c>
      <c r="P501" t="n">
        <v>1401.79</v>
      </c>
      <c r="Q501" t="n">
        <v>1401.79</v>
      </c>
      <c r="R501" t="b">
        <v>0</v>
      </c>
    </row>
    <row r="502">
      <c r="A502" t="inlineStr">
        <is>
          <t>INV0012094</t>
        </is>
      </c>
      <c r="B502" t="inlineStr">
        <is>
          <t>MER00572</t>
        </is>
      </c>
      <c r="C502" t="inlineStr">
        <is>
          <t>2024-10-01</t>
        </is>
      </c>
      <c r="D502" t="inlineStr">
        <is>
          <t>2024-10-31</t>
        </is>
      </c>
      <c r="E502" s="8" t="n">
        <v>45598</v>
      </c>
      <c r="F502" s="8" t="n">
        <v>45628</v>
      </c>
      <c r="G502" t="n">
        <v>2896.39</v>
      </c>
      <c r="H502" t="n">
        <v>0</v>
      </c>
      <c r="I502" t="n">
        <v>2896.39</v>
      </c>
      <c r="J502" t="n">
        <v>0.18</v>
      </c>
      <c r="K502" t="n">
        <v>521.35</v>
      </c>
      <c r="L502" t="n">
        <v>3417.74</v>
      </c>
      <c r="M502" t="inlineStr">
        <is>
          <t>INR</t>
        </is>
      </c>
      <c r="N502" t="inlineStr">
        <is>
          <t>Paid</t>
        </is>
      </c>
      <c r="O502" t="inlineStr">
        <is>
          <t>Paid</t>
        </is>
      </c>
      <c r="P502" t="n">
        <v>2896.39</v>
      </c>
      <c r="Q502" t="n">
        <v>2896.39</v>
      </c>
      <c r="R502" t="b">
        <v>0</v>
      </c>
    </row>
    <row r="503">
      <c r="A503" t="inlineStr">
        <is>
          <t>INV0012095</t>
        </is>
      </c>
      <c r="B503" t="inlineStr">
        <is>
          <t>MER00572</t>
        </is>
      </c>
      <c r="C503" t="inlineStr">
        <is>
          <t>2024-11-01</t>
        </is>
      </c>
      <c r="D503" t="inlineStr">
        <is>
          <t>2024-11-30</t>
        </is>
      </c>
      <c r="E503" s="8" t="n">
        <v>45628</v>
      </c>
      <c r="F503" s="8" t="n">
        <v>45658</v>
      </c>
      <c r="G503" t="n">
        <v>2685.88</v>
      </c>
      <c r="H503" t="n">
        <v>0</v>
      </c>
      <c r="I503" t="n">
        <v>2685.88</v>
      </c>
      <c r="J503" t="n">
        <v>0.18</v>
      </c>
      <c r="K503" t="n">
        <v>483.46</v>
      </c>
      <c r="L503" t="n">
        <v>3169.34</v>
      </c>
      <c r="M503" t="inlineStr">
        <is>
          <t>INR</t>
        </is>
      </c>
      <c r="N503" t="inlineStr">
        <is>
          <t>Paid</t>
        </is>
      </c>
      <c r="O503" t="inlineStr">
        <is>
          <t>Paid</t>
        </is>
      </c>
      <c r="P503" t="n">
        <v>2685.88</v>
      </c>
      <c r="Q503" t="n">
        <v>2685.88</v>
      </c>
      <c r="R503" t="b">
        <v>0</v>
      </c>
    </row>
    <row r="504">
      <c r="A504" t="inlineStr">
        <is>
          <t>INV0012096</t>
        </is>
      </c>
      <c r="B504" t="inlineStr">
        <is>
          <t>MER00572</t>
        </is>
      </c>
      <c r="C504" t="inlineStr">
        <is>
          <t>2024-12-01</t>
        </is>
      </c>
      <c r="D504" t="inlineStr">
        <is>
          <t>2024-12-31</t>
        </is>
      </c>
      <c r="E504" s="8" t="n">
        <v>45659</v>
      </c>
      <c r="F504" s="8" t="n">
        <v>45689</v>
      </c>
      <c r="G504" t="n">
        <v>1751.15</v>
      </c>
      <c r="H504" t="n">
        <v>0</v>
      </c>
      <c r="I504" t="n">
        <v>1751.15</v>
      </c>
      <c r="J504" t="n">
        <v>0.18</v>
      </c>
      <c r="K504" t="n">
        <v>315.21</v>
      </c>
      <c r="L504" t="n">
        <v>2066.36</v>
      </c>
      <c r="M504" t="inlineStr">
        <is>
          <t>INR</t>
        </is>
      </c>
      <c r="N504" t="inlineStr">
        <is>
          <t>Paid</t>
        </is>
      </c>
      <c r="O504" t="inlineStr">
        <is>
          <t>Paid</t>
        </is>
      </c>
      <c r="P504" t="n">
        <v>1751.15</v>
      </c>
      <c r="Q504" t="n">
        <v>1751.15</v>
      </c>
      <c r="R504" t="b">
        <v>0</v>
      </c>
    </row>
    <row r="505">
      <c r="A505" t="inlineStr">
        <is>
          <t>INV0012097</t>
        </is>
      </c>
      <c r="B505" t="inlineStr">
        <is>
          <t>MER00572</t>
        </is>
      </c>
      <c r="C505" t="inlineStr">
        <is>
          <t>2025-01-01</t>
        </is>
      </c>
      <c r="D505" t="inlineStr">
        <is>
          <t>2025-01-31</t>
        </is>
      </c>
      <c r="E505" s="8" t="n">
        <v>45690</v>
      </c>
      <c r="F505" s="8" t="n">
        <v>45720</v>
      </c>
      <c r="G505" t="n">
        <v>2690.05</v>
      </c>
      <c r="H505" t="n">
        <v>0</v>
      </c>
      <c r="I505" t="n">
        <v>2690.05</v>
      </c>
      <c r="J505" t="n">
        <v>0.18</v>
      </c>
      <c r="K505" t="n">
        <v>484.21</v>
      </c>
      <c r="L505" t="n">
        <v>3174.26</v>
      </c>
      <c r="M505" t="inlineStr">
        <is>
          <t>INR</t>
        </is>
      </c>
      <c r="N505" t="inlineStr">
        <is>
          <t>Paid</t>
        </is>
      </c>
      <c r="O505" t="inlineStr">
        <is>
          <t>Paid</t>
        </is>
      </c>
      <c r="P505" t="n">
        <v>2690.05</v>
      </c>
      <c r="Q505" t="n">
        <v>2690.05</v>
      </c>
      <c r="R505" t="b">
        <v>0</v>
      </c>
    </row>
    <row r="506">
      <c r="A506" t="inlineStr">
        <is>
          <t>INV0012098</t>
        </is>
      </c>
      <c r="B506" t="inlineStr">
        <is>
          <t>MER00572</t>
        </is>
      </c>
      <c r="C506" t="inlineStr">
        <is>
          <t>2025-02-01</t>
        </is>
      </c>
      <c r="D506" t="inlineStr">
        <is>
          <t>2025-02-28</t>
        </is>
      </c>
      <c r="E506" s="8" t="n">
        <v>45718</v>
      </c>
      <c r="F506" s="8" t="n">
        <v>45748</v>
      </c>
      <c r="G506" t="n">
        <v>2537.78</v>
      </c>
      <c r="H506" t="n">
        <v>0</v>
      </c>
      <c r="I506" t="n">
        <v>2537.78</v>
      </c>
      <c r="J506" t="n">
        <v>0.18</v>
      </c>
      <c r="K506" t="n">
        <v>456.8</v>
      </c>
      <c r="L506" t="n">
        <v>2994.58</v>
      </c>
      <c r="M506" t="inlineStr">
        <is>
          <t>INR</t>
        </is>
      </c>
      <c r="N506" t="inlineStr">
        <is>
          <t>Paid</t>
        </is>
      </c>
      <c r="O506" t="inlineStr">
        <is>
          <t>Paid</t>
        </is>
      </c>
      <c r="P506" t="n">
        <v>2537.78</v>
      </c>
      <c r="Q506" t="n">
        <v>2537.78</v>
      </c>
      <c r="R506" t="b">
        <v>0</v>
      </c>
    </row>
    <row r="507">
      <c r="A507" t="inlineStr">
        <is>
          <t>INV0012099</t>
        </is>
      </c>
      <c r="B507" t="inlineStr">
        <is>
          <t>MER00572</t>
        </is>
      </c>
      <c r="C507" t="inlineStr">
        <is>
          <t>2025-03-01</t>
        </is>
      </c>
      <c r="D507" t="inlineStr">
        <is>
          <t>2025-03-31</t>
        </is>
      </c>
      <c r="E507" s="8" t="n">
        <v>45749</v>
      </c>
      <c r="F507" s="8" t="n">
        <v>45779</v>
      </c>
      <c r="G507" t="n">
        <v>842.0599999999999</v>
      </c>
      <c r="H507" t="n">
        <v>0</v>
      </c>
      <c r="I507" t="n">
        <v>842.0599999999999</v>
      </c>
      <c r="J507" t="n">
        <v>0.18</v>
      </c>
      <c r="K507" t="n">
        <v>151.57</v>
      </c>
      <c r="L507" t="n">
        <v>993.63</v>
      </c>
      <c r="M507" t="inlineStr">
        <is>
          <t>INR</t>
        </is>
      </c>
      <c r="N507" t="inlineStr">
        <is>
          <t>Paid</t>
        </is>
      </c>
      <c r="O507" t="inlineStr">
        <is>
          <t>Paid</t>
        </is>
      </c>
      <c r="P507" t="n">
        <v>842.0599999999999</v>
      </c>
      <c r="Q507" t="n">
        <v>842.0599999999999</v>
      </c>
      <c r="R507" t="b">
        <v>0</v>
      </c>
    </row>
    <row r="508">
      <c r="A508" t="inlineStr">
        <is>
          <t>INV0012100</t>
        </is>
      </c>
      <c r="B508" t="inlineStr">
        <is>
          <t>MER00572</t>
        </is>
      </c>
      <c r="C508" t="inlineStr">
        <is>
          <t>2025-04-01</t>
        </is>
      </c>
      <c r="D508" t="inlineStr">
        <is>
          <t>2025-04-30</t>
        </is>
      </c>
      <c r="E508" s="8" t="n">
        <v>45779</v>
      </c>
      <c r="F508" s="8" t="n">
        <v>45809</v>
      </c>
      <c r="G508" t="n">
        <v>3202.39</v>
      </c>
      <c r="H508" t="n">
        <v>0</v>
      </c>
      <c r="I508" t="n">
        <v>3202.39</v>
      </c>
      <c r="J508" t="n">
        <v>0.18</v>
      </c>
      <c r="K508" t="n">
        <v>576.4299999999999</v>
      </c>
      <c r="L508" t="n">
        <v>3778.82</v>
      </c>
      <c r="M508" t="inlineStr">
        <is>
          <t>INR</t>
        </is>
      </c>
      <c r="N508" t="inlineStr">
        <is>
          <t>Paid</t>
        </is>
      </c>
      <c r="O508" t="inlineStr">
        <is>
          <t>Paid</t>
        </is>
      </c>
      <c r="P508" t="n">
        <v>3202.39</v>
      </c>
      <c r="Q508" t="n">
        <v>3202.39</v>
      </c>
      <c r="R508" t="b">
        <v>0</v>
      </c>
    </row>
    <row r="509">
      <c r="A509" t="inlineStr">
        <is>
          <t>INV0012101</t>
        </is>
      </c>
      <c r="B509" t="inlineStr">
        <is>
          <t>MER00572</t>
        </is>
      </c>
      <c r="C509" t="inlineStr">
        <is>
          <t>2025-05-01</t>
        </is>
      </c>
      <c r="D509" t="inlineStr">
        <is>
          <t>2025-05-31</t>
        </is>
      </c>
      <c r="E509" s="8" t="n">
        <v>45810</v>
      </c>
      <c r="F509" s="8" t="n">
        <v>45840</v>
      </c>
      <c r="G509" t="n">
        <v>2425.84</v>
      </c>
      <c r="H509" t="n">
        <v>0</v>
      </c>
      <c r="I509" t="n">
        <v>2425.84</v>
      </c>
      <c r="J509" t="n">
        <v>0.18</v>
      </c>
      <c r="K509" t="n">
        <v>436.65</v>
      </c>
      <c r="L509" t="n">
        <v>2862.49</v>
      </c>
      <c r="M509" t="inlineStr">
        <is>
          <t>INR</t>
        </is>
      </c>
      <c r="N509" t="inlineStr">
        <is>
          <t>Paid</t>
        </is>
      </c>
      <c r="O509" t="inlineStr">
        <is>
          <t>Paid</t>
        </is>
      </c>
      <c r="P509" t="n">
        <v>2425.84</v>
      </c>
      <c r="Q509" t="n">
        <v>2425.84</v>
      </c>
      <c r="R509" t="b">
        <v>0</v>
      </c>
    </row>
    <row r="510">
      <c r="A510" t="inlineStr">
        <is>
          <t>INV0012102</t>
        </is>
      </c>
      <c r="B510" t="inlineStr">
        <is>
          <t>MER00572</t>
        </is>
      </c>
      <c r="C510" t="inlineStr">
        <is>
          <t>2025-06-01</t>
        </is>
      </c>
      <c r="D510" t="inlineStr">
        <is>
          <t>2025-06-30</t>
        </is>
      </c>
      <c r="E510" s="8" t="n">
        <v>45840</v>
      </c>
      <c r="F510" s="8" t="n">
        <v>45870</v>
      </c>
      <c r="G510" t="n">
        <v>1715.16</v>
      </c>
      <c r="H510" t="n">
        <v>0</v>
      </c>
      <c r="I510" t="n">
        <v>1715.16</v>
      </c>
      <c r="J510" t="n">
        <v>0.18</v>
      </c>
      <c r="K510" t="n">
        <v>308.73</v>
      </c>
      <c r="L510" t="n">
        <v>2023.89</v>
      </c>
      <c r="M510" t="inlineStr">
        <is>
          <t>INR</t>
        </is>
      </c>
      <c r="N510" t="inlineStr">
        <is>
          <t>Paid</t>
        </is>
      </c>
      <c r="O510" t="inlineStr">
        <is>
          <t>Paid</t>
        </is>
      </c>
      <c r="P510" t="n">
        <v>1715.16</v>
      </c>
      <c r="Q510" t="n">
        <v>1715.16</v>
      </c>
      <c r="R510" t="b">
        <v>0</v>
      </c>
    </row>
    <row r="511">
      <c r="A511" t="inlineStr">
        <is>
          <t>INV0012103</t>
        </is>
      </c>
      <c r="B511" t="inlineStr">
        <is>
          <t>MER00572</t>
        </is>
      </c>
      <c r="C511" t="inlineStr">
        <is>
          <t>2025-07-01</t>
        </is>
      </c>
      <c r="D511" t="inlineStr">
        <is>
          <t>2025-07-31</t>
        </is>
      </c>
      <c r="E511" s="8" t="n">
        <v>45871</v>
      </c>
      <c r="F511" s="8" t="n">
        <v>45901</v>
      </c>
      <c r="G511" t="n">
        <v>3296.18</v>
      </c>
      <c r="H511" t="n">
        <v>0</v>
      </c>
      <c r="I511" t="n">
        <v>3296.18</v>
      </c>
      <c r="J511" t="n">
        <v>0.18</v>
      </c>
      <c r="K511" t="n">
        <v>593.3099999999999</v>
      </c>
      <c r="L511" t="n">
        <v>3889.49</v>
      </c>
      <c r="M511" t="inlineStr">
        <is>
          <t>INR</t>
        </is>
      </c>
      <c r="N511" t="inlineStr">
        <is>
          <t>Paid</t>
        </is>
      </c>
      <c r="O511" t="inlineStr">
        <is>
          <t>Paid</t>
        </is>
      </c>
      <c r="P511" t="n">
        <v>3296.18</v>
      </c>
      <c r="Q511" t="n">
        <v>3296.18</v>
      </c>
      <c r="R511" t="b">
        <v>0</v>
      </c>
    </row>
    <row r="512">
      <c r="A512" t="inlineStr">
        <is>
          <t>INV0012104</t>
        </is>
      </c>
      <c r="B512" t="inlineStr">
        <is>
          <t>MER00572</t>
        </is>
      </c>
      <c r="C512" t="inlineStr">
        <is>
          <t>2025-08-01</t>
        </is>
      </c>
      <c r="D512" t="inlineStr">
        <is>
          <t>2025-08-31</t>
        </is>
      </c>
      <c r="E512" s="8" t="n">
        <v>45902</v>
      </c>
      <c r="F512" s="8" t="n">
        <v>45932</v>
      </c>
      <c r="G512" t="n">
        <v>1577.52</v>
      </c>
      <c r="H512" t="n">
        <v>0</v>
      </c>
      <c r="I512" t="n">
        <v>1577.52</v>
      </c>
      <c r="J512" t="n">
        <v>0.18</v>
      </c>
      <c r="K512" t="n">
        <v>283.95</v>
      </c>
      <c r="L512" t="n">
        <v>1861.47</v>
      </c>
      <c r="M512" t="inlineStr">
        <is>
          <t>INR</t>
        </is>
      </c>
      <c r="N512" t="inlineStr">
        <is>
          <t>Void</t>
        </is>
      </c>
      <c r="O512" t="inlineStr">
        <is>
          <t>Unpaid</t>
        </is>
      </c>
      <c r="P512" t="n">
        <v>1577.52</v>
      </c>
      <c r="Q512" t="n">
        <v>1577.52</v>
      </c>
      <c r="R512" t="b">
        <v>0</v>
      </c>
    </row>
    <row r="513">
      <c r="A513" t="inlineStr">
        <is>
          <t>INV0012105</t>
        </is>
      </c>
      <c r="B513" t="inlineStr">
        <is>
          <t>MER00572</t>
        </is>
      </c>
      <c r="C513" t="inlineStr">
        <is>
          <t>2025-10-01</t>
        </is>
      </c>
      <c r="D513" t="inlineStr">
        <is>
          <t>2025-10-31</t>
        </is>
      </c>
      <c r="E513" s="8" t="n">
        <v>45963</v>
      </c>
      <c r="F513" s="8" t="n">
        <v>45993</v>
      </c>
      <c r="G513" t="n">
        <v>2503.36</v>
      </c>
      <c r="H513" t="n">
        <v>0</v>
      </c>
      <c r="I513" t="n">
        <v>2503.36</v>
      </c>
      <c r="J513" t="n">
        <v>0.18</v>
      </c>
      <c r="K513" t="n">
        <v>450.6</v>
      </c>
      <c r="L513" t="n">
        <v>2953.96</v>
      </c>
      <c r="M513" t="inlineStr">
        <is>
          <t>INR</t>
        </is>
      </c>
      <c r="N513" t="inlineStr">
        <is>
          <t>Paid</t>
        </is>
      </c>
      <c r="O513" t="inlineStr">
        <is>
          <t>Paid</t>
        </is>
      </c>
      <c r="P513" t="n">
        <v>2503.36</v>
      </c>
      <c r="Q513" t="n">
        <v>2503.36</v>
      </c>
      <c r="R513" t="b">
        <v>0</v>
      </c>
    </row>
    <row r="514">
      <c r="A514" t="inlineStr">
        <is>
          <t>INV0012106</t>
        </is>
      </c>
      <c r="B514" t="inlineStr">
        <is>
          <t>MER00572</t>
        </is>
      </c>
      <c r="C514" t="inlineStr">
        <is>
          <t>2025-11-01</t>
        </is>
      </c>
      <c r="D514" t="inlineStr">
        <is>
          <t>2025-11-30</t>
        </is>
      </c>
      <c r="E514" s="8" t="n">
        <v>45993</v>
      </c>
      <c r="F514" s="8" t="n">
        <v>46023</v>
      </c>
      <c r="G514" t="n">
        <v>1925.1</v>
      </c>
      <c r="H514" t="n">
        <v>0</v>
      </c>
      <c r="I514" t="n">
        <v>1925.1</v>
      </c>
      <c r="J514" t="n">
        <v>0.18</v>
      </c>
      <c r="K514" t="n">
        <v>346.52</v>
      </c>
      <c r="L514" t="n">
        <v>2271.62</v>
      </c>
      <c r="M514" t="inlineStr">
        <is>
          <t>INR</t>
        </is>
      </c>
      <c r="N514" t="inlineStr">
        <is>
          <t>Paid</t>
        </is>
      </c>
      <c r="O514" t="inlineStr">
        <is>
          <t>Paid</t>
        </is>
      </c>
      <c r="P514" t="n">
        <v>1925.1</v>
      </c>
      <c r="Q514" t="n">
        <v>1925.1</v>
      </c>
      <c r="R514" t="b">
        <v>0</v>
      </c>
    </row>
    <row r="515">
      <c r="A515" t="inlineStr">
        <is>
          <t>INV0012107</t>
        </is>
      </c>
      <c r="B515" t="inlineStr">
        <is>
          <t>MER00572</t>
        </is>
      </c>
      <c r="C515" t="inlineStr">
        <is>
          <t>2025-12-01</t>
        </is>
      </c>
      <c r="D515" t="inlineStr">
        <is>
          <t>2025-12-31</t>
        </is>
      </c>
      <c r="E515" s="8" t="n">
        <v>46024</v>
      </c>
      <c r="F515" s="8" t="n">
        <v>46054</v>
      </c>
      <c r="G515" t="n">
        <v>2104.13</v>
      </c>
      <c r="H515" t="n">
        <v>0</v>
      </c>
      <c r="I515" t="n">
        <v>2104.13</v>
      </c>
      <c r="J515" t="n">
        <v>0.18</v>
      </c>
      <c r="K515" t="n">
        <v>378.74</v>
      </c>
      <c r="L515" t="n">
        <v>2482.87</v>
      </c>
      <c r="M515" t="inlineStr">
        <is>
          <t>INR</t>
        </is>
      </c>
      <c r="N515" t="inlineStr">
        <is>
          <t>Paid</t>
        </is>
      </c>
      <c r="O515" t="inlineStr">
        <is>
          <t>Paid</t>
        </is>
      </c>
      <c r="P515" t="n">
        <v>2104.13</v>
      </c>
      <c r="Q515" t="n">
        <v>2104.13</v>
      </c>
      <c r="R515" t="b">
        <v>0</v>
      </c>
    </row>
    <row r="516">
      <c r="A516" t="inlineStr">
        <is>
          <t>INV0012108</t>
        </is>
      </c>
      <c r="B516" t="inlineStr">
        <is>
          <t>MER00572</t>
        </is>
      </c>
      <c r="C516" t="inlineStr">
        <is>
          <t>2026-01-01</t>
        </is>
      </c>
      <c r="D516" t="inlineStr">
        <is>
          <t>2026-01-31</t>
        </is>
      </c>
      <c r="E516" s="8" t="n">
        <v>46055</v>
      </c>
      <c r="F516" s="8" t="n">
        <v>46085</v>
      </c>
      <c r="G516" t="n">
        <v>3288.17</v>
      </c>
      <c r="H516" t="n">
        <v>345.26</v>
      </c>
      <c r="I516" t="n">
        <v>2942.91</v>
      </c>
      <c r="J516" t="n">
        <v>0.18</v>
      </c>
      <c r="K516" t="n">
        <v>529.72</v>
      </c>
      <c r="L516" t="n">
        <v>3472.63</v>
      </c>
      <c r="M516" t="inlineStr">
        <is>
          <t>INR</t>
        </is>
      </c>
      <c r="N516" t="inlineStr">
        <is>
          <t>Paid</t>
        </is>
      </c>
      <c r="O516" t="inlineStr">
        <is>
          <t>Paid</t>
        </is>
      </c>
      <c r="P516" t="n">
        <v>3288.17</v>
      </c>
      <c r="Q516" t="n">
        <v>3288.17</v>
      </c>
      <c r="R516" t="b">
        <v>0</v>
      </c>
    </row>
    <row r="517">
      <c r="A517" t="inlineStr">
        <is>
          <t>INV0012109</t>
        </is>
      </c>
      <c r="B517" t="inlineStr">
        <is>
          <t>MER00572</t>
        </is>
      </c>
      <c r="C517" t="inlineStr">
        <is>
          <t>2026-02-01</t>
        </is>
      </c>
      <c r="D517" t="inlineStr">
        <is>
          <t>2026-02-28</t>
        </is>
      </c>
      <c r="E517" s="8" t="n">
        <v>46083</v>
      </c>
      <c r="F517" s="8" t="n">
        <v>46113</v>
      </c>
      <c r="G517" t="n">
        <v>934.33</v>
      </c>
      <c r="H517" t="n">
        <v>0</v>
      </c>
      <c r="I517" t="n">
        <v>934.33</v>
      </c>
      <c r="J517" t="n">
        <v>0.18</v>
      </c>
      <c r="K517" t="n">
        <v>168.18</v>
      </c>
      <c r="L517" t="n">
        <v>1102.51</v>
      </c>
      <c r="M517" t="inlineStr">
        <is>
          <t>INR</t>
        </is>
      </c>
      <c r="N517" t="inlineStr">
        <is>
          <t>Paid</t>
        </is>
      </c>
      <c r="O517" t="inlineStr">
        <is>
          <t>Paid</t>
        </is>
      </c>
      <c r="P517" t="n">
        <v>934.33</v>
      </c>
      <c r="Q517" t="n">
        <v>934.33</v>
      </c>
      <c r="R517" t="b">
        <v>0</v>
      </c>
    </row>
    <row r="518">
      <c r="A518" t="inlineStr">
        <is>
          <t>INV0012110</t>
        </is>
      </c>
      <c r="B518" t="inlineStr">
        <is>
          <t>MER00572</t>
        </is>
      </c>
      <c r="C518" t="inlineStr">
        <is>
          <t>2026-03-01</t>
        </is>
      </c>
      <c r="D518" t="inlineStr">
        <is>
          <t>2026-03-31</t>
        </is>
      </c>
      <c r="E518" s="8" t="n">
        <v>46114</v>
      </c>
      <c r="F518" s="8" t="n">
        <v>46144</v>
      </c>
      <c r="G518" t="n">
        <v>3763.07</v>
      </c>
      <c r="H518" t="n">
        <v>0</v>
      </c>
      <c r="I518" t="n">
        <v>3763.07</v>
      </c>
      <c r="J518" t="n">
        <v>0.18</v>
      </c>
      <c r="K518" t="n">
        <v>677.35</v>
      </c>
      <c r="L518" t="n">
        <v>4440.42</v>
      </c>
      <c r="M518" t="inlineStr">
        <is>
          <t>INR</t>
        </is>
      </c>
      <c r="N518" t="inlineStr">
        <is>
          <t>Paid</t>
        </is>
      </c>
      <c r="O518" t="inlineStr">
        <is>
          <t>Paid</t>
        </is>
      </c>
      <c r="P518" t="n">
        <v>3763.07</v>
      </c>
      <c r="Q518" t="n">
        <v>3763.07</v>
      </c>
      <c r="R518" t="b">
        <v>0</v>
      </c>
    </row>
    <row r="519">
      <c r="A519" t="inlineStr">
        <is>
          <t>INV0012111</t>
        </is>
      </c>
      <c r="B519" t="inlineStr">
        <is>
          <t>MER00572</t>
        </is>
      </c>
      <c r="C519" t="inlineStr">
        <is>
          <t>2026-04-01</t>
        </is>
      </c>
      <c r="D519" t="inlineStr">
        <is>
          <t>2026-04-30</t>
        </is>
      </c>
      <c r="E519" s="8" t="n">
        <v>46144</v>
      </c>
      <c r="F519" s="8" t="n">
        <v>46174</v>
      </c>
      <c r="G519" t="n">
        <v>4333.93</v>
      </c>
      <c r="H519" t="n">
        <v>628.42</v>
      </c>
      <c r="I519" t="n">
        <v>3705.51</v>
      </c>
      <c r="J519" t="n">
        <v>0.18</v>
      </c>
      <c r="K519" t="n">
        <v>666.99</v>
      </c>
      <c r="L519" t="n">
        <v>4372.5</v>
      </c>
      <c r="M519" t="inlineStr">
        <is>
          <t>INR</t>
        </is>
      </c>
      <c r="N519" t="inlineStr">
        <is>
          <t>Paid</t>
        </is>
      </c>
      <c r="O519" t="inlineStr">
        <is>
          <t>Paid</t>
        </is>
      </c>
      <c r="P519" t="n">
        <v>4333.93</v>
      </c>
      <c r="Q519" t="n">
        <v>4333.93</v>
      </c>
      <c r="R519" t="b">
        <v>0</v>
      </c>
    </row>
    <row r="520">
      <c r="A520" t="inlineStr">
        <is>
          <t>INV0012112</t>
        </is>
      </c>
      <c r="B520" t="inlineStr">
        <is>
          <t>MER00572</t>
        </is>
      </c>
      <c r="C520" t="inlineStr">
        <is>
          <t>2026-05-01</t>
        </is>
      </c>
      <c r="D520" t="inlineStr">
        <is>
          <t>2026-05-31</t>
        </is>
      </c>
      <c r="E520" s="8" t="n">
        <v>46175</v>
      </c>
      <c r="F520" s="8" t="n">
        <v>46205</v>
      </c>
      <c r="G520" t="n">
        <v>1757.83</v>
      </c>
      <c r="H520" t="n">
        <v>0</v>
      </c>
      <c r="I520" t="n">
        <v>1757.83</v>
      </c>
      <c r="J520" t="n">
        <v>0.18</v>
      </c>
      <c r="K520" t="n">
        <v>316.41</v>
      </c>
      <c r="L520" t="n">
        <v>2074.24</v>
      </c>
      <c r="M520" t="inlineStr">
        <is>
          <t>INR</t>
        </is>
      </c>
      <c r="N520" t="inlineStr">
        <is>
          <t>Paid</t>
        </is>
      </c>
      <c r="O520" t="inlineStr">
        <is>
          <t>Paid</t>
        </is>
      </c>
      <c r="P520" t="n">
        <v>1757.83</v>
      </c>
      <c r="Q520" t="n">
        <v>1757.83</v>
      </c>
      <c r="R520" t="b">
        <v>0</v>
      </c>
    </row>
    <row r="521">
      <c r="A521" t="inlineStr">
        <is>
          <t>INV0012113</t>
        </is>
      </c>
      <c r="B521" t="inlineStr">
        <is>
          <t>MER00572</t>
        </is>
      </c>
      <c r="C521" t="inlineStr">
        <is>
          <t>2026-06-01</t>
        </is>
      </c>
      <c r="D521" t="inlineStr">
        <is>
          <t>2026-06-30</t>
        </is>
      </c>
      <c r="E521" s="8" t="n">
        <v>46205</v>
      </c>
      <c r="F521" s="8" t="n">
        <v>46235</v>
      </c>
      <c r="G521" t="n">
        <v>1974.67</v>
      </c>
      <c r="H521" t="n">
        <v>146.13</v>
      </c>
      <c r="I521" t="n">
        <v>1828.54</v>
      </c>
      <c r="J521" t="n">
        <v>0.18</v>
      </c>
      <c r="K521" t="n">
        <v>329.14</v>
      </c>
      <c r="L521" t="n">
        <v>2157.68</v>
      </c>
      <c r="M521" t="inlineStr">
        <is>
          <t>INR</t>
        </is>
      </c>
      <c r="N521" t="inlineStr">
        <is>
          <t>Paid</t>
        </is>
      </c>
      <c r="O521" t="inlineStr">
        <is>
          <t>Paid</t>
        </is>
      </c>
      <c r="P521" t="n">
        <v>1535.78</v>
      </c>
      <c r="Q521" t="n">
        <v>1974.67</v>
      </c>
      <c r="R521" t="b">
        <v>1</v>
      </c>
    </row>
    <row r="522">
      <c r="A522" t="inlineStr">
        <is>
          <t>INV0012114</t>
        </is>
      </c>
      <c r="B522" t="inlineStr">
        <is>
          <t>MER00572</t>
        </is>
      </c>
      <c r="C522" t="inlineStr">
        <is>
          <t>2026-07-01</t>
        </is>
      </c>
      <c r="D522" t="inlineStr">
        <is>
          <t>2026-07-31</t>
        </is>
      </c>
      <c r="E522" s="8" t="n">
        <v>46236</v>
      </c>
      <c r="F522" s="8" t="n">
        <v>46266</v>
      </c>
      <c r="G522" t="n">
        <v>3076.62</v>
      </c>
      <c r="H522" t="n">
        <v>0</v>
      </c>
      <c r="I522" t="n">
        <v>3076.62</v>
      </c>
      <c r="J522" t="n">
        <v>0.18</v>
      </c>
      <c r="K522" t="n">
        <v>553.79</v>
      </c>
      <c r="L522" t="n">
        <v>3630.41</v>
      </c>
      <c r="M522" t="inlineStr">
        <is>
          <t>INR</t>
        </is>
      </c>
      <c r="N522" t="inlineStr">
        <is>
          <t>Paid</t>
        </is>
      </c>
      <c r="O522" t="inlineStr">
        <is>
          <t>Paid</t>
        </is>
      </c>
      <c r="P522" t="n">
        <v>3076.62</v>
      </c>
      <c r="Q522" t="n">
        <v>3076.62</v>
      </c>
      <c r="R522" t="b">
        <v>0</v>
      </c>
    </row>
    <row r="523">
      <c r="A523" t="inlineStr">
        <is>
          <t>INV0013743</t>
        </is>
      </c>
      <c r="B523" t="inlineStr">
        <is>
          <t>MER00649</t>
        </is>
      </c>
      <c r="C523" t="inlineStr">
        <is>
          <t>2024-08-01</t>
        </is>
      </c>
      <c r="D523" t="inlineStr">
        <is>
          <t>2024-08-31</t>
        </is>
      </c>
      <c r="E523" s="8" t="n">
        <v>45537</v>
      </c>
      <c r="F523" s="8" t="n">
        <v>45597</v>
      </c>
      <c r="G523" t="n">
        <v>1471.82</v>
      </c>
      <c r="H523" t="n">
        <v>0</v>
      </c>
      <c r="I523" t="n">
        <v>1471.82</v>
      </c>
      <c r="J523" t="n">
        <v>0.18</v>
      </c>
      <c r="K523" t="n">
        <v>264.93</v>
      </c>
      <c r="L523" t="n">
        <v>1736.75</v>
      </c>
      <c r="M523" t="inlineStr">
        <is>
          <t>INR</t>
        </is>
      </c>
      <c r="N523" t="inlineStr">
        <is>
          <t>Paid</t>
        </is>
      </c>
      <c r="O523" t="inlineStr">
        <is>
          <t>Paid</t>
        </is>
      </c>
      <c r="P523" t="n">
        <v>1471.82</v>
      </c>
      <c r="Q523" t="n">
        <v>1471.82</v>
      </c>
      <c r="R523" t="b">
        <v>0</v>
      </c>
    </row>
    <row r="524">
      <c r="A524" t="inlineStr">
        <is>
          <t>INV0013744</t>
        </is>
      </c>
      <c r="B524" t="inlineStr">
        <is>
          <t>MER00649</t>
        </is>
      </c>
      <c r="C524" t="inlineStr">
        <is>
          <t>2024-09-01</t>
        </is>
      </c>
      <c r="D524" t="inlineStr">
        <is>
          <t>2024-09-30</t>
        </is>
      </c>
      <c r="E524" s="8" t="n">
        <v>45567</v>
      </c>
      <c r="F524" s="8" t="n">
        <v>45627</v>
      </c>
      <c r="G524" t="n">
        <v>1031.88</v>
      </c>
      <c r="H524" t="n">
        <v>0</v>
      </c>
      <c r="I524" t="n">
        <v>1031.88</v>
      </c>
      <c r="J524" t="n">
        <v>0.18</v>
      </c>
      <c r="K524" t="n">
        <v>185.74</v>
      </c>
      <c r="L524" t="n">
        <v>1217.62</v>
      </c>
      <c r="M524" t="inlineStr">
        <is>
          <t>INR</t>
        </is>
      </c>
      <c r="N524" t="inlineStr">
        <is>
          <t>Paid</t>
        </is>
      </c>
      <c r="O524" t="inlineStr">
        <is>
          <t>Paid</t>
        </is>
      </c>
      <c r="P524" t="n">
        <v>1031.88</v>
      </c>
      <c r="Q524" t="n">
        <v>1031.88</v>
      </c>
      <c r="R524" t="b">
        <v>0</v>
      </c>
    </row>
    <row r="525">
      <c r="A525" t="inlineStr">
        <is>
          <t>INV0013745</t>
        </is>
      </c>
      <c r="B525" t="inlineStr">
        <is>
          <t>MER00649</t>
        </is>
      </c>
      <c r="C525" t="inlineStr">
        <is>
          <t>2024-10-01</t>
        </is>
      </c>
      <c r="D525" t="inlineStr">
        <is>
          <t>2024-10-31</t>
        </is>
      </c>
      <c r="E525" s="8" t="n">
        <v>45598</v>
      </c>
      <c r="F525" s="8" t="n">
        <v>45658</v>
      </c>
      <c r="G525" t="n">
        <v>1658.27</v>
      </c>
      <c r="H525" t="n">
        <v>0</v>
      </c>
      <c r="I525" t="n">
        <v>1658.27</v>
      </c>
      <c r="J525" t="n">
        <v>0.18</v>
      </c>
      <c r="K525" t="n">
        <v>298.49</v>
      </c>
      <c r="L525" t="n">
        <v>1956.76</v>
      </c>
      <c r="M525" t="inlineStr">
        <is>
          <t>INR</t>
        </is>
      </c>
      <c r="N525" t="inlineStr">
        <is>
          <t>Paid</t>
        </is>
      </c>
      <c r="O525" t="inlineStr">
        <is>
          <t>Paid</t>
        </is>
      </c>
      <c r="P525" t="n">
        <v>1658.27</v>
      </c>
      <c r="Q525" t="n">
        <v>1658.27</v>
      </c>
      <c r="R525" t="b">
        <v>0</v>
      </c>
    </row>
    <row r="526">
      <c r="A526" t="inlineStr">
        <is>
          <t>INV0013746</t>
        </is>
      </c>
      <c r="B526" t="inlineStr">
        <is>
          <t>MER00649</t>
        </is>
      </c>
      <c r="C526" t="inlineStr">
        <is>
          <t>2024-11-01</t>
        </is>
      </c>
      <c r="D526" t="inlineStr">
        <is>
          <t>2024-11-30</t>
        </is>
      </c>
      <c r="E526" s="8" t="n">
        <v>45628</v>
      </c>
      <c r="F526" s="8" t="n">
        <v>45688</v>
      </c>
      <c r="G526" t="n">
        <v>1885.47</v>
      </c>
      <c r="H526" t="n">
        <v>0</v>
      </c>
      <c r="I526" t="n">
        <v>1885.47</v>
      </c>
      <c r="J526" t="n">
        <v>0.18</v>
      </c>
      <c r="K526" t="n">
        <v>339.38</v>
      </c>
      <c r="L526" t="n">
        <v>2224.85</v>
      </c>
      <c r="M526" t="inlineStr">
        <is>
          <t>INR</t>
        </is>
      </c>
      <c r="N526" t="inlineStr">
        <is>
          <t>Paid</t>
        </is>
      </c>
      <c r="O526" t="inlineStr">
        <is>
          <t>Paid</t>
        </is>
      </c>
      <c r="P526" t="n">
        <v>1885.47</v>
      </c>
      <c r="Q526" t="n">
        <v>1885.47</v>
      </c>
      <c r="R526" t="b">
        <v>0</v>
      </c>
    </row>
    <row r="527">
      <c r="A527" t="inlineStr">
        <is>
          <t>INV0013747</t>
        </is>
      </c>
      <c r="B527" t="inlineStr">
        <is>
          <t>MER00649</t>
        </is>
      </c>
      <c r="C527" t="inlineStr">
        <is>
          <t>2024-12-01</t>
        </is>
      </c>
      <c r="D527" t="inlineStr">
        <is>
          <t>2024-12-31</t>
        </is>
      </c>
      <c r="E527" s="8" t="n">
        <v>45659</v>
      </c>
      <c r="F527" s="8" t="n">
        <v>45719</v>
      </c>
      <c r="G527" t="n">
        <v>1034.3</v>
      </c>
      <c r="H527" t="n">
        <v>0</v>
      </c>
      <c r="I527" t="n">
        <v>1034.3</v>
      </c>
      <c r="J527" t="n">
        <v>0.18</v>
      </c>
      <c r="K527" t="n">
        <v>186.17</v>
      </c>
      <c r="L527" t="n">
        <v>1220.47</v>
      </c>
      <c r="M527" t="inlineStr">
        <is>
          <t>INR</t>
        </is>
      </c>
      <c r="N527" t="inlineStr">
        <is>
          <t>Paid</t>
        </is>
      </c>
      <c r="O527" t="inlineStr">
        <is>
          <t>Paid</t>
        </is>
      </c>
      <c r="P527" t="n">
        <v>1034.3</v>
      </c>
      <c r="Q527" t="n">
        <v>1034.3</v>
      </c>
      <c r="R527" t="b">
        <v>0</v>
      </c>
    </row>
    <row r="528">
      <c r="A528" t="inlineStr">
        <is>
          <t>INV0013748</t>
        </is>
      </c>
      <c r="B528" t="inlineStr">
        <is>
          <t>MER00649</t>
        </is>
      </c>
      <c r="C528" t="inlineStr">
        <is>
          <t>2025-01-01</t>
        </is>
      </c>
      <c r="D528" t="inlineStr">
        <is>
          <t>2025-01-31</t>
        </is>
      </c>
      <c r="E528" s="8" t="n">
        <v>45690</v>
      </c>
      <c r="F528" s="8" t="n">
        <v>45750</v>
      </c>
      <c r="G528" t="n">
        <v>1600.08</v>
      </c>
      <c r="H528" t="n">
        <v>0</v>
      </c>
      <c r="I528" t="n">
        <v>1600.08</v>
      </c>
      <c r="J528" t="n">
        <v>0.18</v>
      </c>
      <c r="K528" t="n">
        <v>288.01</v>
      </c>
      <c r="L528" t="n">
        <v>1888.09</v>
      </c>
      <c r="M528" t="inlineStr">
        <is>
          <t>INR</t>
        </is>
      </c>
      <c r="N528" t="inlineStr">
        <is>
          <t>Paid</t>
        </is>
      </c>
      <c r="O528" t="inlineStr">
        <is>
          <t>Paid</t>
        </is>
      </c>
      <c r="P528" t="n">
        <v>1600.08</v>
      </c>
      <c r="Q528" t="n">
        <v>1600.08</v>
      </c>
      <c r="R528" t="b">
        <v>0</v>
      </c>
    </row>
    <row r="529">
      <c r="A529" t="inlineStr">
        <is>
          <t>INV0013749</t>
        </is>
      </c>
      <c r="B529" t="inlineStr">
        <is>
          <t>MER00649</t>
        </is>
      </c>
      <c r="C529" t="inlineStr">
        <is>
          <t>2025-02-01</t>
        </is>
      </c>
      <c r="D529" t="inlineStr">
        <is>
          <t>2025-02-28</t>
        </is>
      </c>
      <c r="E529" s="8" t="n">
        <v>45718</v>
      </c>
      <c r="F529" s="8" t="n">
        <v>45778</v>
      </c>
      <c r="G529" t="n">
        <v>1801.21</v>
      </c>
      <c r="H529" t="n">
        <v>0</v>
      </c>
      <c r="I529" t="n">
        <v>1801.21</v>
      </c>
      <c r="J529" t="n">
        <v>0.18</v>
      </c>
      <c r="K529" t="n">
        <v>324.22</v>
      </c>
      <c r="L529" t="n">
        <v>2125.43</v>
      </c>
      <c r="M529" t="inlineStr">
        <is>
          <t>INR</t>
        </is>
      </c>
      <c r="N529" t="inlineStr">
        <is>
          <t>Paid</t>
        </is>
      </c>
      <c r="O529" t="inlineStr">
        <is>
          <t>Paid</t>
        </is>
      </c>
      <c r="P529" t="n">
        <v>1801.21</v>
      </c>
      <c r="Q529" t="n">
        <v>1801.21</v>
      </c>
      <c r="R529" t="b">
        <v>0</v>
      </c>
    </row>
    <row r="530">
      <c r="A530" t="inlineStr">
        <is>
          <t>INV0013750</t>
        </is>
      </c>
      <c r="B530" t="inlineStr">
        <is>
          <t>MER00649</t>
        </is>
      </c>
      <c r="C530" t="inlineStr">
        <is>
          <t>2025-03-01</t>
        </is>
      </c>
      <c r="D530" t="inlineStr">
        <is>
          <t>2025-03-31</t>
        </is>
      </c>
      <c r="E530" s="8" t="n">
        <v>45749</v>
      </c>
      <c r="F530" s="8" t="n">
        <v>45809</v>
      </c>
      <c r="G530" t="n">
        <v>1343.8</v>
      </c>
      <c r="H530" t="n">
        <v>0</v>
      </c>
      <c r="I530" t="n">
        <v>1343.8</v>
      </c>
      <c r="J530" t="n">
        <v>0.18</v>
      </c>
      <c r="K530" t="n">
        <v>241.88</v>
      </c>
      <c r="L530" t="n">
        <v>1585.68</v>
      </c>
      <c r="M530" t="inlineStr">
        <is>
          <t>INR</t>
        </is>
      </c>
      <c r="N530" t="inlineStr">
        <is>
          <t>Overdue</t>
        </is>
      </c>
      <c r="O530" t="inlineStr">
        <is>
          <t>Partially Paid</t>
        </is>
      </c>
      <c r="P530" t="n">
        <v>1343.8</v>
      </c>
      <c r="Q530" t="n">
        <v>1343.8</v>
      </c>
      <c r="R530" t="b">
        <v>0</v>
      </c>
    </row>
    <row r="531">
      <c r="A531" t="inlineStr">
        <is>
          <t>INV0013751</t>
        </is>
      </c>
      <c r="B531" t="inlineStr">
        <is>
          <t>MER00649</t>
        </is>
      </c>
      <c r="C531" t="inlineStr">
        <is>
          <t>2025-04-01</t>
        </is>
      </c>
      <c r="D531" t="inlineStr">
        <is>
          <t>2025-04-30</t>
        </is>
      </c>
      <c r="E531" s="8" t="n">
        <v>45779</v>
      </c>
      <c r="F531" s="8" t="n">
        <v>45839</v>
      </c>
      <c r="G531" t="n">
        <v>1101.62</v>
      </c>
      <c r="H531" t="n">
        <v>0</v>
      </c>
      <c r="I531" t="n">
        <v>1101.62</v>
      </c>
      <c r="J531" t="n">
        <v>0.18</v>
      </c>
      <c r="K531" t="n">
        <v>198.29</v>
      </c>
      <c r="L531" t="n">
        <v>1299.91</v>
      </c>
      <c r="M531" t="inlineStr">
        <is>
          <t>INR</t>
        </is>
      </c>
      <c r="N531" t="inlineStr">
        <is>
          <t>Overdue</t>
        </is>
      </c>
      <c r="O531" t="inlineStr">
        <is>
          <t>Partially Paid</t>
        </is>
      </c>
      <c r="P531" t="n">
        <v>1101.62</v>
      </c>
      <c r="Q531" t="n">
        <v>1101.62</v>
      </c>
      <c r="R531" t="b">
        <v>0</v>
      </c>
    </row>
    <row r="532">
      <c r="A532" t="inlineStr">
        <is>
          <t>INV0013752</t>
        </is>
      </c>
      <c r="B532" t="inlineStr">
        <is>
          <t>MER00649</t>
        </is>
      </c>
      <c r="C532" t="inlineStr">
        <is>
          <t>2025-05-01</t>
        </is>
      </c>
      <c r="D532" t="inlineStr">
        <is>
          <t>2025-05-31</t>
        </is>
      </c>
      <c r="E532" s="8" t="n">
        <v>45810</v>
      </c>
      <c r="F532" s="8" t="n">
        <v>45870</v>
      </c>
      <c r="G532" t="n">
        <v>1294.08</v>
      </c>
      <c r="H532" t="n">
        <v>0</v>
      </c>
      <c r="I532" t="n">
        <v>1294.08</v>
      </c>
      <c r="J532" t="n">
        <v>0.18</v>
      </c>
      <c r="K532" t="n">
        <v>232.93</v>
      </c>
      <c r="L532" t="n">
        <v>1527.01</v>
      </c>
      <c r="M532" t="inlineStr">
        <is>
          <t>INR</t>
        </is>
      </c>
      <c r="N532" t="inlineStr">
        <is>
          <t>Paid</t>
        </is>
      </c>
      <c r="O532" t="inlineStr">
        <is>
          <t>Paid</t>
        </is>
      </c>
      <c r="P532" t="n">
        <v>1294.08</v>
      </c>
      <c r="Q532" t="n">
        <v>1294.08</v>
      </c>
      <c r="R532" t="b">
        <v>0</v>
      </c>
    </row>
    <row r="533">
      <c r="A533" t="inlineStr">
        <is>
          <t>INV0013753</t>
        </is>
      </c>
      <c r="B533" t="inlineStr">
        <is>
          <t>MER00649</t>
        </is>
      </c>
      <c r="C533" t="inlineStr">
        <is>
          <t>2025-06-01</t>
        </is>
      </c>
      <c r="D533" t="inlineStr">
        <is>
          <t>2025-06-30</t>
        </is>
      </c>
      <c r="E533" s="8" t="n">
        <v>45840</v>
      </c>
      <c r="F533" s="8" t="n">
        <v>45900</v>
      </c>
      <c r="G533" t="n">
        <v>1220.36</v>
      </c>
      <c r="H533" t="n">
        <v>0</v>
      </c>
      <c r="I533" t="n">
        <v>1220.36</v>
      </c>
      <c r="J533" t="n">
        <v>0.18</v>
      </c>
      <c r="K533" t="n">
        <v>219.66</v>
      </c>
      <c r="L533" t="n">
        <v>1440.02</v>
      </c>
      <c r="M533" t="inlineStr">
        <is>
          <t>INR</t>
        </is>
      </c>
      <c r="N533" t="inlineStr">
        <is>
          <t>Overdue</t>
        </is>
      </c>
      <c r="O533" t="inlineStr">
        <is>
          <t>Unpaid</t>
        </is>
      </c>
      <c r="P533" t="n">
        <v>1220.36</v>
      </c>
      <c r="Q533" t="n">
        <v>1220.36</v>
      </c>
      <c r="R533" t="b">
        <v>0</v>
      </c>
    </row>
    <row r="534">
      <c r="A534" t="inlineStr">
        <is>
          <t>INV0013754</t>
        </is>
      </c>
      <c r="B534" t="inlineStr">
        <is>
          <t>MER00649</t>
        </is>
      </c>
      <c r="C534" t="inlineStr">
        <is>
          <t>2025-07-01</t>
        </is>
      </c>
      <c r="D534" t="inlineStr">
        <is>
          <t>2025-07-31</t>
        </is>
      </c>
      <c r="E534" s="8" t="n">
        <v>45871</v>
      </c>
      <c r="F534" s="8" t="n">
        <v>45931</v>
      </c>
      <c r="G534" t="n">
        <v>1434.17</v>
      </c>
      <c r="H534" t="n">
        <v>0</v>
      </c>
      <c r="I534" t="n">
        <v>1434.17</v>
      </c>
      <c r="J534" t="n">
        <v>0.18</v>
      </c>
      <c r="K534" t="n">
        <v>258.15</v>
      </c>
      <c r="L534" t="n">
        <v>1692.32</v>
      </c>
      <c r="M534" t="inlineStr">
        <is>
          <t>INR</t>
        </is>
      </c>
      <c r="N534" t="inlineStr">
        <is>
          <t>Paid</t>
        </is>
      </c>
      <c r="O534" t="inlineStr">
        <is>
          <t>Paid</t>
        </is>
      </c>
      <c r="P534" t="n">
        <v>1434.17</v>
      </c>
      <c r="Q534" t="n">
        <v>1434.17</v>
      </c>
      <c r="R534" t="b">
        <v>0</v>
      </c>
    </row>
    <row r="535">
      <c r="A535" t="inlineStr">
        <is>
          <t>INV0013755</t>
        </is>
      </c>
      <c r="B535" t="inlineStr">
        <is>
          <t>MER00649</t>
        </is>
      </c>
      <c r="C535" t="inlineStr">
        <is>
          <t>2025-08-01</t>
        </is>
      </c>
      <c r="D535" t="inlineStr">
        <is>
          <t>2025-08-31</t>
        </is>
      </c>
      <c r="E535" s="8" t="n">
        <v>45902</v>
      </c>
      <c r="F535" s="8" t="n">
        <v>45962</v>
      </c>
      <c r="G535" t="n">
        <v>1557.31</v>
      </c>
      <c r="H535" t="n">
        <v>0</v>
      </c>
      <c r="I535" t="n">
        <v>1557.31</v>
      </c>
      <c r="J535" t="n">
        <v>0.18</v>
      </c>
      <c r="K535" t="n">
        <v>280.32</v>
      </c>
      <c r="L535" t="n">
        <v>1837.63</v>
      </c>
      <c r="M535" t="inlineStr">
        <is>
          <t>INR</t>
        </is>
      </c>
      <c r="N535" t="inlineStr">
        <is>
          <t>Paid</t>
        </is>
      </c>
      <c r="O535" t="inlineStr">
        <is>
          <t>Paid</t>
        </is>
      </c>
      <c r="P535" t="n">
        <v>1557.31</v>
      </c>
      <c r="Q535" t="n">
        <v>1557.31</v>
      </c>
      <c r="R535" t="b">
        <v>0</v>
      </c>
    </row>
    <row r="536">
      <c r="A536" t="inlineStr">
        <is>
          <t>INV0013756</t>
        </is>
      </c>
      <c r="B536" t="inlineStr">
        <is>
          <t>MER00649</t>
        </is>
      </c>
      <c r="C536" t="inlineStr">
        <is>
          <t>2025-09-01</t>
        </is>
      </c>
      <c r="D536" t="inlineStr">
        <is>
          <t>2025-09-30</t>
        </is>
      </c>
      <c r="E536" s="8" t="n">
        <v>45932</v>
      </c>
      <c r="F536" s="8" t="n">
        <v>45992</v>
      </c>
      <c r="G536" t="n">
        <v>1593.35</v>
      </c>
      <c r="H536" t="n">
        <v>148.18</v>
      </c>
      <c r="I536" t="n">
        <v>1445.17</v>
      </c>
      <c r="J536" t="n">
        <v>0.18</v>
      </c>
      <c r="K536" t="n">
        <v>260.13</v>
      </c>
      <c r="L536" t="n">
        <v>1705.3</v>
      </c>
      <c r="M536" t="inlineStr">
        <is>
          <t>INR</t>
        </is>
      </c>
      <c r="N536" t="inlineStr">
        <is>
          <t>Paid</t>
        </is>
      </c>
      <c r="O536" t="inlineStr">
        <is>
          <t>Paid</t>
        </is>
      </c>
      <c r="P536" t="n">
        <v>1593.35</v>
      </c>
      <c r="Q536" t="n">
        <v>1593.35</v>
      </c>
      <c r="R536" t="b">
        <v>0</v>
      </c>
    </row>
    <row r="537">
      <c r="A537" t="inlineStr">
        <is>
          <t>INV0013757</t>
        </is>
      </c>
      <c r="B537" t="inlineStr">
        <is>
          <t>MER00649</t>
        </is>
      </c>
      <c r="C537" t="inlineStr">
        <is>
          <t>2025-10-01</t>
        </is>
      </c>
      <c r="D537" t="inlineStr">
        <is>
          <t>2025-10-31</t>
        </is>
      </c>
      <c r="E537" s="8" t="n">
        <v>45963</v>
      </c>
      <c r="F537" s="8" t="n">
        <v>46023</v>
      </c>
      <c r="G537" t="n">
        <v>2306.94</v>
      </c>
      <c r="H537" t="n">
        <v>0</v>
      </c>
      <c r="I537" t="n">
        <v>2306.94</v>
      </c>
      <c r="J537" t="n">
        <v>0.18</v>
      </c>
      <c r="K537" t="n">
        <v>415.25</v>
      </c>
      <c r="L537" t="n">
        <v>2722.19</v>
      </c>
      <c r="M537" t="inlineStr">
        <is>
          <t>INR</t>
        </is>
      </c>
      <c r="N537" t="inlineStr">
        <is>
          <t>Paid</t>
        </is>
      </c>
      <c r="O537" t="inlineStr">
        <is>
          <t>Paid</t>
        </is>
      </c>
      <c r="P537" t="n">
        <v>2306.94</v>
      </c>
      <c r="Q537" t="n">
        <v>2306.94</v>
      </c>
      <c r="R537" t="b">
        <v>0</v>
      </c>
    </row>
    <row r="538">
      <c r="A538" t="inlineStr">
        <is>
          <t>INV0013758</t>
        </is>
      </c>
      <c r="B538" t="inlineStr">
        <is>
          <t>MER00649</t>
        </is>
      </c>
      <c r="C538" t="inlineStr">
        <is>
          <t>2025-11-01</t>
        </is>
      </c>
      <c r="D538" t="inlineStr">
        <is>
          <t>2025-11-30</t>
        </is>
      </c>
      <c r="E538" s="8" t="n">
        <v>45993</v>
      </c>
      <c r="F538" s="8" t="n">
        <v>46053</v>
      </c>
      <c r="G538" t="n">
        <v>2481.61</v>
      </c>
      <c r="H538" t="n">
        <v>362.32</v>
      </c>
      <c r="I538" t="n">
        <v>2119.29</v>
      </c>
      <c r="J538" t="n">
        <v>0.18</v>
      </c>
      <c r="K538" t="n">
        <v>381.47</v>
      </c>
      <c r="L538" t="n">
        <v>2500.76</v>
      </c>
      <c r="M538" t="inlineStr">
        <is>
          <t>INR</t>
        </is>
      </c>
      <c r="N538" t="inlineStr">
        <is>
          <t>Paid</t>
        </is>
      </c>
      <c r="O538" t="inlineStr">
        <is>
          <t>Paid</t>
        </is>
      </c>
      <c r="P538" t="n">
        <v>2481.61</v>
      </c>
      <c r="Q538" t="n">
        <v>2481.61</v>
      </c>
      <c r="R538" t="b">
        <v>0</v>
      </c>
    </row>
    <row r="539">
      <c r="A539" t="inlineStr">
        <is>
          <t>INV0013759</t>
        </is>
      </c>
      <c r="B539" t="inlineStr">
        <is>
          <t>MER00649</t>
        </is>
      </c>
      <c r="C539" t="inlineStr">
        <is>
          <t>2025-12-01</t>
        </is>
      </c>
      <c r="D539" t="inlineStr">
        <is>
          <t>2025-12-31</t>
        </is>
      </c>
      <c r="E539" s="8" t="n">
        <v>46024</v>
      </c>
      <c r="F539" s="8" t="n">
        <v>46084</v>
      </c>
      <c r="G539" t="n">
        <v>2047.62</v>
      </c>
      <c r="H539" t="n">
        <v>0</v>
      </c>
      <c r="I539" t="n">
        <v>2047.62</v>
      </c>
      <c r="J539" t="n">
        <v>0.18</v>
      </c>
      <c r="K539" t="n">
        <v>368.57</v>
      </c>
      <c r="L539" t="n">
        <v>2416.19</v>
      </c>
      <c r="M539" t="inlineStr">
        <is>
          <t>INR</t>
        </is>
      </c>
      <c r="N539" t="inlineStr">
        <is>
          <t>Paid</t>
        </is>
      </c>
      <c r="O539" t="inlineStr">
        <is>
          <t>Paid</t>
        </is>
      </c>
      <c r="P539" t="n">
        <v>2047.62</v>
      </c>
      <c r="Q539" t="n">
        <v>2047.62</v>
      </c>
      <c r="R539" t="b">
        <v>0</v>
      </c>
    </row>
    <row r="540">
      <c r="A540" t="inlineStr">
        <is>
          <t>INV0013760</t>
        </is>
      </c>
      <c r="B540" t="inlineStr">
        <is>
          <t>MER00649</t>
        </is>
      </c>
      <c r="C540" t="inlineStr">
        <is>
          <t>2026-01-01</t>
        </is>
      </c>
      <c r="D540" t="inlineStr">
        <is>
          <t>2026-01-31</t>
        </is>
      </c>
      <c r="E540" s="8" t="n">
        <v>46055</v>
      </c>
      <c r="F540" s="8" t="n">
        <v>46115</v>
      </c>
      <c r="G540" t="n">
        <v>2166.27</v>
      </c>
      <c r="H540" t="n">
        <v>0</v>
      </c>
      <c r="I540" t="n">
        <v>2166.27</v>
      </c>
      <c r="J540" t="n">
        <v>0.18</v>
      </c>
      <c r="K540" t="n">
        <v>389.93</v>
      </c>
      <c r="L540" t="n">
        <v>2556.2</v>
      </c>
      <c r="M540" t="inlineStr">
        <is>
          <t>INR</t>
        </is>
      </c>
      <c r="N540" t="inlineStr">
        <is>
          <t>Paid</t>
        </is>
      </c>
      <c r="O540" t="inlineStr">
        <is>
          <t>Paid</t>
        </is>
      </c>
      <c r="P540" t="n">
        <v>2166.27</v>
      </c>
      <c r="Q540" t="n">
        <v>2166.27</v>
      </c>
      <c r="R540" t="b">
        <v>0</v>
      </c>
    </row>
    <row r="541">
      <c r="A541" t="inlineStr">
        <is>
          <t>INV0013761</t>
        </is>
      </c>
      <c r="B541" t="inlineStr">
        <is>
          <t>MER00649</t>
        </is>
      </c>
      <c r="C541" t="inlineStr">
        <is>
          <t>2026-02-01</t>
        </is>
      </c>
      <c r="D541" t="inlineStr">
        <is>
          <t>2026-02-28</t>
        </is>
      </c>
      <c r="E541" s="8" t="n">
        <v>46083</v>
      </c>
      <c r="F541" s="8" t="n">
        <v>46143</v>
      </c>
      <c r="G541" t="n">
        <v>1573.97</v>
      </c>
      <c r="H541" t="n">
        <v>0</v>
      </c>
      <c r="I541" t="n">
        <v>1573.97</v>
      </c>
      <c r="J541" t="n">
        <v>0.18</v>
      </c>
      <c r="K541" t="n">
        <v>283.31</v>
      </c>
      <c r="L541" t="n">
        <v>1857.28</v>
      </c>
      <c r="M541" t="inlineStr">
        <is>
          <t>INR</t>
        </is>
      </c>
      <c r="N541" t="inlineStr">
        <is>
          <t>Overdue</t>
        </is>
      </c>
      <c r="O541" t="inlineStr">
        <is>
          <t>Partially Paid</t>
        </is>
      </c>
      <c r="P541" t="n">
        <v>1573.97</v>
      </c>
      <c r="Q541" t="n">
        <v>1573.97</v>
      </c>
      <c r="R541" t="b">
        <v>0</v>
      </c>
    </row>
    <row r="542">
      <c r="A542" t="inlineStr">
        <is>
          <t>INV0013762</t>
        </is>
      </c>
      <c r="B542" t="inlineStr">
        <is>
          <t>MER00649</t>
        </is>
      </c>
      <c r="C542" t="inlineStr">
        <is>
          <t>2026-03-01</t>
        </is>
      </c>
      <c r="D542" t="inlineStr">
        <is>
          <t>2026-03-31</t>
        </is>
      </c>
      <c r="E542" s="8" t="n">
        <v>46114</v>
      </c>
      <c r="F542" s="8" t="n">
        <v>46174</v>
      </c>
      <c r="G542" t="n">
        <v>1182.43</v>
      </c>
      <c r="H542" t="n">
        <v>0</v>
      </c>
      <c r="I542" t="n">
        <v>1182.43</v>
      </c>
      <c r="J542" t="n">
        <v>0.18</v>
      </c>
      <c r="K542" t="n">
        <v>212.84</v>
      </c>
      <c r="L542" t="n">
        <v>1395.27</v>
      </c>
      <c r="M542" t="inlineStr">
        <is>
          <t>INR</t>
        </is>
      </c>
      <c r="N542" t="inlineStr">
        <is>
          <t>Paid</t>
        </is>
      </c>
      <c r="O542" t="inlineStr">
        <is>
          <t>Paid</t>
        </is>
      </c>
      <c r="P542" t="n">
        <v>1594.28</v>
      </c>
      <c r="Q542" t="n">
        <v>1182.43</v>
      </c>
      <c r="R542" t="b">
        <v>1</v>
      </c>
    </row>
    <row r="543">
      <c r="A543" t="inlineStr">
        <is>
          <t>INV0013763</t>
        </is>
      </c>
      <c r="B543" t="inlineStr">
        <is>
          <t>MER00649</t>
        </is>
      </c>
      <c r="C543" t="inlineStr">
        <is>
          <t>2026-04-01</t>
        </is>
      </c>
      <c r="D543" t="inlineStr">
        <is>
          <t>2026-04-30</t>
        </is>
      </c>
      <c r="E543" s="8" t="n">
        <v>46144</v>
      </c>
      <c r="F543" s="8" t="n">
        <v>46204</v>
      </c>
      <c r="G543" t="n">
        <v>1693.26</v>
      </c>
      <c r="H543" t="n">
        <v>0</v>
      </c>
      <c r="I543" t="n">
        <v>1693.26</v>
      </c>
      <c r="J543" t="n">
        <v>0.18</v>
      </c>
      <c r="K543" t="n">
        <v>304.79</v>
      </c>
      <c r="L543" t="n">
        <v>1998.05</v>
      </c>
      <c r="M543" t="inlineStr">
        <is>
          <t>INR</t>
        </is>
      </c>
      <c r="N543" t="inlineStr">
        <is>
          <t>Paid</t>
        </is>
      </c>
      <c r="O543" t="inlineStr">
        <is>
          <t>Paid</t>
        </is>
      </c>
      <c r="P543" t="n">
        <v>1693.26</v>
      </c>
      <c r="Q543" t="n">
        <v>1693.26</v>
      </c>
      <c r="R543" t="b">
        <v>0</v>
      </c>
    </row>
    <row r="544">
      <c r="A544" t="inlineStr">
        <is>
          <t>INV0013764</t>
        </is>
      </c>
      <c r="B544" t="inlineStr">
        <is>
          <t>MER00649</t>
        </is>
      </c>
      <c r="C544" t="inlineStr">
        <is>
          <t>2026-05-01</t>
        </is>
      </c>
      <c r="D544" t="inlineStr">
        <is>
          <t>2026-05-31</t>
        </is>
      </c>
      <c r="E544" s="8" t="n">
        <v>46175</v>
      </c>
      <c r="F544" s="8" t="n">
        <v>46235</v>
      </c>
      <c r="G544" t="n">
        <v>1410</v>
      </c>
      <c r="H544" t="n">
        <v>0</v>
      </c>
      <c r="I544" t="n">
        <v>1410</v>
      </c>
      <c r="J544" t="n">
        <v>0.18</v>
      </c>
      <c r="K544" t="n">
        <v>253.8</v>
      </c>
      <c r="L544" t="n">
        <v>1663.8</v>
      </c>
      <c r="M544" t="inlineStr">
        <is>
          <t>INR</t>
        </is>
      </c>
      <c r="N544" t="inlineStr">
        <is>
          <t>Paid</t>
        </is>
      </c>
      <c r="O544" t="inlineStr">
        <is>
          <t>Paid</t>
        </is>
      </c>
      <c r="P544" t="n">
        <v>1953.54</v>
      </c>
      <c r="Q544" t="n">
        <v>1410</v>
      </c>
      <c r="R544" t="b">
        <v>1</v>
      </c>
    </row>
    <row r="545">
      <c r="A545" t="inlineStr">
        <is>
          <t>INV0013765</t>
        </is>
      </c>
      <c r="B545" t="inlineStr">
        <is>
          <t>MER00649</t>
        </is>
      </c>
      <c r="C545" t="inlineStr">
        <is>
          <t>2026-06-01</t>
        </is>
      </c>
      <c r="D545" t="inlineStr">
        <is>
          <t>2026-06-30</t>
        </is>
      </c>
      <c r="E545" s="8" t="n">
        <v>46205</v>
      </c>
      <c r="F545" s="8" t="n">
        <v>46265</v>
      </c>
      <c r="G545" t="n">
        <v>1775.7</v>
      </c>
      <c r="H545" t="n">
        <v>0</v>
      </c>
      <c r="I545" t="n">
        <v>1775.7</v>
      </c>
      <c r="J545" t="n">
        <v>0.18</v>
      </c>
      <c r="K545" t="n">
        <v>319.63</v>
      </c>
      <c r="L545" t="n">
        <v>2095.33</v>
      </c>
      <c r="M545" t="inlineStr">
        <is>
          <t>INR</t>
        </is>
      </c>
      <c r="N545" t="inlineStr">
        <is>
          <t>Paid</t>
        </is>
      </c>
      <c r="O545" t="inlineStr">
        <is>
          <t>Paid</t>
        </is>
      </c>
      <c r="P545" t="n">
        <v>1775.7</v>
      </c>
      <c r="Q545" t="n">
        <v>1775.7</v>
      </c>
      <c r="R545" t="b">
        <v>0</v>
      </c>
    </row>
    <row r="546">
      <c r="A546" t="inlineStr">
        <is>
          <t>INV0013766</t>
        </is>
      </c>
      <c r="B546" t="inlineStr">
        <is>
          <t>MER00649</t>
        </is>
      </c>
      <c r="C546" t="inlineStr">
        <is>
          <t>2026-07-01</t>
        </is>
      </c>
      <c r="D546" t="inlineStr">
        <is>
          <t>2026-07-31</t>
        </is>
      </c>
      <c r="E546" s="8" t="n">
        <v>46236</v>
      </c>
      <c r="F546" s="8" t="n">
        <v>46296</v>
      </c>
      <c r="G546" t="n">
        <v>2297.32</v>
      </c>
      <c r="H546" t="n">
        <v>0</v>
      </c>
      <c r="I546" t="n">
        <v>2297.32</v>
      </c>
      <c r="J546" t="n">
        <v>0.18</v>
      </c>
      <c r="K546" t="n">
        <v>413.52</v>
      </c>
      <c r="L546" t="n">
        <v>2710.84</v>
      </c>
      <c r="M546" t="inlineStr">
        <is>
          <t>INR</t>
        </is>
      </c>
      <c r="N546" t="inlineStr">
        <is>
          <t>Issued</t>
        </is>
      </c>
      <c r="O546" t="inlineStr">
        <is>
          <t>Unpaid</t>
        </is>
      </c>
      <c r="P546" t="n">
        <v>2297.32</v>
      </c>
      <c r="Q546" t="n">
        <v>2297.32</v>
      </c>
      <c r="R546" t="b">
        <v>0</v>
      </c>
    </row>
    <row r="547">
      <c r="A547" t="inlineStr">
        <is>
          <t>INV0013942</t>
        </is>
      </c>
      <c r="B547" t="inlineStr">
        <is>
          <t>MER00658</t>
        </is>
      </c>
      <c r="C547" t="inlineStr">
        <is>
          <t>2024-08-01</t>
        </is>
      </c>
      <c r="D547" t="inlineStr">
        <is>
          <t>2024-08-31</t>
        </is>
      </c>
      <c r="E547" s="8" t="n">
        <v>45537</v>
      </c>
      <c r="F547" s="8" t="n">
        <v>45552</v>
      </c>
      <c r="G547" t="n">
        <v>442.01</v>
      </c>
      <c r="H547" t="n">
        <v>0</v>
      </c>
      <c r="I547" t="n">
        <v>442.01</v>
      </c>
      <c r="J547" t="n">
        <v>0.18</v>
      </c>
      <c r="K547" t="n">
        <v>79.56</v>
      </c>
      <c r="L547" t="n">
        <v>521.5700000000001</v>
      </c>
      <c r="M547" t="inlineStr">
        <is>
          <t>INR</t>
        </is>
      </c>
      <c r="N547" t="inlineStr">
        <is>
          <t>Paid</t>
        </is>
      </c>
      <c r="O547" t="inlineStr">
        <is>
          <t>Paid</t>
        </is>
      </c>
      <c r="P547" t="n">
        <v>442.01</v>
      </c>
      <c r="Q547" t="n">
        <v>442.01</v>
      </c>
      <c r="R547" t="b">
        <v>0</v>
      </c>
    </row>
    <row r="548">
      <c r="A548" t="inlineStr">
        <is>
          <t>INV0013943</t>
        </is>
      </c>
      <c r="B548" t="inlineStr">
        <is>
          <t>MER00658</t>
        </is>
      </c>
      <c r="C548" t="inlineStr">
        <is>
          <t>2024-09-01</t>
        </is>
      </c>
      <c r="D548" t="inlineStr">
        <is>
          <t>2024-09-30</t>
        </is>
      </c>
      <c r="E548" s="8" t="n">
        <v>45567</v>
      </c>
      <c r="F548" s="8" t="n">
        <v>45582</v>
      </c>
      <c r="G548" t="n">
        <v>558.08</v>
      </c>
      <c r="H548" t="n">
        <v>0</v>
      </c>
      <c r="I548" t="n">
        <v>558.08</v>
      </c>
      <c r="J548" t="n">
        <v>0.18</v>
      </c>
      <c r="K548" t="n">
        <v>100.45</v>
      </c>
      <c r="L548" t="n">
        <v>658.53</v>
      </c>
      <c r="M548" t="inlineStr">
        <is>
          <t>INR</t>
        </is>
      </c>
      <c r="N548" t="inlineStr">
        <is>
          <t>Paid</t>
        </is>
      </c>
      <c r="O548" t="inlineStr">
        <is>
          <t>Paid</t>
        </is>
      </c>
      <c r="P548" t="n">
        <v>748.98</v>
      </c>
      <c r="Q548" t="n">
        <v>558.08</v>
      </c>
      <c r="R548" t="b">
        <v>1</v>
      </c>
    </row>
    <row r="549">
      <c r="A549" t="inlineStr">
        <is>
          <t>INV0013944</t>
        </is>
      </c>
      <c r="B549" t="inlineStr">
        <is>
          <t>MER00658</t>
        </is>
      </c>
      <c r="C549" t="inlineStr">
        <is>
          <t>2024-10-01</t>
        </is>
      </c>
      <c r="D549" t="inlineStr">
        <is>
          <t>2024-10-31</t>
        </is>
      </c>
      <c r="E549" s="8" t="n">
        <v>45598</v>
      </c>
      <c r="F549" s="8" t="n">
        <v>45613</v>
      </c>
      <c r="G549" t="n">
        <v>106.23</v>
      </c>
      <c r="H549" t="n">
        <v>0</v>
      </c>
      <c r="I549" t="n">
        <v>106.23</v>
      </c>
      <c r="J549" t="n">
        <v>0.18</v>
      </c>
      <c r="K549" t="n">
        <v>19.12</v>
      </c>
      <c r="L549" t="n">
        <v>125.35</v>
      </c>
      <c r="M549" t="inlineStr">
        <is>
          <t>INR</t>
        </is>
      </c>
      <c r="N549" t="inlineStr">
        <is>
          <t>Overdue</t>
        </is>
      </c>
      <c r="O549" t="inlineStr">
        <is>
          <t>Unpaid</t>
        </is>
      </c>
      <c r="P549" t="n">
        <v>140.4</v>
      </c>
      <c r="Q549" t="n">
        <v>106.23</v>
      </c>
      <c r="R549" t="b">
        <v>1</v>
      </c>
    </row>
    <row r="550">
      <c r="A550" t="inlineStr">
        <is>
          <t>INV0013945</t>
        </is>
      </c>
      <c r="B550" t="inlineStr">
        <is>
          <t>MER00658</t>
        </is>
      </c>
      <c r="C550" t="inlineStr">
        <is>
          <t>2024-11-01</t>
        </is>
      </c>
      <c r="D550" t="inlineStr">
        <is>
          <t>2024-11-30</t>
        </is>
      </c>
      <c r="E550" s="8" t="n">
        <v>45628</v>
      </c>
      <c r="F550" s="8" t="n">
        <v>45643</v>
      </c>
      <c r="G550" t="n">
        <v>1181.31</v>
      </c>
      <c r="H550" t="n">
        <v>0</v>
      </c>
      <c r="I550" t="n">
        <v>1181.31</v>
      </c>
      <c r="J550" t="n">
        <v>0.18</v>
      </c>
      <c r="K550" t="n">
        <v>212.64</v>
      </c>
      <c r="L550" t="n">
        <v>1393.95</v>
      </c>
      <c r="M550" t="inlineStr">
        <is>
          <t>INR</t>
        </is>
      </c>
      <c r="N550" t="inlineStr">
        <is>
          <t>Paid</t>
        </is>
      </c>
      <c r="O550" t="inlineStr">
        <is>
          <t>Paid</t>
        </is>
      </c>
      <c r="P550" t="n">
        <v>1181.31</v>
      </c>
      <c r="Q550" t="n">
        <v>1181.31</v>
      </c>
      <c r="R550" t="b">
        <v>0</v>
      </c>
    </row>
    <row r="551">
      <c r="A551" t="inlineStr">
        <is>
          <t>INV0013946</t>
        </is>
      </c>
      <c r="B551" t="inlineStr">
        <is>
          <t>MER00658</t>
        </is>
      </c>
      <c r="C551" t="inlineStr">
        <is>
          <t>2024-12-01</t>
        </is>
      </c>
      <c r="D551" t="inlineStr">
        <is>
          <t>2024-12-31</t>
        </is>
      </c>
      <c r="E551" s="8" t="n">
        <v>45659</v>
      </c>
      <c r="F551" s="8" t="n">
        <v>45674</v>
      </c>
      <c r="G551" t="n">
        <v>277.3</v>
      </c>
      <c r="H551" t="n">
        <v>0</v>
      </c>
      <c r="I551" t="n">
        <v>277.3</v>
      </c>
      <c r="J551" t="n">
        <v>0.18</v>
      </c>
      <c r="K551" t="n">
        <v>49.91</v>
      </c>
      <c r="L551" t="n">
        <v>327.21</v>
      </c>
      <c r="M551" t="inlineStr">
        <is>
          <t>INR</t>
        </is>
      </c>
      <c r="N551" t="inlineStr">
        <is>
          <t>Paid</t>
        </is>
      </c>
      <c r="O551" t="inlineStr">
        <is>
          <t>Paid</t>
        </is>
      </c>
      <c r="P551" t="n">
        <v>277.3</v>
      </c>
      <c r="Q551" t="n">
        <v>277.3</v>
      </c>
      <c r="R551" t="b">
        <v>0</v>
      </c>
    </row>
    <row r="552">
      <c r="A552" t="inlineStr">
        <is>
          <t>INV0013947</t>
        </is>
      </c>
      <c r="B552" t="inlineStr">
        <is>
          <t>MER00658</t>
        </is>
      </c>
      <c r="C552" t="inlineStr">
        <is>
          <t>2025-01-01</t>
        </is>
      </c>
      <c r="D552" t="inlineStr">
        <is>
          <t>2025-01-31</t>
        </is>
      </c>
      <c r="E552" s="8" t="n">
        <v>45690</v>
      </c>
      <c r="F552" s="8" t="n">
        <v>45705</v>
      </c>
      <c r="G552" t="n">
        <v>452.25</v>
      </c>
      <c r="H552" t="n">
        <v>0</v>
      </c>
      <c r="I552" t="n">
        <v>452.25</v>
      </c>
      <c r="J552" t="n">
        <v>0.18</v>
      </c>
      <c r="K552" t="n">
        <v>81.40000000000001</v>
      </c>
      <c r="L552" t="n">
        <v>533.65</v>
      </c>
      <c r="M552" t="inlineStr">
        <is>
          <t>INR</t>
        </is>
      </c>
      <c r="N552" t="inlineStr">
        <is>
          <t>Paid</t>
        </is>
      </c>
      <c r="O552" t="inlineStr">
        <is>
          <t>Paid</t>
        </is>
      </c>
      <c r="P552" t="n">
        <v>452.25</v>
      </c>
      <c r="Q552" t="n">
        <v>452.25</v>
      </c>
      <c r="R552" t="b">
        <v>0</v>
      </c>
    </row>
    <row r="553">
      <c r="A553" t="inlineStr">
        <is>
          <t>INV0013948</t>
        </is>
      </c>
      <c r="B553" t="inlineStr">
        <is>
          <t>MER00658</t>
        </is>
      </c>
      <c r="C553" t="inlineStr">
        <is>
          <t>2025-02-01</t>
        </is>
      </c>
      <c r="D553" t="inlineStr">
        <is>
          <t>2025-02-28</t>
        </is>
      </c>
      <c r="E553" s="8" t="n">
        <v>45718</v>
      </c>
      <c r="F553" s="8" t="n">
        <v>45733</v>
      </c>
      <c r="G553" t="n">
        <v>525.6900000000001</v>
      </c>
      <c r="H553" t="n">
        <v>0</v>
      </c>
      <c r="I553" t="n">
        <v>525.6900000000001</v>
      </c>
      <c r="J553" t="n">
        <v>0.18</v>
      </c>
      <c r="K553" t="n">
        <v>94.62</v>
      </c>
      <c r="L553" t="n">
        <v>620.3099999999999</v>
      </c>
      <c r="M553" t="inlineStr">
        <is>
          <t>INR</t>
        </is>
      </c>
      <c r="N553" t="inlineStr">
        <is>
          <t>Paid</t>
        </is>
      </c>
      <c r="O553" t="inlineStr">
        <is>
          <t>Paid</t>
        </is>
      </c>
      <c r="P553" t="n">
        <v>525.6900000000001</v>
      </c>
      <c r="Q553" t="n">
        <v>525.6900000000001</v>
      </c>
      <c r="R553" t="b">
        <v>0</v>
      </c>
    </row>
    <row r="554">
      <c r="A554" t="inlineStr">
        <is>
          <t>INV0013949</t>
        </is>
      </c>
      <c r="B554" t="inlineStr">
        <is>
          <t>MER00658</t>
        </is>
      </c>
      <c r="C554" t="inlineStr">
        <is>
          <t>2025-03-01</t>
        </is>
      </c>
      <c r="D554" t="inlineStr">
        <is>
          <t>2025-03-31</t>
        </is>
      </c>
      <c r="E554" s="8" t="n">
        <v>45749</v>
      </c>
      <c r="F554" s="8" t="n">
        <v>45764</v>
      </c>
      <c r="G554" t="n">
        <v>316.91</v>
      </c>
      <c r="H554" t="n">
        <v>0</v>
      </c>
      <c r="I554" t="n">
        <v>316.91</v>
      </c>
      <c r="J554" t="n">
        <v>0.18</v>
      </c>
      <c r="K554" t="n">
        <v>57.04</v>
      </c>
      <c r="L554" t="n">
        <v>373.95</v>
      </c>
      <c r="M554" t="inlineStr">
        <is>
          <t>INR</t>
        </is>
      </c>
      <c r="N554" t="inlineStr">
        <is>
          <t>Paid</t>
        </is>
      </c>
      <c r="O554" t="inlineStr">
        <is>
          <t>Paid</t>
        </is>
      </c>
      <c r="P554" t="n">
        <v>438.87</v>
      </c>
      <c r="Q554" t="n">
        <v>316.91</v>
      </c>
      <c r="R554" t="b">
        <v>1</v>
      </c>
    </row>
    <row r="555">
      <c r="A555" t="inlineStr">
        <is>
          <t>INV0013950</t>
        </is>
      </c>
      <c r="B555" t="inlineStr">
        <is>
          <t>MER00658</t>
        </is>
      </c>
      <c r="C555" t="inlineStr">
        <is>
          <t>2025-04-01</t>
        </is>
      </c>
      <c r="D555" t="inlineStr">
        <is>
          <t>2025-04-30</t>
        </is>
      </c>
      <c r="E555" s="8" t="n">
        <v>45779</v>
      </c>
      <c r="F555" s="8" t="n">
        <v>45794</v>
      </c>
      <c r="G555" t="n">
        <v>102.91</v>
      </c>
      <c r="H555" t="n">
        <v>6.59</v>
      </c>
      <c r="I555" t="n">
        <v>96.31999999999999</v>
      </c>
      <c r="J555" t="n">
        <v>0.18</v>
      </c>
      <c r="K555" t="n">
        <v>17.34</v>
      </c>
      <c r="L555" t="n">
        <v>113.66</v>
      </c>
      <c r="M555" t="inlineStr">
        <is>
          <t>INR</t>
        </is>
      </c>
      <c r="N555" t="inlineStr">
        <is>
          <t>Paid</t>
        </is>
      </c>
      <c r="O555" t="inlineStr">
        <is>
          <t>Paid</t>
        </is>
      </c>
      <c r="P555" t="n">
        <v>102.91</v>
      </c>
      <c r="Q555" t="n">
        <v>102.91</v>
      </c>
      <c r="R555" t="b">
        <v>0</v>
      </c>
    </row>
    <row r="556">
      <c r="A556" t="inlineStr">
        <is>
          <t>INV0013951</t>
        </is>
      </c>
      <c r="B556" t="inlineStr">
        <is>
          <t>MER00658</t>
        </is>
      </c>
      <c r="C556" t="inlineStr">
        <is>
          <t>2025-05-01</t>
        </is>
      </c>
      <c r="D556" t="inlineStr">
        <is>
          <t>2025-05-31</t>
        </is>
      </c>
      <c r="E556" s="8" t="n">
        <v>45810</v>
      </c>
      <c r="F556" s="8" t="n">
        <v>45825</v>
      </c>
      <c r="G556" t="n">
        <v>672.11</v>
      </c>
      <c r="H556" t="n">
        <v>0</v>
      </c>
      <c r="I556" t="n">
        <v>672.11</v>
      </c>
      <c r="J556" t="n">
        <v>0.18</v>
      </c>
      <c r="K556" t="n">
        <v>120.98</v>
      </c>
      <c r="L556" t="n">
        <v>793.09</v>
      </c>
      <c r="M556" t="inlineStr">
        <is>
          <t>INR</t>
        </is>
      </c>
      <c r="N556" t="inlineStr">
        <is>
          <t>Overdue</t>
        </is>
      </c>
      <c r="O556" t="inlineStr">
        <is>
          <t>Unpaid</t>
        </is>
      </c>
      <c r="P556" t="n">
        <v>672.11</v>
      </c>
      <c r="Q556" t="n">
        <v>672.11</v>
      </c>
      <c r="R556" t="b">
        <v>0</v>
      </c>
    </row>
    <row r="557">
      <c r="A557" t="inlineStr">
        <is>
          <t>INV0013952</t>
        </is>
      </c>
      <c r="B557" t="inlineStr">
        <is>
          <t>MER00658</t>
        </is>
      </c>
      <c r="C557" t="inlineStr">
        <is>
          <t>2025-06-01</t>
        </is>
      </c>
      <c r="D557" t="inlineStr">
        <is>
          <t>2025-06-30</t>
        </is>
      </c>
      <c r="E557" s="8" t="n">
        <v>45840</v>
      </c>
      <c r="F557" s="8" t="n">
        <v>45855</v>
      </c>
      <c r="G557" t="n">
        <v>313.91</v>
      </c>
      <c r="H557" t="n">
        <v>0</v>
      </c>
      <c r="I557" t="n">
        <v>313.91</v>
      </c>
      <c r="J557" t="n">
        <v>0.18</v>
      </c>
      <c r="K557" t="n">
        <v>56.5</v>
      </c>
      <c r="L557" t="n">
        <v>370.41</v>
      </c>
      <c r="M557" t="inlineStr">
        <is>
          <t>INR</t>
        </is>
      </c>
      <c r="N557" t="inlineStr">
        <is>
          <t>Paid</t>
        </is>
      </c>
      <c r="O557" t="inlineStr">
        <is>
          <t>Paid</t>
        </is>
      </c>
      <c r="P557" t="n">
        <v>313.91</v>
      </c>
      <c r="Q557" t="n">
        <v>313.91</v>
      </c>
      <c r="R557" t="b">
        <v>0</v>
      </c>
    </row>
    <row r="558">
      <c r="A558" t="inlineStr">
        <is>
          <t>INV0013953</t>
        </is>
      </c>
      <c r="B558" t="inlineStr">
        <is>
          <t>MER00658</t>
        </is>
      </c>
      <c r="C558" t="inlineStr">
        <is>
          <t>2025-07-01</t>
        </is>
      </c>
      <c r="D558" t="inlineStr">
        <is>
          <t>2025-07-31</t>
        </is>
      </c>
      <c r="E558" s="8" t="n">
        <v>45871</v>
      </c>
      <c r="F558" s="8" t="n">
        <v>45886</v>
      </c>
      <c r="G558" t="n">
        <v>272.51</v>
      </c>
      <c r="H558" t="n">
        <v>0</v>
      </c>
      <c r="I558" t="n">
        <v>272.51</v>
      </c>
      <c r="J558" t="n">
        <v>0.18</v>
      </c>
      <c r="K558" t="n">
        <v>49.05</v>
      </c>
      <c r="L558" t="n">
        <v>321.56</v>
      </c>
      <c r="M558" t="inlineStr">
        <is>
          <t>INR</t>
        </is>
      </c>
      <c r="N558" t="inlineStr">
        <is>
          <t>Paid</t>
        </is>
      </c>
      <c r="O558" t="inlineStr">
        <is>
          <t>Paid</t>
        </is>
      </c>
      <c r="P558" t="n">
        <v>272.51</v>
      </c>
      <c r="Q558" t="n">
        <v>272.51</v>
      </c>
      <c r="R558" t="b">
        <v>0</v>
      </c>
    </row>
    <row r="559">
      <c r="A559" t="inlineStr">
        <is>
          <t>INV0013954</t>
        </is>
      </c>
      <c r="B559" t="inlineStr">
        <is>
          <t>MER00658</t>
        </is>
      </c>
      <c r="C559" t="inlineStr">
        <is>
          <t>2025-08-01</t>
        </is>
      </c>
      <c r="D559" t="inlineStr">
        <is>
          <t>2025-08-31</t>
        </is>
      </c>
      <c r="E559" s="8" t="n">
        <v>45902</v>
      </c>
      <c r="F559" s="8" t="n">
        <v>45917</v>
      </c>
      <c r="G559" t="n">
        <v>300.83</v>
      </c>
      <c r="H559" t="n">
        <v>0</v>
      </c>
      <c r="I559" t="n">
        <v>300.83</v>
      </c>
      <c r="J559" t="n">
        <v>0.18</v>
      </c>
      <c r="K559" t="n">
        <v>54.15</v>
      </c>
      <c r="L559" t="n">
        <v>354.98</v>
      </c>
      <c r="M559" t="inlineStr">
        <is>
          <t>INR</t>
        </is>
      </c>
      <c r="N559" t="inlineStr">
        <is>
          <t>Paid</t>
        </is>
      </c>
      <c r="O559" t="inlineStr">
        <is>
          <t>Paid</t>
        </is>
      </c>
      <c r="P559" t="n">
        <v>300.83</v>
      </c>
      <c r="Q559" t="n">
        <v>300.83</v>
      </c>
      <c r="R559" t="b">
        <v>0</v>
      </c>
    </row>
    <row r="560">
      <c r="A560" t="inlineStr">
        <is>
          <t>INV0013955</t>
        </is>
      </c>
      <c r="B560" t="inlineStr">
        <is>
          <t>MER00658</t>
        </is>
      </c>
      <c r="C560" t="inlineStr">
        <is>
          <t>2025-09-01</t>
        </is>
      </c>
      <c r="D560" t="inlineStr">
        <is>
          <t>2025-09-30</t>
        </is>
      </c>
      <c r="E560" s="8" t="n">
        <v>45932</v>
      </c>
      <c r="F560" s="8" t="n">
        <v>45947</v>
      </c>
      <c r="G560" t="n">
        <v>356.98</v>
      </c>
      <c r="H560" t="n">
        <v>0</v>
      </c>
      <c r="I560" t="n">
        <v>356.98</v>
      </c>
      <c r="J560" t="n">
        <v>0.18</v>
      </c>
      <c r="K560" t="n">
        <v>64.26000000000001</v>
      </c>
      <c r="L560" t="n">
        <v>421.24</v>
      </c>
      <c r="M560" t="inlineStr">
        <is>
          <t>INR</t>
        </is>
      </c>
      <c r="N560" t="inlineStr">
        <is>
          <t>Paid</t>
        </is>
      </c>
      <c r="O560" t="inlineStr">
        <is>
          <t>Paid</t>
        </is>
      </c>
      <c r="P560" t="n">
        <v>356.98</v>
      </c>
      <c r="Q560" t="n">
        <v>356.98</v>
      </c>
      <c r="R560" t="b">
        <v>0</v>
      </c>
    </row>
    <row r="561">
      <c r="A561" t="inlineStr">
        <is>
          <t>INV0013956</t>
        </is>
      </c>
      <c r="B561" t="inlineStr">
        <is>
          <t>MER00658</t>
        </is>
      </c>
      <c r="C561" t="inlineStr">
        <is>
          <t>2025-10-01</t>
        </is>
      </c>
      <c r="D561" t="inlineStr">
        <is>
          <t>2025-10-31</t>
        </is>
      </c>
      <c r="E561" s="8" t="n">
        <v>45963</v>
      </c>
      <c r="F561" s="8" t="n">
        <v>45978</v>
      </c>
      <c r="G561" t="n">
        <v>421.01</v>
      </c>
      <c r="H561" t="n">
        <v>0</v>
      </c>
      <c r="I561" t="n">
        <v>421.01</v>
      </c>
      <c r="J561" t="n">
        <v>0.18</v>
      </c>
      <c r="K561" t="n">
        <v>75.78</v>
      </c>
      <c r="L561" t="n">
        <v>496.79</v>
      </c>
      <c r="M561" t="inlineStr">
        <is>
          <t>INR</t>
        </is>
      </c>
      <c r="N561" t="inlineStr">
        <is>
          <t>Paid</t>
        </is>
      </c>
      <c r="O561" t="inlineStr">
        <is>
          <t>Paid</t>
        </is>
      </c>
      <c r="P561" t="n">
        <v>421.01</v>
      </c>
      <c r="Q561" t="n">
        <v>421.01</v>
      </c>
      <c r="R561" t="b">
        <v>0</v>
      </c>
    </row>
    <row r="562">
      <c r="A562" t="inlineStr">
        <is>
          <t>INV0013957</t>
        </is>
      </c>
      <c r="B562" t="inlineStr">
        <is>
          <t>MER00658</t>
        </is>
      </c>
      <c r="C562" t="inlineStr">
        <is>
          <t>2025-11-01</t>
        </is>
      </c>
      <c r="D562" t="inlineStr">
        <is>
          <t>2025-11-30</t>
        </is>
      </c>
      <c r="E562" s="8" t="n">
        <v>45993</v>
      </c>
      <c r="F562" s="8" t="n">
        <v>46008</v>
      </c>
      <c r="G562" t="n">
        <v>840.7</v>
      </c>
      <c r="H562" t="n">
        <v>0</v>
      </c>
      <c r="I562" t="n">
        <v>840.7</v>
      </c>
      <c r="J562" t="n">
        <v>0.18</v>
      </c>
      <c r="K562" t="n">
        <v>151.33</v>
      </c>
      <c r="L562" t="n">
        <v>992.03</v>
      </c>
      <c r="M562" t="inlineStr">
        <is>
          <t>INR</t>
        </is>
      </c>
      <c r="N562" t="inlineStr">
        <is>
          <t>Paid</t>
        </is>
      </c>
      <c r="O562" t="inlineStr">
        <is>
          <t>Paid</t>
        </is>
      </c>
      <c r="P562" t="n">
        <v>840.7</v>
      </c>
      <c r="Q562" t="n">
        <v>840.7</v>
      </c>
      <c r="R562" t="b">
        <v>0</v>
      </c>
    </row>
    <row r="563">
      <c r="A563" t="inlineStr">
        <is>
          <t>INV0013958</t>
        </is>
      </c>
      <c r="B563" t="inlineStr">
        <is>
          <t>MER00658</t>
        </is>
      </c>
      <c r="C563" t="inlineStr">
        <is>
          <t>2025-12-01</t>
        </is>
      </c>
      <c r="D563" t="inlineStr">
        <is>
          <t>2025-12-31</t>
        </is>
      </c>
      <c r="E563" s="8" t="n">
        <v>46024</v>
      </c>
      <c r="F563" s="8" t="n">
        <v>46039</v>
      </c>
      <c r="G563" t="n">
        <v>319.5</v>
      </c>
      <c r="H563" t="n">
        <v>0</v>
      </c>
      <c r="I563" t="n">
        <v>319.5</v>
      </c>
      <c r="J563" t="n">
        <v>0.18</v>
      </c>
      <c r="K563" t="n">
        <v>57.51</v>
      </c>
      <c r="L563" t="n">
        <v>377.01</v>
      </c>
      <c r="M563" t="inlineStr">
        <is>
          <t>INR</t>
        </is>
      </c>
      <c r="N563" t="inlineStr">
        <is>
          <t>Paid</t>
        </is>
      </c>
      <c r="O563" t="inlineStr">
        <is>
          <t>Paid</t>
        </is>
      </c>
      <c r="P563" t="n">
        <v>319.5</v>
      </c>
      <c r="Q563" t="n">
        <v>319.5</v>
      </c>
      <c r="R563" t="b">
        <v>0</v>
      </c>
    </row>
    <row r="564">
      <c r="A564" t="inlineStr">
        <is>
          <t>INV0013959</t>
        </is>
      </c>
      <c r="B564" t="inlineStr">
        <is>
          <t>MER00658</t>
        </is>
      </c>
      <c r="C564" t="inlineStr">
        <is>
          <t>2026-01-01</t>
        </is>
      </c>
      <c r="D564" t="inlineStr">
        <is>
          <t>2026-01-31</t>
        </is>
      </c>
      <c r="E564" s="8" t="n">
        <v>46055</v>
      </c>
      <c r="F564" s="8" t="n">
        <v>46070</v>
      </c>
      <c r="G564" t="n">
        <v>481</v>
      </c>
      <c r="H564" t="n">
        <v>0</v>
      </c>
      <c r="I564" t="n">
        <v>481</v>
      </c>
      <c r="J564" t="n">
        <v>0.18</v>
      </c>
      <c r="K564" t="n">
        <v>86.58</v>
      </c>
      <c r="L564" t="n">
        <v>567.58</v>
      </c>
      <c r="M564" t="inlineStr">
        <is>
          <t>INR</t>
        </is>
      </c>
      <c r="N564" t="inlineStr">
        <is>
          <t>Paid</t>
        </is>
      </c>
      <c r="O564" t="inlineStr">
        <is>
          <t>Paid</t>
        </is>
      </c>
      <c r="P564" t="n">
        <v>481</v>
      </c>
      <c r="Q564" t="n">
        <v>481</v>
      </c>
      <c r="R564" t="b">
        <v>0</v>
      </c>
    </row>
    <row r="565">
      <c r="A565" t="inlineStr">
        <is>
          <t>INV0013960</t>
        </is>
      </c>
      <c r="B565" t="inlineStr">
        <is>
          <t>MER00658</t>
        </is>
      </c>
      <c r="C565" t="inlineStr">
        <is>
          <t>2026-02-01</t>
        </is>
      </c>
      <c r="D565" t="inlineStr">
        <is>
          <t>2026-02-28</t>
        </is>
      </c>
      <c r="E565" s="8" t="n">
        <v>46083</v>
      </c>
      <c r="F565" s="8" t="n">
        <v>46098</v>
      </c>
      <c r="G565" t="n">
        <v>998.88</v>
      </c>
      <c r="H565" t="n">
        <v>0</v>
      </c>
      <c r="I565" t="n">
        <v>998.88</v>
      </c>
      <c r="J565" t="n">
        <v>0.18</v>
      </c>
      <c r="K565" t="n">
        <v>179.8</v>
      </c>
      <c r="L565" t="n">
        <v>1178.68</v>
      </c>
      <c r="M565" t="inlineStr">
        <is>
          <t>INR</t>
        </is>
      </c>
      <c r="N565" t="inlineStr">
        <is>
          <t>Paid</t>
        </is>
      </c>
      <c r="O565" t="inlineStr">
        <is>
          <t>Paid</t>
        </is>
      </c>
      <c r="P565" t="n">
        <v>998.88</v>
      </c>
      <c r="Q565" t="n">
        <v>998.88</v>
      </c>
      <c r="R565" t="b">
        <v>0</v>
      </c>
    </row>
    <row r="566">
      <c r="A566" t="inlineStr">
        <is>
          <t>INV0013961</t>
        </is>
      </c>
      <c r="B566" t="inlineStr">
        <is>
          <t>MER00658</t>
        </is>
      </c>
      <c r="C566" t="inlineStr">
        <is>
          <t>2026-03-01</t>
        </is>
      </c>
      <c r="D566" t="inlineStr">
        <is>
          <t>2026-03-31</t>
        </is>
      </c>
      <c r="E566" s="8" t="n">
        <v>46114</v>
      </c>
      <c r="F566" s="8" t="n">
        <v>46129</v>
      </c>
      <c r="G566" t="n">
        <v>966.29</v>
      </c>
      <c r="H566" t="n">
        <v>0</v>
      </c>
      <c r="I566" t="n">
        <v>966.29</v>
      </c>
      <c r="J566" t="n">
        <v>0.18</v>
      </c>
      <c r="K566" t="n">
        <v>173.93</v>
      </c>
      <c r="L566" t="n">
        <v>1140.22</v>
      </c>
      <c r="M566" t="inlineStr">
        <is>
          <t>INR</t>
        </is>
      </c>
      <c r="N566" t="inlineStr">
        <is>
          <t>Paid</t>
        </is>
      </c>
      <c r="O566" t="inlineStr">
        <is>
          <t>Paid</t>
        </is>
      </c>
      <c r="P566" t="n">
        <v>966.29</v>
      </c>
      <c r="Q566" t="n">
        <v>966.29</v>
      </c>
      <c r="R566" t="b">
        <v>0</v>
      </c>
    </row>
    <row r="567">
      <c r="A567" t="inlineStr">
        <is>
          <t>INV0013962</t>
        </is>
      </c>
      <c r="B567" t="inlineStr">
        <is>
          <t>MER00658</t>
        </is>
      </c>
      <c r="C567" t="inlineStr">
        <is>
          <t>2026-04-01</t>
        </is>
      </c>
      <c r="D567" t="inlineStr">
        <is>
          <t>2026-04-30</t>
        </is>
      </c>
      <c r="E567" s="8" t="n">
        <v>46144</v>
      </c>
      <c r="F567" s="8" t="n">
        <v>46159</v>
      </c>
      <c r="G567" t="n">
        <v>771.66</v>
      </c>
      <c r="H567" t="n">
        <v>0</v>
      </c>
      <c r="I567" t="n">
        <v>771.66</v>
      </c>
      <c r="J567" t="n">
        <v>0.18</v>
      </c>
      <c r="K567" t="n">
        <v>138.9</v>
      </c>
      <c r="L567" t="n">
        <v>910.5599999999999</v>
      </c>
      <c r="M567" t="inlineStr">
        <is>
          <t>INR</t>
        </is>
      </c>
      <c r="N567" t="inlineStr">
        <is>
          <t>Overdue</t>
        </is>
      </c>
      <c r="O567" t="inlineStr">
        <is>
          <t>Unpaid</t>
        </is>
      </c>
      <c r="P567" t="n">
        <v>1061.89</v>
      </c>
      <c r="Q567" t="n">
        <v>771.66</v>
      </c>
      <c r="R567" t="b">
        <v>1</v>
      </c>
    </row>
    <row r="568">
      <c r="A568" t="inlineStr">
        <is>
          <t>INV0013963</t>
        </is>
      </c>
      <c r="B568" t="inlineStr">
        <is>
          <t>MER00658</t>
        </is>
      </c>
      <c r="C568" t="inlineStr">
        <is>
          <t>2026-05-01</t>
        </is>
      </c>
      <c r="D568" t="inlineStr">
        <is>
          <t>2026-05-31</t>
        </is>
      </c>
      <c r="E568" s="8" t="n">
        <v>46175</v>
      </c>
      <c r="F568" s="8" t="n">
        <v>46190</v>
      </c>
      <c r="G568" t="n">
        <v>391.15</v>
      </c>
      <c r="H568" t="n">
        <v>0</v>
      </c>
      <c r="I568" t="n">
        <v>391.15</v>
      </c>
      <c r="J568" t="n">
        <v>0.18</v>
      </c>
      <c r="K568" t="n">
        <v>70.41</v>
      </c>
      <c r="L568" t="n">
        <v>461.56</v>
      </c>
      <c r="M568" t="inlineStr">
        <is>
          <t>INR</t>
        </is>
      </c>
      <c r="N568" t="inlineStr">
        <is>
          <t>Paid</t>
        </is>
      </c>
      <c r="O568" t="inlineStr">
        <is>
          <t>Paid</t>
        </is>
      </c>
      <c r="P568" t="n">
        <v>570.25</v>
      </c>
      <c r="Q568" t="n">
        <v>391.15</v>
      </c>
      <c r="R568" t="b">
        <v>1</v>
      </c>
    </row>
    <row r="569">
      <c r="A569" t="inlineStr">
        <is>
          <t>INV0013964</t>
        </is>
      </c>
      <c r="B569" t="inlineStr">
        <is>
          <t>MER00658</t>
        </is>
      </c>
      <c r="C569" t="inlineStr">
        <is>
          <t>2026-06-01</t>
        </is>
      </c>
      <c r="D569" t="inlineStr">
        <is>
          <t>2026-06-30</t>
        </is>
      </c>
      <c r="E569" s="8" t="n">
        <v>46205</v>
      </c>
      <c r="F569" s="8" t="n">
        <v>46220</v>
      </c>
      <c r="G569" t="n">
        <v>306.09</v>
      </c>
      <c r="H569" t="n">
        <v>0</v>
      </c>
      <c r="I569" t="n">
        <v>306.09</v>
      </c>
      <c r="J569" t="n">
        <v>0.18</v>
      </c>
      <c r="K569" t="n">
        <v>55.1</v>
      </c>
      <c r="L569" t="n">
        <v>361.19</v>
      </c>
      <c r="M569" t="inlineStr">
        <is>
          <t>INR</t>
        </is>
      </c>
      <c r="N569" t="inlineStr">
        <is>
          <t>Paid</t>
        </is>
      </c>
      <c r="O569" t="inlineStr">
        <is>
          <t>Paid</t>
        </is>
      </c>
      <c r="P569" t="n">
        <v>306.09</v>
      </c>
      <c r="Q569" t="n">
        <v>306.09</v>
      </c>
      <c r="R569" t="b">
        <v>0</v>
      </c>
    </row>
    <row r="570">
      <c r="A570" t="inlineStr">
        <is>
          <t>INV0013965</t>
        </is>
      </c>
      <c r="B570" t="inlineStr">
        <is>
          <t>MER00658</t>
        </is>
      </c>
      <c r="C570" t="inlineStr">
        <is>
          <t>2026-07-01</t>
        </is>
      </c>
      <c r="D570" t="inlineStr">
        <is>
          <t>2026-07-31</t>
        </is>
      </c>
      <c r="E570" s="8" t="n">
        <v>46236</v>
      </c>
      <c r="F570" s="8" t="n">
        <v>46251</v>
      </c>
      <c r="G570" t="n">
        <v>490.06</v>
      </c>
      <c r="H570" t="n">
        <v>0</v>
      </c>
      <c r="I570" t="n">
        <v>490.06</v>
      </c>
      <c r="J570" t="n">
        <v>0.18</v>
      </c>
      <c r="K570" t="n">
        <v>88.20999999999999</v>
      </c>
      <c r="L570" t="n">
        <v>578.27</v>
      </c>
      <c r="M570" t="inlineStr">
        <is>
          <t>INR</t>
        </is>
      </c>
      <c r="N570" t="inlineStr">
        <is>
          <t>Issued</t>
        </is>
      </c>
      <c r="O570" t="inlineStr">
        <is>
          <t>Unpaid</t>
        </is>
      </c>
      <c r="P570" t="n">
        <v>629.7</v>
      </c>
      <c r="Q570" t="n">
        <v>490.06</v>
      </c>
      <c r="R570" t="b">
        <v>1</v>
      </c>
    </row>
    <row r="571">
      <c r="A571" t="inlineStr">
        <is>
          <t>INV0014036</t>
        </is>
      </c>
      <c r="B571" t="inlineStr">
        <is>
          <t>MER00662</t>
        </is>
      </c>
      <c r="C571" t="inlineStr">
        <is>
          <t>2024-08-01</t>
        </is>
      </c>
      <c r="D571" t="inlineStr">
        <is>
          <t>2024-08-31</t>
        </is>
      </c>
      <c r="E571" s="8" t="n">
        <v>45537</v>
      </c>
      <c r="F571" s="8" t="n">
        <v>45582</v>
      </c>
      <c r="G571" t="n">
        <v>609.96</v>
      </c>
      <c r="H571" t="n">
        <v>0</v>
      </c>
      <c r="I571" t="n">
        <v>609.96</v>
      </c>
      <c r="J571" t="n">
        <v>0.18</v>
      </c>
      <c r="K571" t="n">
        <v>109.79</v>
      </c>
      <c r="L571" t="n">
        <v>719.75</v>
      </c>
      <c r="M571" t="inlineStr">
        <is>
          <t>INR</t>
        </is>
      </c>
      <c r="N571" t="inlineStr">
        <is>
          <t>Paid</t>
        </is>
      </c>
      <c r="O571" t="inlineStr">
        <is>
          <t>Paid</t>
        </is>
      </c>
      <c r="P571" t="n">
        <v>609.96</v>
      </c>
      <c r="Q571" t="n">
        <v>609.96</v>
      </c>
      <c r="R571" t="b">
        <v>0</v>
      </c>
    </row>
    <row r="572">
      <c r="A572" t="inlineStr">
        <is>
          <t>INV0014037</t>
        </is>
      </c>
      <c r="B572" t="inlineStr">
        <is>
          <t>MER00662</t>
        </is>
      </c>
      <c r="C572" t="inlineStr">
        <is>
          <t>2024-09-01</t>
        </is>
      </c>
      <c r="D572" t="inlineStr">
        <is>
          <t>2024-09-30</t>
        </is>
      </c>
      <c r="E572" s="8" t="n">
        <v>45567</v>
      </c>
      <c r="F572" s="8" t="n">
        <v>45612</v>
      </c>
      <c r="G572" t="n">
        <v>430.2</v>
      </c>
      <c r="H572" t="n">
        <v>46.03</v>
      </c>
      <c r="I572" t="n">
        <v>384.17</v>
      </c>
      <c r="J572" t="n">
        <v>0.18</v>
      </c>
      <c r="K572" t="n">
        <v>69.15000000000001</v>
      </c>
      <c r="L572" t="n">
        <v>453.32</v>
      </c>
      <c r="M572" t="inlineStr">
        <is>
          <t>INR</t>
        </is>
      </c>
      <c r="N572" t="inlineStr">
        <is>
          <t>Paid</t>
        </is>
      </c>
      <c r="O572" t="inlineStr">
        <is>
          <t>Paid</t>
        </is>
      </c>
      <c r="P572" t="n">
        <v>430.2</v>
      </c>
      <c r="Q572" t="n">
        <v>430.2</v>
      </c>
      <c r="R572" t="b">
        <v>0</v>
      </c>
    </row>
    <row r="573">
      <c r="A573" t="inlineStr">
        <is>
          <t>INV0014038</t>
        </is>
      </c>
      <c r="B573" t="inlineStr">
        <is>
          <t>MER00662</t>
        </is>
      </c>
      <c r="C573" t="inlineStr">
        <is>
          <t>2024-10-01</t>
        </is>
      </c>
      <c r="D573" t="inlineStr">
        <is>
          <t>2024-10-31</t>
        </is>
      </c>
      <c r="E573" s="8" t="n">
        <v>45598</v>
      </c>
      <c r="F573" s="8" t="n">
        <v>45643</v>
      </c>
      <c r="G573" t="n">
        <v>659.21</v>
      </c>
      <c r="H573" t="n">
        <v>0</v>
      </c>
      <c r="I573" t="n">
        <v>659.21</v>
      </c>
      <c r="J573" t="n">
        <v>0.18</v>
      </c>
      <c r="K573" t="n">
        <v>118.66</v>
      </c>
      <c r="L573" t="n">
        <v>777.87</v>
      </c>
      <c r="M573" t="inlineStr">
        <is>
          <t>INR</t>
        </is>
      </c>
      <c r="N573" t="inlineStr">
        <is>
          <t>Paid</t>
        </is>
      </c>
      <c r="O573" t="inlineStr">
        <is>
          <t>Paid</t>
        </is>
      </c>
      <c r="P573" t="n">
        <v>659.21</v>
      </c>
      <c r="Q573" t="n">
        <v>659.21</v>
      </c>
      <c r="R573" t="b">
        <v>0</v>
      </c>
    </row>
    <row r="574">
      <c r="A574" t="inlineStr">
        <is>
          <t>INV0014039</t>
        </is>
      </c>
      <c r="B574" t="inlineStr">
        <is>
          <t>MER00662</t>
        </is>
      </c>
      <c r="C574" t="inlineStr">
        <is>
          <t>2024-11-01</t>
        </is>
      </c>
      <c r="D574" t="inlineStr">
        <is>
          <t>2024-11-30</t>
        </is>
      </c>
      <c r="E574" s="8" t="n">
        <v>45628</v>
      </c>
      <c r="F574" s="8" t="n">
        <v>45673</v>
      </c>
      <c r="G574" t="n">
        <v>1200.54</v>
      </c>
      <c r="H574" t="n">
        <v>0</v>
      </c>
      <c r="I574" t="n">
        <v>1200.54</v>
      </c>
      <c r="J574" t="n">
        <v>0.18</v>
      </c>
      <c r="K574" t="n">
        <v>216.1</v>
      </c>
      <c r="L574" t="n">
        <v>1416.64</v>
      </c>
      <c r="M574" t="inlineStr">
        <is>
          <t>INR</t>
        </is>
      </c>
      <c r="N574" t="inlineStr">
        <is>
          <t>Paid</t>
        </is>
      </c>
      <c r="O574" t="inlineStr">
        <is>
          <t>Paid</t>
        </is>
      </c>
      <c r="P574" t="n">
        <v>1200.54</v>
      </c>
      <c r="Q574" t="n">
        <v>1200.54</v>
      </c>
      <c r="R574" t="b">
        <v>0</v>
      </c>
    </row>
    <row r="575">
      <c r="A575" t="inlineStr">
        <is>
          <t>INV0014040</t>
        </is>
      </c>
      <c r="B575" t="inlineStr">
        <is>
          <t>MER00662</t>
        </is>
      </c>
      <c r="C575" t="inlineStr">
        <is>
          <t>2024-12-01</t>
        </is>
      </c>
      <c r="D575" t="inlineStr">
        <is>
          <t>2024-12-31</t>
        </is>
      </c>
      <c r="E575" s="8" t="n">
        <v>45659</v>
      </c>
      <c r="F575" s="8" t="n">
        <v>45704</v>
      </c>
      <c r="G575" t="n">
        <v>912.8099999999999</v>
      </c>
      <c r="H575" t="n">
        <v>0</v>
      </c>
      <c r="I575" t="n">
        <v>912.8099999999999</v>
      </c>
      <c r="J575" t="n">
        <v>0.18</v>
      </c>
      <c r="K575" t="n">
        <v>164.31</v>
      </c>
      <c r="L575" t="n">
        <v>1077.12</v>
      </c>
      <c r="M575" t="inlineStr">
        <is>
          <t>INR</t>
        </is>
      </c>
      <c r="N575" t="inlineStr">
        <is>
          <t>Paid</t>
        </is>
      </c>
      <c r="O575" t="inlineStr">
        <is>
          <t>Paid</t>
        </is>
      </c>
      <c r="P575" t="n">
        <v>825.28</v>
      </c>
      <c r="Q575" t="n">
        <v>912.8099999999999</v>
      </c>
      <c r="R575" t="b">
        <v>1</v>
      </c>
    </row>
    <row r="576">
      <c r="A576" t="inlineStr">
        <is>
          <t>INV0014041</t>
        </is>
      </c>
      <c r="B576" t="inlineStr">
        <is>
          <t>MER00662</t>
        </is>
      </c>
      <c r="C576" t="inlineStr">
        <is>
          <t>2025-01-01</t>
        </is>
      </c>
      <c r="D576" t="inlineStr">
        <is>
          <t>2025-01-31</t>
        </is>
      </c>
      <c r="E576" s="8" t="n">
        <v>45690</v>
      </c>
      <c r="F576" s="8" t="n">
        <v>45735</v>
      </c>
      <c r="G576" t="n">
        <v>1099.53</v>
      </c>
      <c r="H576" t="n">
        <v>0</v>
      </c>
      <c r="I576" t="n">
        <v>1099.53</v>
      </c>
      <c r="J576" t="n">
        <v>0.18</v>
      </c>
      <c r="K576" t="n">
        <v>197.92</v>
      </c>
      <c r="L576" t="n">
        <v>1297.45</v>
      </c>
      <c r="M576" t="inlineStr">
        <is>
          <t>INR</t>
        </is>
      </c>
      <c r="N576" t="inlineStr">
        <is>
          <t>Paid</t>
        </is>
      </c>
      <c r="O576" t="inlineStr">
        <is>
          <t>Paid</t>
        </is>
      </c>
      <c r="P576" t="n">
        <v>1099.53</v>
      </c>
      <c r="Q576" t="n">
        <v>1099.53</v>
      </c>
      <c r="R576" t="b">
        <v>0</v>
      </c>
    </row>
    <row r="577">
      <c r="A577" t="inlineStr">
        <is>
          <t>INV0014042</t>
        </is>
      </c>
      <c r="B577" t="inlineStr">
        <is>
          <t>MER00662</t>
        </is>
      </c>
      <c r="C577" t="inlineStr">
        <is>
          <t>2025-02-01</t>
        </is>
      </c>
      <c r="D577" t="inlineStr">
        <is>
          <t>2025-02-28</t>
        </is>
      </c>
      <c r="E577" s="8" t="n">
        <v>45718</v>
      </c>
      <c r="F577" s="8" t="n">
        <v>45763</v>
      </c>
      <c r="G577" t="n">
        <v>718.91</v>
      </c>
      <c r="H577" t="n">
        <v>0</v>
      </c>
      <c r="I577" t="n">
        <v>718.91</v>
      </c>
      <c r="J577" t="n">
        <v>0.18</v>
      </c>
      <c r="K577" t="n">
        <v>129.4</v>
      </c>
      <c r="L577" t="n">
        <v>848.3099999999999</v>
      </c>
      <c r="M577" t="inlineStr">
        <is>
          <t>INR</t>
        </is>
      </c>
      <c r="N577" t="inlineStr">
        <is>
          <t>Paid</t>
        </is>
      </c>
      <c r="O577" t="inlineStr">
        <is>
          <t>Paid</t>
        </is>
      </c>
      <c r="P577" t="n">
        <v>718.91</v>
      </c>
      <c r="Q577" t="n">
        <v>718.91</v>
      </c>
      <c r="R577" t="b">
        <v>0</v>
      </c>
    </row>
    <row r="578">
      <c r="A578" t="inlineStr">
        <is>
          <t>INV0014043</t>
        </is>
      </c>
      <c r="B578" t="inlineStr">
        <is>
          <t>MER00662</t>
        </is>
      </c>
      <c r="C578" t="inlineStr">
        <is>
          <t>2025-03-01</t>
        </is>
      </c>
      <c r="D578" t="inlineStr">
        <is>
          <t>2025-03-31</t>
        </is>
      </c>
      <c r="E578" s="8" t="n">
        <v>45749</v>
      </c>
      <c r="F578" s="8" t="n">
        <v>45794</v>
      </c>
      <c r="G578" t="n">
        <v>774.47</v>
      </c>
      <c r="H578" t="n">
        <v>0</v>
      </c>
      <c r="I578" t="n">
        <v>774.47</v>
      </c>
      <c r="J578" t="n">
        <v>0.18</v>
      </c>
      <c r="K578" t="n">
        <v>139.4</v>
      </c>
      <c r="L578" t="n">
        <v>913.87</v>
      </c>
      <c r="M578" t="inlineStr">
        <is>
          <t>INR</t>
        </is>
      </c>
      <c r="N578" t="inlineStr">
        <is>
          <t>Paid</t>
        </is>
      </c>
      <c r="O578" t="inlineStr">
        <is>
          <t>Paid</t>
        </is>
      </c>
      <c r="P578" t="n">
        <v>774.47</v>
      </c>
      <c r="Q578" t="n">
        <v>774.47</v>
      </c>
      <c r="R578" t="b">
        <v>0</v>
      </c>
    </row>
    <row r="579">
      <c r="A579" t="inlineStr">
        <is>
          <t>INV0014044</t>
        </is>
      </c>
      <c r="B579" t="inlineStr">
        <is>
          <t>MER00662</t>
        </is>
      </c>
      <c r="C579" t="inlineStr">
        <is>
          <t>2025-04-01</t>
        </is>
      </c>
      <c r="D579" t="inlineStr">
        <is>
          <t>2025-04-30</t>
        </is>
      </c>
      <c r="E579" s="8" t="n">
        <v>45779</v>
      </c>
      <c r="F579" s="8" t="n">
        <v>45824</v>
      </c>
      <c r="G579" t="n">
        <v>904.63</v>
      </c>
      <c r="H579" t="n">
        <v>0</v>
      </c>
      <c r="I579" t="n">
        <v>904.63</v>
      </c>
      <c r="J579" t="n">
        <v>0.18</v>
      </c>
      <c r="K579" t="n">
        <v>162.83</v>
      </c>
      <c r="L579" t="n">
        <v>1067.46</v>
      </c>
      <c r="M579" t="inlineStr">
        <is>
          <t>INR</t>
        </is>
      </c>
      <c r="N579" t="inlineStr">
        <is>
          <t>Overdue</t>
        </is>
      </c>
      <c r="O579" t="inlineStr">
        <is>
          <t>Unpaid</t>
        </is>
      </c>
      <c r="P579" t="n">
        <v>904.63</v>
      </c>
      <c r="Q579" t="n">
        <v>904.63</v>
      </c>
      <c r="R579" t="b">
        <v>0</v>
      </c>
    </row>
    <row r="580">
      <c r="A580" t="inlineStr">
        <is>
          <t>INV0014045</t>
        </is>
      </c>
      <c r="B580" t="inlineStr">
        <is>
          <t>MER00662</t>
        </is>
      </c>
      <c r="C580" t="inlineStr">
        <is>
          <t>2025-05-01</t>
        </is>
      </c>
      <c r="D580" t="inlineStr">
        <is>
          <t>2025-05-31</t>
        </is>
      </c>
      <c r="E580" s="8" t="n">
        <v>45810</v>
      </c>
      <c r="F580" s="8" t="n">
        <v>45855</v>
      </c>
      <c r="G580" t="n">
        <v>707.5700000000001</v>
      </c>
      <c r="H580" t="n">
        <v>0</v>
      </c>
      <c r="I580" t="n">
        <v>707.5700000000001</v>
      </c>
      <c r="J580" t="n">
        <v>0.18</v>
      </c>
      <c r="K580" t="n">
        <v>127.36</v>
      </c>
      <c r="L580" t="n">
        <v>834.9299999999999</v>
      </c>
      <c r="M580" t="inlineStr">
        <is>
          <t>INR</t>
        </is>
      </c>
      <c r="N580" t="inlineStr">
        <is>
          <t>Paid</t>
        </is>
      </c>
      <c r="O580" t="inlineStr">
        <is>
          <t>Paid</t>
        </is>
      </c>
      <c r="P580" t="n">
        <v>707.5700000000001</v>
      </c>
      <c r="Q580" t="n">
        <v>707.5700000000001</v>
      </c>
      <c r="R580" t="b">
        <v>0</v>
      </c>
    </row>
    <row r="581">
      <c r="A581" t="inlineStr">
        <is>
          <t>INV0014046</t>
        </is>
      </c>
      <c r="B581" t="inlineStr">
        <is>
          <t>MER00662</t>
        </is>
      </c>
      <c r="C581" t="inlineStr">
        <is>
          <t>2025-06-01</t>
        </is>
      </c>
      <c r="D581" t="inlineStr">
        <is>
          <t>2025-06-30</t>
        </is>
      </c>
      <c r="E581" s="8" t="n">
        <v>45840</v>
      </c>
      <c r="F581" s="8" t="n">
        <v>45885</v>
      </c>
      <c r="G581" t="n">
        <v>639.8099999999999</v>
      </c>
      <c r="H581" t="n">
        <v>0</v>
      </c>
      <c r="I581" t="n">
        <v>639.8099999999999</v>
      </c>
      <c r="J581" t="n">
        <v>0.18</v>
      </c>
      <c r="K581" t="n">
        <v>115.17</v>
      </c>
      <c r="L581" t="n">
        <v>754.98</v>
      </c>
      <c r="M581" t="inlineStr">
        <is>
          <t>INR</t>
        </is>
      </c>
      <c r="N581" t="inlineStr">
        <is>
          <t>Paid</t>
        </is>
      </c>
      <c r="O581" t="inlineStr">
        <is>
          <t>Paid</t>
        </is>
      </c>
      <c r="P581" t="n">
        <v>639.8099999999999</v>
      </c>
      <c r="Q581" t="n">
        <v>639.8099999999999</v>
      </c>
      <c r="R581" t="b">
        <v>0</v>
      </c>
    </row>
    <row r="582">
      <c r="A582" t="inlineStr">
        <is>
          <t>INV0014047</t>
        </is>
      </c>
      <c r="B582" t="inlineStr">
        <is>
          <t>MER00662</t>
        </is>
      </c>
      <c r="C582" t="inlineStr">
        <is>
          <t>2025-07-01</t>
        </is>
      </c>
      <c r="D582" t="inlineStr">
        <is>
          <t>2025-07-31</t>
        </is>
      </c>
      <c r="E582" s="8" t="n">
        <v>45871</v>
      </c>
      <c r="F582" s="8" t="n">
        <v>45916</v>
      </c>
      <c r="G582" t="n">
        <v>826.28</v>
      </c>
      <c r="H582" t="n">
        <v>0</v>
      </c>
      <c r="I582" t="n">
        <v>826.28</v>
      </c>
      <c r="J582" t="n">
        <v>0.18</v>
      </c>
      <c r="K582" t="n">
        <v>148.73</v>
      </c>
      <c r="L582" t="n">
        <v>975.01</v>
      </c>
      <c r="M582" t="inlineStr">
        <is>
          <t>INR</t>
        </is>
      </c>
      <c r="N582" t="inlineStr">
        <is>
          <t>Paid</t>
        </is>
      </c>
      <c r="O582" t="inlineStr">
        <is>
          <t>Paid</t>
        </is>
      </c>
      <c r="P582" t="n">
        <v>826.28</v>
      </c>
      <c r="Q582" t="n">
        <v>826.28</v>
      </c>
      <c r="R582" t="b">
        <v>0</v>
      </c>
    </row>
    <row r="583">
      <c r="A583" t="inlineStr">
        <is>
          <t>INV0014048</t>
        </is>
      </c>
      <c r="B583" t="inlineStr">
        <is>
          <t>MER00662</t>
        </is>
      </c>
      <c r="C583" t="inlineStr">
        <is>
          <t>2025-08-01</t>
        </is>
      </c>
      <c r="D583" t="inlineStr">
        <is>
          <t>2025-08-31</t>
        </is>
      </c>
      <c r="E583" s="8" t="n">
        <v>45902</v>
      </c>
      <c r="F583" s="8" t="n">
        <v>45947</v>
      </c>
      <c r="G583" t="n">
        <v>869.3</v>
      </c>
      <c r="H583" t="n">
        <v>0</v>
      </c>
      <c r="I583" t="n">
        <v>869.3</v>
      </c>
      <c r="J583" t="n">
        <v>0.18</v>
      </c>
      <c r="K583" t="n">
        <v>156.47</v>
      </c>
      <c r="L583" t="n">
        <v>1025.77</v>
      </c>
      <c r="M583" t="inlineStr">
        <is>
          <t>INR</t>
        </is>
      </c>
      <c r="N583" t="inlineStr">
        <is>
          <t>Overdue</t>
        </is>
      </c>
      <c r="O583" t="inlineStr">
        <is>
          <t>Unpaid</t>
        </is>
      </c>
      <c r="P583" t="n">
        <v>869.3</v>
      </c>
      <c r="Q583" t="n">
        <v>869.3</v>
      </c>
      <c r="R583" t="b">
        <v>0</v>
      </c>
    </row>
    <row r="584">
      <c r="A584" t="inlineStr">
        <is>
          <t>INV0014049</t>
        </is>
      </c>
      <c r="B584" t="inlineStr">
        <is>
          <t>MER00662</t>
        </is>
      </c>
      <c r="C584" t="inlineStr">
        <is>
          <t>2025-09-01</t>
        </is>
      </c>
      <c r="D584" t="inlineStr">
        <is>
          <t>2025-09-30</t>
        </is>
      </c>
      <c r="E584" s="8" t="n">
        <v>45932</v>
      </c>
      <c r="F584" s="8" t="n">
        <v>45977</v>
      </c>
      <c r="G584" t="n">
        <v>685.45</v>
      </c>
      <c r="H584" t="n">
        <v>0</v>
      </c>
      <c r="I584" t="n">
        <v>685.45</v>
      </c>
      <c r="J584" t="n">
        <v>0.18</v>
      </c>
      <c r="K584" t="n">
        <v>123.38</v>
      </c>
      <c r="L584" t="n">
        <v>808.83</v>
      </c>
      <c r="M584" t="inlineStr">
        <is>
          <t>INR</t>
        </is>
      </c>
      <c r="N584" t="inlineStr">
        <is>
          <t>Paid</t>
        </is>
      </c>
      <c r="O584" t="inlineStr">
        <is>
          <t>Paid</t>
        </is>
      </c>
      <c r="P584" t="n">
        <v>788.73</v>
      </c>
      <c r="Q584" t="n">
        <v>685.45</v>
      </c>
      <c r="R584" t="b">
        <v>1</v>
      </c>
    </row>
    <row r="585">
      <c r="A585" t="inlineStr">
        <is>
          <t>INV0014050</t>
        </is>
      </c>
      <c r="B585" t="inlineStr">
        <is>
          <t>MER00662</t>
        </is>
      </c>
      <c r="C585" t="inlineStr">
        <is>
          <t>2025-10-01</t>
        </is>
      </c>
      <c r="D585" t="inlineStr">
        <is>
          <t>2025-10-31</t>
        </is>
      </c>
      <c r="E585" s="8" t="n">
        <v>45963</v>
      </c>
      <c r="F585" s="8" t="n">
        <v>46008</v>
      </c>
      <c r="G585" t="n">
        <v>1270.66</v>
      </c>
      <c r="H585" t="n">
        <v>0</v>
      </c>
      <c r="I585" t="n">
        <v>1270.66</v>
      </c>
      <c r="J585" t="n">
        <v>0.18</v>
      </c>
      <c r="K585" t="n">
        <v>228.72</v>
      </c>
      <c r="L585" t="n">
        <v>1499.38</v>
      </c>
      <c r="M585" t="inlineStr">
        <is>
          <t>INR</t>
        </is>
      </c>
      <c r="N585" t="inlineStr">
        <is>
          <t>Paid</t>
        </is>
      </c>
      <c r="O585" t="inlineStr">
        <is>
          <t>Paid</t>
        </is>
      </c>
      <c r="P585" t="n">
        <v>1270.66</v>
      </c>
      <c r="Q585" t="n">
        <v>1270.66</v>
      </c>
      <c r="R585" t="b">
        <v>0</v>
      </c>
    </row>
    <row r="586">
      <c r="A586" t="inlineStr">
        <is>
          <t>INV0014051</t>
        </is>
      </c>
      <c r="B586" t="inlineStr">
        <is>
          <t>MER00662</t>
        </is>
      </c>
      <c r="C586" t="inlineStr">
        <is>
          <t>2025-11-01</t>
        </is>
      </c>
      <c r="D586" t="inlineStr">
        <is>
          <t>2025-11-30</t>
        </is>
      </c>
      <c r="E586" s="8" t="n">
        <v>45993</v>
      </c>
      <c r="F586" s="8" t="n">
        <v>46038</v>
      </c>
      <c r="G586" t="n">
        <v>948.97</v>
      </c>
      <c r="H586" t="n">
        <v>0</v>
      </c>
      <c r="I586" t="n">
        <v>948.97</v>
      </c>
      <c r="J586" t="n">
        <v>0.18</v>
      </c>
      <c r="K586" t="n">
        <v>170.81</v>
      </c>
      <c r="L586" t="n">
        <v>1119.78</v>
      </c>
      <c r="M586" t="inlineStr">
        <is>
          <t>INR</t>
        </is>
      </c>
      <c r="N586" t="inlineStr">
        <is>
          <t>Paid</t>
        </is>
      </c>
      <c r="O586" t="inlineStr">
        <is>
          <t>Paid</t>
        </is>
      </c>
      <c r="P586" t="n">
        <v>948.97</v>
      </c>
      <c r="Q586" t="n">
        <v>948.97</v>
      </c>
      <c r="R586" t="b">
        <v>0</v>
      </c>
    </row>
    <row r="587">
      <c r="A587" t="inlineStr">
        <is>
          <t>INV0014052</t>
        </is>
      </c>
      <c r="B587" t="inlineStr">
        <is>
          <t>MER00662</t>
        </is>
      </c>
      <c r="C587" t="inlineStr">
        <is>
          <t>2025-12-01</t>
        </is>
      </c>
      <c r="D587" t="inlineStr">
        <is>
          <t>2025-12-31</t>
        </is>
      </c>
      <c r="E587" s="8" t="n">
        <v>46024</v>
      </c>
      <c r="F587" s="8" t="n">
        <v>46069</v>
      </c>
      <c r="G587" t="n">
        <v>1014.04</v>
      </c>
      <c r="H587" t="n">
        <v>0</v>
      </c>
      <c r="I587" t="n">
        <v>1014.04</v>
      </c>
      <c r="J587" t="n">
        <v>0.18</v>
      </c>
      <c r="K587" t="n">
        <v>182.53</v>
      </c>
      <c r="L587" t="n">
        <v>1196.57</v>
      </c>
      <c r="M587" t="inlineStr">
        <is>
          <t>INR</t>
        </is>
      </c>
      <c r="N587" t="inlineStr">
        <is>
          <t>Paid</t>
        </is>
      </c>
      <c r="O587" t="inlineStr">
        <is>
          <t>Paid</t>
        </is>
      </c>
      <c r="P587" t="n">
        <v>1014.04</v>
      </c>
      <c r="Q587" t="n">
        <v>1014.04</v>
      </c>
      <c r="R587" t="b">
        <v>0</v>
      </c>
    </row>
    <row r="588">
      <c r="A588" t="inlineStr">
        <is>
          <t>INV0014053</t>
        </is>
      </c>
      <c r="B588" t="inlineStr">
        <is>
          <t>MER00662</t>
        </is>
      </c>
      <c r="C588" t="inlineStr">
        <is>
          <t>2026-01-01</t>
        </is>
      </c>
      <c r="D588" t="inlineStr">
        <is>
          <t>2026-01-31</t>
        </is>
      </c>
      <c r="E588" s="8" t="n">
        <v>46055</v>
      </c>
      <c r="F588" s="8" t="n">
        <v>46100</v>
      </c>
      <c r="G588" t="n">
        <v>777.88</v>
      </c>
      <c r="H588" t="n">
        <v>0</v>
      </c>
      <c r="I588" t="n">
        <v>777.88</v>
      </c>
      <c r="J588" t="n">
        <v>0.18</v>
      </c>
      <c r="K588" t="n">
        <v>140.02</v>
      </c>
      <c r="L588" t="n">
        <v>917.9</v>
      </c>
      <c r="M588" t="inlineStr">
        <is>
          <t>INR</t>
        </is>
      </c>
      <c r="N588" t="inlineStr">
        <is>
          <t>Overdue</t>
        </is>
      </c>
      <c r="O588" t="inlineStr">
        <is>
          <t>Unpaid</t>
        </is>
      </c>
      <c r="P588" t="n">
        <v>777.88</v>
      </c>
      <c r="Q588" t="n">
        <v>777.88</v>
      </c>
      <c r="R588" t="b">
        <v>0</v>
      </c>
    </row>
    <row r="589">
      <c r="A589" t="inlineStr">
        <is>
          <t>INV0014054</t>
        </is>
      </c>
      <c r="B589" t="inlineStr">
        <is>
          <t>MER00662</t>
        </is>
      </c>
      <c r="C589" t="inlineStr">
        <is>
          <t>2026-02-01</t>
        </is>
      </c>
      <c r="D589" t="inlineStr">
        <is>
          <t>2026-02-28</t>
        </is>
      </c>
      <c r="E589" s="8" t="n">
        <v>46083</v>
      </c>
      <c r="F589" s="8" t="n">
        <v>46128</v>
      </c>
      <c r="G589" t="n">
        <v>627.63</v>
      </c>
      <c r="H589" t="n">
        <v>0</v>
      </c>
      <c r="I589" t="n">
        <v>627.63</v>
      </c>
      <c r="J589" t="n">
        <v>0.18</v>
      </c>
      <c r="K589" t="n">
        <v>112.97</v>
      </c>
      <c r="L589" t="n">
        <v>740.6</v>
      </c>
      <c r="M589" t="inlineStr">
        <is>
          <t>INR</t>
        </is>
      </c>
      <c r="N589" t="inlineStr">
        <is>
          <t>Paid</t>
        </is>
      </c>
      <c r="O589" t="inlineStr">
        <is>
          <t>Paid</t>
        </is>
      </c>
      <c r="P589" t="n">
        <v>627.63</v>
      </c>
      <c r="Q589" t="n">
        <v>627.63</v>
      </c>
      <c r="R589" t="b">
        <v>0</v>
      </c>
    </row>
    <row r="590">
      <c r="A590" t="inlineStr">
        <is>
          <t>INV0014055</t>
        </is>
      </c>
      <c r="B590" t="inlineStr">
        <is>
          <t>MER00662</t>
        </is>
      </c>
      <c r="C590" t="inlineStr">
        <is>
          <t>2026-03-01</t>
        </is>
      </c>
      <c r="D590" t="inlineStr">
        <is>
          <t>2026-03-31</t>
        </is>
      </c>
      <c r="E590" s="8" t="n">
        <v>46114</v>
      </c>
      <c r="F590" s="8" t="n">
        <v>46159</v>
      </c>
      <c r="G590" t="n">
        <v>896.5700000000001</v>
      </c>
      <c r="H590" t="n">
        <v>0</v>
      </c>
      <c r="I590" t="n">
        <v>896.5700000000001</v>
      </c>
      <c r="J590" t="n">
        <v>0.18</v>
      </c>
      <c r="K590" t="n">
        <v>161.38</v>
      </c>
      <c r="L590" t="n">
        <v>1057.95</v>
      </c>
      <c r="M590" t="inlineStr">
        <is>
          <t>INR</t>
        </is>
      </c>
      <c r="N590" t="inlineStr">
        <is>
          <t>Paid</t>
        </is>
      </c>
      <c r="O590" t="inlineStr">
        <is>
          <t>Paid</t>
        </is>
      </c>
      <c r="P590" t="n">
        <v>896.5700000000001</v>
      </c>
      <c r="Q590" t="n">
        <v>896.5700000000001</v>
      </c>
      <c r="R590" t="b">
        <v>0</v>
      </c>
    </row>
    <row r="591">
      <c r="A591" t="inlineStr">
        <is>
          <t>INV0014056</t>
        </is>
      </c>
      <c r="B591" t="inlineStr">
        <is>
          <t>MER00662</t>
        </is>
      </c>
      <c r="C591" t="inlineStr">
        <is>
          <t>2026-04-01</t>
        </is>
      </c>
      <c r="D591" t="inlineStr">
        <is>
          <t>2026-04-30</t>
        </is>
      </c>
      <c r="E591" s="8" t="n">
        <v>46144</v>
      </c>
      <c r="F591" s="8" t="n">
        <v>46189</v>
      </c>
      <c r="G591" t="n">
        <v>877.0599999999999</v>
      </c>
      <c r="H591" t="n">
        <v>0</v>
      </c>
      <c r="I591" t="n">
        <v>877.0599999999999</v>
      </c>
      <c r="J591" t="n">
        <v>0.18</v>
      </c>
      <c r="K591" t="n">
        <v>157.87</v>
      </c>
      <c r="L591" t="n">
        <v>1034.93</v>
      </c>
      <c r="M591" t="inlineStr">
        <is>
          <t>INR</t>
        </is>
      </c>
      <c r="N591" t="inlineStr">
        <is>
          <t>Paid</t>
        </is>
      </c>
      <c r="O591" t="inlineStr">
        <is>
          <t>Paid</t>
        </is>
      </c>
      <c r="P591" t="n">
        <v>877.0599999999999</v>
      </c>
      <c r="Q591" t="n">
        <v>877.0599999999999</v>
      </c>
      <c r="R591" t="b">
        <v>0</v>
      </c>
    </row>
    <row r="592">
      <c r="A592" t="inlineStr">
        <is>
          <t>INV0014057</t>
        </is>
      </c>
      <c r="B592" t="inlineStr">
        <is>
          <t>MER00662</t>
        </is>
      </c>
      <c r="C592" t="inlineStr">
        <is>
          <t>2026-05-01</t>
        </is>
      </c>
      <c r="D592" t="inlineStr">
        <is>
          <t>2026-05-31</t>
        </is>
      </c>
      <c r="E592" s="8" t="n">
        <v>46175</v>
      </c>
      <c r="F592" s="8" t="n">
        <v>46220</v>
      </c>
      <c r="G592" t="n">
        <v>484.29</v>
      </c>
      <c r="H592" t="n">
        <v>0</v>
      </c>
      <c r="I592" t="n">
        <v>484.29</v>
      </c>
      <c r="J592" t="n">
        <v>0.18</v>
      </c>
      <c r="K592" t="n">
        <v>87.17</v>
      </c>
      <c r="L592" t="n">
        <v>571.46</v>
      </c>
      <c r="M592" t="inlineStr">
        <is>
          <t>INR</t>
        </is>
      </c>
      <c r="N592" t="inlineStr">
        <is>
          <t>Paid</t>
        </is>
      </c>
      <c r="O592" t="inlineStr">
        <is>
          <t>Paid</t>
        </is>
      </c>
      <c r="P592" t="n">
        <v>484.29</v>
      </c>
      <c r="Q592" t="n">
        <v>484.29</v>
      </c>
      <c r="R592" t="b">
        <v>0</v>
      </c>
    </row>
    <row r="593">
      <c r="A593" t="inlineStr">
        <is>
          <t>INV0014058</t>
        </is>
      </c>
      <c r="B593" t="inlineStr">
        <is>
          <t>MER00662</t>
        </is>
      </c>
      <c r="C593" t="inlineStr">
        <is>
          <t>2026-06-01</t>
        </is>
      </c>
      <c r="D593" t="inlineStr">
        <is>
          <t>2026-06-30</t>
        </is>
      </c>
      <c r="E593" s="8" t="n">
        <v>46205</v>
      </c>
      <c r="F593" s="8" t="n">
        <v>46250</v>
      </c>
      <c r="G593" t="n">
        <v>993.6</v>
      </c>
      <c r="H593" t="n">
        <v>0</v>
      </c>
      <c r="I593" t="n">
        <v>993.6</v>
      </c>
      <c r="J593" t="n">
        <v>0.18</v>
      </c>
      <c r="K593" t="n">
        <v>178.85</v>
      </c>
      <c r="L593" t="n">
        <v>1172.45</v>
      </c>
      <c r="M593" t="inlineStr">
        <is>
          <t>INR</t>
        </is>
      </c>
      <c r="N593" t="inlineStr">
        <is>
          <t>Paid</t>
        </is>
      </c>
      <c r="O593" t="inlineStr">
        <is>
          <t>Paid</t>
        </is>
      </c>
      <c r="P593" t="n">
        <v>993.6</v>
      </c>
      <c r="Q593" t="n">
        <v>993.6</v>
      </c>
      <c r="R593" t="b">
        <v>0</v>
      </c>
    </row>
    <row r="594">
      <c r="A594" t="inlineStr">
        <is>
          <t>INV0014059</t>
        </is>
      </c>
      <c r="B594" t="inlineStr">
        <is>
          <t>MER00662</t>
        </is>
      </c>
      <c r="C594" t="inlineStr">
        <is>
          <t>2026-07-01</t>
        </is>
      </c>
      <c r="D594" t="inlineStr">
        <is>
          <t>2026-07-31</t>
        </is>
      </c>
      <c r="E594" s="8" t="n">
        <v>46236</v>
      </c>
      <c r="F594" s="8" t="n">
        <v>46281</v>
      </c>
      <c r="G594" t="n">
        <v>1087.59</v>
      </c>
      <c r="H594" t="n">
        <v>0</v>
      </c>
      <c r="I594" t="n">
        <v>1087.59</v>
      </c>
      <c r="J594" t="n">
        <v>0.18</v>
      </c>
      <c r="K594" t="n">
        <v>195.77</v>
      </c>
      <c r="L594" t="n">
        <v>1283.36</v>
      </c>
      <c r="M594" t="inlineStr">
        <is>
          <t>INR</t>
        </is>
      </c>
      <c r="N594" t="inlineStr">
        <is>
          <t>Paid</t>
        </is>
      </c>
      <c r="O594" t="inlineStr">
        <is>
          <t>Paid</t>
        </is>
      </c>
      <c r="P594" t="n">
        <v>1087.59</v>
      </c>
      <c r="Q594" t="n">
        <v>1087.59</v>
      </c>
      <c r="R594" t="b">
        <v>0</v>
      </c>
    </row>
    <row r="595">
      <c r="A595" t="inlineStr">
        <is>
          <t>INV0014962</t>
        </is>
      </c>
      <c r="B595" t="inlineStr">
        <is>
          <t>MER00707</t>
        </is>
      </c>
      <c r="C595" t="inlineStr">
        <is>
          <t>2024-08-01</t>
        </is>
      </c>
      <c r="D595" t="inlineStr">
        <is>
          <t>2024-08-31</t>
        </is>
      </c>
      <c r="E595" s="8" t="n">
        <v>45537</v>
      </c>
      <c r="F595" s="8" t="n">
        <v>45567</v>
      </c>
      <c r="G595" t="n">
        <v>409.55</v>
      </c>
      <c r="H595" t="n">
        <v>0</v>
      </c>
      <c r="I595" t="n">
        <v>409.55</v>
      </c>
      <c r="J595" t="n">
        <v>0.18</v>
      </c>
      <c r="K595" t="n">
        <v>73.72</v>
      </c>
      <c r="L595" t="n">
        <v>483.27</v>
      </c>
      <c r="M595" t="inlineStr">
        <is>
          <t>INR</t>
        </is>
      </c>
      <c r="N595" t="inlineStr">
        <is>
          <t>Paid</t>
        </is>
      </c>
      <c r="O595" t="inlineStr">
        <is>
          <t>Paid</t>
        </is>
      </c>
      <c r="P595" t="n">
        <v>329.42</v>
      </c>
      <c r="Q595" t="n">
        <v>409.55</v>
      </c>
      <c r="R595" t="b">
        <v>1</v>
      </c>
    </row>
    <row r="596">
      <c r="A596" t="inlineStr">
        <is>
          <t>INV0014963</t>
        </is>
      </c>
      <c r="B596" t="inlineStr">
        <is>
          <t>MER00707</t>
        </is>
      </c>
      <c r="C596" t="inlineStr">
        <is>
          <t>2024-09-01</t>
        </is>
      </c>
      <c r="D596" t="inlineStr">
        <is>
          <t>2024-09-30</t>
        </is>
      </c>
      <c r="E596" s="8" t="n">
        <v>45567</v>
      </c>
      <c r="F596" s="8" t="n">
        <v>45597</v>
      </c>
      <c r="G596" t="n">
        <v>679.96</v>
      </c>
      <c r="H596" t="n">
        <v>0</v>
      </c>
      <c r="I596" t="n">
        <v>679.96</v>
      </c>
      <c r="J596" t="n">
        <v>0.18</v>
      </c>
      <c r="K596" t="n">
        <v>122.39</v>
      </c>
      <c r="L596" t="n">
        <v>802.35</v>
      </c>
      <c r="M596" t="inlineStr">
        <is>
          <t>INR</t>
        </is>
      </c>
      <c r="N596" t="inlineStr">
        <is>
          <t>Paid</t>
        </is>
      </c>
      <c r="O596" t="inlineStr">
        <is>
          <t>Paid</t>
        </is>
      </c>
      <c r="P596" t="n">
        <v>679.96</v>
      </c>
      <c r="Q596" t="n">
        <v>679.96</v>
      </c>
      <c r="R596" t="b">
        <v>0</v>
      </c>
    </row>
    <row r="597">
      <c r="A597" t="inlineStr">
        <is>
          <t>INV0014964</t>
        </is>
      </c>
      <c r="B597" t="inlineStr">
        <is>
          <t>MER00707</t>
        </is>
      </c>
      <c r="C597" t="inlineStr">
        <is>
          <t>2024-10-01</t>
        </is>
      </c>
      <c r="D597" t="inlineStr">
        <is>
          <t>2024-10-31</t>
        </is>
      </c>
      <c r="E597" s="8" t="n">
        <v>45598</v>
      </c>
      <c r="F597" s="8" t="n">
        <v>45628</v>
      </c>
      <c r="G597" t="n">
        <v>743.36</v>
      </c>
      <c r="H597" t="n">
        <v>0</v>
      </c>
      <c r="I597" t="n">
        <v>743.36</v>
      </c>
      <c r="J597" t="n">
        <v>0.18</v>
      </c>
      <c r="K597" t="n">
        <v>133.8</v>
      </c>
      <c r="L597" t="n">
        <v>877.16</v>
      </c>
      <c r="M597" t="inlineStr">
        <is>
          <t>INR</t>
        </is>
      </c>
      <c r="N597" t="inlineStr">
        <is>
          <t>Paid</t>
        </is>
      </c>
      <c r="O597" t="inlineStr">
        <is>
          <t>Paid</t>
        </is>
      </c>
      <c r="P597" t="n">
        <v>743.36</v>
      </c>
      <c r="Q597" t="n">
        <v>743.36</v>
      </c>
      <c r="R597" t="b">
        <v>0</v>
      </c>
    </row>
    <row r="598">
      <c r="A598" t="inlineStr">
        <is>
          <t>INV0014965</t>
        </is>
      </c>
      <c r="B598" t="inlineStr">
        <is>
          <t>MER00707</t>
        </is>
      </c>
      <c r="C598" t="inlineStr">
        <is>
          <t>2024-11-01</t>
        </is>
      </c>
      <c r="D598" t="inlineStr">
        <is>
          <t>2024-11-30</t>
        </is>
      </c>
      <c r="E598" s="8" t="n">
        <v>45628</v>
      </c>
      <c r="F598" s="8" t="n">
        <v>45658</v>
      </c>
      <c r="G598" t="n">
        <v>161.91</v>
      </c>
      <c r="H598" t="n">
        <v>0</v>
      </c>
      <c r="I598" t="n">
        <v>161.91</v>
      </c>
      <c r="J598" t="n">
        <v>0.18</v>
      </c>
      <c r="K598" t="n">
        <v>29.14</v>
      </c>
      <c r="L598" t="n">
        <v>191.05</v>
      </c>
      <c r="M598" t="inlineStr">
        <is>
          <t>INR</t>
        </is>
      </c>
      <c r="N598" t="inlineStr">
        <is>
          <t>Paid</t>
        </is>
      </c>
      <c r="O598" t="inlineStr">
        <is>
          <t>Paid</t>
        </is>
      </c>
      <c r="P598" t="n">
        <v>161.91</v>
      </c>
      <c r="Q598" t="n">
        <v>161.91</v>
      </c>
      <c r="R598" t="b">
        <v>0</v>
      </c>
    </row>
    <row r="599">
      <c r="A599" t="inlineStr">
        <is>
          <t>INV0014966</t>
        </is>
      </c>
      <c r="B599" t="inlineStr">
        <is>
          <t>MER00707</t>
        </is>
      </c>
      <c r="C599" t="inlineStr">
        <is>
          <t>2024-12-01</t>
        </is>
      </c>
      <c r="D599" t="inlineStr">
        <is>
          <t>2024-12-31</t>
        </is>
      </c>
      <c r="E599" s="8" t="n">
        <v>45659</v>
      </c>
      <c r="F599" s="8" t="n">
        <v>45689</v>
      </c>
      <c r="G599" t="n">
        <v>292.36</v>
      </c>
      <c r="H599" t="n">
        <v>0</v>
      </c>
      <c r="I599" t="n">
        <v>292.36</v>
      </c>
      <c r="J599" t="n">
        <v>0.18</v>
      </c>
      <c r="K599" t="n">
        <v>52.62</v>
      </c>
      <c r="L599" t="n">
        <v>344.98</v>
      </c>
      <c r="M599" t="inlineStr">
        <is>
          <t>INR</t>
        </is>
      </c>
      <c r="N599" t="inlineStr">
        <is>
          <t>Paid</t>
        </is>
      </c>
      <c r="O599" t="inlineStr">
        <is>
          <t>Paid</t>
        </is>
      </c>
      <c r="P599" t="n">
        <v>292.36</v>
      </c>
      <c r="Q599" t="n">
        <v>292.36</v>
      </c>
      <c r="R599" t="b">
        <v>0</v>
      </c>
    </row>
    <row r="600">
      <c r="A600" t="inlineStr">
        <is>
          <t>INV0014967</t>
        </is>
      </c>
      <c r="B600" t="inlineStr">
        <is>
          <t>MER00707</t>
        </is>
      </c>
      <c r="C600" t="inlineStr">
        <is>
          <t>2025-01-01</t>
        </is>
      </c>
      <c r="D600" t="inlineStr">
        <is>
          <t>2025-01-31</t>
        </is>
      </c>
      <c r="E600" s="8" t="n">
        <v>45690</v>
      </c>
      <c r="F600" s="8" t="n">
        <v>45720</v>
      </c>
      <c r="G600" t="n">
        <v>1735.24</v>
      </c>
      <c r="H600" t="n">
        <v>0</v>
      </c>
      <c r="I600" t="n">
        <v>1735.24</v>
      </c>
      <c r="J600" t="n">
        <v>0.18</v>
      </c>
      <c r="K600" t="n">
        <v>312.34</v>
      </c>
      <c r="L600" t="n">
        <v>2047.58</v>
      </c>
      <c r="M600" t="inlineStr">
        <is>
          <t>INR</t>
        </is>
      </c>
      <c r="N600" t="inlineStr">
        <is>
          <t>Paid</t>
        </is>
      </c>
      <c r="O600" t="inlineStr">
        <is>
          <t>Paid</t>
        </is>
      </c>
      <c r="P600" t="n">
        <v>1735.24</v>
      </c>
      <c r="Q600" t="n">
        <v>1735.24</v>
      </c>
      <c r="R600" t="b">
        <v>0</v>
      </c>
    </row>
    <row r="601">
      <c r="A601" t="inlineStr">
        <is>
          <t>INV0014968</t>
        </is>
      </c>
      <c r="B601" t="inlineStr">
        <is>
          <t>MER00707</t>
        </is>
      </c>
      <c r="C601" t="inlineStr">
        <is>
          <t>2025-02-01</t>
        </is>
      </c>
      <c r="D601" t="inlineStr">
        <is>
          <t>2025-02-28</t>
        </is>
      </c>
      <c r="E601" s="8" t="n">
        <v>45718</v>
      </c>
      <c r="F601" s="8" t="n">
        <v>45748</v>
      </c>
      <c r="G601" t="n">
        <v>169.12</v>
      </c>
      <c r="H601" t="n">
        <v>0</v>
      </c>
      <c r="I601" t="n">
        <v>169.12</v>
      </c>
      <c r="J601" t="n">
        <v>0.18</v>
      </c>
      <c r="K601" t="n">
        <v>30.44</v>
      </c>
      <c r="L601" t="n">
        <v>199.56</v>
      </c>
      <c r="M601" t="inlineStr">
        <is>
          <t>INR</t>
        </is>
      </c>
      <c r="N601" t="inlineStr">
        <is>
          <t>Paid</t>
        </is>
      </c>
      <c r="O601" t="inlineStr">
        <is>
          <t>Paid</t>
        </is>
      </c>
      <c r="P601" t="n">
        <v>169.12</v>
      </c>
      <c r="Q601" t="n">
        <v>169.12</v>
      </c>
      <c r="R601" t="b">
        <v>0</v>
      </c>
    </row>
    <row r="602">
      <c r="A602" t="inlineStr">
        <is>
          <t>INV0014969</t>
        </is>
      </c>
      <c r="B602" t="inlineStr">
        <is>
          <t>MER00707</t>
        </is>
      </c>
      <c r="C602" t="inlineStr">
        <is>
          <t>2025-03-01</t>
        </is>
      </c>
      <c r="D602" t="inlineStr">
        <is>
          <t>2025-03-31</t>
        </is>
      </c>
      <c r="E602" s="8" t="n">
        <v>45749</v>
      </c>
      <c r="F602" s="8" t="n">
        <v>45779</v>
      </c>
      <c r="G602" t="n">
        <v>985.92</v>
      </c>
      <c r="H602" t="n">
        <v>0</v>
      </c>
      <c r="I602" t="n">
        <v>985.92</v>
      </c>
      <c r="J602" t="n">
        <v>0.18</v>
      </c>
      <c r="K602" t="n">
        <v>177.47</v>
      </c>
      <c r="L602" t="n">
        <v>1163.39</v>
      </c>
      <c r="M602" t="inlineStr">
        <is>
          <t>INR</t>
        </is>
      </c>
      <c r="N602" t="inlineStr">
        <is>
          <t>Paid</t>
        </is>
      </c>
      <c r="O602" t="inlineStr">
        <is>
          <t>Paid</t>
        </is>
      </c>
      <c r="P602" t="n">
        <v>985.92</v>
      </c>
      <c r="Q602" t="n">
        <v>985.92</v>
      </c>
      <c r="R602" t="b">
        <v>0</v>
      </c>
    </row>
    <row r="603">
      <c r="A603" t="inlineStr">
        <is>
          <t>INV0014970</t>
        </is>
      </c>
      <c r="B603" t="inlineStr">
        <is>
          <t>MER00707</t>
        </is>
      </c>
      <c r="C603" t="inlineStr">
        <is>
          <t>2025-04-01</t>
        </is>
      </c>
      <c r="D603" t="inlineStr">
        <is>
          <t>2025-04-30</t>
        </is>
      </c>
      <c r="E603" s="8" t="n">
        <v>45779</v>
      </c>
      <c r="F603" s="8" t="n">
        <v>45809</v>
      </c>
      <c r="G603" t="n">
        <v>543.12</v>
      </c>
      <c r="H603" t="n">
        <v>0</v>
      </c>
      <c r="I603" t="n">
        <v>543.12</v>
      </c>
      <c r="J603" t="n">
        <v>0.18</v>
      </c>
      <c r="K603" t="n">
        <v>97.76000000000001</v>
      </c>
      <c r="L603" t="n">
        <v>640.88</v>
      </c>
      <c r="M603" t="inlineStr">
        <is>
          <t>INR</t>
        </is>
      </c>
      <c r="N603" t="inlineStr">
        <is>
          <t>Paid</t>
        </is>
      </c>
      <c r="O603" t="inlineStr">
        <is>
          <t>Paid</t>
        </is>
      </c>
      <c r="P603" t="n">
        <v>543.12</v>
      </c>
      <c r="Q603" t="n">
        <v>543.12</v>
      </c>
      <c r="R603" t="b">
        <v>0</v>
      </c>
    </row>
    <row r="604">
      <c r="A604" t="inlineStr">
        <is>
          <t>INV0014971</t>
        </is>
      </c>
      <c r="B604" t="inlineStr">
        <is>
          <t>MER00707</t>
        </is>
      </c>
      <c r="C604" t="inlineStr">
        <is>
          <t>2025-05-01</t>
        </is>
      </c>
      <c r="D604" t="inlineStr">
        <is>
          <t>2025-05-31</t>
        </is>
      </c>
      <c r="E604" s="8" t="n">
        <v>45810</v>
      </c>
      <c r="F604" s="8" t="n">
        <v>45840</v>
      </c>
      <c r="G604" t="n">
        <v>853.9400000000001</v>
      </c>
      <c r="H604" t="n">
        <v>0</v>
      </c>
      <c r="I604" t="n">
        <v>853.9400000000001</v>
      </c>
      <c r="J604" t="n">
        <v>0.18</v>
      </c>
      <c r="K604" t="n">
        <v>153.71</v>
      </c>
      <c r="L604" t="n">
        <v>1007.65</v>
      </c>
      <c r="M604" t="inlineStr">
        <is>
          <t>INR</t>
        </is>
      </c>
      <c r="N604" t="inlineStr">
        <is>
          <t>Paid</t>
        </is>
      </c>
      <c r="O604" t="inlineStr">
        <is>
          <t>Paid</t>
        </is>
      </c>
      <c r="P604" t="n">
        <v>853.9400000000001</v>
      </c>
      <c r="Q604" t="n">
        <v>853.9400000000001</v>
      </c>
      <c r="R604" t="b">
        <v>0</v>
      </c>
    </row>
    <row r="605">
      <c r="A605" t="inlineStr">
        <is>
          <t>INV0014972</t>
        </is>
      </c>
      <c r="B605" t="inlineStr">
        <is>
          <t>MER00707</t>
        </is>
      </c>
      <c r="C605" t="inlineStr">
        <is>
          <t>2025-06-01</t>
        </is>
      </c>
      <c r="D605" t="inlineStr">
        <is>
          <t>2025-06-30</t>
        </is>
      </c>
      <c r="E605" s="8" t="n">
        <v>45840</v>
      </c>
      <c r="F605" s="8" t="n">
        <v>45870</v>
      </c>
      <c r="G605" t="n">
        <v>396.41</v>
      </c>
      <c r="H605" t="n">
        <v>0</v>
      </c>
      <c r="I605" t="n">
        <v>396.41</v>
      </c>
      <c r="J605" t="n">
        <v>0.18</v>
      </c>
      <c r="K605" t="n">
        <v>71.34999999999999</v>
      </c>
      <c r="L605" t="n">
        <v>467.76</v>
      </c>
      <c r="M605" t="inlineStr">
        <is>
          <t>INR</t>
        </is>
      </c>
      <c r="N605" t="inlineStr">
        <is>
          <t>Paid</t>
        </is>
      </c>
      <c r="O605" t="inlineStr">
        <is>
          <t>Paid</t>
        </is>
      </c>
      <c r="P605" t="n">
        <v>396.41</v>
      </c>
      <c r="Q605" t="n">
        <v>396.41</v>
      </c>
      <c r="R605" t="b">
        <v>0</v>
      </c>
    </row>
    <row r="606">
      <c r="A606" t="inlineStr">
        <is>
          <t>INV0014973</t>
        </is>
      </c>
      <c r="B606" t="inlineStr">
        <is>
          <t>MER00707</t>
        </is>
      </c>
      <c r="C606" t="inlineStr">
        <is>
          <t>2025-07-01</t>
        </is>
      </c>
      <c r="D606" t="inlineStr">
        <is>
          <t>2025-07-31</t>
        </is>
      </c>
      <c r="E606" s="8" t="n">
        <v>45871</v>
      </c>
      <c r="F606" s="8" t="n">
        <v>45901</v>
      </c>
      <c r="G606" t="n">
        <v>635.23</v>
      </c>
      <c r="H606" t="n">
        <v>0</v>
      </c>
      <c r="I606" t="n">
        <v>635.23</v>
      </c>
      <c r="J606" t="n">
        <v>0.18</v>
      </c>
      <c r="K606" t="n">
        <v>114.34</v>
      </c>
      <c r="L606" t="n">
        <v>749.5700000000001</v>
      </c>
      <c r="M606" t="inlineStr">
        <is>
          <t>INR</t>
        </is>
      </c>
      <c r="N606" t="inlineStr">
        <is>
          <t>Overdue</t>
        </is>
      </c>
      <c r="O606" t="inlineStr">
        <is>
          <t>Unpaid</t>
        </is>
      </c>
      <c r="P606" t="n">
        <v>635.23</v>
      </c>
      <c r="Q606" t="n">
        <v>635.23</v>
      </c>
      <c r="R606" t="b">
        <v>0</v>
      </c>
    </row>
    <row r="607">
      <c r="A607" t="inlineStr">
        <is>
          <t>INV0014974</t>
        </is>
      </c>
      <c r="B607" t="inlineStr">
        <is>
          <t>MER00707</t>
        </is>
      </c>
      <c r="C607" t="inlineStr">
        <is>
          <t>2025-08-01</t>
        </is>
      </c>
      <c r="D607" t="inlineStr">
        <is>
          <t>2025-08-31</t>
        </is>
      </c>
      <c r="E607" s="8" t="n">
        <v>45902</v>
      </c>
      <c r="F607" s="8" t="n">
        <v>45932</v>
      </c>
      <c r="G607" t="n">
        <v>1217.29</v>
      </c>
      <c r="H607" t="n">
        <v>0</v>
      </c>
      <c r="I607" t="n">
        <v>1217.29</v>
      </c>
      <c r="J607" t="n">
        <v>0.18</v>
      </c>
      <c r="K607" t="n">
        <v>219.11</v>
      </c>
      <c r="L607" t="n">
        <v>1436.4</v>
      </c>
      <c r="M607" t="inlineStr">
        <is>
          <t>INR</t>
        </is>
      </c>
      <c r="N607" t="inlineStr">
        <is>
          <t>Overdue</t>
        </is>
      </c>
      <c r="O607" t="inlineStr">
        <is>
          <t>Unpaid</t>
        </is>
      </c>
      <c r="P607" t="n">
        <v>1217.29</v>
      </c>
      <c r="Q607" t="n">
        <v>1217.29</v>
      </c>
      <c r="R607" t="b">
        <v>0</v>
      </c>
    </row>
    <row r="608">
      <c r="A608" t="inlineStr">
        <is>
          <t>INV0014975</t>
        </is>
      </c>
      <c r="B608" t="inlineStr">
        <is>
          <t>MER00707</t>
        </is>
      </c>
      <c r="C608" t="inlineStr">
        <is>
          <t>2025-09-01</t>
        </is>
      </c>
      <c r="D608" t="inlineStr">
        <is>
          <t>2025-09-30</t>
        </is>
      </c>
      <c r="E608" s="8" t="n">
        <v>45932</v>
      </c>
      <c r="F608" s="8" t="n">
        <v>45962</v>
      </c>
      <c r="G608" t="n">
        <v>800.0700000000001</v>
      </c>
      <c r="H608" t="n">
        <v>0</v>
      </c>
      <c r="I608" t="n">
        <v>800.0700000000001</v>
      </c>
      <c r="J608" t="n">
        <v>0.18</v>
      </c>
      <c r="K608" t="n">
        <v>144.01</v>
      </c>
      <c r="L608" t="n">
        <v>944.08</v>
      </c>
      <c r="M608" t="inlineStr">
        <is>
          <t>INR</t>
        </is>
      </c>
      <c r="N608" t="inlineStr">
        <is>
          <t>Paid</t>
        </is>
      </c>
      <c r="O608" t="inlineStr">
        <is>
          <t>Paid</t>
        </is>
      </c>
      <c r="P608" t="n">
        <v>800.0700000000001</v>
      </c>
      <c r="Q608" t="n">
        <v>800.0700000000001</v>
      </c>
      <c r="R608" t="b">
        <v>0</v>
      </c>
    </row>
    <row r="609">
      <c r="A609" t="inlineStr">
        <is>
          <t>INV0014976</t>
        </is>
      </c>
      <c r="B609" t="inlineStr">
        <is>
          <t>MER00707</t>
        </is>
      </c>
      <c r="C609" t="inlineStr">
        <is>
          <t>2025-10-01</t>
        </is>
      </c>
      <c r="D609" t="inlineStr">
        <is>
          <t>2025-10-31</t>
        </is>
      </c>
      <c r="E609" s="8" t="n">
        <v>45963</v>
      </c>
      <c r="F609" s="8" t="n">
        <v>45993</v>
      </c>
      <c r="G609" t="n">
        <v>1395.26</v>
      </c>
      <c r="H609" t="n">
        <v>0</v>
      </c>
      <c r="I609" t="n">
        <v>1395.26</v>
      </c>
      <c r="J609" t="n">
        <v>0.18</v>
      </c>
      <c r="K609" t="n">
        <v>251.15</v>
      </c>
      <c r="L609" t="n">
        <v>1646.41</v>
      </c>
      <c r="M609" t="inlineStr">
        <is>
          <t>INR</t>
        </is>
      </c>
      <c r="N609" t="inlineStr">
        <is>
          <t>Paid</t>
        </is>
      </c>
      <c r="O609" t="inlineStr">
        <is>
          <t>Paid</t>
        </is>
      </c>
      <c r="P609" t="n">
        <v>1745.28</v>
      </c>
      <c r="Q609" t="n">
        <v>1395.26</v>
      </c>
      <c r="R609" t="b">
        <v>1</v>
      </c>
    </row>
    <row r="610">
      <c r="A610" t="inlineStr">
        <is>
          <t>INV0014977</t>
        </is>
      </c>
      <c r="B610" t="inlineStr">
        <is>
          <t>MER00707</t>
        </is>
      </c>
      <c r="C610" t="inlineStr">
        <is>
          <t>2025-11-01</t>
        </is>
      </c>
      <c r="D610" t="inlineStr">
        <is>
          <t>2025-11-30</t>
        </is>
      </c>
      <c r="E610" s="8" t="n">
        <v>45993</v>
      </c>
      <c r="F610" s="8" t="n">
        <v>46023</v>
      </c>
      <c r="G610" t="n">
        <v>1096.74</v>
      </c>
      <c r="H610" t="n">
        <v>0</v>
      </c>
      <c r="I610" t="n">
        <v>1096.74</v>
      </c>
      <c r="J610" t="n">
        <v>0.18</v>
      </c>
      <c r="K610" t="n">
        <v>197.41</v>
      </c>
      <c r="L610" t="n">
        <v>1294.15</v>
      </c>
      <c r="M610" t="inlineStr">
        <is>
          <t>INR</t>
        </is>
      </c>
      <c r="N610" t="inlineStr">
        <is>
          <t>Paid</t>
        </is>
      </c>
      <c r="O610" t="inlineStr">
        <is>
          <t>Paid</t>
        </is>
      </c>
      <c r="P610" t="n">
        <v>1096.74</v>
      </c>
      <c r="Q610" t="n">
        <v>1096.74</v>
      </c>
      <c r="R610" t="b">
        <v>0</v>
      </c>
    </row>
    <row r="611">
      <c r="A611" t="inlineStr">
        <is>
          <t>INV0014978</t>
        </is>
      </c>
      <c r="B611" t="inlineStr">
        <is>
          <t>MER00707</t>
        </is>
      </c>
      <c r="C611" t="inlineStr">
        <is>
          <t>2025-12-01</t>
        </is>
      </c>
      <c r="D611" t="inlineStr">
        <is>
          <t>2025-12-31</t>
        </is>
      </c>
      <c r="E611" s="8" t="n">
        <v>46024</v>
      </c>
      <c r="F611" s="8" t="n">
        <v>46054</v>
      </c>
      <c r="G611" t="n">
        <v>358.31</v>
      </c>
      <c r="H611" t="n">
        <v>0</v>
      </c>
      <c r="I611" t="n">
        <v>358.31</v>
      </c>
      <c r="J611" t="n">
        <v>0.18</v>
      </c>
      <c r="K611" t="n">
        <v>64.5</v>
      </c>
      <c r="L611" t="n">
        <v>422.81</v>
      </c>
      <c r="M611" t="inlineStr">
        <is>
          <t>INR</t>
        </is>
      </c>
      <c r="N611" t="inlineStr">
        <is>
          <t>Paid</t>
        </is>
      </c>
      <c r="O611" t="inlineStr">
        <is>
          <t>Paid</t>
        </is>
      </c>
      <c r="P611" t="n">
        <v>358.31</v>
      </c>
      <c r="Q611" t="n">
        <v>358.31</v>
      </c>
      <c r="R611" t="b">
        <v>0</v>
      </c>
    </row>
    <row r="612">
      <c r="A612" t="inlineStr">
        <is>
          <t>INV0014979</t>
        </is>
      </c>
      <c r="B612" t="inlineStr">
        <is>
          <t>MER00707</t>
        </is>
      </c>
      <c r="C612" t="inlineStr">
        <is>
          <t>2026-01-01</t>
        </is>
      </c>
      <c r="D612" t="inlineStr">
        <is>
          <t>2026-01-31</t>
        </is>
      </c>
      <c r="E612" s="8" t="n">
        <v>46055</v>
      </c>
      <c r="F612" s="8" t="n">
        <v>46085</v>
      </c>
      <c r="G612" t="n">
        <v>795.55</v>
      </c>
      <c r="H612" t="n">
        <v>106.6</v>
      </c>
      <c r="I612" t="n">
        <v>688.95</v>
      </c>
      <c r="J612" t="n">
        <v>0.18</v>
      </c>
      <c r="K612" t="n">
        <v>124.01</v>
      </c>
      <c r="L612" t="n">
        <v>812.96</v>
      </c>
      <c r="M612" t="inlineStr">
        <is>
          <t>INR</t>
        </is>
      </c>
      <c r="N612" t="inlineStr">
        <is>
          <t>Paid</t>
        </is>
      </c>
      <c r="O612" t="inlineStr">
        <is>
          <t>Paid</t>
        </is>
      </c>
      <c r="P612" t="n">
        <v>795.55</v>
      </c>
      <c r="Q612" t="n">
        <v>795.55</v>
      </c>
      <c r="R612" t="b">
        <v>0</v>
      </c>
    </row>
    <row r="613">
      <c r="A613" t="inlineStr">
        <is>
          <t>INV0014980</t>
        </is>
      </c>
      <c r="B613" t="inlineStr">
        <is>
          <t>MER00707</t>
        </is>
      </c>
      <c r="C613" t="inlineStr">
        <is>
          <t>2026-02-01</t>
        </is>
      </c>
      <c r="D613" t="inlineStr">
        <is>
          <t>2026-02-28</t>
        </is>
      </c>
      <c r="E613" s="8" t="n">
        <v>46083</v>
      </c>
      <c r="F613" s="8" t="n">
        <v>46113</v>
      </c>
      <c r="G613" t="n">
        <v>1074.13</v>
      </c>
      <c r="H613" t="n">
        <v>0</v>
      </c>
      <c r="I613" t="n">
        <v>1074.13</v>
      </c>
      <c r="J613" t="n">
        <v>0.18</v>
      </c>
      <c r="K613" t="n">
        <v>193.34</v>
      </c>
      <c r="L613" t="n">
        <v>1267.47</v>
      </c>
      <c r="M613" t="inlineStr">
        <is>
          <t>INR</t>
        </is>
      </c>
      <c r="N613" t="inlineStr">
        <is>
          <t>Paid</t>
        </is>
      </c>
      <c r="O613" t="inlineStr">
        <is>
          <t>Paid</t>
        </is>
      </c>
      <c r="P613" t="n">
        <v>1074.13</v>
      </c>
      <c r="Q613" t="n">
        <v>1074.13</v>
      </c>
      <c r="R613" t="b">
        <v>0</v>
      </c>
    </row>
    <row r="614">
      <c r="A614" t="inlineStr">
        <is>
          <t>INV0014981</t>
        </is>
      </c>
      <c r="B614" t="inlineStr">
        <is>
          <t>MER00707</t>
        </is>
      </c>
      <c r="C614" t="inlineStr">
        <is>
          <t>2026-03-01</t>
        </is>
      </c>
      <c r="D614" t="inlineStr">
        <is>
          <t>2026-03-31</t>
        </is>
      </c>
      <c r="E614" s="8" t="n">
        <v>46114</v>
      </c>
      <c r="F614" s="8" t="n">
        <v>46144</v>
      </c>
      <c r="G614" t="n">
        <v>329.83</v>
      </c>
      <c r="H614" t="n">
        <v>0</v>
      </c>
      <c r="I614" t="n">
        <v>329.83</v>
      </c>
      <c r="J614" t="n">
        <v>0.18</v>
      </c>
      <c r="K614" t="n">
        <v>59.37</v>
      </c>
      <c r="L614" t="n">
        <v>389.2</v>
      </c>
      <c r="M614" t="inlineStr">
        <is>
          <t>INR</t>
        </is>
      </c>
      <c r="N614" t="inlineStr">
        <is>
          <t>Paid</t>
        </is>
      </c>
      <c r="O614" t="inlineStr">
        <is>
          <t>Paid</t>
        </is>
      </c>
      <c r="P614" t="n">
        <v>329.83</v>
      </c>
      <c r="Q614" t="n">
        <v>329.83</v>
      </c>
      <c r="R614" t="b">
        <v>0</v>
      </c>
    </row>
    <row r="615">
      <c r="A615" t="inlineStr">
        <is>
          <t>INV0014982</t>
        </is>
      </c>
      <c r="B615" t="inlineStr">
        <is>
          <t>MER00707</t>
        </is>
      </c>
      <c r="C615" t="inlineStr">
        <is>
          <t>2026-04-01</t>
        </is>
      </c>
      <c r="D615" t="inlineStr">
        <is>
          <t>2026-04-30</t>
        </is>
      </c>
      <c r="E615" s="8" t="n">
        <v>46144</v>
      </c>
      <c r="F615" s="8" t="n">
        <v>46174</v>
      </c>
      <c r="G615" t="n">
        <v>1589.92</v>
      </c>
      <c r="H615" t="n">
        <v>0</v>
      </c>
      <c r="I615" t="n">
        <v>1589.92</v>
      </c>
      <c r="J615" t="n">
        <v>0.18</v>
      </c>
      <c r="K615" t="n">
        <v>286.19</v>
      </c>
      <c r="L615" t="n">
        <v>1876.11</v>
      </c>
      <c r="M615" t="inlineStr">
        <is>
          <t>INR</t>
        </is>
      </c>
      <c r="N615" t="inlineStr">
        <is>
          <t>Void</t>
        </is>
      </c>
      <c r="O615" t="inlineStr">
        <is>
          <t>Unpaid</t>
        </is>
      </c>
      <c r="P615" t="n">
        <v>1368.41</v>
      </c>
      <c r="Q615" t="n">
        <v>1589.92</v>
      </c>
      <c r="R615" t="b">
        <v>1</v>
      </c>
    </row>
    <row r="616">
      <c r="A616" t="inlineStr">
        <is>
          <t>INV0014983</t>
        </is>
      </c>
      <c r="B616" t="inlineStr">
        <is>
          <t>MER00707</t>
        </is>
      </c>
      <c r="C616" t="inlineStr">
        <is>
          <t>2026-05-01</t>
        </is>
      </c>
      <c r="D616" t="inlineStr">
        <is>
          <t>2026-05-31</t>
        </is>
      </c>
      <c r="E616" s="8" t="n">
        <v>46175</v>
      </c>
      <c r="F616" s="8" t="n">
        <v>46205</v>
      </c>
      <c r="G616" t="n">
        <v>548.04</v>
      </c>
      <c r="H616" t="n">
        <v>0</v>
      </c>
      <c r="I616" t="n">
        <v>548.04</v>
      </c>
      <c r="J616" t="n">
        <v>0.18</v>
      </c>
      <c r="K616" t="n">
        <v>98.65000000000001</v>
      </c>
      <c r="L616" t="n">
        <v>646.6900000000001</v>
      </c>
      <c r="M616" t="inlineStr">
        <is>
          <t>INR</t>
        </is>
      </c>
      <c r="N616" t="inlineStr">
        <is>
          <t>Overdue</t>
        </is>
      </c>
      <c r="O616" t="inlineStr">
        <is>
          <t>Unpaid</t>
        </is>
      </c>
      <c r="P616" t="n">
        <v>548.04</v>
      </c>
      <c r="Q616" t="n">
        <v>548.04</v>
      </c>
      <c r="R616" t="b">
        <v>0</v>
      </c>
    </row>
    <row r="617">
      <c r="A617" t="inlineStr">
        <is>
          <t>INV0014984</t>
        </is>
      </c>
      <c r="B617" t="inlineStr">
        <is>
          <t>MER00707</t>
        </is>
      </c>
      <c r="C617" t="inlineStr">
        <is>
          <t>2026-06-01</t>
        </is>
      </c>
      <c r="D617" t="inlineStr">
        <is>
          <t>2026-06-30</t>
        </is>
      </c>
      <c r="E617" s="8" t="n">
        <v>46205</v>
      </c>
      <c r="F617" s="8" t="n">
        <v>46235</v>
      </c>
      <c r="G617" t="n">
        <v>575.96</v>
      </c>
      <c r="H617" t="n">
        <v>0</v>
      </c>
      <c r="I617" t="n">
        <v>575.96</v>
      </c>
      <c r="J617" t="n">
        <v>0.18</v>
      </c>
      <c r="K617" t="n">
        <v>103.67</v>
      </c>
      <c r="L617" t="n">
        <v>679.63</v>
      </c>
      <c r="M617" t="inlineStr">
        <is>
          <t>INR</t>
        </is>
      </c>
      <c r="N617" t="inlineStr">
        <is>
          <t>Paid</t>
        </is>
      </c>
      <c r="O617" t="inlineStr">
        <is>
          <t>Paid</t>
        </is>
      </c>
      <c r="P617" t="n">
        <v>575.96</v>
      </c>
      <c r="Q617" t="n">
        <v>575.96</v>
      </c>
      <c r="R617" t="b">
        <v>0</v>
      </c>
    </row>
    <row r="618">
      <c r="A618" t="inlineStr">
        <is>
          <t>INV0014985</t>
        </is>
      </c>
      <c r="B618" t="inlineStr">
        <is>
          <t>MER00707</t>
        </is>
      </c>
      <c r="C618" t="inlineStr">
        <is>
          <t>2026-07-01</t>
        </is>
      </c>
      <c r="D618" t="inlineStr">
        <is>
          <t>2026-07-31</t>
        </is>
      </c>
      <c r="E618" s="8" t="n">
        <v>46236</v>
      </c>
      <c r="F618" s="8" t="n">
        <v>46266</v>
      </c>
      <c r="G618" t="n">
        <v>594.1799999999999</v>
      </c>
      <c r="H618" t="n">
        <v>0</v>
      </c>
      <c r="I618" t="n">
        <v>594.1799999999999</v>
      </c>
      <c r="J618" t="n">
        <v>0.18</v>
      </c>
      <c r="K618" t="n">
        <v>106.95</v>
      </c>
      <c r="L618" t="n">
        <v>701.13</v>
      </c>
      <c r="M618" t="inlineStr">
        <is>
          <t>INR</t>
        </is>
      </c>
      <c r="N618" t="inlineStr">
        <is>
          <t>Paid</t>
        </is>
      </c>
      <c r="O618" t="inlineStr">
        <is>
          <t>Paid</t>
        </is>
      </c>
      <c r="P618" t="n">
        <v>594.1799999999999</v>
      </c>
      <c r="Q618" t="n">
        <v>594.1799999999999</v>
      </c>
      <c r="R618" t="b">
        <v>0</v>
      </c>
    </row>
    <row r="619">
      <c r="A619" t="inlineStr">
        <is>
          <t>INV0014986</t>
        </is>
      </c>
      <c r="B619" t="inlineStr">
        <is>
          <t>MER00708</t>
        </is>
      </c>
      <c r="C619" t="inlineStr">
        <is>
          <t>2024-08-01</t>
        </is>
      </c>
      <c r="D619" t="inlineStr">
        <is>
          <t>2024-08-31</t>
        </is>
      </c>
      <c r="E619" s="8" t="n">
        <v>45537</v>
      </c>
      <c r="F619" s="8" t="n">
        <v>45567</v>
      </c>
      <c r="G619" t="n">
        <v>43.78</v>
      </c>
      <c r="H619" t="n">
        <v>0</v>
      </c>
      <c r="I619" t="n">
        <v>43.78</v>
      </c>
      <c r="J619" t="n">
        <v>0.18</v>
      </c>
      <c r="K619" t="n">
        <v>7.88</v>
      </c>
      <c r="L619" t="n">
        <v>51.66</v>
      </c>
      <c r="M619" t="inlineStr">
        <is>
          <t>INR</t>
        </is>
      </c>
      <c r="N619" t="inlineStr">
        <is>
          <t>Paid</t>
        </is>
      </c>
      <c r="O619" t="inlineStr">
        <is>
          <t>Paid</t>
        </is>
      </c>
      <c r="P619" t="n">
        <v>43.78</v>
      </c>
      <c r="Q619" t="n">
        <v>43.78</v>
      </c>
      <c r="R619" t="b">
        <v>0</v>
      </c>
    </row>
    <row r="620">
      <c r="A620" t="inlineStr">
        <is>
          <t>INV0014987</t>
        </is>
      </c>
      <c r="B620" t="inlineStr">
        <is>
          <t>MER00708</t>
        </is>
      </c>
      <c r="C620" t="inlineStr">
        <is>
          <t>2024-09-01</t>
        </is>
      </c>
      <c r="D620" t="inlineStr">
        <is>
          <t>2024-09-30</t>
        </is>
      </c>
      <c r="E620" s="8" t="n">
        <v>45567</v>
      </c>
      <c r="F620" s="8" t="n">
        <v>45597</v>
      </c>
      <c r="G620" t="n">
        <v>126.78</v>
      </c>
      <c r="H620" t="n">
        <v>0</v>
      </c>
      <c r="I620" t="n">
        <v>126.78</v>
      </c>
      <c r="J620" t="n">
        <v>0.18</v>
      </c>
      <c r="K620" t="n">
        <v>22.82</v>
      </c>
      <c r="L620" t="n">
        <v>149.6</v>
      </c>
      <c r="M620" t="inlineStr">
        <is>
          <t>INR</t>
        </is>
      </c>
      <c r="N620" t="inlineStr">
        <is>
          <t>Paid</t>
        </is>
      </c>
      <c r="O620" t="inlineStr">
        <is>
          <t>Paid</t>
        </is>
      </c>
      <c r="P620" t="n">
        <v>126.78</v>
      </c>
      <c r="Q620" t="n">
        <v>126.78</v>
      </c>
      <c r="R620" t="b">
        <v>0</v>
      </c>
    </row>
    <row r="621">
      <c r="A621" t="inlineStr">
        <is>
          <t>INV0014988</t>
        </is>
      </c>
      <c r="B621" t="inlineStr">
        <is>
          <t>MER00708</t>
        </is>
      </c>
      <c r="C621" t="inlineStr">
        <is>
          <t>2024-10-01</t>
        </is>
      </c>
      <c r="D621" t="inlineStr">
        <is>
          <t>2024-10-31</t>
        </is>
      </c>
      <c r="E621" s="8" t="n">
        <v>45598</v>
      </c>
      <c r="F621" s="8" t="n">
        <v>45628</v>
      </c>
      <c r="G621" t="n">
        <v>155.73</v>
      </c>
      <c r="H621" t="n">
        <v>0</v>
      </c>
      <c r="I621" t="n">
        <v>155.73</v>
      </c>
      <c r="J621" t="n">
        <v>0.18</v>
      </c>
      <c r="K621" t="n">
        <v>28.03</v>
      </c>
      <c r="L621" t="n">
        <v>183.76</v>
      </c>
      <c r="M621" t="inlineStr">
        <is>
          <t>INR</t>
        </is>
      </c>
      <c r="N621" t="inlineStr">
        <is>
          <t>Paid</t>
        </is>
      </c>
      <c r="O621" t="inlineStr">
        <is>
          <t>Paid</t>
        </is>
      </c>
      <c r="P621" t="n">
        <v>155.73</v>
      </c>
      <c r="Q621" t="n">
        <v>155.73</v>
      </c>
      <c r="R621" t="b">
        <v>0</v>
      </c>
    </row>
    <row r="622">
      <c r="A622" t="inlineStr">
        <is>
          <t>INV0014989</t>
        </is>
      </c>
      <c r="B622" t="inlineStr">
        <is>
          <t>MER00708</t>
        </is>
      </c>
      <c r="C622" t="inlineStr">
        <is>
          <t>2024-11-01</t>
        </is>
      </c>
      <c r="D622" t="inlineStr">
        <is>
          <t>2024-11-30</t>
        </is>
      </c>
      <c r="E622" s="8" t="n">
        <v>45628</v>
      </c>
      <c r="F622" s="8" t="n">
        <v>45658</v>
      </c>
      <c r="G622" t="n">
        <v>155.99</v>
      </c>
      <c r="H622" t="n">
        <v>0</v>
      </c>
      <c r="I622" t="n">
        <v>155.99</v>
      </c>
      <c r="J622" t="n">
        <v>0.18</v>
      </c>
      <c r="K622" t="n">
        <v>28.08</v>
      </c>
      <c r="L622" t="n">
        <v>184.07</v>
      </c>
      <c r="M622" t="inlineStr">
        <is>
          <t>INR</t>
        </is>
      </c>
      <c r="N622" t="inlineStr">
        <is>
          <t>Paid</t>
        </is>
      </c>
      <c r="O622" t="inlineStr">
        <is>
          <t>Paid</t>
        </is>
      </c>
      <c r="P622" t="n">
        <v>155.99</v>
      </c>
      <c r="Q622" t="n">
        <v>155.99</v>
      </c>
      <c r="R622" t="b">
        <v>0</v>
      </c>
    </row>
    <row r="623">
      <c r="A623" t="inlineStr">
        <is>
          <t>INV0014990</t>
        </is>
      </c>
      <c r="B623" t="inlineStr">
        <is>
          <t>MER00708</t>
        </is>
      </c>
      <c r="C623" t="inlineStr">
        <is>
          <t>2024-12-01</t>
        </is>
      </c>
      <c r="D623" t="inlineStr">
        <is>
          <t>2024-12-31</t>
        </is>
      </c>
      <c r="E623" s="8" t="n">
        <v>45659</v>
      </c>
      <c r="F623" s="8" t="n">
        <v>45689</v>
      </c>
      <c r="G623" t="n">
        <v>51.46</v>
      </c>
      <c r="H623" t="n">
        <v>0</v>
      </c>
      <c r="I623" t="n">
        <v>51.46</v>
      </c>
      <c r="J623" t="n">
        <v>0.18</v>
      </c>
      <c r="K623" t="n">
        <v>9.26</v>
      </c>
      <c r="L623" t="n">
        <v>60.72</v>
      </c>
      <c r="M623" t="inlineStr">
        <is>
          <t>INR</t>
        </is>
      </c>
      <c r="N623" t="inlineStr">
        <is>
          <t>Paid</t>
        </is>
      </c>
      <c r="O623" t="inlineStr">
        <is>
          <t>Paid</t>
        </is>
      </c>
      <c r="P623" t="n">
        <v>51.46</v>
      </c>
      <c r="Q623" t="n">
        <v>51.46</v>
      </c>
      <c r="R623" t="b">
        <v>0</v>
      </c>
    </row>
    <row r="624">
      <c r="A624" t="inlineStr">
        <is>
          <t>INV0014991</t>
        </is>
      </c>
      <c r="B624" t="inlineStr">
        <is>
          <t>MER00708</t>
        </is>
      </c>
      <c r="C624" t="inlineStr">
        <is>
          <t>2025-01-01</t>
        </is>
      </c>
      <c r="D624" t="inlineStr">
        <is>
          <t>2025-01-31</t>
        </is>
      </c>
      <c r="E624" s="8" t="n">
        <v>45690</v>
      </c>
      <c r="F624" s="8" t="n">
        <v>45720</v>
      </c>
      <c r="G624" t="n">
        <v>36</v>
      </c>
      <c r="H624" t="n">
        <v>0</v>
      </c>
      <c r="I624" t="n">
        <v>36</v>
      </c>
      <c r="J624" t="n">
        <v>0.18</v>
      </c>
      <c r="K624" t="n">
        <v>6.48</v>
      </c>
      <c r="L624" t="n">
        <v>42.48</v>
      </c>
      <c r="M624" t="inlineStr">
        <is>
          <t>INR</t>
        </is>
      </c>
      <c r="N624" t="inlineStr">
        <is>
          <t>Paid</t>
        </is>
      </c>
      <c r="O624" t="inlineStr">
        <is>
          <t>Paid</t>
        </is>
      </c>
      <c r="P624" t="n">
        <v>36</v>
      </c>
      <c r="Q624" t="n">
        <v>36</v>
      </c>
      <c r="R624" t="b">
        <v>0</v>
      </c>
    </row>
    <row r="625">
      <c r="A625" t="inlineStr">
        <is>
          <t>INV0014992</t>
        </is>
      </c>
      <c r="B625" t="inlineStr">
        <is>
          <t>MER00708</t>
        </is>
      </c>
      <c r="C625" t="inlineStr">
        <is>
          <t>2025-02-01</t>
        </is>
      </c>
      <c r="D625" t="inlineStr">
        <is>
          <t>2025-02-28</t>
        </is>
      </c>
      <c r="E625" s="8" t="n">
        <v>45718</v>
      </c>
      <c r="F625" s="8" t="n">
        <v>45748</v>
      </c>
      <c r="G625" t="n">
        <v>127.87</v>
      </c>
      <c r="H625" t="n">
        <v>0</v>
      </c>
      <c r="I625" t="n">
        <v>127.87</v>
      </c>
      <c r="J625" t="n">
        <v>0.18</v>
      </c>
      <c r="K625" t="n">
        <v>23.02</v>
      </c>
      <c r="L625" t="n">
        <v>150.89</v>
      </c>
      <c r="M625" t="inlineStr">
        <is>
          <t>INR</t>
        </is>
      </c>
      <c r="N625" t="inlineStr">
        <is>
          <t>Paid</t>
        </is>
      </c>
      <c r="O625" t="inlineStr">
        <is>
          <t>Paid</t>
        </is>
      </c>
      <c r="P625" t="n">
        <v>127.87</v>
      </c>
      <c r="Q625" t="n">
        <v>127.87</v>
      </c>
      <c r="R625" t="b">
        <v>0</v>
      </c>
    </row>
    <row r="626">
      <c r="A626" t="inlineStr">
        <is>
          <t>INV0014993</t>
        </is>
      </c>
      <c r="B626" t="inlineStr">
        <is>
          <t>MER00708</t>
        </is>
      </c>
      <c r="C626" t="inlineStr">
        <is>
          <t>2025-03-01</t>
        </is>
      </c>
      <c r="D626" t="inlineStr">
        <is>
          <t>2025-03-31</t>
        </is>
      </c>
      <c r="E626" s="8" t="n">
        <v>45749</v>
      </c>
      <c r="F626" s="8" t="n">
        <v>45779</v>
      </c>
      <c r="G626" t="n">
        <v>79.20999999999999</v>
      </c>
      <c r="H626" t="n">
        <v>0</v>
      </c>
      <c r="I626" t="n">
        <v>79.20999999999999</v>
      </c>
      <c r="J626" t="n">
        <v>0.18</v>
      </c>
      <c r="K626" t="n">
        <v>14.26</v>
      </c>
      <c r="L626" t="n">
        <v>93.47</v>
      </c>
      <c r="M626" t="inlineStr">
        <is>
          <t>INR</t>
        </is>
      </c>
      <c r="N626" t="inlineStr">
        <is>
          <t>Paid</t>
        </is>
      </c>
      <c r="O626" t="inlineStr">
        <is>
          <t>Paid</t>
        </is>
      </c>
      <c r="P626" t="n">
        <v>79.20999999999999</v>
      </c>
      <c r="Q626" t="n">
        <v>79.20999999999999</v>
      </c>
      <c r="R626" t="b">
        <v>0</v>
      </c>
    </row>
    <row r="627">
      <c r="A627" t="inlineStr">
        <is>
          <t>INV0014994</t>
        </is>
      </c>
      <c r="B627" t="inlineStr">
        <is>
          <t>MER00708</t>
        </is>
      </c>
      <c r="C627" t="inlineStr">
        <is>
          <t>2025-04-01</t>
        </is>
      </c>
      <c r="D627" t="inlineStr">
        <is>
          <t>2025-04-30</t>
        </is>
      </c>
      <c r="E627" s="8" t="n">
        <v>45779</v>
      </c>
      <c r="F627" s="8" t="n">
        <v>45809</v>
      </c>
      <c r="G627" t="n">
        <v>47.25</v>
      </c>
      <c r="H627" t="n">
        <v>0</v>
      </c>
      <c r="I627" t="n">
        <v>47.25</v>
      </c>
      <c r="J627" t="n">
        <v>0.18</v>
      </c>
      <c r="K627" t="n">
        <v>8.5</v>
      </c>
      <c r="L627" t="n">
        <v>55.75</v>
      </c>
      <c r="M627" t="inlineStr">
        <is>
          <t>INR</t>
        </is>
      </c>
      <c r="N627" t="inlineStr">
        <is>
          <t>Paid</t>
        </is>
      </c>
      <c r="O627" t="inlineStr">
        <is>
          <t>Paid</t>
        </is>
      </c>
      <c r="P627" t="n">
        <v>47.25</v>
      </c>
      <c r="Q627" t="n">
        <v>47.25</v>
      </c>
      <c r="R627" t="b">
        <v>0</v>
      </c>
    </row>
    <row r="628">
      <c r="A628" t="inlineStr">
        <is>
          <t>INV0014995</t>
        </is>
      </c>
      <c r="B628" t="inlineStr">
        <is>
          <t>MER00708</t>
        </is>
      </c>
      <c r="C628" t="inlineStr">
        <is>
          <t>2025-05-01</t>
        </is>
      </c>
      <c r="D628" t="inlineStr">
        <is>
          <t>2025-05-31</t>
        </is>
      </c>
      <c r="E628" s="8" t="n">
        <v>45810</v>
      </c>
      <c r="F628" s="8" t="n">
        <v>45840</v>
      </c>
      <c r="G628" t="n">
        <v>113.6</v>
      </c>
      <c r="H628" t="n">
        <v>0</v>
      </c>
      <c r="I628" t="n">
        <v>113.6</v>
      </c>
      <c r="J628" t="n">
        <v>0.18</v>
      </c>
      <c r="K628" t="n">
        <v>20.45</v>
      </c>
      <c r="L628" t="n">
        <v>134.05</v>
      </c>
      <c r="M628" t="inlineStr">
        <is>
          <t>INR</t>
        </is>
      </c>
      <c r="N628" t="inlineStr">
        <is>
          <t>Paid</t>
        </is>
      </c>
      <c r="O628" t="inlineStr">
        <is>
          <t>Paid</t>
        </is>
      </c>
      <c r="P628" t="n">
        <v>113.6</v>
      </c>
      <c r="Q628" t="n">
        <v>113.6</v>
      </c>
      <c r="R628" t="b">
        <v>0</v>
      </c>
    </row>
    <row r="629">
      <c r="A629" t="inlineStr">
        <is>
          <t>INV0014996</t>
        </is>
      </c>
      <c r="B629" t="inlineStr">
        <is>
          <t>MER00708</t>
        </is>
      </c>
      <c r="C629" t="inlineStr">
        <is>
          <t>2025-06-01</t>
        </is>
      </c>
      <c r="D629" t="inlineStr">
        <is>
          <t>2025-06-30</t>
        </is>
      </c>
      <c r="E629" s="8" t="n">
        <v>45840</v>
      </c>
      <c r="F629" s="8" t="n">
        <v>45870</v>
      </c>
      <c r="G629" t="n">
        <v>19.89</v>
      </c>
      <c r="H629" t="n">
        <v>0</v>
      </c>
      <c r="I629" t="n">
        <v>19.89</v>
      </c>
      <c r="J629" t="n">
        <v>0.18</v>
      </c>
      <c r="K629" t="n">
        <v>3.58</v>
      </c>
      <c r="L629" t="n">
        <v>23.47</v>
      </c>
      <c r="M629" t="inlineStr">
        <is>
          <t>INR</t>
        </is>
      </c>
      <c r="N629" t="inlineStr">
        <is>
          <t>Paid</t>
        </is>
      </c>
      <c r="O629" t="inlineStr">
        <is>
          <t>Paid</t>
        </is>
      </c>
      <c r="P629" t="n">
        <v>19.89</v>
      </c>
      <c r="Q629" t="n">
        <v>19.89</v>
      </c>
      <c r="R629" t="b">
        <v>0</v>
      </c>
    </row>
    <row r="630">
      <c r="A630" t="inlineStr">
        <is>
          <t>INV0014997</t>
        </is>
      </c>
      <c r="B630" t="inlineStr">
        <is>
          <t>MER00708</t>
        </is>
      </c>
      <c r="C630" t="inlineStr">
        <is>
          <t>2025-07-01</t>
        </is>
      </c>
      <c r="D630" t="inlineStr">
        <is>
          <t>2025-07-31</t>
        </is>
      </c>
      <c r="E630" s="8" t="n">
        <v>45871</v>
      </c>
      <c r="F630" s="8" t="n">
        <v>45901</v>
      </c>
      <c r="G630" t="n">
        <v>96.53</v>
      </c>
      <c r="H630" t="n">
        <v>0</v>
      </c>
      <c r="I630" t="n">
        <v>96.53</v>
      </c>
      <c r="J630" t="n">
        <v>0.18</v>
      </c>
      <c r="K630" t="n">
        <v>17.38</v>
      </c>
      <c r="L630" t="n">
        <v>113.91</v>
      </c>
      <c r="M630" t="inlineStr">
        <is>
          <t>INR</t>
        </is>
      </c>
      <c r="N630" t="inlineStr">
        <is>
          <t>Paid</t>
        </is>
      </c>
      <c r="O630" t="inlineStr">
        <is>
          <t>Paid</t>
        </is>
      </c>
      <c r="P630" t="n">
        <v>96.53</v>
      </c>
      <c r="Q630" t="n">
        <v>96.53</v>
      </c>
      <c r="R630" t="b">
        <v>0</v>
      </c>
    </row>
    <row r="631">
      <c r="A631" t="inlineStr">
        <is>
          <t>INV0014998</t>
        </is>
      </c>
      <c r="B631" t="inlineStr">
        <is>
          <t>MER00708</t>
        </is>
      </c>
      <c r="C631" t="inlineStr">
        <is>
          <t>2025-08-01</t>
        </is>
      </c>
      <c r="D631" t="inlineStr">
        <is>
          <t>2025-08-31</t>
        </is>
      </c>
      <c r="E631" s="8" t="n">
        <v>45902</v>
      </c>
      <c r="F631" s="8" t="n">
        <v>45932</v>
      </c>
      <c r="G631" t="n">
        <v>62.03</v>
      </c>
      <c r="H631" t="n">
        <v>6.76</v>
      </c>
      <c r="I631" t="n">
        <v>55.27</v>
      </c>
      <c r="J631" t="n">
        <v>0.18</v>
      </c>
      <c r="K631" t="n">
        <v>9.949999999999999</v>
      </c>
      <c r="L631" t="n">
        <v>65.22</v>
      </c>
      <c r="M631" t="inlineStr">
        <is>
          <t>INR</t>
        </is>
      </c>
      <c r="N631" t="inlineStr">
        <is>
          <t>Paid</t>
        </is>
      </c>
      <c r="O631" t="inlineStr">
        <is>
          <t>Paid</t>
        </is>
      </c>
      <c r="P631" t="n">
        <v>67.51000000000001</v>
      </c>
      <c r="Q631" t="n">
        <v>62.03</v>
      </c>
      <c r="R631" t="b">
        <v>1</v>
      </c>
    </row>
    <row r="632">
      <c r="A632" t="inlineStr">
        <is>
          <t>INV0014999</t>
        </is>
      </c>
      <c r="B632" t="inlineStr">
        <is>
          <t>MER00708</t>
        </is>
      </c>
      <c r="C632" t="inlineStr">
        <is>
          <t>2025-09-01</t>
        </is>
      </c>
      <c r="D632" t="inlineStr">
        <is>
          <t>2025-09-30</t>
        </is>
      </c>
      <c r="E632" s="8" t="n">
        <v>45932</v>
      </c>
      <c r="F632" s="8" t="n">
        <v>45962</v>
      </c>
      <c r="G632" t="n">
        <v>111.43</v>
      </c>
      <c r="H632" t="n">
        <v>0</v>
      </c>
      <c r="I632" t="n">
        <v>111.43</v>
      </c>
      <c r="J632" t="n">
        <v>0.18</v>
      </c>
      <c r="K632" t="n">
        <v>20.06</v>
      </c>
      <c r="L632" t="n">
        <v>131.49</v>
      </c>
      <c r="M632" t="inlineStr">
        <is>
          <t>INR</t>
        </is>
      </c>
      <c r="N632" t="inlineStr">
        <is>
          <t>Paid</t>
        </is>
      </c>
      <c r="O632" t="inlineStr">
        <is>
          <t>Paid</t>
        </is>
      </c>
      <c r="P632" t="n">
        <v>111.43</v>
      </c>
      <c r="Q632" t="n">
        <v>111.43</v>
      </c>
      <c r="R632" t="b">
        <v>0</v>
      </c>
    </row>
    <row r="633">
      <c r="A633" t="inlineStr">
        <is>
          <t>INV0015000</t>
        </is>
      </c>
      <c r="B633" t="inlineStr">
        <is>
          <t>MER00708</t>
        </is>
      </c>
      <c r="C633" t="inlineStr">
        <is>
          <t>2025-10-01</t>
        </is>
      </c>
      <c r="D633" t="inlineStr">
        <is>
          <t>2025-10-31</t>
        </is>
      </c>
      <c r="E633" s="8" t="n">
        <v>45963</v>
      </c>
      <c r="F633" s="8" t="n">
        <v>45993</v>
      </c>
      <c r="G633" t="n">
        <v>80.66</v>
      </c>
      <c r="H633" t="n">
        <v>0</v>
      </c>
      <c r="I633" t="n">
        <v>80.66</v>
      </c>
      <c r="J633" t="n">
        <v>0.18</v>
      </c>
      <c r="K633" t="n">
        <v>14.52</v>
      </c>
      <c r="L633" t="n">
        <v>95.18000000000001</v>
      </c>
      <c r="M633" t="inlineStr">
        <is>
          <t>INR</t>
        </is>
      </c>
      <c r="N633" t="inlineStr">
        <is>
          <t>Paid</t>
        </is>
      </c>
      <c r="O633" t="inlineStr">
        <is>
          <t>Paid</t>
        </is>
      </c>
      <c r="P633" t="n">
        <v>80.66</v>
      </c>
      <c r="Q633" t="n">
        <v>80.66</v>
      </c>
      <c r="R633" t="b">
        <v>0</v>
      </c>
    </row>
    <row r="634">
      <c r="A634" t="inlineStr">
        <is>
          <t>INV0015001</t>
        </is>
      </c>
      <c r="B634" t="inlineStr">
        <is>
          <t>MER00708</t>
        </is>
      </c>
      <c r="C634" t="inlineStr">
        <is>
          <t>2025-11-01</t>
        </is>
      </c>
      <c r="D634" t="inlineStr">
        <is>
          <t>2025-11-30</t>
        </is>
      </c>
      <c r="E634" s="8" t="n">
        <v>45993</v>
      </c>
      <c r="F634" s="8" t="n">
        <v>46023</v>
      </c>
      <c r="G634" t="n">
        <v>323.33</v>
      </c>
      <c r="H634" t="n">
        <v>0</v>
      </c>
      <c r="I634" t="n">
        <v>323.33</v>
      </c>
      <c r="J634" t="n">
        <v>0.18</v>
      </c>
      <c r="K634" t="n">
        <v>58.2</v>
      </c>
      <c r="L634" t="n">
        <v>381.53</v>
      </c>
      <c r="M634" t="inlineStr">
        <is>
          <t>INR</t>
        </is>
      </c>
      <c r="N634" t="inlineStr">
        <is>
          <t>Paid</t>
        </is>
      </c>
      <c r="O634" t="inlineStr">
        <is>
          <t>Paid</t>
        </is>
      </c>
      <c r="P634" t="n">
        <v>323.33</v>
      </c>
      <c r="Q634" t="n">
        <v>323.33</v>
      </c>
      <c r="R634" t="b">
        <v>0</v>
      </c>
    </row>
    <row r="635">
      <c r="A635" t="inlineStr">
        <is>
          <t>INV0015002</t>
        </is>
      </c>
      <c r="B635" t="inlineStr">
        <is>
          <t>MER00708</t>
        </is>
      </c>
      <c r="C635" t="inlineStr">
        <is>
          <t>2025-12-01</t>
        </is>
      </c>
      <c r="D635" t="inlineStr">
        <is>
          <t>2025-12-31</t>
        </is>
      </c>
      <c r="E635" s="8" t="n">
        <v>46024</v>
      </c>
      <c r="F635" s="8" t="n">
        <v>46054</v>
      </c>
      <c r="G635" t="n">
        <v>50.11</v>
      </c>
      <c r="H635" t="n">
        <v>0</v>
      </c>
      <c r="I635" t="n">
        <v>50.11</v>
      </c>
      <c r="J635" t="n">
        <v>0.18</v>
      </c>
      <c r="K635" t="n">
        <v>9.02</v>
      </c>
      <c r="L635" t="n">
        <v>59.13</v>
      </c>
      <c r="M635" t="inlineStr">
        <is>
          <t>INR</t>
        </is>
      </c>
      <c r="N635" t="inlineStr">
        <is>
          <t>Paid</t>
        </is>
      </c>
      <c r="O635" t="inlineStr">
        <is>
          <t>Paid</t>
        </is>
      </c>
      <c r="P635" t="n">
        <v>50.11</v>
      </c>
      <c r="Q635" t="n">
        <v>50.11</v>
      </c>
      <c r="R635" t="b">
        <v>0</v>
      </c>
    </row>
    <row r="636">
      <c r="A636" t="inlineStr">
        <is>
          <t>INV0015003</t>
        </is>
      </c>
      <c r="B636" t="inlineStr">
        <is>
          <t>MER00708</t>
        </is>
      </c>
      <c r="C636" t="inlineStr">
        <is>
          <t>2026-01-01</t>
        </is>
      </c>
      <c r="D636" t="inlineStr">
        <is>
          <t>2026-01-31</t>
        </is>
      </c>
      <c r="E636" s="8" t="n">
        <v>46055</v>
      </c>
      <c r="F636" s="8" t="n">
        <v>46085</v>
      </c>
      <c r="G636" t="n">
        <v>302.8</v>
      </c>
      <c r="H636" t="n">
        <v>0</v>
      </c>
      <c r="I636" t="n">
        <v>302.8</v>
      </c>
      <c r="J636" t="n">
        <v>0.18</v>
      </c>
      <c r="K636" t="n">
        <v>54.5</v>
      </c>
      <c r="L636" t="n">
        <v>357.3</v>
      </c>
      <c r="M636" t="inlineStr">
        <is>
          <t>INR</t>
        </is>
      </c>
      <c r="N636" t="inlineStr">
        <is>
          <t>Paid</t>
        </is>
      </c>
      <c r="O636" t="inlineStr">
        <is>
          <t>Paid</t>
        </is>
      </c>
      <c r="P636" t="n">
        <v>302.8</v>
      </c>
      <c r="Q636" t="n">
        <v>302.8</v>
      </c>
      <c r="R636" t="b">
        <v>0</v>
      </c>
    </row>
    <row r="637">
      <c r="A637" t="inlineStr">
        <is>
          <t>INV0015004</t>
        </is>
      </c>
      <c r="B637" t="inlineStr">
        <is>
          <t>MER00708</t>
        </is>
      </c>
      <c r="C637" t="inlineStr">
        <is>
          <t>2026-02-01</t>
        </is>
      </c>
      <c r="D637" t="inlineStr">
        <is>
          <t>2026-02-28</t>
        </is>
      </c>
      <c r="E637" s="8" t="n">
        <v>46083</v>
      </c>
      <c r="F637" s="8" t="n">
        <v>46113</v>
      </c>
      <c r="G637" t="n">
        <v>75.76000000000001</v>
      </c>
      <c r="H637" t="n">
        <v>0</v>
      </c>
      <c r="I637" t="n">
        <v>75.76000000000001</v>
      </c>
      <c r="J637" t="n">
        <v>0.18</v>
      </c>
      <c r="K637" t="n">
        <v>13.64</v>
      </c>
      <c r="L637" t="n">
        <v>89.40000000000001</v>
      </c>
      <c r="M637" t="inlineStr">
        <is>
          <t>INR</t>
        </is>
      </c>
      <c r="N637" t="inlineStr">
        <is>
          <t>Paid</t>
        </is>
      </c>
      <c r="O637" t="inlineStr">
        <is>
          <t>Paid</t>
        </is>
      </c>
      <c r="P637" t="n">
        <v>75.76000000000001</v>
      </c>
      <c r="Q637" t="n">
        <v>75.76000000000001</v>
      </c>
      <c r="R637" t="b">
        <v>0</v>
      </c>
    </row>
    <row r="638">
      <c r="A638" t="inlineStr">
        <is>
          <t>INV0015005</t>
        </is>
      </c>
      <c r="B638" t="inlineStr">
        <is>
          <t>MER00708</t>
        </is>
      </c>
      <c r="C638" t="inlineStr">
        <is>
          <t>2026-03-01</t>
        </is>
      </c>
      <c r="D638" t="inlineStr">
        <is>
          <t>2026-03-31</t>
        </is>
      </c>
      <c r="E638" s="8" t="n">
        <v>46114</v>
      </c>
      <c r="F638" s="8" t="n">
        <v>46144</v>
      </c>
      <c r="G638" t="n">
        <v>46.57</v>
      </c>
      <c r="H638" t="n">
        <v>0</v>
      </c>
      <c r="I638" t="n">
        <v>46.57</v>
      </c>
      <c r="J638" t="n">
        <v>0.18</v>
      </c>
      <c r="K638" t="n">
        <v>8.380000000000001</v>
      </c>
      <c r="L638" t="n">
        <v>54.95</v>
      </c>
      <c r="M638" t="inlineStr">
        <is>
          <t>INR</t>
        </is>
      </c>
      <c r="N638" t="inlineStr">
        <is>
          <t>Paid</t>
        </is>
      </c>
      <c r="O638" t="inlineStr">
        <is>
          <t>Paid</t>
        </is>
      </c>
      <c r="P638" t="n">
        <v>46.57</v>
      </c>
      <c r="Q638" t="n">
        <v>46.57</v>
      </c>
      <c r="R638" t="b">
        <v>0</v>
      </c>
    </row>
    <row r="639">
      <c r="A639" t="inlineStr">
        <is>
          <t>INV0015006</t>
        </is>
      </c>
      <c r="B639" t="inlineStr">
        <is>
          <t>MER00708</t>
        </is>
      </c>
      <c r="C639" t="inlineStr">
        <is>
          <t>2026-04-01</t>
        </is>
      </c>
      <c r="D639" t="inlineStr">
        <is>
          <t>2026-04-30</t>
        </is>
      </c>
      <c r="E639" s="8" t="n">
        <v>46144</v>
      </c>
      <c r="F639" s="8" t="n">
        <v>46174</v>
      </c>
      <c r="G639" t="n">
        <v>69.03</v>
      </c>
      <c r="H639" t="n">
        <v>0</v>
      </c>
      <c r="I639" t="n">
        <v>69.03</v>
      </c>
      <c r="J639" t="n">
        <v>0.18</v>
      </c>
      <c r="K639" t="n">
        <v>12.43</v>
      </c>
      <c r="L639" t="n">
        <v>81.45999999999999</v>
      </c>
      <c r="M639" t="inlineStr">
        <is>
          <t>INR</t>
        </is>
      </c>
      <c r="N639" t="inlineStr">
        <is>
          <t>Paid</t>
        </is>
      </c>
      <c r="O639" t="inlineStr">
        <is>
          <t>Paid</t>
        </is>
      </c>
      <c r="P639" t="n">
        <v>69.03</v>
      </c>
      <c r="Q639" t="n">
        <v>69.03</v>
      </c>
      <c r="R639" t="b">
        <v>0</v>
      </c>
    </row>
    <row r="640">
      <c r="A640" t="inlineStr">
        <is>
          <t>INV0015007</t>
        </is>
      </c>
      <c r="B640" t="inlineStr">
        <is>
          <t>MER00708</t>
        </is>
      </c>
      <c r="C640" t="inlineStr">
        <is>
          <t>2026-05-01</t>
        </is>
      </c>
      <c r="D640" t="inlineStr">
        <is>
          <t>2026-05-31</t>
        </is>
      </c>
      <c r="E640" s="8" t="n">
        <v>46175</v>
      </c>
      <c r="F640" s="8" t="n">
        <v>46205</v>
      </c>
      <c r="G640" t="n">
        <v>35.03</v>
      </c>
      <c r="H640" t="n">
        <v>0</v>
      </c>
      <c r="I640" t="n">
        <v>35.03</v>
      </c>
      <c r="J640" t="n">
        <v>0.18</v>
      </c>
      <c r="K640" t="n">
        <v>6.31</v>
      </c>
      <c r="L640" t="n">
        <v>41.34</v>
      </c>
      <c r="M640" t="inlineStr">
        <is>
          <t>INR</t>
        </is>
      </c>
      <c r="N640" t="inlineStr">
        <is>
          <t>Paid</t>
        </is>
      </c>
      <c r="O640" t="inlineStr">
        <is>
          <t>Paid</t>
        </is>
      </c>
      <c r="P640" t="n">
        <v>35.03</v>
      </c>
      <c r="Q640" t="n">
        <v>35.03</v>
      </c>
      <c r="R640" t="b">
        <v>0</v>
      </c>
    </row>
    <row r="641">
      <c r="A641" t="inlineStr">
        <is>
          <t>INV0015008</t>
        </is>
      </c>
      <c r="B641" t="inlineStr">
        <is>
          <t>MER00708</t>
        </is>
      </c>
      <c r="C641" t="inlineStr">
        <is>
          <t>2026-06-01</t>
        </is>
      </c>
      <c r="D641" t="inlineStr">
        <is>
          <t>2026-06-30</t>
        </is>
      </c>
      <c r="E641" s="8" t="n">
        <v>46205</v>
      </c>
      <c r="F641" s="8" t="n">
        <v>46235</v>
      </c>
      <c r="G641" t="n">
        <v>80.39</v>
      </c>
      <c r="H641" t="n">
        <v>0</v>
      </c>
      <c r="I641" t="n">
        <v>80.39</v>
      </c>
      <c r="J641" t="n">
        <v>0.18</v>
      </c>
      <c r="K641" t="n">
        <v>14.47</v>
      </c>
      <c r="L641" t="n">
        <v>94.86</v>
      </c>
      <c r="M641" t="inlineStr">
        <is>
          <t>INR</t>
        </is>
      </c>
      <c r="N641" t="inlineStr">
        <is>
          <t>Paid</t>
        </is>
      </c>
      <c r="O641" t="inlineStr">
        <is>
          <t>Paid</t>
        </is>
      </c>
      <c r="P641" t="n">
        <v>80.39</v>
      </c>
      <c r="Q641" t="n">
        <v>80.39</v>
      </c>
      <c r="R641" t="b">
        <v>0</v>
      </c>
    </row>
    <row r="642">
      <c r="A642" t="inlineStr">
        <is>
          <t>INV0015009</t>
        </is>
      </c>
      <c r="B642" t="inlineStr">
        <is>
          <t>MER00708</t>
        </is>
      </c>
      <c r="C642" t="inlineStr">
        <is>
          <t>2026-07-01</t>
        </is>
      </c>
      <c r="D642" t="inlineStr">
        <is>
          <t>2026-07-31</t>
        </is>
      </c>
      <c r="E642" s="8" t="n">
        <v>46236</v>
      </c>
      <c r="F642" s="8" t="n">
        <v>46266</v>
      </c>
      <c r="G642" t="n">
        <v>170.06</v>
      </c>
      <c r="H642" t="n">
        <v>0</v>
      </c>
      <c r="I642" t="n">
        <v>170.06</v>
      </c>
      <c r="J642" t="n">
        <v>0.18</v>
      </c>
      <c r="K642" t="n">
        <v>30.61</v>
      </c>
      <c r="L642" t="n">
        <v>200.67</v>
      </c>
      <c r="M642" t="inlineStr">
        <is>
          <t>INR</t>
        </is>
      </c>
      <c r="N642" t="inlineStr">
        <is>
          <t>Void</t>
        </is>
      </c>
      <c r="O642" t="inlineStr">
        <is>
          <t>Unpaid</t>
        </is>
      </c>
      <c r="P642" t="n">
        <v>170.06</v>
      </c>
      <c r="Q642" t="n">
        <v>170.06</v>
      </c>
      <c r="R642" t="b">
        <v>0</v>
      </c>
    </row>
    <row r="643">
      <c r="A643" t="inlineStr">
        <is>
          <t>INV0015010</t>
        </is>
      </c>
      <c r="B643" t="inlineStr">
        <is>
          <t>MER00709</t>
        </is>
      </c>
      <c r="C643" t="inlineStr">
        <is>
          <t>2024-08-01</t>
        </is>
      </c>
      <c r="D643" t="inlineStr">
        <is>
          <t>2024-08-31</t>
        </is>
      </c>
      <c r="E643" s="8" t="n">
        <v>45537</v>
      </c>
      <c r="F643" s="8" t="n">
        <v>45552</v>
      </c>
      <c r="G643" t="n">
        <v>167.82</v>
      </c>
      <c r="H643" t="n">
        <v>0</v>
      </c>
      <c r="I643" t="n">
        <v>167.82</v>
      </c>
      <c r="J643" t="n">
        <v>0.18</v>
      </c>
      <c r="K643" t="n">
        <v>30.21</v>
      </c>
      <c r="L643" t="n">
        <v>198.03</v>
      </c>
      <c r="M643" t="inlineStr">
        <is>
          <t>INR</t>
        </is>
      </c>
      <c r="N643" t="inlineStr">
        <is>
          <t>Paid</t>
        </is>
      </c>
      <c r="O643" t="inlineStr">
        <is>
          <t>Paid</t>
        </is>
      </c>
      <c r="P643" t="n">
        <v>167.82</v>
      </c>
      <c r="Q643" t="n">
        <v>167.82</v>
      </c>
      <c r="R643" t="b">
        <v>0</v>
      </c>
    </row>
    <row r="644">
      <c r="A644" t="inlineStr">
        <is>
          <t>INV0015011</t>
        </is>
      </c>
      <c r="B644" t="inlineStr">
        <is>
          <t>MER00709</t>
        </is>
      </c>
      <c r="C644" t="inlineStr">
        <is>
          <t>2024-09-01</t>
        </is>
      </c>
      <c r="D644" t="inlineStr">
        <is>
          <t>2024-09-30</t>
        </is>
      </c>
      <c r="E644" s="8" t="n">
        <v>45567</v>
      </c>
      <c r="F644" s="8" t="n">
        <v>45582</v>
      </c>
      <c r="G644" t="n">
        <v>93.45</v>
      </c>
      <c r="H644" t="n">
        <v>0</v>
      </c>
      <c r="I644" t="n">
        <v>93.45</v>
      </c>
      <c r="J644" t="n">
        <v>0.18</v>
      </c>
      <c r="K644" t="n">
        <v>16.82</v>
      </c>
      <c r="L644" t="n">
        <v>110.27</v>
      </c>
      <c r="M644" t="inlineStr">
        <is>
          <t>INR</t>
        </is>
      </c>
      <c r="N644" t="inlineStr">
        <is>
          <t>Paid</t>
        </is>
      </c>
      <c r="O644" t="inlineStr">
        <is>
          <t>Paid</t>
        </is>
      </c>
      <c r="P644" t="n">
        <v>93.45</v>
      </c>
      <c r="Q644" t="n">
        <v>93.45</v>
      </c>
      <c r="R644" t="b">
        <v>0</v>
      </c>
    </row>
    <row r="645">
      <c r="A645" t="inlineStr">
        <is>
          <t>INV0015012</t>
        </is>
      </c>
      <c r="B645" t="inlineStr">
        <is>
          <t>MER00709</t>
        </is>
      </c>
      <c r="C645" t="inlineStr">
        <is>
          <t>2024-10-01</t>
        </is>
      </c>
      <c r="D645" t="inlineStr">
        <is>
          <t>2024-10-31</t>
        </is>
      </c>
      <c r="E645" s="8" t="n">
        <v>45598</v>
      </c>
      <c r="F645" s="8" t="n">
        <v>45613</v>
      </c>
      <c r="G645" t="n">
        <v>263.57</v>
      </c>
      <c r="H645" t="n">
        <v>0</v>
      </c>
      <c r="I645" t="n">
        <v>263.57</v>
      </c>
      <c r="J645" t="n">
        <v>0.18</v>
      </c>
      <c r="K645" t="n">
        <v>47.44</v>
      </c>
      <c r="L645" t="n">
        <v>311.01</v>
      </c>
      <c r="M645" t="inlineStr">
        <is>
          <t>INR</t>
        </is>
      </c>
      <c r="N645" t="inlineStr">
        <is>
          <t>Paid</t>
        </is>
      </c>
      <c r="O645" t="inlineStr">
        <is>
          <t>Paid</t>
        </is>
      </c>
      <c r="P645" t="n">
        <v>229.84</v>
      </c>
      <c r="Q645" t="n">
        <v>263.57</v>
      </c>
      <c r="R645" t="b">
        <v>1</v>
      </c>
    </row>
    <row r="646">
      <c r="A646" t="inlineStr">
        <is>
          <t>INV0015013</t>
        </is>
      </c>
      <c r="B646" t="inlineStr">
        <is>
          <t>MER00709</t>
        </is>
      </c>
      <c r="C646" t="inlineStr">
        <is>
          <t>2024-11-01</t>
        </is>
      </c>
      <c r="D646" t="inlineStr">
        <is>
          <t>2024-11-30</t>
        </is>
      </c>
      <c r="E646" s="8" t="n">
        <v>45628</v>
      </c>
      <c r="F646" s="8" t="n">
        <v>45643</v>
      </c>
      <c r="G646" t="n">
        <v>149.49</v>
      </c>
      <c r="H646" t="n">
        <v>0</v>
      </c>
      <c r="I646" t="n">
        <v>149.49</v>
      </c>
      <c r="J646" t="n">
        <v>0.18</v>
      </c>
      <c r="K646" t="n">
        <v>26.91</v>
      </c>
      <c r="L646" t="n">
        <v>176.4</v>
      </c>
      <c r="M646" t="inlineStr">
        <is>
          <t>INR</t>
        </is>
      </c>
      <c r="N646" t="inlineStr">
        <is>
          <t>Paid</t>
        </is>
      </c>
      <c r="O646" t="inlineStr">
        <is>
          <t>Paid</t>
        </is>
      </c>
      <c r="P646" t="n">
        <v>149.49</v>
      </c>
      <c r="Q646" t="n">
        <v>149.49</v>
      </c>
      <c r="R646" t="b">
        <v>0</v>
      </c>
    </row>
    <row r="647">
      <c r="A647" t="inlineStr">
        <is>
          <t>INV0015014</t>
        </is>
      </c>
      <c r="B647" t="inlineStr">
        <is>
          <t>MER00709</t>
        </is>
      </c>
      <c r="C647" t="inlineStr">
        <is>
          <t>2024-12-01</t>
        </is>
      </c>
      <c r="D647" t="inlineStr">
        <is>
          <t>2024-12-31</t>
        </is>
      </c>
      <c r="E647" s="8" t="n">
        <v>45659</v>
      </c>
      <c r="F647" s="8" t="n">
        <v>45674</v>
      </c>
      <c r="G647" t="n">
        <v>41.1</v>
      </c>
      <c r="H647" t="n">
        <v>0</v>
      </c>
      <c r="I647" t="n">
        <v>41.1</v>
      </c>
      <c r="J647" t="n">
        <v>0.18</v>
      </c>
      <c r="K647" t="n">
        <v>7.4</v>
      </c>
      <c r="L647" t="n">
        <v>48.5</v>
      </c>
      <c r="M647" t="inlineStr">
        <is>
          <t>INR</t>
        </is>
      </c>
      <c r="N647" t="inlineStr">
        <is>
          <t>Paid</t>
        </is>
      </c>
      <c r="O647" t="inlineStr">
        <is>
          <t>Paid</t>
        </is>
      </c>
      <c r="P647" t="n">
        <v>41.1</v>
      </c>
      <c r="Q647" t="n">
        <v>41.1</v>
      </c>
      <c r="R647" t="b">
        <v>0</v>
      </c>
    </row>
    <row r="648">
      <c r="A648" t="inlineStr">
        <is>
          <t>INV0015015</t>
        </is>
      </c>
      <c r="B648" t="inlineStr">
        <is>
          <t>MER00709</t>
        </is>
      </c>
      <c r="C648" t="inlineStr">
        <is>
          <t>2025-01-01</t>
        </is>
      </c>
      <c r="D648" t="inlineStr">
        <is>
          <t>2025-01-31</t>
        </is>
      </c>
      <c r="E648" s="8" t="n">
        <v>45690</v>
      </c>
      <c r="F648" s="8" t="n">
        <v>45705</v>
      </c>
      <c r="G648" t="n">
        <v>299.43</v>
      </c>
      <c r="H648" t="n">
        <v>0</v>
      </c>
      <c r="I648" t="n">
        <v>299.43</v>
      </c>
      <c r="J648" t="n">
        <v>0.18</v>
      </c>
      <c r="K648" t="n">
        <v>53.9</v>
      </c>
      <c r="L648" t="n">
        <v>353.33</v>
      </c>
      <c r="M648" t="inlineStr">
        <is>
          <t>INR</t>
        </is>
      </c>
      <c r="N648" t="inlineStr">
        <is>
          <t>Paid</t>
        </is>
      </c>
      <c r="O648" t="inlineStr">
        <is>
          <t>Paid</t>
        </is>
      </c>
      <c r="P648" t="n">
        <v>354.11</v>
      </c>
      <c r="Q648" t="n">
        <v>299.43</v>
      </c>
      <c r="R648" t="b">
        <v>1</v>
      </c>
    </row>
    <row r="649">
      <c r="A649" t="inlineStr">
        <is>
          <t>INV0015016</t>
        </is>
      </c>
      <c r="B649" t="inlineStr">
        <is>
          <t>MER00709</t>
        </is>
      </c>
      <c r="C649" t="inlineStr">
        <is>
          <t>2025-02-01</t>
        </is>
      </c>
      <c r="D649" t="inlineStr">
        <is>
          <t>2025-02-28</t>
        </is>
      </c>
      <c r="E649" s="8" t="n">
        <v>45718</v>
      </c>
      <c r="F649" s="8" t="n">
        <v>45733</v>
      </c>
      <c r="G649" t="n">
        <v>314.6</v>
      </c>
      <c r="H649" t="n">
        <v>0</v>
      </c>
      <c r="I649" t="n">
        <v>314.6</v>
      </c>
      <c r="J649" t="n">
        <v>0.18</v>
      </c>
      <c r="K649" t="n">
        <v>56.63</v>
      </c>
      <c r="L649" t="n">
        <v>371.23</v>
      </c>
      <c r="M649" t="inlineStr">
        <is>
          <t>INR</t>
        </is>
      </c>
      <c r="N649" t="inlineStr">
        <is>
          <t>Paid</t>
        </is>
      </c>
      <c r="O649" t="inlineStr">
        <is>
          <t>Paid</t>
        </is>
      </c>
      <c r="P649" t="n">
        <v>265.62</v>
      </c>
      <c r="Q649" t="n">
        <v>314.6</v>
      </c>
      <c r="R649" t="b">
        <v>1</v>
      </c>
    </row>
    <row r="650">
      <c r="A650" t="inlineStr">
        <is>
          <t>INV0015017</t>
        </is>
      </c>
      <c r="B650" t="inlineStr">
        <is>
          <t>MER00709</t>
        </is>
      </c>
      <c r="C650" t="inlineStr">
        <is>
          <t>2025-03-01</t>
        </is>
      </c>
      <c r="D650" t="inlineStr">
        <is>
          <t>2025-03-31</t>
        </is>
      </c>
      <c r="E650" s="8" t="n">
        <v>45749</v>
      </c>
      <c r="F650" s="8" t="n">
        <v>45764</v>
      </c>
      <c r="G650" t="n">
        <v>16.35</v>
      </c>
      <c r="H650" t="n">
        <v>0</v>
      </c>
      <c r="I650" t="n">
        <v>16.35</v>
      </c>
      <c r="J650" t="n">
        <v>0.18</v>
      </c>
      <c r="K650" t="n">
        <v>2.94</v>
      </c>
      <c r="L650" t="n">
        <v>19.29</v>
      </c>
      <c r="M650" t="inlineStr">
        <is>
          <t>INR</t>
        </is>
      </c>
      <c r="N650" t="inlineStr">
        <is>
          <t>Paid</t>
        </is>
      </c>
      <c r="O650" t="inlineStr">
        <is>
          <t>Paid</t>
        </is>
      </c>
      <c r="P650" t="n">
        <v>16.35</v>
      </c>
      <c r="Q650" t="n">
        <v>16.35</v>
      </c>
      <c r="R650" t="b">
        <v>0</v>
      </c>
    </row>
    <row r="651">
      <c r="A651" t="inlineStr">
        <is>
          <t>INV0015018</t>
        </is>
      </c>
      <c r="B651" t="inlineStr">
        <is>
          <t>MER00709</t>
        </is>
      </c>
      <c r="C651" t="inlineStr">
        <is>
          <t>2025-04-01</t>
        </is>
      </c>
      <c r="D651" t="inlineStr">
        <is>
          <t>2025-04-30</t>
        </is>
      </c>
      <c r="E651" s="8" t="n">
        <v>45779</v>
      </c>
      <c r="F651" s="8" t="n">
        <v>45794</v>
      </c>
      <c r="G651" t="n">
        <v>229.14</v>
      </c>
      <c r="H651" t="n">
        <v>0</v>
      </c>
      <c r="I651" t="n">
        <v>229.14</v>
      </c>
      <c r="J651" t="n">
        <v>0.18</v>
      </c>
      <c r="K651" t="n">
        <v>41.25</v>
      </c>
      <c r="L651" t="n">
        <v>270.39</v>
      </c>
      <c r="M651" t="inlineStr">
        <is>
          <t>INR</t>
        </is>
      </c>
      <c r="N651" t="inlineStr">
        <is>
          <t>Paid</t>
        </is>
      </c>
      <c r="O651" t="inlineStr">
        <is>
          <t>Paid</t>
        </is>
      </c>
      <c r="P651" t="n">
        <v>229.14</v>
      </c>
      <c r="Q651" t="n">
        <v>229.14</v>
      </c>
      <c r="R651" t="b">
        <v>0</v>
      </c>
    </row>
    <row r="652">
      <c r="A652" t="inlineStr">
        <is>
          <t>INV0015019</t>
        </is>
      </c>
      <c r="B652" t="inlineStr">
        <is>
          <t>MER00709</t>
        </is>
      </c>
      <c r="C652" t="inlineStr">
        <is>
          <t>2025-05-01</t>
        </is>
      </c>
      <c r="D652" t="inlineStr">
        <is>
          <t>2025-05-31</t>
        </is>
      </c>
      <c r="E652" s="8" t="n">
        <v>45810</v>
      </c>
      <c r="F652" s="8" t="n">
        <v>45825</v>
      </c>
      <c r="G652" t="n">
        <v>33.8</v>
      </c>
      <c r="H652" t="n">
        <v>0</v>
      </c>
      <c r="I652" t="n">
        <v>33.8</v>
      </c>
      <c r="J652" t="n">
        <v>0.18</v>
      </c>
      <c r="K652" t="n">
        <v>6.08</v>
      </c>
      <c r="L652" t="n">
        <v>39.88</v>
      </c>
      <c r="M652" t="inlineStr">
        <is>
          <t>INR</t>
        </is>
      </c>
      <c r="N652" t="inlineStr">
        <is>
          <t>Paid</t>
        </is>
      </c>
      <c r="O652" t="inlineStr">
        <is>
          <t>Paid</t>
        </is>
      </c>
      <c r="P652" t="n">
        <v>33.8</v>
      </c>
      <c r="Q652" t="n">
        <v>33.8</v>
      </c>
      <c r="R652" t="b">
        <v>0</v>
      </c>
    </row>
    <row r="653">
      <c r="A653" t="inlineStr">
        <is>
          <t>INV0015020</t>
        </is>
      </c>
      <c r="B653" t="inlineStr">
        <is>
          <t>MER00709</t>
        </is>
      </c>
      <c r="C653" t="inlineStr">
        <is>
          <t>2025-06-01</t>
        </is>
      </c>
      <c r="D653" t="inlineStr">
        <is>
          <t>2025-06-30</t>
        </is>
      </c>
      <c r="E653" s="8" t="n">
        <v>45840</v>
      </c>
      <c r="F653" s="8" t="n">
        <v>45855</v>
      </c>
      <c r="G653" t="n">
        <v>131.2</v>
      </c>
      <c r="H653" t="n">
        <v>0</v>
      </c>
      <c r="I653" t="n">
        <v>131.2</v>
      </c>
      <c r="J653" t="n">
        <v>0.18</v>
      </c>
      <c r="K653" t="n">
        <v>23.62</v>
      </c>
      <c r="L653" t="n">
        <v>154.82</v>
      </c>
      <c r="M653" t="inlineStr">
        <is>
          <t>INR</t>
        </is>
      </c>
      <c r="N653" t="inlineStr">
        <is>
          <t>Paid</t>
        </is>
      </c>
      <c r="O653" t="inlineStr">
        <is>
          <t>Paid</t>
        </is>
      </c>
      <c r="P653" t="n">
        <v>131.2</v>
      </c>
      <c r="Q653" t="n">
        <v>131.2</v>
      </c>
      <c r="R653" t="b">
        <v>0</v>
      </c>
    </row>
    <row r="654">
      <c r="A654" t="inlineStr">
        <is>
          <t>INV0015021</t>
        </is>
      </c>
      <c r="B654" t="inlineStr">
        <is>
          <t>MER00709</t>
        </is>
      </c>
      <c r="C654" t="inlineStr">
        <is>
          <t>2025-08-01</t>
        </is>
      </c>
      <c r="D654" t="inlineStr">
        <is>
          <t>2025-08-31</t>
        </is>
      </c>
      <c r="E654" s="8" t="n">
        <v>45902</v>
      </c>
      <c r="F654" s="8" t="n">
        <v>45917</v>
      </c>
      <c r="G654" t="n">
        <v>193.89</v>
      </c>
      <c r="H654" t="n">
        <v>0</v>
      </c>
      <c r="I654" t="n">
        <v>193.89</v>
      </c>
      <c r="J654" t="n">
        <v>0.18</v>
      </c>
      <c r="K654" t="n">
        <v>34.9</v>
      </c>
      <c r="L654" t="n">
        <v>228.79</v>
      </c>
      <c r="M654" t="inlineStr">
        <is>
          <t>INR</t>
        </is>
      </c>
      <c r="N654" t="inlineStr">
        <is>
          <t>Paid</t>
        </is>
      </c>
      <c r="O654" t="inlineStr">
        <is>
          <t>Paid</t>
        </is>
      </c>
      <c r="P654" t="n">
        <v>193.89</v>
      </c>
      <c r="Q654" t="n">
        <v>193.89</v>
      </c>
      <c r="R654" t="b">
        <v>0</v>
      </c>
    </row>
    <row r="655">
      <c r="A655" t="inlineStr">
        <is>
          <t>INV0015022</t>
        </is>
      </c>
      <c r="B655" t="inlineStr">
        <is>
          <t>MER00709</t>
        </is>
      </c>
      <c r="C655" t="inlineStr">
        <is>
          <t>2025-09-01</t>
        </is>
      </c>
      <c r="D655" t="inlineStr">
        <is>
          <t>2025-09-30</t>
        </is>
      </c>
      <c r="E655" s="8" t="n">
        <v>45932</v>
      </c>
      <c r="F655" s="8" t="n">
        <v>45947</v>
      </c>
      <c r="G655" t="n">
        <v>406.22</v>
      </c>
      <c r="H655" t="n">
        <v>0</v>
      </c>
      <c r="I655" t="n">
        <v>406.22</v>
      </c>
      <c r="J655" t="n">
        <v>0.18</v>
      </c>
      <c r="K655" t="n">
        <v>73.12</v>
      </c>
      <c r="L655" t="n">
        <v>479.34</v>
      </c>
      <c r="M655" t="inlineStr">
        <is>
          <t>INR</t>
        </is>
      </c>
      <c r="N655" t="inlineStr">
        <is>
          <t>Paid</t>
        </is>
      </c>
      <c r="O655" t="inlineStr">
        <is>
          <t>Paid</t>
        </is>
      </c>
      <c r="P655" t="n">
        <v>406.22</v>
      </c>
      <c r="Q655" t="n">
        <v>406.22</v>
      </c>
      <c r="R655" t="b">
        <v>0</v>
      </c>
    </row>
    <row r="656">
      <c r="A656" t="inlineStr">
        <is>
          <t>INV0015023</t>
        </is>
      </c>
      <c r="B656" t="inlineStr">
        <is>
          <t>MER00709</t>
        </is>
      </c>
      <c r="C656" t="inlineStr">
        <is>
          <t>2025-10-01</t>
        </is>
      </c>
      <c r="D656" t="inlineStr">
        <is>
          <t>2025-10-31</t>
        </is>
      </c>
      <c r="E656" s="8" t="n">
        <v>45963</v>
      </c>
      <c r="F656" s="8" t="n">
        <v>45978</v>
      </c>
      <c r="G656" t="n">
        <v>471.27</v>
      </c>
      <c r="H656" t="n">
        <v>0</v>
      </c>
      <c r="I656" t="n">
        <v>471.27</v>
      </c>
      <c r="J656" t="n">
        <v>0.18</v>
      </c>
      <c r="K656" t="n">
        <v>84.83</v>
      </c>
      <c r="L656" t="n">
        <v>556.1</v>
      </c>
      <c r="M656" t="inlineStr">
        <is>
          <t>INR</t>
        </is>
      </c>
      <c r="N656" t="inlineStr">
        <is>
          <t>Paid</t>
        </is>
      </c>
      <c r="O656" t="inlineStr">
        <is>
          <t>Paid</t>
        </is>
      </c>
      <c r="P656" t="n">
        <v>471.27</v>
      </c>
      <c r="Q656" t="n">
        <v>471.27</v>
      </c>
      <c r="R656" t="b">
        <v>0</v>
      </c>
    </row>
    <row r="657">
      <c r="A657" t="inlineStr">
        <is>
          <t>INV0015024</t>
        </is>
      </c>
      <c r="B657" t="inlineStr">
        <is>
          <t>MER00709</t>
        </is>
      </c>
      <c r="C657" t="inlineStr">
        <is>
          <t>2025-11-01</t>
        </is>
      </c>
      <c r="D657" t="inlineStr">
        <is>
          <t>2025-11-30</t>
        </is>
      </c>
      <c r="E657" s="8" t="n">
        <v>45993</v>
      </c>
      <c r="F657" s="8" t="n">
        <v>46008</v>
      </c>
      <c r="G657" t="n">
        <v>178.2</v>
      </c>
      <c r="H657" t="n">
        <v>0</v>
      </c>
      <c r="I657" t="n">
        <v>178.2</v>
      </c>
      <c r="J657" t="n">
        <v>0.18</v>
      </c>
      <c r="K657" t="n">
        <v>32.08</v>
      </c>
      <c r="L657" t="n">
        <v>210.28</v>
      </c>
      <c r="M657" t="inlineStr">
        <is>
          <t>INR</t>
        </is>
      </c>
      <c r="N657" t="inlineStr">
        <is>
          <t>Paid</t>
        </is>
      </c>
      <c r="O657" t="inlineStr">
        <is>
          <t>Paid</t>
        </is>
      </c>
      <c r="P657" t="n">
        <v>178.2</v>
      </c>
      <c r="Q657" t="n">
        <v>178.2</v>
      </c>
      <c r="R657" t="b">
        <v>0</v>
      </c>
    </row>
    <row r="658">
      <c r="A658" t="inlineStr">
        <is>
          <t>INV0015025</t>
        </is>
      </c>
      <c r="B658" t="inlineStr">
        <is>
          <t>MER00709</t>
        </is>
      </c>
      <c r="C658" t="inlineStr">
        <is>
          <t>2025-12-01</t>
        </is>
      </c>
      <c r="D658" t="inlineStr">
        <is>
          <t>2025-12-31</t>
        </is>
      </c>
      <c r="E658" s="8" t="n">
        <v>46024</v>
      </c>
      <c r="F658" s="8" t="n">
        <v>46039</v>
      </c>
      <c r="G658" t="n">
        <v>130.88</v>
      </c>
      <c r="H658" t="n">
        <v>0</v>
      </c>
      <c r="I658" t="n">
        <v>130.88</v>
      </c>
      <c r="J658" t="n">
        <v>0.18</v>
      </c>
      <c r="K658" t="n">
        <v>23.56</v>
      </c>
      <c r="L658" t="n">
        <v>154.44</v>
      </c>
      <c r="M658" t="inlineStr">
        <is>
          <t>INR</t>
        </is>
      </c>
      <c r="N658" t="inlineStr">
        <is>
          <t>Paid</t>
        </is>
      </c>
      <c r="O658" t="inlineStr">
        <is>
          <t>Paid</t>
        </is>
      </c>
      <c r="P658" t="n">
        <v>130.88</v>
      </c>
      <c r="Q658" t="n">
        <v>130.88</v>
      </c>
      <c r="R658" t="b">
        <v>0</v>
      </c>
    </row>
    <row r="659">
      <c r="A659" t="inlineStr">
        <is>
          <t>INV0015026</t>
        </is>
      </c>
      <c r="B659" t="inlineStr">
        <is>
          <t>MER00709</t>
        </is>
      </c>
      <c r="C659" t="inlineStr">
        <is>
          <t>2026-01-01</t>
        </is>
      </c>
      <c r="D659" t="inlineStr">
        <is>
          <t>2026-01-31</t>
        </is>
      </c>
      <c r="E659" s="8" t="n">
        <v>46055</v>
      </c>
      <c r="F659" s="8" t="n">
        <v>46070</v>
      </c>
      <c r="G659" t="n">
        <v>201.98</v>
      </c>
      <c r="H659" t="n">
        <v>0</v>
      </c>
      <c r="I659" t="n">
        <v>201.98</v>
      </c>
      <c r="J659" t="n">
        <v>0.18</v>
      </c>
      <c r="K659" t="n">
        <v>36.36</v>
      </c>
      <c r="L659" t="n">
        <v>238.34</v>
      </c>
      <c r="M659" t="inlineStr">
        <is>
          <t>INR</t>
        </is>
      </c>
      <c r="N659" t="inlineStr">
        <is>
          <t>Paid</t>
        </is>
      </c>
      <c r="O659" t="inlineStr">
        <is>
          <t>Paid</t>
        </is>
      </c>
      <c r="P659" t="n">
        <v>201.98</v>
      </c>
      <c r="Q659" t="n">
        <v>201.98</v>
      </c>
      <c r="R659" t="b">
        <v>0</v>
      </c>
    </row>
    <row r="660">
      <c r="A660" t="inlineStr">
        <is>
          <t>INV0015027</t>
        </is>
      </c>
      <c r="B660" t="inlineStr">
        <is>
          <t>MER00709</t>
        </is>
      </c>
      <c r="C660" t="inlineStr">
        <is>
          <t>2026-02-01</t>
        </is>
      </c>
      <c r="D660" t="inlineStr">
        <is>
          <t>2026-02-28</t>
        </is>
      </c>
      <c r="E660" s="8" t="n">
        <v>46083</v>
      </c>
      <c r="F660" s="8" t="n">
        <v>46098</v>
      </c>
      <c r="G660" t="n">
        <v>213.57</v>
      </c>
      <c r="H660" t="n">
        <v>0</v>
      </c>
      <c r="I660" t="n">
        <v>213.57</v>
      </c>
      <c r="J660" t="n">
        <v>0.18</v>
      </c>
      <c r="K660" t="n">
        <v>38.44</v>
      </c>
      <c r="L660" t="n">
        <v>252.01</v>
      </c>
      <c r="M660" t="inlineStr">
        <is>
          <t>INR</t>
        </is>
      </c>
      <c r="N660" t="inlineStr">
        <is>
          <t>Paid</t>
        </is>
      </c>
      <c r="O660" t="inlineStr">
        <is>
          <t>Paid</t>
        </is>
      </c>
      <c r="P660" t="n">
        <v>213.57</v>
      </c>
      <c r="Q660" t="n">
        <v>213.57</v>
      </c>
      <c r="R660" t="b">
        <v>0</v>
      </c>
    </row>
    <row r="661">
      <c r="A661" t="inlineStr">
        <is>
          <t>INV0015028</t>
        </is>
      </c>
      <c r="B661" t="inlineStr">
        <is>
          <t>MER00709</t>
        </is>
      </c>
      <c r="C661" t="inlineStr">
        <is>
          <t>2026-03-01</t>
        </is>
      </c>
      <c r="D661" t="inlineStr">
        <is>
          <t>2026-03-31</t>
        </is>
      </c>
      <c r="E661" s="8" t="n">
        <v>46114</v>
      </c>
      <c r="F661" s="8" t="n">
        <v>46129</v>
      </c>
      <c r="G661" t="n">
        <v>32.22</v>
      </c>
      <c r="H661" t="n">
        <v>0</v>
      </c>
      <c r="I661" t="n">
        <v>32.22</v>
      </c>
      <c r="J661" t="n">
        <v>0.18</v>
      </c>
      <c r="K661" t="n">
        <v>5.8</v>
      </c>
      <c r="L661" t="n">
        <v>38.02</v>
      </c>
      <c r="M661" t="inlineStr">
        <is>
          <t>INR</t>
        </is>
      </c>
      <c r="N661" t="inlineStr">
        <is>
          <t>Paid</t>
        </is>
      </c>
      <c r="O661" t="inlineStr">
        <is>
          <t>Paid</t>
        </is>
      </c>
      <c r="P661" t="n">
        <v>32.22</v>
      </c>
      <c r="Q661" t="n">
        <v>32.22</v>
      </c>
      <c r="R661" t="b">
        <v>0</v>
      </c>
    </row>
    <row r="662">
      <c r="A662" t="inlineStr">
        <is>
          <t>INV0015029</t>
        </is>
      </c>
      <c r="B662" t="inlineStr">
        <is>
          <t>MER00709</t>
        </is>
      </c>
      <c r="C662" t="inlineStr">
        <is>
          <t>2026-04-01</t>
        </is>
      </c>
      <c r="D662" t="inlineStr">
        <is>
          <t>2026-04-30</t>
        </is>
      </c>
      <c r="E662" s="8" t="n">
        <v>46144</v>
      </c>
      <c r="F662" s="8" t="n">
        <v>46159</v>
      </c>
      <c r="G662" t="n">
        <v>176.95</v>
      </c>
      <c r="H662" t="n">
        <v>0</v>
      </c>
      <c r="I662" t="n">
        <v>176.95</v>
      </c>
      <c r="J662" t="n">
        <v>0.18</v>
      </c>
      <c r="K662" t="n">
        <v>31.85</v>
      </c>
      <c r="L662" t="n">
        <v>208.8</v>
      </c>
      <c r="M662" t="inlineStr">
        <is>
          <t>INR</t>
        </is>
      </c>
      <c r="N662" t="inlineStr">
        <is>
          <t>Paid</t>
        </is>
      </c>
      <c r="O662" t="inlineStr">
        <is>
          <t>Paid</t>
        </is>
      </c>
      <c r="P662" t="n">
        <v>176.95</v>
      </c>
      <c r="Q662" t="n">
        <v>176.95</v>
      </c>
      <c r="R662" t="b">
        <v>0</v>
      </c>
    </row>
    <row r="663">
      <c r="A663" t="inlineStr">
        <is>
          <t>INV0015030</t>
        </is>
      </c>
      <c r="B663" t="inlineStr">
        <is>
          <t>MER00709</t>
        </is>
      </c>
      <c r="C663" t="inlineStr">
        <is>
          <t>2026-05-01</t>
        </is>
      </c>
      <c r="D663" t="inlineStr">
        <is>
          <t>2026-05-31</t>
        </is>
      </c>
      <c r="E663" s="8" t="n">
        <v>46175</v>
      </c>
      <c r="F663" s="8" t="n">
        <v>46190</v>
      </c>
      <c r="G663" t="n">
        <v>139.09</v>
      </c>
      <c r="H663" t="n">
        <v>0</v>
      </c>
      <c r="I663" t="n">
        <v>139.09</v>
      </c>
      <c r="J663" t="n">
        <v>0.18</v>
      </c>
      <c r="K663" t="n">
        <v>25.04</v>
      </c>
      <c r="L663" t="n">
        <v>164.13</v>
      </c>
      <c r="M663" t="inlineStr">
        <is>
          <t>INR</t>
        </is>
      </c>
      <c r="N663" t="inlineStr">
        <is>
          <t>Paid</t>
        </is>
      </c>
      <c r="O663" t="inlineStr">
        <is>
          <t>Paid</t>
        </is>
      </c>
      <c r="P663" t="n">
        <v>139.09</v>
      </c>
      <c r="Q663" t="n">
        <v>139.09</v>
      </c>
      <c r="R663" t="b">
        <v>0</v>
      </c>
    </row>
    <row r="664">
      <c r="A664" t="inlineStr">
        <is>
          <t>INV0015031</t>
        </is>
      </c>
      <c r="B664" t="inlineStr">
        <is>
          <t>MER00709</t>
        </is>
      </c>
      <c r="C664" t="inlineStr">
        <is>
          <t>2026-06-01</t>
        </is>
      </c>
      <c r="D664" t="inlineStr">
        <is>
          <t>2026-06-30</t>
        </is>
      </c>
      <c r="E664" s="8" t="n">
        <v>46205</v>
      </c>
      <c r="F664" s="8" t="n">
        <v>46220</v>
      </c>
      <c r="G664" t="n">
        <v>80.81999999999999</v>
      </c>
      <c r="H664" t="n">
        <v>0</v>
      </c>
      <c r="I664" t="n">
        <v>80.81999999999999</v>
      </c>
      <c r="J664" t="n">
        <v>0.18</v>
      </c>
      <c r="K664" t="n">
        <v>14.55</v>
      </c>
      <c r="L664" t="n">
        <v>95.37</v>
      </c>
      <c r="M664" t="inlineStr">
        <is>
          <t>INR</t>
        </is>
      </c>
      <c r="N664" t="inlineStr">
        <is>
          <t>Paid</t>
        </is>
      </c>
      <c r="O664" t="inlineStr">
        <is>
          <t>Paid</t>
        </is>
      </c>
      <c r="P664" t="n">
        <v>80.81999999999999</v>
      </c>
      <c r="Q664" t="n">
        <v>80.81999999999999</v>
      </c>
      <c r="R664" t="b">
        <v>0</v>
      </c>
    </row>
    <row r="665">
      <c r="A665" t="inlineStr">
        <is>
          <t>INV0015032</t>
        </is>
      </c>
      <c r="B665" t="inlineStr">
        <is>
          <t>MER00709</t>
        </is>
      </c>
      <c r="C665" t="inlineStr">
        <is>
          <t>2026-07-01</t>
        </is>
      </c>
      <c r="D665" t="inlineStr">
        <is>
          <t>2026-07-31</t>
        </is>
      </c>
      <c r="E665" s="8" t="n">
        <v>46236</v>
      </c>
      <c r="F665" s="8" t="n">
        <v>46251</v>
      </c>
      <c r="G665" t="n">
        <v>273.13</v>
      </c>
      <c r="H665" t="n">
        <v>0</v>
      </c>
      <c r="I665" t="n">
        <v>273.13</v>
      </c>
      <c r="J665" t="n">
        <v>0.18</v>
      </c>
      <c r="K665" t="n">
        <v>49.16</v>
      </c>
      <c r="L665" t="n">
        <v>322.29</v>
      </c>
      <c r="M665" t="inlineStr">
        <is>
          <t>INR</t>
        </is>
      </c>
      <c r="N665" t="inlineStr">
        <is>
          <t>Paid</t>
        </is>
      </c>
      <c r="O665" t="inlineStr">
        <is>
          <t>Paid</t>
        </is>
      </c>
      <c r="P665" t="n">
        <v>273.13</v>
      </c>
      <c r="Q665" t="n">
        <v>273.13</v>
      </c>
      <c r="R665" t="b">
        <v>0</v>
      </c>
    </row>
    <row r="666">
      <c r="A666" t="inlineStr">
        <is>
          <t>INV0015046</t>
        </is>
      </c>
      <c r="B666" t="inlineStr">
        <is>
          <t>MER00711</t>
        </is>
      </c>
      <c r="C666" t="inlineStr">
        <is>
          <t>2024-08-01</t>
        </is>
      </c>
      <c r="D666" t="inlineStr">
        <is>
          <t>2024-08-31</t>
        </is>
      </c>
      <c r="E666" s="8" t="n">
        <v>45537</v>
      </c>
      <c r="F666" s="8" t="n">
        <v>45567</v>
      </c>
      <c r="G666" t="n">
        <v>3951.55</v>
      </c>
      <c r="H666" t="n">
        <v>0</v>
      </c>
      <c r="I666" t="n">
        <v>3951.55</v>
      </c>
      <c r="J666" t="n">
        <v>0.18</v>
      </c>
      <c r="K666" t="n">
        <v>711.28</v>
      </c>
      <c r="L666" t="n">
        <v>4662.83</v>
      </c>
      <c r="M666" t="inlineStr">
        <is>
          <t>INR</t>
        </is>
      </c>
      <c r="N666" t="inlineStr">
        <is>
          <t>Overdue</t>
        </is>
      </c>
      <c r="O666" t="inlineStr">
        <is>
          <t>Unpaid</t>
        </is>
      </c>
      <c r="P666" t="n">
        <v>3951.55</v>
      </c>
      <c r="Q666" t="n">
        <v>3951.55</v>
      </c>
      <c r="R666" t="b">
        <v>0</v>
      </c>
    </row>
    <row r="667">
      <c r="A667" t="inlineStr">
        <is>
          <t>INV0015047</t>
        </is>
      </c>
      <c r="B667" t="inlineStr">
        <is>
          <t>MER00711</t>
        </is>
      </c>
      <c r="C667" t="inlineStr">
        <is>
          <t>2024-09-01</t>
        </is>
      </c>
      <c r="D667" t="inlineStr">
        <is>
          <t>2024-09-30</t>
        </is>
      </c>
      <c r="E667" s="8" t="n">
        <v>45567</v>
      </c>
      <c r="F667" s="8" t="n">
        <v>45597</v>
      </c>
      <c r="G667" t="n">
        <v>3216.34</v>
      </c>
      <c r="H667" t="n">
        <v>308.77</v>
      </c>
      <c r="I667" t="n">
        <v>2907.57</v>
      </c>
      <c r="J667" t="n">
        <v>0.18</v>
      </c>
      <c r="K667" t="n">
        <v>523.36</v>
      </c>
      <c r="L667" t="n">
        <v>3430.93</v>
      </c>
      <c r="M667" t="inlineStr">
        <is>
          <t>INR</t>
        </is>
      </c>
      <c r="N667" t="inlineStr">
        <is>
          <t>Paid</t>
        </is>
      </c>
      <c r="O667" t="inlineStr">
        <is>
          <t>Paid</t>
        </is>
      </c>
      <c r="P667" t="n">
        <v>3216.34</v>
      </c>
      <c r="Q667" t="n">
        <v>3216.34</v>
      </c>
      <c r="R667" t="b">
        <v>0</v>
      </c>
    </row>
    <row r="668">
      <c r="A668" t="inlineStr">
        <is>
          <t>INV0015048</t>
        </is>
      </c>
      <c r="B668" t="inlineStr">
        <is>
          <t>MER00711</t>
        </is>
      </c>
      <c r="C668" t="inlineStr">
        <is>
          <t>2024-10-01</t>
        </is>
      </c>
      <c r="D668" t="inlineStr">
        <is>
          <t>2024-10-31</t>
        </is>
      </c>
      <c r="E668" s="8" t="n">
        <v>45598</v>
      </c>
      <c r="F668" s="8" t="n">
        <v>45628</v>
      </c>
      <c r="G668" t="n">
        <v>3940.75</v>
      </c>
      <c r="H668" t="n">
        <v>287.67</v>
      </c>
      <c r="I668" t="n">
        <v>3653.08</v>
      </c>
      <c r="J668" t="n">
        <v>0.18</v>
      </c>
      <c r="K668" t="n">
        <v>657.55</v>
      </c>
      <c r="L668" t="n">
        <v>4310.63</v>
      </c>
      <c r="M668" t="inlineStr">
        <is>
          <t>INR</t>
        </is>
      </c>
      <c r="N668" t="inlineStr">
        <is>
          <t>Paid</t>
        </is>
      </c>
      <c r="O668" t="inlineStr">
        <is>
          <t>Paid</t>
        </is>
      </c>
      <c r="P668" t="n">
        <v>3940.75</v>
      </c>
      <c r="Q668" t="n">
        <v>3940.75</v>
      </c>
      <c r="R668" t="b">
        <v>0</v>
      </c>
    </row>
    <row r="669">
      <c r="A669" t="inlineStr">
        <is>
          <t>INV0015049</t>
        </is>
      </c>
      <c r="B669" t="inlineStr">
        <is>
          <t>MER00711</t>
        </is>
      </c>
      <c r="C669" t="inlineStr">
        <is>
          <t>2024-11-01</t>
        </is>
      </c>
      <c r="D669" t="inlineStr">
        <is>
          <t>2024-11-30</t>
        </is>
      </c>
      <c r="E669" s="8" t="n">
        <v>45628</v>
      </c>
      <c r="F669" s="8" t="n">
        <v>45658</v>
      </c>
      <c r="G669" t="n">
        <v>4570.22</v>
      </c>
      <c r="H669" t="n">
        <v>0</v>
      </c>
      <c r="I669" t="n">
        <v>4570.22</v>
      </c>
      <c r="J669" t="n">
        <v>0.18</v>
      </c>
      <c r="K669" t="n">
        <v>822.64</v>
      </c>
      <c r="L669" t="n">
        <v>5392.86</v>
      </c>
      <c r="M669" t="inlineStr">
        <is>
          <t>INR</t>
        </is>
      </c>
      <c r="N669" t="inlineStr">
        <is>
          <t>Paid</t>
        </is>
      </c>
      <c r="O669" t="inlineStr">
        <is>
          <t>Paid</t>
        </is>
      </c>
      <c r="P669" t="n">
        <v>4570.22</v>
      </c>
      <c r="Q669" t="n">
        <v>4570.22</v>
      </c>
      <c r="R669" t="b">
        <v>0</v>
      </c>
    </row>
    <row r="670">
      <c r="A670" t="inlineStr">
        <is>
          <t>INV0015050</t>
        </is>
      </c>
      <c r="B670" t="inlineStr">
        <is>
          <t>MER00711</t>
        </is>
      </c>
      <c r="C670" t="inlineStr">
        <is>
          <t>2024-12-01</t>
        </is>
      </c>
      <c r="D670" t="inlineStr">
        <is>
          <t>2024-12-31</t>
        </is>
      </c>
      <c r="E670" s="8" t="n">
        <v>45659</v>
      </c>
      <c r="F670" s="8" t="n">
        <v>45689</v>
      </c>
      <c r="G670" t="n">
        <v>2884.58</v>
      </c>
      <c r="H670" t="n">
        <v>0</v>
      </c>
      <c r="I670" t="n">
        <v>2884.58</v>
      </c>
      <c r="J670" t="n">
        <v>0.18</v>
      </c>
      <c r="K670" t="n">
        <v>519.22</v>
      </c>
      <c r="L670" t="n">
        <v>3403.8</v>
      </c>
      <c r="M670" t="inlineStr">
        <is>
          <t>INR</t>
        </is>
      </c>
      <c r="N670" t="inlineStr">
        <is>
          <t>Overdue</t>
        </is>
      </c>
      <c r="O670" t="inlineStr">
        <is>
          <t>Partially Paid</t>
        </is>
      </c>
      <c r="P670" t="n">
        <v>2884.58</v>
      </c>
      <c r="Q670" t="n">
        <v>2884.58</v>
      </c>
      <c r="R670" t="b">
        <v>0</v>
      </c>
    </row>
    <row r="671">
      <c r="A671" t="inlineStr">
        <is>
          <t>INV0015051</t>
        </is>
      </c>
      <c r="B671" t="inlineStr">
        <is>
          <t>MER00711</t>
        </is>
      </c>
      <c r="C671" t="inlineStr">
        <is>
          <t>2025-01-01</t>
        </is>
      </c>
      <c r="D671" t="inlineStr">
        <is>
          <t>2025-01-31</t>
        </is>
      </c>
      <c r="E671" s="8" t="n">
        <v>45690</v>
      </c>
      <c r="F671" s="8" t="n">
        <v>45720</v>
      </c>
      <c r="G671" t="n">
        <v>4463.51</v>
      </c>
      <c r="H671" t="n">
        <v>0</v>
      </c>
      <c r="I671" t="n">
        <v>4463.51</v>
      </c>
      <c r="J671" t="n">
        <v>0.18</v>
      </c>
      <c r="K671" t="n">
        <v>803.4299999999999</v>
      </c>
      <c r="L671" t="n">
        <v>5266.94</v>
      </c>
      <c r="M671" t="inlineStr">
        <is>
          <t>INR</t>
        </is>
      </c>
      <c r="N671" t="inlineStr">
        <is>
          <t>Paid</t>
        </is>
      </c>
      <c r="O671" t="inlineStr">
        <is>
          <t>Paid</t>
        </is>
      </c>
      <c r="P671" t="n">
        <v>4463.51</v>
      </c>
      <c r="Q671" t="n">
        <v>4463.51</v>
      </c>
      <c r="R671" t="b">
        <v>0</v>
      </c>
    </row>
    <row r="672">
      <c r="A672" t="inlineStr">
        <is>
          <t>INV0015052</t>
        </is>
      </c>
      <c r="B672" t="inlineStr">
        <is>
          <t>MER00711</t>
        </is>
      </c>
      <c r="C672" t="inlineStr">
        <is>
          <t>2025-02-01</t>
        </is>
      </c>
      <c r="D672" t="inlineStr">
        <is>
          <t>2025-02-28</t>
        </is>
      </c>
      <c r="E672" s="8" t="n">
        <v>45718</v>
      </c>
      <c r="F672" s="8" t="n">
        <v>45748</v>
      </c>
      <c r="G672" t="n">
        <v>2154.25</v>
      </c>
      <c r="H672" t="n">
        <v>0</v>
      </c>
      <c r="I672" t="n">
        <v>2154.25</v>
      </c>
      <c r="J672" t="n">
        <v>0.18</v>
      </c>
      <c r="K672" t="n">
        <v>387.76</v>
      </c>
      <c r="L672" t="n">
        <v>2542.01</v>
      </c>
      <c r="M672" t="inlineStr">
        <is>
          <t>INR</t>
        </is>
      </c>
      <c r="N672" t="inlineStr">
        <is>
          <t>Paid</t>
        </is>
      </c>
      <c r="O672" t="inlineStr">
        <is>
          <t>Paid</t>
        </is>
      </c>
      <c r="P672" t="n">
        <v>2154.25</v>
      </c>
      <c r="Q672" t="n">
        <v>2154.25</v>
      </c>
      <c r="R672" t="b">
        <v>0</v>
      </c>
    </row>
    <row r="673">
      <c r="A673" t="inlineStr">
        <is>
          <t>INV0015053</t>
        </is>
      </c>
      <c r="B673" t="inlineStr">
        <is>
          <t>MER00711</t>
        </is>
      </c>
      <c r="C673" t="inlineStr">
        <is>
          <t>2025-03-01</t>
        </is>
      </c>
      <c r="D673" t="inlineStr">
        <is>
          <t>2025-03-31</t>
        </is>
      </c>
      <c r="E673" s="8" t="n">
        <v>45749</v>
      </c>
      <c r="F673" s="8" t="n">
        <v>45779</v>
      </c>
      <c r="G673" t="n">
        <v>2496.72</v>
      </c>
      <c r="H673" t="n">
        <v>364.52</v>
      </c>
      <c r="I673" t="n">
        <v>2132.2</v>
      </c>
      <c r="J673" t="n">
        <v>0.18</v>
      </c>
      <c r="K673" t="n">
        <v>383.8</v>
      </c>
      <c r="L673" t="n">
        <v>2516</v>
      </c>
      <c r="M673" t="inlineStr">
        <is>
          <t>INR</t>
        </is>
      </c>
      <c r="N673" t="inlineStr">
        <is>
          <t>Overdue</t>
        </is>
      </c>
      <c r="O673" t="inlineStr">
        <is>
          <t>Partially Paid</t>
        </is>
      </c>
      <c r="P673" t="n">
        <v>2496.72</v>
      </c>
      <c r="Q673" t="n">
        <v>2496.72</v>
      </c>
      <c r="R673" t="b">
        <v>0</v>
      </c>
    </row>
    <row r="674">
      <c r="A674" t="inlineStr">
        <is>
          <t>INV0015054</t>
        </is>
      </c>
      <c r="B674" t="inlineStr">
        <is>
          <t>MER00711</t>
        </is>
      </c>
      <c r="C674" t="inlineStr">
        <is>
          <t>2025-04-01</t>
        </is>
      </c>
      <c r="D674" t="inlineStr">
        <is>
          <t>2025-04-30</t>
        </is>
      </c>
      <c r="E674" s="8" t="n">
        <v>45779</v>
      </c>
      <c r="F674" s="8" t="n">
        <v>45809</v>
      </c>
      <c r="G674" t="n">
        <v>1868.73</v>
      </c>
      <c r="H674" t="n">
        <v>0</v>
      </c>
      <c r="I674" t="n">
        <v>1868.73</v>
      </c>
      <c r="J674" t="n">
        <v>0.18</v>
      </c>
      <c r="K674" t="n">
        <v>336.37</v>
      </c>
      <c r="L674" t="n">
        <v>2205.1</v>
      </c>
      <c r="M674" t="inlineStr">
        <is>
          <t>INR</t>
        </is>
      </c>
      <c r="N674" t="inlineStr">
        <is>
          <t>Overdue</t>
        </is>
      </c>
      <c r="O674" t="inlineStr">
        <is>
          <t>Partially Paid</t>
        </is>
      </c>
      <c r="P674" t="n">
        <v>1868.73</v>
      </c>
      <c r="Q674" t="n">
        <v>1868.73</v>
      </c>
      <c r="R674" t="b">
        <v>0</v>
      </c>
    </row>
    <row r="675">
      <c r="A675" t="inlineStr">
        <is>
          <t>INV0015055</t>
        </is>
      </c>
      <c r="B675" t="inlineStr">
        <is>
          <t>MER00711</t>
        </is>
      </c>
      <c r="C675" t="inlineStr">
        <is>
          <t>2025-05-01</t>
        </is>
      </c>
      <c r="D675" t="inlineStr">
        <is>
          <t>2025-05-31</t>
        </is>
      </c>
      <c r="E675" s="8" t="n">
        <v>45810</v>
      </c>
      <c r="F675" s="8" t="n">
        <v>45840</v>
      </c>
      <c r="G675" t="n">
        <v>3510.29</v>
      </c>
      <c r="H675" t="n">
        <v>0</v>
      </c>
      <c r="I675" t="n">
        <v>3510.29</v>
      </c>
      <c r="J675" t="n">
        <v>0.18</v>
      </c>
      <c r="K675" t="n">
        <v>631.85</v>
      </c>
      <c r="L675" t="n">
        <v>4142.14</v>
      </c>
      <c r="M675" t="inlineStr">
        <is>
          <t>INR</t>
        </is>
      </c>
      <c r="N675" t="inlineStr">
        <is>
          <t>Overdue</t>
        </is>
      </c>
      <c r="O675" t="inlineStr">
        <is>
          <t>Unpaid</t>
        </is>
      </c>
      <c r="P675" t="n">
        <v>3510.29</v>
      </c>
      <c r="Q675" t="n">
        <v>3510.29</v>
      </c>
      <c r="R675" t="b">
        <v>0</v>
      </c>
    </row>
    <row r="676">
      <c r="A676" t="inlineStr">
        <is>
          <t>INV0015056</t>
        </is>
      </c>
      <c r="B676" t="inlineStr">
        <is>
          <t>MER00711</t>
        </is>
      </c>
      <c r="C676" t="inlineStr">
        <is>
          <t>2025-06-01</t>
        </is>
      </c>
      <c r="D676" t="inlineStr">
        <is>
          <t>2025-06-30</t>
        </is>
      </c>
      <c r="E676" s="8" t="n">
        <v>45840</v>
      </c>
      <c r="F676" s="8" t="n">
        <v>45870</v>
      </c>
      <c r="G676" t="n">
        <v>3381.4</v>
      </c>
      <c r="H676" t="n">
        <v>0</v>
      </c>
      <c r="I676" t="n">
        <v>3381.4</v>
      </c>
      <c r="J676" t="n">
        <v>0.18</v>
      </c>
      <c r="K676" t="n">
        <v>608.65</v>
      </c>
      <c r="L676" t="n">
        <v>3990.05</v>
      </c>
      <c r="M676" t="inlineStr">
        <is>
          <t>INR</t>
        </is>
      </c>
      <c r="N676" t="inlineStr">
        <is>
          <t>Overdue</t>
        </is>
      </c>
      <c r="O676" t="inlineStr">
        <is>
          <t>Partially Paid</t>
        </is>
      </c>
      <c r="P676" t="n">
        <v>3381.4</v>
      </c>
      <c r="Q676" t="n">
        <v>3381.4</v>
      </c>
      <c r="R676" t="b">
        <v>0</v>
      </c>
    </row>
    <row r="677">
      <c r="A677" t="inlineStr">
        <is>
          <t>INV0015057</t>
        </is>
      </c>
      <c r="B677" t="inlineStr">
        <is>
          <t>MER00711</t>
        </is>
      </c>
      <c r="C677" t="inlineStr">
        <is>
          <t>2025-07-01</t>
        </is>
      </c>
      <c r="D677" t="inlineStr">
        <is>
          <t>2025-07-31</t>
        </is>
      </c>
      <c r="E677" s="8" t="n">
        <v>45871</v>
      </c>
      <c r="F677" s="8" t="n">
        <v>45901</v>
      </c>
      <c r="G677" t="n">
        <v>3834.18</v>
      </c>
      <c r="H677" t="n">
        <v>0</v>
      </c>
      <c r="I677" t="n">
        <v>3834.18</v>
      </c>
      <c r="J677" t="n">
        <v>0.18</v>
      </c>
      <c r="K677" t="n">
        <v>690.15</v>
      </c>
      <c r="L677" t="n">
        <v>4524.33</v>
      </c>
      <c r="M677" t="inlineStr">
        <is>
          <t>INR</t>
        </is>
      </c>
      <c r="N677" t="inlineStr">
        <is>
          <t>Overdue</t>
        </is>
      </c>
      <c r="O677" t="inlineStr">
        <is>
          <t>Unpaid</t>
        </is>
      </c>
      <c r="P677" t="n">
        <v>3834.18</v>
      </c>
      <c r="Q677" t="n">
        <v>3834.18</v>
      </c>
      <c r="R677" t="b">
        <v>0</v>
      </c>
    </row>
    <row r="678">
      <c r="A678" t="inlineStr">
        <is>
          <t>INV0015058</t>
        </is>
      </c>
      <c r="B678" t="inlineStr">
        <is>
          <t>MER00711</t>
        </is>
      </c>
      <c r="C678" t="inlineStr">
        <is>
          <t>2025-08-01</t>
        </is>
      </c>
      <c r="D678" t="inlineStr">
        <is>
          <t>2025-08-31</t>
        </is>
      </c>
      <c r="E678" s="8" t="n">
        <v>45902</v>
      </c>
      <c r="F678" s="8" t="n">
        <v>45932</v>
      </c>
      <c r="G678" t="n">
        <v>3387.29</v>
      </c>
      <c r="H678" t="n">
        <v>281.15</v>
      </c>
      <c r="I678" t="n">
        <v>3106.14</v>
      </c>
      <c r="J678" t="n">
        <v>0.18</v>
      </c>
      <c r="K678" t="n">
        <v>559.11</v>
      </c>
      <c r="L678" t="n">
        <v>3665.25</v>
      </c>
      <c r="M678" t="inlineStr">
        <is>
          <t>INR</t>
        </is>
      </c>
      <c r="N678" t="inlineStr">
        <is>
          <t>Overdue</t>
        </is>
      </c>
      <c r="O678" t="inlineStr">
        <is>
          <t>Partially Paid</t>
        </is>
      </c>
      <c r="P678" t="n">
        <v>3387.29</v>
      </c>
      <c r="Q678" t="n">
        <v>3387.29</v>
      </c>
      <c r="R678" t="b">
        <v>0</v>
      </c>
    </row>
    <row r="679">
      <c r="A679" t="inlineStr">
        <is>
          <t>INV0015059</t>
        </is>
      </c>
      <c r="B679" t="inlineStr">
        <is>
          <t>MER00711</t>
        </is>
      </c>
      <c r="C679" t="inlineStr">
        <is>
          <t>2025-09-01</t>
        </is>
      </c>
      <c r="D679" t="inlineStr">
        <is>
          <t>2025-09-30</t>
        </is>
      </c>
      <c r="E679" s="8" t="n">
        <v>45932</v>
      </c>
      <c r="F679" s="8" t="n">
        <v>45962</v>
      </c>
      <c r="G679" t="n">
        <v>3410.92</v>
      </c>
      <c r="H679" t="n">
        <v>0</v>
      </c>
      <c r="I679" t="n">
        <v>3410.92</v>
      </c>
      <c r="J679" t="n">
        <v>0.18</v>
      </c>
      <c r="K679" t="n">
        <v>613.97</v>
      </c>
      <c r="L679" t="n">
        <v>4024.89</v>
      </c>
      <c r="M679" t="inlineStr">
        <is>
          <t>INR</t>
        </is>
      </c>
      <c r="N679" t="inlineStr">
        <is>
          <t>Overdue</t>
        </is>
      </c>
      <c r="O679" t="inlineStr">
        <is>
          <t>Partially Paid</t>
        </is>
      </c>
      <c r="P679" t="n">
        <v>3410.92</v>
      </c>
      <c r="Q679" t="n">
        <v>3410.92</v>
      </c>
      <c r="R679" t="b">
        <v>0</v>
      </c>
    </row>
    <row r="680">
      <c r="A680" t="inlineStr">
        <is>
          <t>INV0015060</t>
        </is>
      </c>
      <c r="B680" t="inlineStr">
        <is>
          <t>MER00711</t>
        </is>
      </c>
      <c r="C680" t="inlineStr">
        <is>
          <t>2025-10-01</t>
        </is>
      </c>
      <c r="D680" t="inlineStr">
        <is>
          <t>2025-10-31</t>
        </is>
      </c>
      <c r="E680" s="8" t="n">
        <v>45963</v>
      </c>
      <c r="F680" s="8" t="n">
        <v>45993</v>
      </c>
      <c r="G680" t="n">
        <v>5442.54</v>
      </c>
      <c r="H680" t="n">
        <v>0</v>
      </c>
      <c r="I680" t="n">
        <v>5442.54</v>
      </c>
      <c r="J680" t="n">
        <v>0.18</v>
      </c>
      <c r="K680" t="n">
        <v>979.66</v>
      </c>
      <c r="L680" t="n">
        <v>6422.2</v>
      </c>
      <c r="M680" t="inlineStr">
        <is>
          <t>INR</t>
        </is>
      </c>
      <c r="N680" t="inlineStr">
        <is>
          <t>Overdue</t>
        </is>
      </c>
      <c r="O680" t="inlineStr">
        <is>
          <t>Partially Paid</t>
        </is>
      </c>
      <c r="P680" t="n">
        <v>5442.54</v>
      </c>
      <c r="Q680" t="n">
        <v>5442.54</v>
      </c>
      <c r="R680" t="b">
        <v>0</v>
      </c>
    </row>
    <row r="681">
      <c r="A681" t="inlineStr">
        <is>
          <t>INV0015061</t>
        </is>
      </c>
      <c r="B681" t="inlineStr">
        <is>
          <t>MER00711</t>
        </is>
      </c>
      <c r="C681" t="inlineStr">
        <is>
          <t>2025-11-01</t>
        </is>
      </c>
      <c r="D681" t="inlineStr">
        <is>
          <t>2025-11-30</t>
        </is>
      </c>
      <c r="E681" s="8" t="n">
        <v>45993</v>
      </c>
      <c r="F681" s="8" t="n">
        <v>46023</v>
      </c>
      <c r="G681" t="n">
        <v>4883.96</v>
      </c>
      <c r="H681" t="n">
        <v>0</v>
      </c>
      <c r="I681" t="n">
        <v>4883.96</v>
      </c>
      <c r="J681" t="n">
        <v>0.18</v>
      </c>
      <c r="K681" t="n">
        <v>879.11</v>
      </c>
      <c r="L681" t="n">
        <v>5763.07</v>
      </c>
      <c r="M681" t="inlineStr">
        <is>
          <t>INR</t>
        </is>
      </c>
      <c r="N681" t="inlineStr">
        <is>
          <t>Paid</t>
        </is>
      </c>
      <c r="O681" t="inlineStr">
        <is>
          <t>Paid</t>
        </is>
      </c>
      <c r="P681" t="n">
        <v>4883.96</v>
      </c>
      <c r="Q681" t="n">
        <v>4883.96</v>
      </c>
      <c r="R681" t="b">
        <v>0</v>
      </c>
    </row>
    <row r="682">
      <c r="A682" t="inlineStr">
        <is>
          <t>INV0015062</t>
        </is>
      </c>
      <c r="B682" t="inlineStr">
        <is>
          <t>MER00711</t>
        </is>
      </c>
      <c r="C682" t="inlineStr">
        <is>
          <t>2025-12-01</t>
        </is>
      </c>
      <c r="D682" t="inlineStr">
        <is>
          <t>2025-12-31</t>
        </is>
      </c>
      <c r="E682" s="8" t="n">
        <v>46024</v>
      </c>
      <c r="F682" s="8" t="n">
        <v>46054</v>
      </c>
      <c r="G682" t="n">
        <v>3208.69</v>
      </c>
      <c r="H682" t="n">
        <v>388.25</v>
      </c>
      <c r="I682" t="n">
        <v>2820.44</v>
      </c>
      <c r="J682" t="n">
        <v>0.18</v>
      </c>
      <c r="K682" t="n">
        <v>507.68</v>
      </c>
      <c r="L682" t="n">
        <v>3328.12</v>
      </c>
      <c r="M682" t="inlineStr">
        <is>
          <t>INR</t>
        </is>
      </c>
      <c r="N682" t="inlineStr">
        <is>
          <t>Overdue</t>
        </is>
      </c>
      <c r="O682" t="inlineStr">
        <is>
          <t>Unpaid</t>
        </is>
      </c>
      <c r="P682" t="n">
        <v>3208.69</v>
      </c>
      <c r="Q682" t="n">
        <v>3208.69</v>
      </c>
      <c r="R682" t="b">
        <v>0</v>
      </c>
    </row>
    <row r="683">
      <c r="A683" t="inlineStr">
        <is>
          <t>INV0015063</t>
        </is>
      </c>
      <c r="B683" t="inlineStr">
        <is>
          <t>MER00711</t>
        </is>
      </c>
      <c r="C683" t="inlineStr">
        <is>
          <t>2026-01-01</t>
        </is>
      </c>
      <c r="D683" t="inlineStr">
        <is>
          <t>2026-01-31</t>
        </is>
      </c>
      <c r="E683" s="8" t="n">
        <v>46055</v>
      </c>
      <c r="F683" s="8" t="n">
        <v>46085</v>
      </c>
      <c r="G683" t="n">
        <v>4228.86</v>
      </c>
      <c r="H683" t="n">
        <v>0</v>
      </c>
      <c r="I683" t="n">
        <v>4228.86</v>
      </c>
      <c r="J683" t="n">
        <v>0.18</v>
      </c>
      <c r="K683" t="n">
        <v>761.1900000000001</v>
      </c>
      <c r="L683" t="n">
        <v>4990.05</v>
      </c>
      <c r="M683" t="inlineStr">
        <is>
          <t>INR</t>
        </is>
      </c>
      <c r="N683" t="inlineStr">
        <is>
          <t>Paid</t>
        </is>
      </c>
      <c r="O683" t="inlineStr">
        <is>
          <t>Paid</t>
        </is>
      </c>
      <c r="P683" t="n">
        <v>4228.86</v>
      </c>
      <c r="Q683" t="n">
        <v>4228.86</v>
      </c>
      <c r="R683" t="b">
        <v>0</v>
      </c>
    </row>
    <row r="684">
      <c r="A684" t="inlineStr">
        <is>
          <t>INV0015064</t>
        </is>
      </c>
      <c r="B684" t="inlineStr">
        <is>
          <t>MER00711</t>
        </is>
      </c>
      <c r="C684" t="inlineStr">
        <is>
          <t>2026-02-01</t>
        </is>
      </c>
      <c r="D684" t="inlineStr">
        <is>
          <t>2026-02-28</t>
        </is>
      </c>
      <c r="E684" s="8" t="n">
        <v>46083</v>
      </c>
      <c r="F684" s="8" t="n">
        <v>46113</v>
      </c>
      <c r="G684" t="n">
        <v>3917.38</v>
      </c>
      <c r="H684" t="n">
        <v>0</v>
      </c>
      <c r="I684" t="n">
        <v>3917.38</v>
      </c>
      <c r="J684" t="n">
        <v>0.18</v>
      </c>
      <c r="K684" t="n">
        <v>705.13</v>
      </c>
      <c r="L684" t="n">
        <v>4622.51</v>
      </c>
      <c r="M684" t="inlineStr">
        <is>
          <t>INR</t>
        </is>
      </c>
      <c r="N684" t="inlineStr">
        <is>
          <t>Paid</t>
        </is>
      </c>
      <c r="O684" t="inlineStr">
        <is>
          <t>Paid</t>
        </is>
      </c>
      <c r="P684" t="n">
        <v>3917.38</v>
      </c>
      <c r="Q684" t="n">
        <v>3917.38</v>
      </c>
      <c r="R684" t="b">
        <v>0</v>
      </c>
    </row>
    <row r="685">
      <c r="A685" t="inlineStr">
        <is>
          <t>INV0015065</t>
        </is>
      </c>
      <c r="B685" t="inlineStr">
        <is>
          <t>MER00711</t>
        </is>
      </c>
      <c r="C685" t="inlineStr">
        <is>
          <t>2026-03-01</t>
        </is>
      </c>
      <c r="D685" t="inlineStr">
        <is>
          <t>2026-03-31</t>
        </is>
      </c>
      <c r="E685" s="8" t="n">
        <v>46114</v>
      </c>
      <c r="F685" s="8" t="n">
        <v>46144</v>
      </c>
      <c r="G685" t="n">
        <v>4164.4</v>
      </c>
      <c r="H685" t="n">
        <v>0</v>
      </c>
      <c r="I685" t="n">
        <v>4164.4</v>
      </c>
      <c r="J685" t="n">
        <v>0.18</v>
      </c>
      <c r="K685" t="n">
        <v>749.59</v>
      </c>
      <c r="L685" t="n">
        <v>4913.99</v>
      </c>
      <c r="M685" t="inlineStr">
        <is>
          <t>INR</t>
        </is>
      </c>
      <c r="N685" t="inlineStr">
        <is>
          <t>Overdue</t>
        </is>
      </c>
      <c r="O685" t="inlineStr">
        <is>
          <t>Partially Paid</t>
        </is>
      </c>
      <c r="P685" t="n">
        <v>4164.4</v>
      </c>
      <c r="Q685" t="n">
        <v>4164.4</v>
      </c>
      <c r="R685" t="b">
        <v>0</v>
      </c>
    </row>
    <row r="686">
      <c r="A686" t="inlineStr">
        <is>
          <t>INV0015066</t>
        </is>
      </c>
      <c r="B686" t="inlineStr">
        <is>
          <t>MER00711</t>
        </is>
      </c>
      <c r="C686" t="inlineStr">
        <is>
          <t>2026-04-01</t>
        </is>
      </c>
      <c r="D686" t="inlineStr">
        <is>
          <t>2026-04-30</t>
        </is>
      </c>
      <c r="E686" s="8" t="n">
        <v>46144</v>
      </c>
      <c r="F686" s="8" t="n">
        <v>46174</v>
      </c>
      <c r="G686" t="n">
        <v>2749.71</v>
      </c>
      <c r="H686" t="n">
        <v>0</v>
      </c>
      <c r="I686" t="n">
        <v>2749.71</v>
      </c>
      <c r="J686" t="n">
        <v>0.18</v>
      </c>
      <c r="K686" t="n">
        <v>494.95</v>
      </c>
      <c r="L686" t="n">
        <v>3244.66</v>
      </c>
      <c r="M686" t="inlineStr">
        <is>
          <t>INR</t>
        </is>
      </c>
      <c r="N686" t="inlineStr">
        <is>
          <t>Paid</t>
        </is>
      </c>
      <c r="O686" t="inlineStr">
        <is>
          <t>Paid</t>
        </is>
      </c>
      <c r="P686" t="n">
        <v>2749.71</v>
      </c>
      <c r="Q686" t="n">
        <v>2749.71</v>
      </c>
      <c r="R686" t="b">
        <v>0</v>
      </c>
    </row>
    <row r="687">
      <c r="A687" t="inlineStr">
        <is>
          <t>INV0015067</t>
        </is>
      </c>
      <c r="B687" t="inlineStr">
        <is>
          <t>MER00711</t>
        </is>
      </c>
      <c r="C687" t="inlineStr">
        <is>
          <t>2026-05-01</t>
        </is>
      </c>
      <c r="D687" t="inlineStr">
        <is>
          <t>2026-05-31</t>
        </is>
      </c>
      <c r="E687" s="8" t="n">
        <v>46175</v>
      </c>
      <c r="F687" s="8" t="n">
        <v>46205</v>
      </c>
      <c r="G687" t="n">
        <v>3856.08</v>
      </c>
      <c r="H687" t="n">
        <v>0</v>
      </c>
      <c r="I687" t="n">
        <v>3856.08</v>
      </c>
      <c r="J687" t="n">
        <v>0.18</v>
      </c>
      <c r="K687" t="n">
        <v>694.09</v>
      </c>
      <c r="L687" t="n">
        <v>4550.17</v>
      </c>
      <c r="M687" t="inlineStr">
        <is>
          <t>INR</t>
        </is>
      </c>
      <c r="N687" t="inlineStr">
        <is>
          <t>Overdue</t>
        </is>
      </c>
      <c r="O687" t="inlineStr">
        <is>
          <t>Unpaid</t>
        </is>
      </c>
      <c r="P687" t="n">
        <v>3856.08</v>
      </c>
      <c r="Q687" t="n">
        <v>3856.08</v>
      </c>
      <c r="R687" t="b">
        <v>0</v>
      </c>
    </row>
    <row r="688">
      <c r="A688" t="inlineStr">
        <is>
          <t>INV0015068</t>
        </is>
      </c>
      <c r="B688" t="inlineStr">
        <is>
          <t>MER00711</t>
        </is>
      </c>
      <c r="C688" t="inlineStr">
        <is>
          <t>2026-06-01</t>
        </is>
      </c>
      <c r="D688" t="inlineStr">
        <is>
          <t>2026-06-30</t>
        </is>
      </c>
      <c r="E688" s="8" t="n">
        <v>46205</v>
      </c>
      <c r="F688" s="8" t="n">
        <v>46235</v>
      </c>
      <c r="G688" t="n">
        <v>3351.17</v>
      </c>
      <c r="H688" t="n">
        <v>0</v>
      </c>
      <c r="I688" t="n">
        <v>3351.17</v>
      </c>
      <c r="J688" t="n">
        <v>0.18</v>
      </c>
      <c r="K688" t="n">
        <v>603.21</v>
      </c>
      <c r="L688" t="n">
        <v>3954.38</v>
      </c>
      <c r="M688" t="inlineStr">
        <is>
          <t>INR</t>
        </is>
      </c>
      <c r="N688" t="inlineStr">
        <is>
          <t>Overdue</t>
        </is>
      </c>
      <c r="O688" t="inlineStr">
        <is>
          <t>Unpaid</t>
        </is>
      </c>
      <c r="P688" t="n">
        <v>3351.17</v>
      </c>
      <c r="Q688" t="n">
        <v>3351.17</v>
      </c>
      <c r="R688" t="b">
        <v>0</v>
      </c>
    </row>
    <row r="689">
      <c r="A689" t="inlineStr">
        <is>
          <t>INV0015069</t>
        </is>
      </c>
      <c r="B689" t="inlineStr">
        <is>
          <t>MER00711</t>
        </is>
      </c>
      <c r="C689" t="inlineStr">
        <is>
          <t>2026-07-01</t>
        </is>
      </c>
      <c r="D689" t="inlineStr">
        <is>
          <t>2026-07-31</t>
        </is>
      </c>
      <c r="E689" s="8" t="n">
        <v>46236</v>
      </c>
      <c r="F689" s="8" t="n">
        <v>46266</v>
      </c>
      <c r="G689" t="n">
        <v>3763.34</v>
      </c>
      <c r="H689" t="n">
        <v>0</v>
      </c>
      <c r="I689" t="n">
        <v>3763.34</v>
      </c>
      <c r="J689" t="n">
        <v>0.18</v>
      </c>
      <c r="K689" t="n">
        <v>677.4</v>
      </c>
      <c r="L689" t="n">
        <v>4440.74</v>
      </c>
      <c r="M689" t="inlineStr">
        <is>
          <t>INR</t>
        </is>
      </c>
      <c r="N689" t="inlineStr">
        <is>
          <t>Issued</t>
        </is>
      </c>
      <c r="O689" t="inlineStr">
        <is>
          <t>Unpaid</t>
        </is>
      </c>
      <c r="P689" t="n">
        <v>3763.34</v>
      </c>
      <c r="Q689" t="n">
        <v>3763.34</v>
      </c>
      <c r="R689" t="b">
        <v>0</v>
      </c>
    </row>
    <row r="690">
      <c r="A690" t="inlineStr">
        <is>
          <t>INV0015070</t>
        </is>
      </c>
      <c r="B690" t="inlineStr">
        <is>
          <t>MER00712</t>
        </is>
      </c>
      <c r="C690" t="inlineStr">
        <is>
          <t>2024-08-01</t>
        </is>
      </c>
      <c r="D690" t="inlineStr">
        <is>
          <t>2024-08-31</t>
        </is>
      </c>
      <c r="E690" s="8" t="n">
        <v>45537</v>
      </c>
      <c r="F690" s="8" t="n">
        <v>45567</v>
      </c>
      <c r="G690" t="n">
        <v>1757.51</v>
      </c>
      <c r="H690" t="n">
        <v>0</v>
      </c>
      <c r="I690" t="n">
        <v>1757.51</v>
      </c>
      <c r="J690" t="n">
        <v>0.18</v>
      </c>
      <c r="K690" t="n">
        <v>316.35</v>
      </c>
      <c r="L690" t="n">
        <v>2073.86</v>
      </c>
      <c r="M690" t="inlineStr">
        <is>
          <t>INR</t>
        </is>
      </c>
      <c r="N690" t="inlineStr">
        <is>
          <t>Paid</t>
        </is>
      </c>
      <c r="O690" t="inlineStr">
        <is>
          <t>Paid</t>
        </is>
      </c>
      <c r="P690" t="n">
        <v>1757.51</v>
      </c>
      <c r="Q690" t="n">
        <v>1757.51</v>
      </c>
      <c r="R690" t="b">
        <v>0</v>
      </c>
    </row>
    <row r="691">
      <c r="A691" t="inlineStr">
        <is>
          <t>INV0015071</t>
        </is>
      </c>
      <c r="B691" t="inlineStr">
        <is>
          <t>MER00712</t>
        </is>
      </c>
      <c r="C691" t="inlineStr">
        <is>
          <t>2024-09-01</t>
        </is>
      </c>
      <c r="D691" t="inlineStr">
        <is>
          <t>2024-09-30</t>
        </is>
      </c>
      <c r="E691" s="8" t="n">
        <v>45567</v>
      </c>
      <c r="F691" s="8" t="n">
        <v>45597</v>
      </c>
      <c r="G691" t="n">
        <v>920.04</v>
      </c>
      <c r="H691" t="n">
        <v>0</v>
      </c>
      <c r="I691" t="n">
        <v>920.04</v>
      </c>
      <c r="J691" t="n">
        <v>0.18</v>
      </c>
      <c r="K691" t="n">
        <v>165.61</v>
      </c>
      <c r="L691" t="n">
        <v>1085.65</v>
      </c>
      <c r="M691" t="inlineStr">
        <is>
          <t>INR</t>
        </is>
      </c>
      <c r="N691" t="inlineStr">
        <is>
          <t>Paid</t>
        </is>
      </c>
      <c r="O691" t="inlineStr">
        <is>
          <t>Paid</t>
        </is>
      </c>
      <c r="P691" t="n">
        <v>920.04</v>
      </c>
      <c r="Q691" t="n">
        <v>920.04</v>
      </c>
      <c r="R691" t="b">
        <v>0</v>
      </c>
    </row>
    <row r="692">
      <c r="A692" t="inlineStr">
        <is>
          <t>INV0015072</t>
        </is>
      </c>
      <c r="B692" t="inlineStr">
        <is>
          <t>MER00712</t>
        </is>
      </c>
      <c r="C692" t="inlineStr">
        <is>
          <t>2024-10-01</t>
        </is>
      </c>
      <c r="D692" t="inlineStr">
        <is>
          <t>2024-10-31</t>
        </is>
      </c>
      <c r="E692" s="8" t="n">
        <v>45598</v>
      </c>
      <c r="F692" s="8" t="n">
        <v>45628</v>
      </c>
      <c r="G692" t="n">
        <v>1288.16</v>
      </c>
      <c r="H692" t="n">
        <v>0</v>
      </c>
      <c r="I692" t="n">
        <v>1288.16</v>
      </c>
      <c r="J692" t="n">
        <v>0.18</v>
      </c>
      <c r="K692" t="n">
        <v>231.87</v>
      </c>
      <c r="L692" t="n">
        <v>1520.03</v>
      </c>
      <c r="M692" t="inlineStr">
        <is>
          <t>INR</t>
        </is>
      </c>
      <c r="N692" t="inlineStr">
        <is>
          <t>Paid</t>
        </is>
      </c>
      <c r="O692" t="inlineStr">
        <is>
          <t>Paid</t>
        </is>
      </c>
      <c r="P692" t="n">
        <v>1288.16</v>
      </c>
      <c r="Q692" t="n">
        <v>1288.16</v>
      </c>
      <c r="R692" t="b">
        <v>0</v>
      </c>
    </row>
    <row r="693">
      <c r="A693" t="inlineStr">
        <is>
          <t>INV0015073</t>
        </is>
      </c>
      <c r="B693" t="inlineStr">
        <is>
          <t>MER00712</t>
        </is>
      </c>
      <c r="C693" t="inlineStr">
        <is>
          <t>2024-11-01</t>
        </is>
      </c>
      <c r="D693" t="inlineStr">
        <is>
          <t>2024-11-30</t>
        </is>
      </c>
      <c r="E693" s="8" t="n">
        <v>45628</v>
      </c>
      <c r="F693" s="8" t="n">
        <v>45658</v>
      </c>
      <c r="G693" t="n">
        <v>938.05</v>
      </c>
      <c r="H693" t="n">
        <v>0</v>
      </c>
      <c r="I693" t="n">
        <v>938.05</v>
      </c>
      <c r="J693" t="n">
        <v>0.18</v>
      </c>
      <c r="K693" t="n">
        <v>168.85</v>
      </c>
      <c r="L693" t="n">
        <v>1106.9</v>
      </c>
      <c r="M693" t="inlineStr">
        <is>
          <t>INR</t>
        </is>
      </c>
      <c r="N693" t="inlineStr">
        <is>
          <t>Paid</t>
        </is>
      </c>
      <c r="O693" t="inlineStr">
        <is>
          <t>Paid</t>
        </is>
      </c>
      <c r="P693" t="n">
        <v>938.05</v>
      </c>
      <c r="Q693" t="n">
        <v>938.05</v>
      </c>
      <c r="R693" t="b">
        <v>0</v>
      </c>
    </row>
    <row r="694">
      <c r="A694" t="inlineStr">
        <is>
          <t>INV0015074</t>
        </is>
      </c>
      <c r="B694" t="inlineStr">
        <is>
          <t>MER00712</t>
        </is>
      </c>
      <c r="C694" t="inlineStr">
        <is>
          <t>2024-12-01</t>
        </is>
      </c>
      <c r="D694" t="inlineStr">
        <is>
          <t>2024-12-31</t>
        </is>
      </c>
      <c r="E694" s="8" t="n">
        <v>45659</v>
      </c>
      <c r="F694" s="8" t="n">
        <v>45689</v>
      </c>
      <c r="G694" t="n">
        <v>1349.88</v>
      </c>
      <c r="H694" t="n">
        <v>0</v>
      </c>
      <c r="I694" t="n">
        <v>1349.88</v>
      </c>
      <c r="J694" t="n">
        <v>0.18</v>
      </c>
      <c r="K694" t="n">
        <v>242.98</v>
      </c>
      <c r="L694" t="n">
        <v>1592.86</v>
      </c>
      <c r="M694" t="inlineStr">
        <is>
          <t>INR</t>
        </is>
      </c>
      <c r="N694" t="inlineStr">
        <is>
          <t>Paid</t>
        </is>
      </c>
      <c r="O694" t="inlineStr">
        <is>
          <t>Paid</t>
        </is>
      </c>
      <c r="P694" t="n">
        <v>1349.88</v>
      </c>
      <c r="Q694" t="n">
        <v>1349.88</v>
      </c>
      <c r="R694" t="b">
        <v>0</v>
      </c>
    </row>
    <row r="695">
      <c r="A695" t="inlineStr">
        <is>
          <t>INV0015075</t>
        </is>
      </c>
      <c r="B695" t="inlineStr">
        <is>
          <t>MER00712</t>
        </is>
      </c>
      <c r="C695" t="inlineStr">
        <is>
          <t>2025-01-01</t>
        </is>
      </c>
      <c r="D695" t="inlineStr">
        <is>
          <t>2025-01-31</t>
        </is>
      </c>
      <c r="E695" s="8" t="n">
        <v>45690</v>
      </c>
      <c r="F695" s="8" t="n">
        <v>45720</v>
      </c>
      <c r="G695" t="n">
        <v>2299.8</v>
      </c>
      <c r="H695" t="n">
        <v>0</v>
      </c>
      <c r="I695" t="n">
        <v>2299.8</v>
      </c>
      <c r="J695" t="n">
        <v>0.18</v>
      </c>
      <c r="K695" t="n">
        <v>413.96</v>
      </c>
      <c r="L695" t="n">
        <v>2713.76</v>
      </c>
      <c r="M695" t="inlineStr">
        <is>
          <t>INR</t>
        </is>
      </c>
      <c r="N695" t="inlineStr">
        <is>
          <t>Paid</t>
        </is>
      </c>
      <c r="O695" t="inlineStr">
        <is>
          <t>Paid</t>
        </is>
      </c>
      <c r="P695" t="n">
        <v>2299.8</v>
      </c>
      <c r="Q695" t="n">
        <v>2299.8</v>
      </c>
      <c r="R695" t="b">
        <v>0</v>
      </c>
    </row>
    <row r="696">
      <c r="A696" t="inlineStr">
        <is>
          <t>INV0015076</t>
        </is>
      </c>
      <c r="B696" t="inlineStr">
        <is>
          <t>MER00712</t>
        </is>
      </c>
      <c r="C696" t="inlineStr">
        <is>
          <t>2025-02-01</t>
        </is>
      </c>
      <c r="D696" t="inlineStr">
        <is>
          <t>2025-02-28</t>
        </is>
      </c>
      <c r="E696" s="8" t="n">
        <v>45718</v>
      </c>
      <c r="F696" s="8" t="n">
        <v>45748</v>
      </c>
      <c r="G696" t="n">
        <v>1376.3</v>
      </c>
      <c r="H696" t="n">
        <v>0</v>
      </c>
      <c r="I696" t="n">
        <v>1376.3</v>
      </c>
      <c r="J696" t="n">
        <v>0.18</v>
      </c>
      <c r="K696" t="n">
        <v>247.73</v>
      </c>
      <c r="L696" t="n">
        <v>1624.03</v>
      </c>
      <c r="M696" t="inlineStr">
        <is>
          <t>INR</t>
        </is>
      </c>
      <c r="N696" t="inlineStr">
        <is>
          <t>Paid</t>
        </is>
      </c>
      <c r="O696" t="inlineStr">
        <is>
          <t>Paid</t>
        </is>
      </c>
      <c r="P696" t="n">
        <v>1376.3</v>
      </c>
      <c r="Q696" t="n">
        <v>1376.3</v>
      </c>
      <c r="R696" t="b">
        <v>0</v>
      </c>
    </row>
    <row r="697">
      <c r="A697" t="inlineStr">
        <is>
          <t>INV0015077</t>
        </is>
      </c>
      <c r="B697" t="inlineStr">
        <is>
          <t>MER00712</t>
        </is>
      </c>
      <c r="C697" t="inlineStr">
        <is>
          <t>2025-03-01</t>
        </is>
      </c>
      <c r="D697" t="inlineStr">
        <is>
          <t>2025-03-31</t>
        </is>
      </c>
      <c r="E697" s="8" t="n">
        <v>45749</v>
      </c>
      <c r="F697" s="8" t="n">
        <v>45779</v>
      </c>
      <c r="G697" t="n">
        <v>517.58</v>
      </c>
      <c r="H697" t="n">
        <v>0</v>
      </c>
      <c r="I697" t="n">
        <v>517.58</v>
      </c>
      <c r="J697" t="n">
        <v>0.18</v>
      </c>
      <c r="K697" t="n">
        <v>93.16</v>
      </c>
      <c r="L697" t="n">
        <v>610.74</v>
      </c>
      <c r="M697" t="inlineStr">
        <is>
          <t>INR</t>
        </is>
      </c>
      <c r="N697" t="inlineStr">
        <is>
          <t>Paid</t>
        </is>
      </c>
      <c r="O697" t="inlineStr">
        <is>
          <t>Paid</t>
        </is>
      </c>
      <c r="P697" t="n">
        <v>517.58</v>
      </c>
      <c r="Q697" t="n">
        <v>517.58</v>
      </c>
      <c r="R697" t="b">
        <v>0</v>
      </c>
    </row>
    <row r="698">
      <c r="A698" t="inlineStr">
        <is>
          <t>INV0015078</t>
        </is>
      </c>
      <c r="B698" t="inlineStr">
        <is>
          <t>MER00712</t>
        </is>
      </c>
      <c r="C698" t="inlineStr">
        <is>
          <t>2025-04-01</t>
        </is>
      </c>
      <c r="D698" t="inlineStr">
        <is>
          <t>2025-04-30</t>
        </is>
      </c>
      <c r="E698" s="8" t="n">
        <v>45779</v>
      </c>
      <c r="F698" s="8" t="n">
        <v>45809</v>
      </c>
      <c r="G698" t="n">
        <v>1941.78</v>
      </c>
      <c r="H698" t="n">
        <v>0</v>
      </c>
      <c r="I698" t="n">
        <v>1941.78</v>
      </c>
      <c r="J698" t="n">
        <v>0.18</v>
      </c>
      <c r="K698" t="n">
        <v>349.52</v>
      </c>
      <c r="L698" t="n">
        <v>2291.3</v>
      </c>
      <c r="M698" t="inlineStr">
        <is>
          <t>INR</t>
        </is>
      </c>
      <c r="N698" t="inlineStr">
        <is>
          <t>Paid</t>
        </is>
      </c>
      <c r="O698" t="inlineStr">
        <is>
          <t>Paid</t>
        </is>
      </c>
      <c r="P698" t="n">
        <v>1941.78</v>
      </c>
      <c r="Q698" t="n">
        <v>1941.78</v>
      </c>
      <c r="R698" t="b">
        <v>0</v>
      </c>
    </row>
    <row r="699">
      <c r="A699" t="inlineStr">
        <is>
          <t>INV0015079</t>
        </is>
      </c>
      <c r="B699" t="inlineStr">
        <is>
          <t>MER00712</t>
        </is>
      </c>
      <c r="C699" t="inlineStr">
        <is>
          <t>2025-05-01</t>
        </is>
      </c>
      <c r="D699" t="inlineStr">
        <is>
          <t>2025-05-31</t>
        </is>
      </c>
      <c r="E699" s="8" t="n">
        <v>45810</v>
      </c>
      <c r="F699" s="8" t="n">
        <v>45840</v>
      </c>
      <c r="G699" t="n">
        <v>1708.07</v>
      </c>
      <c r="H699" t="n">
        <v>0</v>
      </c>
      <c r="I699" t="n">
        <v>1708.07</v>
      </c>
      <c r="J699" t="n">
        <v>0.18</v>
      </c>
      <c r="K699" t="n">
        <v>307.45</v>
      </c>
      <c r="L699" t="n">
        <v>2015.52</v>
      </c>
      <c r="M699" t="inlineStr">
        <is>
          <t>INR</t>
        </is>
      </c>
      <c r="N699" t="inlineStr">
        <is>
          <t>Paid</t>
        </is>
      </c>
      <c r="O699" t="inlineStr">
        <is>
          <t>Paid</t>
        </is>
      </c>
      <c r="P699" t="n">
        <v>1708.07</v>
      </c>
      <c r="Q699" t="n">
        <v>1708.07</v>
      </c>
      <c r="R699" t="b">
        <v>0</v>
      </c>
    </row>
    <row r="700">
      <c r="A700" t="inlineStr">
        <is>
          <t>INV0015080</t>
        </is>
      </c>
      <c r="B700" t="inlineStr">
        <is>
          <t>MER00712</t>
        </is>
      </c>
      <c r="C700" t="inlineStr">
        <is>
          <t>2025-06-01</t>
        </is>
      </c>
      <c r="D700" t="inlineStr">
        <is>
          <t>2025-06-30</t>
        </is>
      </c>
      <c r="E700" s="8" t="n">
        <v>45840</v>
      </c>
      <c r="F700" s="8" t="n">
        <v>45870</v>
      </c>
      <c r="G700" t="n">
        <v>1172.57</v>
      </c>
      <c r="H700" t="n">
        <v>0</v>
      </c>
      <c r="I700" t="n">
        <v>1172.57</v>
      </c>
      <c r="J700" t="n">
        <v>0.18</v>
      </c>
      <c r="K700" t="n">
        <v>211.06</v>
      </c>
      <c r="L700" t="n">
        <v>1383.63</v>
      </c>
      <c r="M700" t="inlineStr">
        <is>
          <t>INR</t>
        </is>
      </c>
      <c r="N700" t="inlineStr">
        <is>
          <t>Paid</t>
        </is>
      </c>
      <c r="O700" t="inlineStr">
        <is>
          <t>Paid</t>
        </is>
      </c>
      <c r="P700" t="n">
        <v>1172.57</v>
      </c>
      <c r="Q700" t="n">
        <v>1172.57</v>
      </c>
      <c r="R700" t="b">
        <v>0</v>
      </c>
    </row>
    <row r="701">
      <c r="A701" t="inlineStr">
        <is>
          <t>INV0015081</t>
        </is>
      </c>
      <c r="B701" t="inlineStr">
        <is>
          <t>MER00712</t>
        </is>
      </c>
      <c r="C701" t="inlineStr">
        <is>
          <t>2025-07-01</t>
        </is>
      </c>
      <c r="D701" t="inlineStr">
        <is>
          <t>2025-07-31</t>
        </is>
      </c>
      <c r="E701" s="8" t="n">
        <v>45871</v>
      </c>
      <c r="F701" s="8" t="n">
        <v>45901</v>
      </c>
      <c r="G701" t="n">
        <v>1253.62</v>
      </c>
      <c r="H701" t="n">
        <v>0</v>
      </c>
      <c r="I701" t="n">
        <v>1253.62</v>
      </c>
      <c r="J701" t="n">
        <v>0.18</v>
      </c>
      <c r="K701" t="n">
        <v>225.65</v>
      </c>
      <c r="L701" t="n">
        <v>1479.27</v>
      </c>
      <c r="M701" t="inlineStr">
        <is>
          <t>INR</t>
        </is>
      </c>
      <c r="N701" t="inlineStr">
        <is>
          <t>Paid</t>
        </is>
      </c>
      <c r="O701" t="inlineStr">
        <is>
          <t>Paid</t>
        </is>
      </c>
      <c r="P701" t="n">
        <v>1253.62</v>
      </c>
      <c r="Q701" t="n">
        <v>1253.62</v>
      </c>
      <c r="R701" t="b">
        <v>0</v>
      </c>
    </row>
    <row r="702">
      <c r="A702" t="inlineStr">
        <is>
          <t>INV0015082</t>
        </is>
      </c>
      <c r="B702" t="inlineStr">
        <is>
          <t>MER00712</t>
        </is>
      </c>
      <c r="C702" t="inlineStr">
        <is>
          <t>2025-08-01</t>
        </is>
      </c>
      <c r="D702" t="inlineStr">
        <is>
          <t>2025-08-31</t>
        </is>
      </c>
      <c r="E702" s="8" t="n">
        <v>45902</v>
      </c>
      <c r="F702" s="8" t="n">
        <v>45932</v>
      </c>
      <c r="G702" t="n">
        <v>1502.79</v>
      </c>
      <c r="H702" t="n">
        <v>0</v>
      </c>
      <c r="I702" t="n">
        <v>1502.79</v>
      </c>
      <c r="J702" t="n">
        <v>0.18</v>
      </c>
      <c r="K702" t="n">
        <v>270.5</v>
      </c>
      <c r="L702" t="n">
        <v>1773.29</v>
      </c>
      <c r="M702" t="inlineStr">
        <is>
          <t>INR</t>
        </is>
      </c>
      <c r="N702" t="inlineStr">
        <is>
          <t>Paid</t>
        </is>
      </c>
      <c r="O702" t="inlineStr">
        <is>
          <t>Paid</t>
        </is>
      </c>
      <c r="P702" t="n">
        <v>1502.79</v>
      </c>
      <c r="Q702" t="n">
        <v>1502.79</v>
      </c>
      <c r="R702" t="b">
        <v>0</v>
      </c>
    </row>
    <row r="703">
      <c r="A703" t="inlineStr">
        <is>
          <t>INV0015083</t>
        </is>
      </c>
      <c r="B703" t="inlineStr">
        <is>
          <t>MER00712</t>
        </is>
      </c>
      <c r="C703" t="inlineStr">
        <is>
          <t>2025-09-01</t>
        </is>
      </c>
      <c r="D703" t="inlineStr">
        <is>
          <t>2025-09-30</t>
        </is>
      </c>
      <c r="E703" s="8" t="n">
        <v>45932</v>
      </c>
      <c r="F703" s="8" t="n">
        <v>45962</v>
      </c>
      <c r="G703" t="n">
        <v>1625.65</v>
      </c>
      <c r="H703" t="n">
        <v>0</v>
      </c>
      <c r="I703" t="n">
        <v>1625.65</v>
      </c>
      <c r="J703" t="n">
        <v>0.18</v>
      </c>
      <c r="K703" t="n">
        <v>292.62</v>
      </c>
      <c r="L703" t="n">
        <v>1918.27</v>
      </c>
      <c r="M703" t="inlineStr">
        <is>
          <t>INR</t>
        </is>
      </c>
      <c r="N703" t="inlineStr">
        <is>
          <t>Paid</t>
        </is>
      </c>
      <c r="O703" t="inlineStr">
        <is>
          <t>Paid</t>
        </is>
      </c>
      <c r="P703" t="n">
        <v>1625.65</v>
      </c>
      <c r="Q703" t="n">
        <v>1625.65</v>
      </c>
      <c r="R703" t="b">
        <v>0</v>
      </c>
    </row>
    <row r="704">
      <c r="A704" t="inlineStr">
        <is>
          <t>INV0015084</t>
        </is>
      </c>
      <c r="B704" t="inlineStr">
        <is>
          <t>MER00712</t>
        </is>
      </c>
      <c r="C704" t="inlineStr">
        <is>
          <t>2025-10-01</t>
        </is>
      </c>
      <c r="D704" t="inlineStr">
        <is>
          <t>2025-10-31</t>
        </is>
      </c>
      <c r="E704" s="8" t="n">
        <v>45963</v>
      </c>
      <c r="F704" s="8" t="n">
        <v>45993</v>
      </c>
      <c r="G704" t="n">
        <v>1951.18</v>
      </c>
      <c r="H704" t="n">
        <v>0</v>
      </c>
      <c r="I704" t="n">
        <v>1951.18</v>
      </c>
      <c r="J704" t="n">
        <v>0.18</v>
      </c>
      <c r="K704" t="n">
        <v>351.21</v>
      </c>
      <c r="L704" t="n">
        <v>2302.39</v>
      </c>
      <c r="M704" t="inlineStr">
        <is>
          <t>INR</t>
        </is>
      </c>
      <c r="N704" t="inlineStr">
        <is>
          <t>Paid</t>
        </is>
      </c>
      <c r="O704" t="inlineStr">
        <is>
          <t>Paid</t>
        </is>
      </c>
      <c r="P704" t="n">
        <v>1951.18</v>
      </c>
      <c r="Q704" t="n">
        <v>1951.18</v>
      </c>
      <c r="R704" t="b">
        <v>0</v>
      </c>
    </row>
    <row r="705">
      <c r="A705" t="inlineStr">
        <is>
          <t>INV0015085</t>
        </is>
      </c>
      <c r="B705" t="inlineStr">
        <is>
          <t>MER00712</t>
        </is>
      </c>
      <c r="C705" t="inlineStr">
        <is>
          <t>2025-11-01</t>
        </is>
      </c>
      <c r="D705" t="inlineStr">
        <is>
          <t>2025-11-30</t>
        </is>
      </c>
      <c r="E705" s="8" t="n">
        <v>45993</v>
      </c>
      <c r="F705" s="8" t="n">
        <v>46023</v>
      </c>
      <c r="G705" t="n">
        <v>2948.98</v>
      </c>
      <c r="H705" t="n">
        <v>0</v>
      </c>
      <c r="I705" t="n">
        <v>2948.98</v>
      </c>
      <c r="J705" t="n">
        <v>0.18</v>
      </c>
      <c r="K705" t="n">
        <v>530.8200000000001</v>
      </c>
      <c r="L705" t="n">
        <v>3479.8</v>
      </c>
      <c r="M705" t="inlineStr">
        <is>
          <t>INR</t>
        </is>
      </c>
      <c r="N705" t="inlineStr">
        <is>
          <t>Paid</t>
        </is>
      </c>
      <c r="O705" t="inlineStr">
        <is>
          <t>Paid</t>
        </is>
      </c>
      <c r="P705" t="n">
        <v>2948.98</v>
      </c>
      <c r="Q705" t="n">
        <v>2948.98</v>
      </c>
      <c r="R705" t="b">
        <v>0</v>
      </c>
    </row>
    <row r="706">
      <c r="A706" t="inlineStr">
        <is>
          <t>INV0015086</t>
        </is>
      </c>
      <c r="B706" t="inlineStr">
        <is>
          <t>MER00712</t>
        </is>
      </c>
      <c r="C706" t="inlineStr">
        <is>
          <t>2025-12-01</t>
        </is>
      </c>
      <c r="D706" t="inlineStr">
        <is>
          <t>2025-12-31</t>
        </is>
      </c>
      <c r="E706" s="8" t="n">
        <v>46024</v>
      </c>
      <c r="F706" s="8" t="n">
        <v>46054</v>
      </c>
      <c r="G706" t="n">
        <v>1949.68</v>
      </c>
      <c r="H706" t="n">
        <v>181.32</v>
      </c>
      <c r="I706" t="n">
        <v>1768.36</v>
      </c>
      <c r="J706" t="n">
        <v>0.18</v>
      </c>
      <c r="K706" t="n">
        <v>318.3</v>
      </c>
      <c r="L706" t="n">
        <v>2086.66</v>
      </c>
      <c r="M706" t="inlineStr">
        <is>
          <t>INR</t>
        </is>
      </c>
      <c r="N706" t="inlineStr">
        <is>
          <t>Paid</t>
        </is>
      </c>
      <c r="O706" t="inlineStr">
        <is>
          <t>Paid</t>
        </is>
      </c>
      <c r="P706" t="n">
        <v>1949.68</v>
      </c>
      <c r="Q706" t="n">
        <v>1949.68</v>
      </c>
      <c r="R706" t="b">
        <v>0</v>
      </c>
    </row>
    <row r="707">
      <c r="A707" t="inlineStr">
        <is>
          <t>INV0015087</t>
        </is>
      </c>
      <c r="B707" t="inlineStr">
        <is>
          <t>MER00712</t>
        </is>
      </c>
      <c r="C707" t="inlineStr">
        <is>
          <t>2026-01-01</t>
        </is>
      </c>
      <c r="D707" t="inlineStr">
        <is>
          <t>2026-01-31</t>
        </is>
      </c>
      <c r="E707" s="8" t="n">
        <v>46055</v>
      </c>
      <c r="F707" s="8" t="n">
        <v>46085</v>
      </c>
      <c r="G707" t="n">
        <v>1795.83</v>
      </c>
      <c r="H707" t="n">
        <v>0</v>
      </c>
      <c r="I707" t="n">
        <v>1795.83</v>
      </c>
      <c r="J707" t="n">
        <v>0.18</v>
      </c>
      <c r="K707" t="n">
        <v>323.25</v>
      </c>
      <c r="L707" t="n">
        <v>2119.08</v>
      </c>
      <c r="M707" t="inlineStr">
        <is>
          <t>INR</t>
        </is>
      </c>
      <c r="N707" t="inlineStr">
        <is>
          <t>Overdue</t>
        </is>
      </c>
      <c r="O707" t="inlineStr">
        <is>
          <t>Unpaid</t>
        </is>
      </c>
      <c r="P707" t="n">
        <v>1795.83</v>
      </c>
      <c r="Q707" t="n">
        <v>1795.83</v>
      </c>
      <c r="R707" t="b">
        <v>0</v>
      </c>
    </row>
    <row r="708">
      <c r="A708" t="inlineStr">
        <is>
          <t>INV0015088</t>
        </is>
      </c>
      <c r="B708" t="inlineStr">
        <is>
          <t>MER00712</t>
        </is>
      </c>
      <c r="C708" t="inlineStr">
        <is>
          <t>2026-02-01</t>
        </is>
      </c>
      <c r="D708" t="inlineStr">
        <is>
          <t>2026-02-28</t>
        </is>
      </c>
      <c r="E708" s="8" t="n">
        <v>46083</v>
      </c>
      <c r="F708" s="8" t="n">
        <v>46113</v>
      </c>
      <c r="G708" t="n">
        <v>1652.97</v>
      </c>
      <c r="H708" t="n">
        <v>0</v>
      </c>
      <c r="I708" t="n">
        <v>1652.97</v>
      </c>
      <c r="J708" t="n">
        <v>0.18</v>
      </c>
      <c r="K708" t="n">
        <v>297.53</v>
      </c>
      <c r="L708" t="n">
        <v>1950.5</v>
      </c>
      <c r="M708" t="inlineStr">
        <is>
          <t>INR</t>
        </is>
      </c>
      <c r="N708" t="inlineStr">
        <is>
          <t>Paid</t>
        </is>
      </c>
      <c r="O708" t="inlineStr">
        <is>
          <t>Paid</t>
        </is>
      </c>
      <c r="P708" t="n">
        <v>1652.97</v>
      </c>
      <c r="Q708" t="n">
        <v>1652.97</v>
      </c>
      <c r="R708" t="b">
        <v>0</v>
      </c>
    </row>
    <row r="709">
      <c r="A709" t="inlineStr">
        <is>
          <t>INV0015089</t>
        </is>
      </c>
      <c r="B709" t="inlineStr">
        <is>
          <t>MER00712</t>
        </is>
      </c>
      <c r="C709" t="inlineStr">
        <is>
          <t>2026-03-01</t>
        </is>
      </c>
      <c r="D709" t="inlineStr">
        <is>
          <t>2026-03-31</t>
        </is>
      </c>
      <c r="E709" s="8" t="n">
        <v>46114</v>
      </c>
      <c r="F709" s="8" t="n">
        <v>46144</v>
      </c>
      <c r="G709" t="n">
        <v>1044.41</v>
      </c>
      <c r="H709" t="n">
        <v>0</v>
      </c>
      <c r="I709" t="n">
        <v>1044.41</v>
      </c>
      <c r="J709" t="n">
        <v>0.18</v>
      </c>
      <c r="K709" t="n">
        <v>187.99</v>
      </c>
      <c r="L709" t="n">
        <v>1232.4</v>
      </c>
      <c r="M709" t="inlineStr">
        <is>
          <t>INR</t>
        </is>
      </c>
      <c r="N709" t="inlineStr">
        <is>
          <t>Overdue</t>
        </is>
      </c>
      <c r="O709" t="inlineStr">
        <is>
          <t>Unpaid</t>
        </is>
      </c>
      <c r="P709" t="n">
        <v>1044.41</v>
      </c>
      <c r="Q709" t="n">
        <v>1044.41</v>
      </c>
      <c r="R709" t="b">
        <v>0</v>
      </c>
    </row>
    <row r="710">
      <c r="A710" t="inlineStr">
        <is>
          <t>INV0015090</t>
        </is>
      </c>
      <c r="B710" t="inlineStr">
        <is>
          <t>MER00712</t>
        </is>
      </c>
      <c r="C710" t="inlineStr">
        <is>
          <t>2026-04-01</t>
        </is>
      </c>
      <c r="D710" t="inlineStr">
        <is>
          <t>2026-04-30</t>
        </is>
      </c>
      <c r="E710" s="8" t="n">
        <v>46144</v>
      </c>
      <c r="F710" s="8" t="n">
        <v>46174</v>
      </c>
      <c r="G710" t="n">
        <v>1250.78</v>
      </c>
      <c r="H710" t="n">
        <v>177.61</v>
      </c>
      <c r="I710" t="n">
        <v>1073.17</v>
      </c>
      <c r="J710" t="n">
        <v>0.18</v>
      </c>
      <c r="K710" t="n">
        <v>193.17</v>
      </c>
      <c r="L710" t="n">
        <v>1266.34</v>
      </c>
      <c r="M710" t="inlineStr">
        <is>
          <t>INR</t>
        </is>
      </c>
      <c r="N710" t="inlineStr">
        <is>
          <t>Paid</t>
        </is>
      </c>
      <c r="O710" t="inlineStr">
        <is>
          <t>Paid</t>
        </is>
      </c>
      <c r="P710" t="n">
        <v>1250.78</v>
      </c>
      <c r="Q710" t="n">
        <v>1250.78</v>
      </c>
      <c r="R710" t="b">
        <v>0</v>
      </c>
    </row>
    <row r="711">
      <c r="A711" t="inlineStr">
        <is>
          <t>INV0015091</t>
        </is>
      </c>
      <c r="B711" t="inlineStr">
        <is>
          <t>MER00712</t>
        </is>
      </c>
      <c r="C711" t="inlineStr">
        <is>
          <t>2026-05-01</t>
        </is>
      </c>
      <c r="D711" t="inlineStr">
        <is>
          <t>2026-05-31</t>
        </is>
      </c>
      <c r="E711" s="8" t="n">
        <v>46175</v>
      </c>
      <c r="F711" s="8" t="n">
        <v>46205</v>
      </c>
      <c r="G711" t="n">
        <v>1746.45</v>
      </c>
      <c r="H711" t="n">
        <v>228.78</v>
      </c>
      <c r="I711" t="n">
        <v>1517.67</v>
      </c>
      <c r="J711" t="n">
        <v>0.18</v>
      </c>
      <c r="K711" t="n">
        <v>273.18</v>
      </c>
      <c r="L711" t="n">
        <v>1790.85</v>
      </c>
      <c r="M711" t="inlineStr">
        <is>
          <t>INR</t>
        </is>
      </c>
      <c r="N711" t="inlineStr">
        <is>
          <t>Paid</t>
        </is>
      </c>
      <c r="O711" t="inlineStr">
        <is>
          <t>Paid</t>
        </is>
      </c>
      <c r="P711" t="n">
        <v>1746.45</v>
      </c>
      <c r="Q711" t="n">
        <v>1746.45</v>
      </c>
      <c r="R711" t="b">
        <v>0</v>
      </c>
    </row>
    <row r="712">
      <c r="A712" t="inlineStr">
        <is>
          <t>INV0015092</t>
        </is>
      </c>
      <c r="B712" t="inlineStr">
        <is>
          <t>MER00712</t>
        </is>
      </c>
      <c r="C712" t="inlineStr">
        <is>
          <t>2026-06-01</t>
        </is>
      </c>
      <c r="D712" t="inlineStr">
        <is>
          <t>2026-06-30</t>
        </is>
      </c>
      <c r="E712" s="8" t="n">
        <v>46205</v>
      </c>
      <c r="F712" s="8" t="n">
        <v>46235</v>
      </c>
      <c r="G712" t="n">
        <v>1301</v>
      </c>
      <c r="H712" t="n">
        <v>0</v>
      </c>
      <c r="I712" t="n">
        <v>1301</v>
      </c>
      <c r="J712" t="n">
        <v>0.18</v>
      </c>
      <c r="K712" t="n">
        <v>234.18</v>
      </c>
      <c r="L712" t="n">
        <v>1535.18</v>
      </c>
      <c r="M712" t="inlineStr">
        <is>
          <t>INR</t>
        </is>
      </c>
      <c r="N712" t="inlineStr">
        <is>
          <t>Paid</t>
        </is>
      </c>
      <c r="O712" t="inlineStr">
        <is>
          <t>Paid</t>
        </is>
      </c>
      <c r="P712" t="n">
        <v>1301</v>
      </c>
      <c r="Q712" t="n">
        <v>1301</v>
      </c>
      <c r="R712" t="b">
        <v>0</v>
      </c>
    </row>
    <row r="713">
      <c r="A713" t="inlineStr">
        <is>
          <t>INV0015093</t>
        </is>
      </c>
      <c r="B713" t="inlineStr">
        <is>
          <t>MER00712</t>
        </is>
      </c>
      <c r="C713" t="inlineStr">
        <is>
          <t>2026-07-01</t>
        </is>
      </c>
      <c r="D713" t="inlineStr">
        <is>
          <t>2026-07-31</t>
        </is>
      </c>
      <c r="E713" s="8" t="n">
        <v>46236</v>
      </c>
      <c r="F713" s="8" t="n">
        <v>46266</v>
      </c>
      <c r="G713" t="n">
        <v>901.22</v>
      </c>
      <c r="H713" t="n">
        <v>0</v>
      </c>
      <c r="I713" t="n">
        <v>901.22</v>
      </c>
      <c r="J713" t="n">
        <v>0.18</v>
      </c>
      <c r="K713" t="n">
        <v>162.22</v>
      </c>
      <c r="L713" t="n">
        <v>1063.44</v>
      </c>
      <c r="M713" t="inlineStr">
        <is>
          <t>INR</t>
        </is>
      </c>
      <c r="N713" t="inlineStr">
        <is>
          <t>Paid</t>
        </is>
      </c>
      <c r="O713" t="inlineStr">
        <is>
          <t>Paid</t>
        </is>
      </c>
      <c r="P713" t="n">
        <v>901.22</v>
      </c>
      <c r="Q713" t="n">
        <v>901.22</v>
      </c>
      <c r="R713" t="b">
        <v>0</v>
      </c>
    </row>
    <row r="714">
      <c r="A714" t="inlineStr">
        <is>
          <t>INV0015155</t>
        </is>
      </c>
      <c r="B714" t="inlineStr">
        <is>
          <t>MER00716</t>
        </is>
      </c>
      <c r="C714" t="inlineStr">
        <is>
          <t>2024-09-01</t>
        </is>
      </c>
      <c r="D714" t="inlineStr">
        <is>
          <t>2024-09-30</t>
        </is>
      </c>
      <c r="E714" s="8" t="n">
        <v>45567</v>
      </c>
      <c r="F714" s="8" t="n">
        <v>45582</v>
      </c>
      <c r="G714" t="n">
        <v>29.22</v>
      </c>
      <c r="H714" t="n">
        <v>0</v>
      </c>
      <c r="I714" t="n">
        <v>29.22</v>
      </c>
      <c r="J714" t="n">
        <v>0.18</v>
      </c>
      <c r="K714" t="n">
        <v>5.26</v>
      </c>
      <c r="L714" t="n">
        <v>34.48</v>
      </c>
      <c r="M714" t="inlineStr">
        <is>
          <t>INR</t>
        </is>
      </c>
      <c r="N714" t="inlineStr">
        <is>
          <t>Paid</t>
        </is>
      </c>
      <c r="O714" t="inlineStr">
        <is>
          <t>Paid</t>
        </is>
      </c>
      <c r="P714" t="n">
        <v>29.22</v>
      </c>
      <c r="Q714" t="n">
        <v>29.22</v>
      </c>
      <c r="R714" t="b">
        <v>0</v>
      </c>
    </row>
    <row r="715">
      <c r="A715" t="inlineStr">
        <is>
          <t>INV0015156</t>
        </is>
      </c>
      <c r="B715" t="inlineStr">
        <is>
          <t>MER00716</t>
        </is>
      </c>
      <c r="C715" t="inlineStr">
        <is>
          <t>2024-10-01</t>
        </is>
      </c>
      <c r="D715" t="inlineStr">
        <is>
          <t>2024-10-31</t>
        </is>
      </c>
      <c r="E715" s="8" t="n">
        <v>45598</v>
      </c>
      <c r="F715" s="8" t="n">
        <v>45613</v>
      </c>
      <c r="G715" t="n">
        <v>103.61</v>
      </c>
      <c r="H715" t="n">
        <v>0</v>
      </c>
      <c r="I715" t="n">
        <v>103.61</v>
      </c>
      <c r="J715" t="n">
        <v>0.18</v>
      </c>
      <c r="K715" t="n">
        <v>18.65</v>
      </c>
      <c r="L715" t="n">
        <v>122.26</v>
      </c>
      <c r="M715" t="inlineStr">
        <is>
          <t>INR</t>
        </is>
      </c>
      <c r="N715" t="inlineStr">
        <is>
          <t>Paid</t>
        </is>
      </c>
      <c r="O715" t="inlineStr">
        <is>
          <t>Paid</t>
        </is>
      </c>
      <c r="P715" t="n">
        <v>103.61</v>
      </c>
      <c r="Q715" t="n">
        <v>103.61</v>
      </c>
      <c r="R715" t="b">
        <v>0</v>
      </c>
    </row>
    <row r="716">
      <c r="A716" t="inlineStr">
        <is>
          <t>INV0015157</t>
        </is>
      </c>
      <c r="B716" t="inlineStr">
        <is>
          <t>MER00716</t>
        </is>
      </c>
      <c r="C716" t="inlineStr">
        <is>
          <t>2024-11-01</t>
        </is>
      </c>
      <c r="D716" t="inlineStr">
        <is>
          <t>2024-11-30</t>
        </is>
      </c>
      <c r="E716" s="8" t="n">
        <v>45628</v>
      </c>
      <c r="F716" s="8" t="n">
        <v>45643</v>
      </c>
      <c r="G716" t="n">
        <v>87.56999999999999</v>
      </c>
      <c r="H716" t="n">
        <v>0</v>
      </c>
      <c r="I716" t="n">
        <v>87.56999999999999</v>
      </c>
      <c r="J716" t="n">
        <v>0.18</v>
      </c>
      <c r="K716" t="n">
        <v>15.76</v>
      </c>
      <c r="L716" t="n">
        <v>103.33</v>
      </c>
      <c r="M716" t="inlineStr">
        <is>
          <t>INR</t>
        </is>
      </c>
      <c r="N716" t="inlineStr">
        <is>
          <t>Paid</t>
        </is>
      </c>
      <c r="O716" t="inlineStr">
        <is>
          <t>Paid</t>
        </is>
      </c>
      <c r="P716" t="n">
        <v>87.56999999999999</v>
      </c>
      <c r="Q716" t="n">
        <v>87.56999999999999</v>
      </c>
      <c r="R716" t="b">
        <v>0</v>
      </c>
    </row>
    <row r="717">
      <c r="A717" t="inlineStr">
        <is>
          <t>INV0015158</t>
        </is>
      </c>
      <c r="B717" t="inlineStr">
        <is>
          <t>MER00716</t>
        </is>
      </c>
      <c r="C717" t="inlineStr">
        <is>
          <t>2024-12-01</t>
        </is>
      </c>
      <c r="D717" t="inlineStr">
        <is>
          <t>2024-12-31</t>
        </is>
      </c>
      <c r="E717" s="8" t="n">
        <v>45659</v>
      </c>
      <c r="F717" s="8" t="n">
        <v>45674</v>
      </c>
      <c r="G717" t="n">
        <v>153.65</v>
      </c>
      <c r="H717" t="n">
        <v>0</v>
      </c>
      <c r="I717" t="n">
        <v>153.65</v>
      </c>
      <c r="J717" t="n">
        <v>0.18</v>
      </c>
      <c r="K717" t="n">
        <v>27.66</v>
      </c>
      <c r="L717" t="n">
        <v>181.31</v>
      </c>
      <c r="M717" t="inlineStr">
        <is>
          <t>INR</t>
        </is>
      </c>
      <c r="N717" t="inlineStr">
        <is>
          <t>Paid</t>
        </is>
      </c>
      <c r="O717" t="inlineStr">
        <is>
          <t>Paid</t>
        </is>
      </c>
      <c r="P717" t="n">
        <v>153.65</v>
      </c>
      <c r="Q717" t="n">
        <v>153.65</v>
      </c>
      <c r="R717" t="b">
        <v>0</v>
      </c>
    </row>
    <row r="718">
      <c r="A718" t="inlineStr">
        <is>
          <t>INV0015159</t>
        </is>
      </c>
      <c r="B718" t="inlineStr">
        <is>
          <t>MER00716</t>
        </is>
      </c>
      <c r="C718" t="inlineStr">
        <is>
          <t>2025-01-01</t>
        </is>
      </c>
      <c r="D718" t="inlineStr">
        <is>
          <t>2025-01-31</t>
        </is>
      </c>
      <c r="E718" s="8" t="n">
        <v>45690</v>
      </c>
      <c r="F718" s="8" t="n">
        <v>45705</v>
      </c>
      <c r="G718" t="n">
        <v>122.2</v>
      </c>
      <c r="H718" t="n">
        <v>0</v>
      </c>
      <c r="I718" t="n">
        <v>122.2</v>
      </c>
      <c r="J718" t="n">
        <v>0.18</v>
      </c>
      <c r="K718" t="n">
        <v>22</v>
      </c>
      <c r="L718" t="n">
        <v>144.2</v>
      </c>
      <c r="M718" t="inlineStr">
        <is>
          <t>INR</t>
        </is>
      </c>
      <c r="N718" t="inlineStr">
        <is>
          <t>Paid</t>
        </is>
      </c>
      <c r="O718" t="inlineStr">
        <is>
          <t>Paid</t>
        </is>
      </c>
      <c r="P718" t="n">
        <v>122.2</v>
      </c>
      <c r="Q718" t="n">
        <v>122.2</v>
      </c>
      <c r="R718" t="b">
        <v>0</v>
      </c>
    </row>
    <row r="719">
      <c r="A719" t="inlineStr">
        <is>
          <t>INV0015160</t>
        </is>
      </c>
      <c r="B719" t="inlineStr">
        <is>
          <t>MER00716</t>
        </is>
      </c>
      <c r="C719" t="inlineStr">
        <is>
          <t>2025-02-01</t>
        </is>
      </c>
      <c r="D719" t="inlineStr">
        <is>
          <t>2025-02-28</t>
        </is>
      </c>
      <c r="E719" s="8" t="n">
        <v>45718</v>
      </c>
      <c r="F719" s="8" t="n">
        <v>45733</v>
      </c>
      <c r="G719" t="n">
        <v>162.77</v>
      </c>
      <c r="H719" t="n">
        <v>0</v>
      </c>
      <c r="I719" t="n">
        <v>162.77</v>
      </c>
      <c r="J719" t="n">
        <v>0.18</v>
      </c>
      <c r="K719" t="n">
        <v>29.3</v>
      </c>
      <c r="L719" t="n">
        <v>192.07</v>
      </c>
      <c r="M719" t="inlineStr">
        <is>
          <t>INR</t>
        </is>
      </c>
      <c r="N719" t="inlineStr">
        <is>
          <t>Paid</t>
        </is>
      </c>
      <c r="O719" t="inlineStr">
        <is>
          <t>Paid</t>
        </is>
      </c>
      <c r="P719" t="n">
        <v>162.77</v>
      </c>
      <c r="Q719" t="n">
        <v>162.77</v>
      </c>
      <c r="R719" t="b">
        <v>0</v>
      </c>
    </row>
    <row r="720">
      <c r="A720" t="inlineStr">
        <is>
          <t>INV0015161</t>
        </is>
      </c>
      <c r="B720" t="inlineStr">
        <is>
          <t>MER00716</t>
        </is>
      </c>
      <c r="C720" t="inlineStr">
        <is>
          <t>2025-03-01</t>
        </is>
      </c>
      <c r="D720" t="inlineStr">
        <is>
          <t>2025-03-31</t>
        </is>
      </c>
      <c r="E720" s="8" t="n">
        <v>45749</v>
      </c>
      <c r="F720" s="8" t="n">
        <v>45764</v>
      </c>
      <c r="G720" t="n">
        <v>237.29</v>
      </c>
      <c r="H720" t="n">
        <v>0</v>
      </c>
      <c r="I720" t="n">
        <v>237.29</v>
      </c>
      <c r="J720" t="n">
        <v>0.18</v>
      </c>
      <c r="K720" t="n">
        <v>42.71</v>
      </c>
      <c r="L720" t="n">
        <v>280</v>
      </c>
      <c r="M720" t="inlineStr">
        <is>
          <t>INR</t>
        </is>
      </c>
      <c r="N720" t="inlineStr">
        <is>
          <t>Paid</t>
        </is>
      </c>
      <c r="O720" t="inlineStr">
        <is>
          <t>Paid</t>
        </is>
      </c>
      <c r="P720" t="n">
        <v>237.29</v>
      </c>
      <c r="Q720" t="n">
        <v>237.29</v>
      </c>
      <c r="R720" t="b">
        <v>0</v>
      </c>
    </row>
    <row r="721">
      <c r="A721" t="inlineStr">
        <is>
          <t>INV0015162</t>
        </is>
      </c>
      <c r="B721" t="inlineStr">
        <is>
          <t>MER00716</t>
        </is>
      </c>
      <c r="C721" t="inlineStr">
        <is>
          <t>2025-04-01</t>
        </is>
      </c>
      <c r="D721" t="inlineStr">
        <is>
          <t>2025-04-30</t>
        </is>
      </c>
      <c r="E721" s="8" t="n">
        <v>45779</v>
      </c>
      <c r="F721" s="8" t="n">
        <v>45794</v>
      </c>
      <c r="G721" t="n">
        <v>41.32</v>
      </c>
      <c r="H721" t="n">
        <v>0</v>
      </c>
      <c r="I721" t="n">
        <v>41.32</v>
      </c>
      <c r="J721" t="n">
        <v>0.18</v>
      </c>
      <c r="K721" t="n">
        <v>7.44</v>
      </c>
      <c r="L721" t="n">
        <v>48.76</v>
      </c>
      <c r="M721" t="inlineStr">
        <is>
          <t>INR</t>
        </is>
      </c>
      <c r="N721" t="inlineStr">
        <is>
          <t>Paid</t>
        </is>
      </c>
      <c r="O721" t="inlineStr">
        <is>
          <t>Paid</t>
        </is>
      </c>
      <c r="P721" t="n">
        <v>41.32</v>
      </c>
      <c r="Q721" t="n">
        <v>41.32</v>
      </c>
      <c r="R721" t="b">
        <v>0</v>
      </c>
    </row>
    <row r="722">
      <c r="A722" t="inlineStr">
        <is>
          <t>INV0015163</t>
        </is>
      </c>
      <c r="B722" t="inlineStr">
        <is>
          <t>MER00716</t>
        </is>
      </c>
      <c r="C722" t="inlineStr">
        <is>
          <t>2025-06-01</t>
        </is>
      </c>
      <c r="D722" t="inlineStr">
        <is>
          <t>2025-06-30</t>
        </is>
      </c>
      <c r="E722" s="8" t="n">
        <v>45840</v>
      </c>
      <c r="F722" s="8" t="n">
        <v>45855</v>
      </c>
      <c r="G722" t="n">
        <v>334.37</v>
      </c>
      <c r="H722" t="n">
        <v>0</v>
      </c>
      <c r="I722" t="n">
        <v>334.37</v>
      </c>
      <c r="J722" t="n">
        <v>0.18</v>
      </c>
      <c r="K722" t="n">
        <v>60.19</v>
      </c>
      <c r="L722" t="n">
        <v>394.56</v>
      </c>
      <c r="M722" t="inlineStr">
        <is>
          <t>INR</t>
        </is>
      </c>
      <c r="N722" t="inlineStr">
        <is>
          <t>Paid</t>
        </is>
      </c>
      <c r="O722" t="inlineStr">
        <is>
          <t>Paid</t>
        </is>
      </c>
      <c r="P722" t="n">
        <v>334.37</v>
      </c>
      <c r="Q722" t="n">
        <v>334.37</v>
      </c>
      <c r="R722" t="b">
        <v>0</v>
      </c>
    </row>
    <row r="723">
      <c r="A723" t="inlineStr">
        <is>
          <t>INV0015164</t>
        </is>
      </c>
      <c r="B723" t="inlineStr">
        <is>
          <t>MER00716</t>
        </is>
      </c>
      <c r="C723" t="inlineStr">
        <is>
          <t>2025-07-01</t>
        </is>
      </c>
      <c r="D723" t="inlineStr">
        <is>
          <t>2025-07-31</t>
        </is>
      </c>
      <c r="E723" s="8" t="n">
        <v>45871</v>
      </c>
      <c r="F723" s="8" t="n">
        <v>45886</v>
      </c>
      <c r="G723" t="n">
        <v>140.99</v>
      </c>
      <c r="H723" t="n">
        <v>20.16</v>
      </c>
      <c r="I723" t="n">
        <v>120.83</v>
      </c>
      <c r="J723" t="n">
        <v>0.18</v>
      </c>
      <c r="K723" t="n">
        <v>21.75</v>
      </c>
      <c r="L723" t="n">
        <v>142.58</v>
      </c>
      <c r="M723" t="inlineStr">
        <is>
          <t>INR</t>
        </is>
      </c>
      <c r="N723" t="inlineStr">
        <is>
          <t>Paid</t>
        </is>
      </c>
      <c r="O723" t="inlineStr">
        <is>
          <t>Paid</t>
        </is>
      </c>
      <c r="P723" t="n">
        <v>140.99</v>
      </c>
      <c r="Q723" t="n">
        <v>140.99</v>
      </c>
      <c r="R723" t="b">
        <v>0</v>
      </c>
    </row>
    <row r="724">
      <c r="A724" t="inlineStr">
        <is>
          <t>INV0015165</t>
        </is>
      </c>
      <c r="B724" t="inlineStr">
        <is>
          <t>MER00716</t>
        </is>
      </c>
      <c r="C724" t="inlineStr">
        <is>
          <t>2025-08-01</t>
        </is>
      </c>
      <c r="D724" t="inlineStr">
        <is>
          <t>2025-08-31</t>
        </is>
      </c>
      <c r="E724" s="8" t="n">
        <v>45902</v>
      </c>
      <c r="F724" s="8" t="n">
        <v>45917</v>
      </c>
      <c r="G724" t="n">
        <v>53.07</v>
      </c>
      <c r="H724" t="n">
        <v>0</v>
      </c>
      <c r="I724" t="n">
        <v>53.07</v>
      </c>
      <c r="J724" t="n">
        <v>0.18</v>
      </c>
      <c r="K724" t="n">
        <v>9.550000000000001</v>
      </c>
      <c r="L724" t="n">
        <v>62.62</v>
      </c>
      <c r="M724" t="inlineStr">
        <is>
          <t>INR</t>
        </is>
      </c>
      <c r="N724" t="inlineStr">
        <is>
          <t>Paid</t>
        </is>
      </c>
      <c r="O724" t="inlineStr">
        <is>
          <t>Paid</t>
        </is>
      </c>
      <c r="P724" t="n">
        <v>58.46</v>
      </c>
      <c r="Q724" t="n">
        <v>53.07</v>
      </c>
      <c r="R724" t="b">
        <v>1</v>
      </c>
    </row>
    <row r="725">
      <c r="A725" t="inlineStr">
        <is>
          <t>INV0015166</t>
        </is>
      </c>
      <c r="B725" t="inlineStr">
        <is>
          <t>MER00716</t>
        </is>
      </c>
      <c r="C725" t="inlineStr">
        <is>
          <t>2025-09-01</t>
        </is>
      </c>
      <c r="D725" t="inlineStr">
        <is>
          <t>2025-09-30</t>
        </is>
      </c>
      <c r="E725" s="8" t="n">
        <v>45932</v>
      </c>
      <c r="F725" s="8" t="n">
        <v>45947</v>
      </c>
      <c r="G725" t="n">
        <v>187.71</v>
      </c>
      <c r="H725" t="n">
        <v>0</v>
      </c>
      <c r="I725" t="n">
        <v>187.71</v>
      </c>
      <c r="J725" t="n">
        <v>0.18</v>
      </c>
      <c r="K725" t="n">
        <v>33.79</v>
      </c>
      <c r="L725" t="n">
        <v>221.5</v>
      </c>
      <c r="M725" t="inlineStr">
        <is>
          <t>INR</t>
        </is>
      </c>
      <c r="N725" t="inlineStr">
        <is>
          <t>Paid</t>
        </is>
      </c>
      <c r="O725" t="inlineStr">
        <is>
          <t>Paid</t>
        </is>
      </c>
      <c r="P725" t="n">
        <v>230.34</v>
      </c>
      <c r="Q725" t="n">
        <v>187.71</v>
      </c>
      <c r="R725" t="b">
        <v>1</v>
      </c>
    </row>
    <row r="726">
      <c r="A726" t="inlineStr">
        <is>
          <t>INV0015167</t>
        </is>
      </c>
      <c r="B726" t="inlineStr">
        <is>
          <t>MER00716</t>
        </is>
      </c>
      <c r="C726" t="inlineStr">
        <is>
          <t>2025-10-01</t>
        </is>
      </c>
      <c r="D726" t="inlineStr">
        <is>
          <t>2025-10-31</t>
        </is>
      </c>
      <c r="E726" s="8" t="n">
        <v>45963</v>
      </c>
      <c r="F726" s="8" t="n">
        <v>45978</v>
      </c>
      <c r="G726" t="n">
        <v>203.6</v>
      </c>
      <c r="H726" t="n">
        <v>0</v>
      </c>
      <c r="I726" t="n">
        <v>203.6</v>
      </c>
      <c r="J726" t="n">
        <v>0.18</v>
      </c>
      <c r="K726" t="n">
        <v>36.65</v>
      </c>
      <c r="L726" t="n">
        <v>240.25</v>
      </c>
      <c r="M726" t="inlineStr">
        <is>
          <t>INR</t>
        </is>
      </c>
      <c r="N726" t="inlineStr">
        <is>
          <t>Paid</t>
        </is>
      </c>
      <c r="O726" t="inlineStr">
        <is>
          <t>Paid</t>
        </is>
      </c>
      <c r="P726" t="n">
        <v>203.6</v>
      </c>
      <c r="Q726" t="n">
        <v>203.6</v>
      </c>
      <c r="R726" t="b">
        <v>0</v>
      </c>
    </row>
    <row r="727">
      <c r="A727" t="inlineStr">
        <is>
          <t>INV0015168</t>
        </is>
      </c>
      <c r="B727" t="inlineStr">
        <is>
          <t>MER00716</t>
        </is>
      </c>
      <c r="C727" t="inlineStr">
        <is>
          <t>2025-11-01</t>
        </is>
      </c>
      <c r="D727" t="inlineStr">
        <is>
          <t>2025-11-30</t>
        </is>
      </c>
      <c r="E727" s="8" t="n">
        <v>45993</v>
      </c>
      <c r="F727" s="8" t="n">
        <v>46008</v>
      </c>
      <c r="G727" t="n">
        <v>351.71</v>
      </c>
      <c r="H727" t="n">
        <v>0</v>
      </c>
      <c r="I727" t="n">
        <v>351.71</v>
      </c>
      <c r="J727" t="n">
        <v>0.18</v>
      </c>
      <c r="K727" t="n">
        <v>63.31</v>
      </c>
      <c r="L727" t="n">
        <v>415.02</v>
      </c>
      <c r="M727" t="inlineStr">
        <is>
          <t>INR</t>
        </is>
      </c>
      <c r="N727" t="inlineStr">
        <is>
          <t>Paid</t>
        </is>
      </c>
      <c r="O727" t="inlineStr">
        <is>
          <t>Paid</t>
        </is>
      </c>
      <c r="P727" t="n">
        <v>351.71</v>
      </c>
      <c r="Q727" t="n">
        <v>351.71</v>
      </c>
      <c r="R727" t="b">
        <v>0</v>
      </c>
    </row>
    <row r="728">
      <c r="A728" t="inlineStr">
        <is>
          <t>INV0015169</t>
        </is>
      </c>
      <c r="B728" t="inlineStr">
        <is>
          <t>MER00716</t>
        </is>
      </c>
      <c r="C728" t="inlineStr">
        <is>
          <t>2025-12-01</t>
        </is>
      </c>
      <c r="D728" t="inlineStr">
        <is>
          <t>2025-12-31</t>
        </is>
      </c>
      <c r="E728" s="8" t="n">
        <v>46024</v>
      </c>
      <c r="F728" s="8" t="n">
        <v>46039</v>
      </c>
      <c r="G728" t="n">
        <v>83.83</v>
      </c>
      <c r="H728" t="n">
        <v>0</v>
      </c>
      <c r="I728" t="n">
        <v>83.83</v>
      </c>
      <c r="J728" t="n">
        <v>0.18</v>
      </c>
      <c r="K728" t="n">
        <v>15.09</v>
      </c>
      <c r="L728" t="n">
        <v>98.92</v>
      </c>
      <c r="M728" t="inlineStr">
        <is>
          <t>INR</t>
        </is>
      </c>
      <c r="N728" t="inlineStr">
        <is>
          <t>Paid</t>
        </is>
      </c>
      <c r="O728" t="inlineStr">
        <is>
          <t>Paid</t>
        </is>
      </c>
      <c r="P728" t="n">
        <v>83.83</v>
      </c>
      <c r="Q728" t="n">
        <v>83.83</v>
      </c>
      <c r="R728" t="b">
        <v>0</v>
      </c>
    </row>
    <row r="729">
      <c r="A729" t="inlineStr">
        <is>
          <t>INV0015170</t>
        </is>
      </c>
      <c r="B729" t="inlineStr">
        <is>
          <t>MER00716</t>
        </is>
      </c>
      <c r="C729" t="inlineStr">
        <is>
          <t>2026-01-01</t>
        </is>
      </c>
      <c r="D729" t="inlineStr">
        <is>
          <t>2026-01-31</t>
        </is>
      </c>
      <c r="E729" s="8" t="n">
        <v>46055</v>
      </c>
      <c r="F729" s="8" t="n">
        <v>46070</v>
      </c>
      <c r="G729" t="n">
        <v>301.13</v>
      </c>
      <c r="H729" t="n">
        <v>0</v>
      </c>
      <c r="I729" t="n">
        <v>301.13</v>
      </c>
      <c r="J729" t="n">
        <v>0.18</v>
      </c>
      <c r="K729" t="n">
        <v>54.2</v>
      </c>
      <c r="L729" t="n">
        <v>355.33</v>
      </c>
      <c r="M729" t="inlineStr">
        <is>
          <t>INR</t>
        </is>
      </c>
      <c r="N729" t="inlineStr">
        <is>
          <t>Paid</t>
        </is>
      </c>
      <c r="O729" t="inlineStr">
        <is>
          <t>Paid</t>
        </is>
      </c>
      <c r="P729" t="n">
        <v>301.13</v>
      </c>
      <c r="Q729" t="n">
        <v>301.13</v>
      </c>
      <c r="R729" t="b">
        <v>0</v>
      </c>
    </row>
    <row r="730">
      <c r="A730" t="inlineStr">
        <is>
          <t>INV0015171</t>
        </is>
      </c>
      <c r="B730" t="inlineStr">
        <is>
          <t>MER00716</t>
        </is>
      </c>
      <c r="C730" t="inlineStr">
        <is>
          <t>2026-02-01</t>
        </is>
      </c>
      <c r="D730" t="inlineStr">
        <is>
          <t>2026-02-28</t>
        </is>
      </c>
      <c r="E730" s="8" t="n">
        <v>46083</v>
      </c>
      <c r="F730" s="8" t="n">
        <v>46098</v>
      </c>
      <c r="G730" t="n">
        <v>10.85</v>
      </c>
      <c r="H730" t="n">
        <v>0</v>
      </c>
      <c r="I730" t="n">
        <v>10.85</v>
      </c>
      <c r="J730" t="n">
        <v>0.18</v>
      </c>
      <c r="K730" t="n">
        <v>1.95</v>
      </c>
      <c r="L730" t="n">
        <v>12.8</v>
      </c>
      <c r="M730" t="inlineStr">
        <is>
          <t>INR</t>
        </is>
      </c>
      <c r="N730" t="inlineStr">
        <is>
          <t>Paid</t>
        </is>
      </c>
      <c r="O730" t="inlineStr">
        <is>
          <t>Paid</t>
        </is>
      </c>
      <c r="P730" t="n">
        <v>10.85</v>
      </c>
      <c r="Q730" t="n">
        <v>10.85</v>
      </c>
      <c r="R730" t="b">
        <v>0</v>
      </c>
    </row>
    <row r="731">
      <c r="A731" t="inlineStr">
        <is>
          <t>INV0015172</t>
        </is>
      </c>
      <c r="B731" t="inlineStr">
        <is>
          <t>MER00716</t>
        </is>
      </c>
      <c r="C731" t="inlineStr">
        <is>
          <t>2026-03-01</t>
        </is>
      </c>
      <c r="D731" t="inlineStr">
        <is>
          <t>2026-03-31</t>
        </is>
      </c>
      <c r="E731" s="8" t="n">
        <v>46114</v>
      </c>
      <c r="F731" s="8" t="n">
        <v>46129</v>
      </c>
      <c r="G731" t="n">
        <v>126.52</v>
      </c>
      <c r="H731" t="n">
        <v>0</v>
      </c>
      <c r="I731" t="n">
        <v>126.52</v>
      </c>
      <c r="J731" t="n">
        <v>0.18</v>
      </c>
      <c r="K731" t="n">
        <v>22.77</v>
      </c>
      <c r="L731" t="n">
        <v>149.29</v>
      </c>
      <c r="M731" t="inlineStr">
        <is>
          <t>INR</t>
        </is>
      </c>
      <c r="N731" t="inlineStr">
        <is>
          <t>Paid</t>
        </is>
      </c>
      <c r="O731" t="inlineStr">
        <is>
          <t>Paid</t>
        </is>
      </c>
      <c r="P731" t="n">
        <v>126.52</v>
      </c>
      <c r="Q731" t="n">
        <v>126.52</v>
      </c>
      <c r="R731" t="b">
        <v>0</v>
      </c>
    </row>
    <row r="732">
      <c r="A732" t="inlineStr">
        <is>
          <t>INV0015173</t>
        </is>
      </c>
      <c r="B732" t="inlineStr">
        <is>
          <t>MER00716</t>
        </is>
      </c>
      <c r="C732" t="inlineStr">
        <is>
          <t>2026-04-01</t>
        </is>
      </c>
      <c r="D732" t="inlineStr">
        <is>
          <t>2026-04-30</t>
        </is>
      </c>
      <c r="E732" s="8" t="n">
        <v>46144</v>
      </c>
      <c r="F732" s="8" t="n">
        <v>46159</v>
      </c>
      <c r="G732" t="n">
        <v>315.12</v>
      </c>
      <c r="H732" t="n">
        <v>0</v>
      </c>
      <c r="I732" t="n">
        <v>315.12</v>
      </c>
      <c r="J732" t="n">
        <v>0.18</v>
      </c>
      <c r="K732" t="n">
        <v>56.72</v>
      </c>
      <c r="L732" t="n">
        <v>371.84</v>
      </c>
      <c r="M732" t="inlineStr">
        <is>
          <t>INR</t>
        </is>
      </c>
      <c r="N732" t="inlineStr">
        <is>
          <t>Paid</t>
        </is>
      </c>
      <c r="O732" t="inlineStr">
        <is>
          <t>Paid</t>
        </is>
      </c>
      <c r="P732" t="n">
        <v>315.12</v>
      </c>
      <c r="Q732" t="n">
        <v>315.12</v>
      </c>
      <c r="R732" t="b">
        <v>0</v>
      </c>
    </row>
    <row r="733">
      <c r="A733" t="inlineStr">
        <is>
          <t>INV0015174</t>
        </is>
      </c>
      <c r="B733" t="inlineStr">
        <is>
          <t>MER00716</t>
        </is>
      </c>
      <c r="C733" t="inlineStr">
        <is>
          <t>2026-05-01</t>
        </is>
      </c>
      <c r="D733" t="inlineStr">
        <is>
          <t>2026-05-31</t>
        </is>
      </c>
      <c r="E733" s="8" t="n">
        <v>46175</v>
      </c>
      <c r="F733" s="8" t="n">
        <v>46190</v>
      </c>
      <c r="G733" t="n">
        <v>307.91</v>
      </c>
      <c r="H733" t="n">
        <v>0</v>
      </c>
      <c r="I733" t="n">
        <v>307.91</v>
      </c>
      <c r="J733" t="n">
        <v>0.18</v>
      </c>
      <c r="K733" t="n">
        <v>55.42</v>
      </c>
      <c r="L733" t="n">
        <v>363.33</v>
      </c>
      <c r="M733" t="inlineStr">
        <is>
          <t>INR</t>
        </is>
      </c>
      <c r="N733" t="inlineStr">
        <is>
          <t>Paid</t>
        </is>
      </c>
      <c r="O733" t="inlineStr">
        <is>
          <t>Paid</t>
        </is>
      </c>
      <c r="P733" t="n">
        <v>307.91</v>
      </c>
      <c r="Q733" t="n">
        <v>307.91</v>
      </c>
      <c r="R733" t="b">
        <v>0</v>
      </c>
    </row>
    <row r="734">
      <c r="A734" t="inlineStr">
        <is>
          <t>INV0015175</t>
        </is>
      </c>
      <c r="B734" t="inlineStr">
        <is>
          <t>MER00716</t>
        </is>
      </c>
      <c r="C734" t="inlineStr">
        <is>
          <t>2026-06-01</t>
        </is>
      </c>
      <c r="D734" t="inlineStr">
        <is>
          <t>2026-06-30</t>
        </is>
      </c>
      <c r="E734" s="8" t="n">
        <v>46205</v>
      </c>
      <c r="F734" s="8" t="n">
        <v>46220</v>
      </c>
      <c r="G734" t="n">
        <v>318.55</v>
      </c>
      <c r="H734" t="n">
        <v>0</v>
      </c>
      <c r="I734" t="n">
        <v>318.55</v>
      </c>
      <c r="J734" t="n">
        <v>0.18</v>
      </c>
      <c r="K734" t="n">
        <v>57.34</v>
      </c>
      <c r="L734" t="n">
        <v>375.89</v>
      </c>
      <c r="M734" t="inlineStr">
        <is>
          <t>INR</t>
        </is>
      </c>
      <c r="N734" t="inlineStr">
        <is>
          <t>Paid</t>
        </is>
      </c>
      <c r="O734" t="inlineStr">
        <is>
          <t>Paid</t>
        </is>
      </c>
      <c r="P734" t="n">
        <v>318.55</v>
      </c>
      <c r="Q734" t="n">
        <v>318.55</v>
      </c>
      <c r="R734" t="b">
        <v>0</v>
      </c>
    </row>
    <row r="735">
      <c r="A735" t="inlineStr">
        <is>
          <t>INV0015176</t>
        </is>
      </c>
      <c r="B735" t="inlineStr">
        <is>
          <t>MER00716</t>
        </is>
      </c>
      <c r="C735" t="inlineStr">
        <is>
          <t>2026-07-01</t>
        </is>
      </c>
      <c r="D735" t="inlineStr">
        <is>
          <t>2026-07-31</t>
        </is>
      </c>
      <c r="E735" s="8" t="n">
        <v>46236</v>
      </c>
      <c r="F735" s="8" t="n">
        <v>46251</v>
      </c>
      <c r="G735" t="n">
        <v>92.92</v>
      </c>
      <c r="H735" t="n">
        <v>0</v>
      </c>
      <c r="I735" t="n">
        <v>92.92</v>
      </c>
      <c r="J735" t="n">
        <v>0.18</v>
      </c>
      <c r="K735" t="n">
        <v>16.73</v>
      </c>
      <c r="L735" t="n">
        <v>109.65</v>
      </c>
      <c r="M735" t="inlineStr">
        <is>
          <t>INR</t>
        </is>
      </c>
      <c r="N735" t="inlineStr">
        <is>
          <t>Paid</t>
        </is>
      </c>
      <c r="O735" t="inlineStr">
        <is>
          <t>Paid</t>
        </is>
      </c>
      <c r="P735" t="n">
        <v>92.92</v>
      </c>
      <c r="Q735" t="n">
        <v>92.92</v>
      </c>
      <c r="R735" t="b">
        <v>0</v>
      </c>
    </row>
    <row r="736">
      <c r="A736" t="inlineStr">
        <is>
          <t>INV0015375</t>
        </is>
      </c>
      <c r="B736" t="inlineStr">
        <is>
          <t>MER00726</t>
        </is>
      </c>
      <c r="C736" t="inlineStr">
        <is>
          <t>2024-08-01</t>
        </is>
      </c>
      <c r="D736" t="inlineStr">
        <is>
          <t>2024-08-31</t>
        </is>
      </c>
      <c r="E736" s="8" t="n">
        <v>45537</v>
      </c>
      <c r="F736" s="8" t="n">
        <v>45567</v>
      </c>
      <c r="G736" t="n">
        <v>38.66</v>
      </c>
      <c r="H736" t="n">
        <v>0</v>
      </c>
      <c r="I736" t="n">
        <v>38.66</v>
      </c>
      <c r="J736" t="n">
        <v>0.18</v>
      </c>
      <c r="K736" t="n">
        <v>6.96</v>
      </c>
      <c r="L736" t="n">
        <v>45.62</v>
      </c>
      <c r="M736" t="inlineStr">
        <is>
          <t>INR</t>
        </is>
      </c>
      <c r="N736" t="inlineStr">
        <is>
          <t>Overdue</t>
        </is>
      </c>
      <c r="O736" t="inlineStr">
        <is>
          <t>Unpaid</t>
        </is>
      </c>
      <c r="P736" t="n">
        <v>38.66</v>
      </c>
      <c r="Q736" t="n">
        <v>38.66</v>
      </c>
      <c r="R736" t="b">
        <v>0</v>
      </c>
    </row>
    <row r="737">
      <c r="A737" t="inlineStr">
        <is>
          <t>INV0015376</t>
        </is>
      </c>
      <c r="B737" t="inlineStr">
        <is>
          <t>MER00726</t>
        </is>
      </c>
      <c r="C737" t="inlineStr">
        <is>
          <t>2024-09-01</t>
        </is>
      </c>
      <c r="D737" t="inlineStr">
        <is>
          <t>2024-09-30</t>
        </is>
      </c>
      <c r="E737" s="8" t="n">
        <v>45567</v>
      </c>
      <c r="F737" s="8" t="n">
        <v>45597</v>
      </c>
      <c r="G737" t="n">
        <v>105.99</v>
      </c>
      <c r="H737" t="n">
        <v>6.68</v>
      </c>
      <c r="I737" t="n">
        <v>99.31</v>
      </c>
      <c r="J737" t="n">
        <v>0.18</v>
      </c>
      <c r="K737" t="n">
        <v>17.88</v>
      </c>
      <c r="L737" t="n">
        <v>117.19</v>
      </c>
      <c r="M737" t="inlineStr">
        <is>
          <t>INR</t>
        </is>
      </c>
      <c r="N737" t="inlineStr">
        <is>
          <t>Paid</t>
        </is>
      </c>
      <c r="O737" t="inlineStr">
        <is>
          <t>Paid</t>
        </is>
      </c>
      <c r="P737" t="n">
        <v>105.99</v>
      </c>
      <c r="Q737" t="n">
        <v>105.99</v>
      </c>
      <c r="R737" t="b">
        <v>0</v>
      </c>
    </row>
    <row r="738">
      <c r="A738" t="inlineStr">
        <is>
          <t>INV0015377</t>
        </is>
      </c>
      <c r="B738" t="inlineStr">
        <is>
          <t>MER00726</t>
        </is>
      </c>
      <c r="C738" t="inlineStr">
        <is>
          <t>2024-10-01</t>
        </is>
      </c>
      <c r="D738" t="inlineStr">
        <is>
          <t>2024-10-31</t>
        </is>
      </c>
      <c r="E738" s="8" t="n">
        <v>45598</v>
      </c>
      <c r="F738" s="8" t="n">
        <v>45628</v>
      </c>
      <c r="G738" t="n">
        <v>133.23</v>
      </c>
      <c r="H738" t="n">
        <v>0</v>
      </c>
      <c r="I738" t="n">
        <v>133.23</v>
      </c>
      <c r="J738" t="n">
        <v>0.18</v>
      </c>
      <c r="K738" t="n">
        <v>23.98</v>
      </c>
      <c r="L738" t="n">
        <v>157.21</v>
      </c>
      <c r="M738" t="inlineStr">
        <is>
          <t>INR</t>
        </is>
      </c>
      <c r="N738" t="inlineStr">
        <is>
          <t>Overdue</t>
        </is>
      </c>
      <c r="O738" t="inlineStr">
        <is>
          <t>Partially Paid</t>
        </is>
      </c>
      <c r="P738" t="n">
        <v>133.23</v>
      </c>
      <c r="Q738" t="n">
        <v>133.23</v>
      </c>
      <c r="R738" t="b">
        <v>0</v>
      </c>
    </row>
    <row r="739">
      <c r="A739" t="inlineStr">
        <is>
          <t>INV0015378</t>
        </is>
      </c>
      <c r="B739" t="inlineStr">
        <is>
          <t>MER00726</t>
        </is>
      </c>
      <c r="C739" t="inlineStr">
        <is>
          <t>2024-11-01</t>
        </is>
      </c>
      <c r="D739" t="inlineStr">
        <is>
          <t>2024-11-30</t>
        </is>
      </c>
      <c r="E739" s="8" t="n">
        <v>45628</v>
      </c>
      <c r="F739" s="8" t="n">
        <v>45658</v>
      </c>
      <c r="G739" t="n">
        <v>209.72</v>
      </c>
      <c r="H739" t="n">
        <v>0</v>
      </c>
      <c r="I739" t="n">
        <v>209.72</v>
      </c>
      <c r="J739" t="n">
        <v>0.18</v>
      </c>
      <c r="K739" t="n">
        <v>37.75</v>
      </c>
      <c r="L739" t="n">
        <v>247.47</v>
      </c>
      <c r="M739" t="inlineStr">
        <is>
          <t>INR</t>
        </is>
      </c>
      <c r="N739" t="inlineStr">
        <is>
          <t>Overdue</t>
        </is>
      </c>
      <c r="O739" t="inlineStr">
        <is>
          <t>Unpaid</t>
        </is>
      </c>
      <c r="P739" t="n">
        <v>209.72</v>
      </c>
      <c r="Q739" t="n">
        <v>209.72</v>
      </c>
      <c r="R739" t="b">
        <v>0</v>
      </c>
    </row>
    <row r="740">
      <c r="A740" t="inlineStr">
        <is>
          <t>INV0015379</t>
        </is>
      </c>
      <c r="B740" t="inlineStr">
        <is>
          <t>MER00726</t>
        </is>
      </c>
      <c r="C740" t="inlineStr">
        <is>
          <t>2024-12-01</t>
        </is>
      </c>
      <c r="D740" t="inlineStr">
        <is>
          <t>2024-12-31</t>
        </is>
      </c>
      <c r="E740" s="8" t="n">
        <v>45659</v>
      </c>
      <c r="F740" s="8" t="n">
        <v>45689</v>
      </c>
      <c r="G740" t="n">
        <v>151.09</v>
      </c>
      <c r="H740" t="n">
        <v>0</v>
      </c>
      <c r="I740" t="n">
        <v>151.09</v>
      </c>
      <c r="J740" t="n">
        <v>0.18</v>
      </c>
      <c r="K740" t="n">
        <v>27.2</v>
      </c>
      <c r="L740" t="n">
        <v>178.29</v>
      </c>
      <c r="M740" t="inlineStr">
        <is>
          <t>INR</t>
        </is>
      </c>
      <c r="N740" t="inlineStr">
        <is>
          <t>Paid</t>
        </is>
      </c>
      <c r="O740" t="inlineStr">
        <is>
          <t>Paid</t>
        </is>
      </c>
      <c r="P740" t="n">
        <v>151.09</v>
      </c>
      <c r="Q740" t="n">
        <v>151.09</v>
      </c>
      <c r="R740" t="b">
        <v>0</v>
      </c>
    </row>
    <row r="741">
      <c r="A741" t="inlineStr">
        <is>
          <t>INV0015380</t>
        </is>
      </c>
      <c r="B741" t="inlineStr">
        <is>
          <t>MER00726</t>
        </is>
      </c>
      <c r="C741" t="inlineStr">
        <is>
          <t>2025-01-01</t>
        </is>
      </c>
      <c r="D741" t="inlineStr">
        <is>
          <t>2025-01-31</t>
        </is>
      </c>
      <c r="E741" s="8" t="n">
        <v>45690</v>
      </c>
      <c r="F741" s="8" t="n">
        <v>45720</v>
      </c>
      <c r="G741" t="n">
        <v>79.95999999999999</v>
      </c>
      <c r="H741" t="n">
        <v>0</v>
      </c>
      <c r="I741" t="n">
        <v>79.95999999999999</v>
      </c>
      <c r="J741" t="n">
        <v>0.18</v>
      </c>
      <c r="K741" t="n">
        <v>14.39</v>
      </c>
      <c r="L741" t="n">
        <v>94.34999999999999</v>
      </c>
      <c r="M741" t="inlineStr">
        <is>
          <t>INR</t>
        </is>
      </c>
      <c r="N741" t="inlineStr">
        <is>
          <t>Paid</t>
        </is>
      </c>
      <c r="O741" t="inlineStr">
        <is>
          <t>Paid</t>
        </is>
      </c>
      <c r="P741" t="n">
        <v>79.95999999999999</v>
      </c>
      <c r="Q741" t="n">
        <v>79.95999999999999</v>
      </c>
      <c r="R741" t="b">
        <v>0</v>
      </c>
    </row>
    <row r="742">
      <c r="A742" t="inlineStr">
        <is>
          <t>INV0015381</t>
        </is>
      </c>
      <c r="B742" t="inlineStr">
        <is>
          <t>MER00726</t>
        </is>
      </c>
      <c r="C742" t="inlineStr">
        <is>
          <t>2025-02-01</t>
        </is>
      </c>
      <c r="D742" t="inlineStr">
        <is>
          <t>2025-02-28</t>
        </is>
      </c>
      <c r="E742" s="8" t="n">
        <v>45718</v>
      </c>
      <c r="F742" s="8" t="n">
        <v>45748</v>
      </c>
      <c r="G742" t="n">
        <v>97.92</v>
      </c>
      <c r="H742" t="n">
        <v>0</v>
      </c>
      <c r="I742" t="n">
        <v>97.92</v>
      </c>
      <c r="J742" t="n">
        <v>0.18</v>
      </c>
      <c r="K742" t="n">
        <v>17.63</v>
      </c>
      <c r="L742" t="n">
        <v>115.55</v>
      </c>
      <c r="M742" t="inlineStr">
        <is>
          <t>INR</t>
        </is>
      </c>
      <c r="N742" t="inlineStr">
        <is>
          <t>Paid</t>
        </is>
      </c>
      <c r="O742" t="inlineStr">
        <is>
          <t>Paid</t>
        </is>
      </c>
      <c r="P742" t="n">
        <v>97.92</v>
      </c>
      <c r="Q742" t="n">
        <v>97.92</v>
      </c>
      <c r="R742" t="b">
        <v>0</v>
      </c>
    </row>
    <row r="743">
      <c r="A743" t="inlineStr">
        <is>
          <t>INV0015382</t>
        </is>
      </c>
      <c r="B743" t="inlineStr">
        <is>
          <t>MER00726</t>
        </is>
      </c>
      <c r="C743" t="inlineStr">
        <is>
          <t>2025-03-01</t>
        </is>
      </c>
      <c r="D743" t="inlineStr">
        <is>
          <t>2025-03-31</t>
        </is>
      </c>
      <c r="E743" s="8" t="n">
        <v>45749</v>
      </c>
      <c r="F743" s="8" t="n">
        <v>45779</v>
      </c>
      <c r="G743" t="n">
        <v>47.94</v>
      </c>
      <c r="H743" t="n">
        <v>0</v>
      </c>
      <c r="I743" t="n">
        <v>47.94</v>
      </c>
      <c r="J743" t="n">
        <v>0.18</v>
      </c>
      <c r="K743" t="n">
        <v>8.630000000000001</v>
      </c>
      <c r="L743" t="n">
        <v>56.57</v>
      </c>
      <c r="M743" t="inlineStr">
        <is>
          <t>INR</t>
        </is>
      </c>
      <c r="N743" t="inlineStr">
        <is>
          <t>Paid</t>
        </is>
      </c>
      <c r="O743" t="inlineStr">
        <is>
          <t>Paid</t>
        </is>
      </c>
      <c r="P743" t="n">
        <v>47.94</v>
      </c>
      <c r="Q743" t="n">
        <v>47.94</v>
      </c>
      <c r="R743" t="b">
        <v>0</v>
      </c>
    </row>
    <row r="744">
      <c r="A744" t="inlineStr">
        <is>
          <t>INV0015383</t>
        </is>
      </c>
      <c r="B744" t="inlineStr">
        <is>
          <t>MER00726</t>
        </is>
      </c>
      <c r="C744" t="inlineStr">
        <is>
          <t>2025-04-01</t>
        </is>
      </c>
      <c r="D744" t="inlineStr">
        <is>
          <t>2025-04-30</t>
        </is>
      </c>
      <c r="E744" s="8" t="n">
        <v>45779</v>
      </c>
      <c r="F744" s="8" t="n">
        <v>45809</v>
      </c>
      <c r="G744" t="n">
        <v>55.3</v>
      </c>
      <c r="H744" t="n">
        <v>0</v>
      </c>
      <c r="I744" t="n">
        <v>55.3</v>
      </c>
      <c r="J744" t="n">
        <v>0.18</v>
      </c>
      <c r="K744" t="n">
        <v>9.949999999999999</v>
      </c>
      <c r="L744" t="n">
        <v>65.25</v>
      </c>
      <c r="M744" t="inlineStr">
        <is>
          <t>INR</t>
        </is>
      </c>
      <c r="N744" t="inlineStr">
        <is>
          <t>Overdue</t>
        </is>
      </c>
      <c r="O744" t="inlineStr">
        <is>
          <t>Partially Paid</t>
        </is>
      </c>
      <c r="P744" t="n">
        <v>55.3</v>
      </c>
      <c r="Q744" t="n">
        <v>55.3</v>
      </c>
      <c r="R744" t="b">
        <v>0</v>
      </c>
    </row>
    <row r="745">
      <c r="A745" t="inlineStr">
        <is>
          <t>INV0015384</t>
        </is>
      </c>
      <c r="B745" t="inlineStr">
        <is>
          <t>MER00726</t>
        </is>
      </c>
      <c r="C745" t="inlineStr">
        <is>
          <t>2025-05-01</t>
        </is>
      </c>
      <c r="D745" t="inlineStr">
        <is>
          <t>2025-05-31</t>
        </is>
      </c>
      <c r="E745" s="8" t="n">
        <v>45810</v>
      </c>
      <c r="F745" s="8" t="n">
        <v>45840</v>
      </c>
      <c r="G745" t="n">
        <v>100.62</v>
      </c>
      <c r="H745" t="n">
        <v>0</v>
      </c>
      <c r="I745" t="n">
        <v>100.62</v>
      </c>
      <c r="J745" t="n">
        <v>0.18</v>
      </c>
      <c r="K745" t="n">
        <v>18.11</v>
      </c>
      <c r="L745" t="n">
        <v>118.73</v>
      </c>
      <c r="M745" t="inlineStr">
        <is>
          <t>INR</t>
        </is>
      </c>
      <c r="N745" t="inlineStr">
        <is>
          <t>Paid</t>
        </is>
      </c>
      <c r="O745" t="inlineStr">
        <is>
          <t>Paid</t>
        </is>
      </c>
      <c r="P745" t="n">
        <v>100.62</v>
      </c>
      <c r="Q745" t="n">
        <v>100.62</v>
      </c>
      <c r="R745" t="b">
        <v>0</v>
      </c>
    </row>
    <row r="746">
      <c r="A746" t="inlineStr">
        <is>
          <t>INV0015385</t>
        </is>
      </c>
      <c r="B746" t="inlineStr">
        <is>
          <t>MER00726</t>
        </is>
      </c>
      <c r="C746" t="inlineStr">
        <is>
          <t>2025-06-01</t>
        </is>
      </c>
      <c r="D746" t="inlineStr">
        <is>
          <t>2025-06-30</t>
        </is>
      </c>
      <c r="E746" s="8" t="n">
        <v>45840</v>
      </c>
      <c r="F746" s="8" t="n">
        <v>45870</v>
      </c>
      <c r="G746" t="n">
        <v>126.96</v>
      </c>
      <c r="H746" t="n">
        <v>0</v>
      </c>
      <c r="I746" t="n">
        <v>126.96</v>
      </c>
      <c r="J746" t="n">
        <v>0.18</v>
      </c>
      <c r="K746" t="n">
        <v>22.85</v>
      </c>
      <c r="L746" t="n">
        <v>149.81</v>
      </c>
      <c r="M746" t="inlineStr">
        <is>
          <t>INR</t>
        </is>
      </c>
      <c r="N746" t="inlineStr">
        <is>
          <t>Paid</t>
        </is>
      </c>
      <c r="O746" t="inlineStr">
        <is>
          <t>Paid</t>
        </is>
      </c>
      <c r="P746" t="n">
        <v>126.96</v>
      </c>
      <c r="Q746" t="n">
        <v>126.96</v>
      </c>
      <c r="R746" t="b">
        <v>0</v>
      </c>
    </row>
    <row r="747">
      <c r="A747" t="inlineStr">
        <is>
          <t>INV0015386</t>
        </is>
      </c>
      <c r="B747" t="inlineStr">
        <is>
          <t>MER00726</t>
        </is>
      </c>
      <c r="C747" t="inlineStr">
        <is>
          <t>2025-07-01</t>
        </is>
      </c>
      <c r="D747" t="inlineStr">
        <is>
          <t>2025-07-31</t>
        </is>
      </c>
      <c r="E747" s="8" t="n">
        <v>45871</v>
      </c>
      <c r="F747" s="8" t="n">
        <v>45901</v>
      </c>
      <c r="G747" t="n">
        <v>106.08</v>
      </c>
      <c r="H747" t="n">
        <v>14.53</v>
      </c>
      <c r="I747" t="n">
        <v>91.55</v>
      </c>
      <c r="J747" t="n">
        <v>0.18</v>
      </c>
      <c r="K747" t="n">
        <v>16.48</v>
      </c>
      <c r="L747" t="n">
        <v>108.03</v>
      </c>
      <c r="M747" t="inlineStr">
        <is>
          <t>INR</t>
        </is>
      </c>
      <c r="N747" t="inlineStr">
        <is>
          <t>Paid</t>
        </is>
      </c>
      <c r="O747" t="inlineStr">
        <is>
          <t>Paid</t>
        </is>
      </c>
      <c r="P747" t="n">
        <v>106.08</v>
      </c>
      <c r="Q747" t="n">
        <v>106.08</v>
      </c>
      <c r="R747" t="b">
        <v>0</v>
      </c>
    </row>
    <row r="748">
      <c r="A748" t="inlineStr">
        <is>
          <t>INV0015387</t>
        </is>
      </c>
      <c r="B748" t="inlineStr">
        <is>
          <t>MER00726</t>
        </is>
      </c>
      <c r="C748" t="inlineStr">
        <is>
          <t>2025-08-01</t>
        </is>
      </c>
      <c r="D748" t="inlineStr">
        <is>
          <t>2025-08-31</t>
        </is>
      </c>
      <c r="E748" s="8" t="n">
        <v>45902</v>
      </c>
      <c r="F748" s="8" t="n">
        <v>45932</v>
      </c>
      <c r="G748" t="n">
        <v>57.24</v>
      </c>
      <c r="H748" t="n">
        <v>3.84</v>
      </c>
      <c r="I748" t="n">
        <v>53.4</v>
      </c>
      <c r="J748" t="n">
        <v>0.18</v>
      </c>
      <c r="K748" t="n">
        <v>9.609999999999999</v>
      </c>
      <c r="L748" t="n">
        <v>63.01</v>
      </c>
      <c r="M748" t="inlineStr">
        <is>
          <t>INR</t>
        </is>
      </c>
      <c r="N748" t="inlineStr">
        <is>
          <t>Overdue</t>
        </is>
      </c>
      <c r="O748" t="inlineStr">
        <is>
          <t>Partially Paid</t>
        </is>
      </c>
      <c r="P748" t="n">
        <v>57.24</v>
      </c>
      <c r="Q748" t="n">
        <v>57.24</v>
      </c>
      <c r="R748" t="b">
        <v>0</v>
      </c>
    </row>
    <row r="749">
      <c r="A749" t="inlineStr">
        <is>
          <t>INV0015388</t>
        </is>
      </c>
      <c r="B749" t="inlineStr">
        <is>
          <t>MER00726</t>
        </is>
      </c>
      <c r="C749" t="inlineStr">
        <is>
          <t>2025-09-01</t>
        </is>
      </c>
      <c r="D749" t="inlineStr">
        <is>
          <t>2025-09-30</t>
        </is>
      </c>
      <c r="E749" s="8" t="n">
        <v>45932</v>
      </c>
      <c r="F749" s="8" t="n">
        <v>45962</v>
      </c>
      <c r="G749" t="n">
        <v>74.05</v>
      </c>
      <c r="H749" t="n">
        <v>0</v>
      </c>
      <c r="I749" t="n">
        <v>74.05</v>
      </c>
      <c r="J749" t="n">
        <v>0.18</v>
      </c>
      <c r="K749" t="n">
        <v>13.33</v>
      </c>
      <c r="L749" t="n">
        <v>87.38</v>
      </c>
      <c r="M749" t="inlineStr">
        <is>
          <t>INR</t>
        </is>
      </c>
      <c r="N749" t="inlineStr">
        <is>
          <t>Overdue</t>
        </is>
      </c>
      <c r="O749" t="inlineStr">
        <is>
          <t>Unpaid</t>
        </is>
      </c>
      <c r="P749" t="n">
        <v>74.05</v>
      </c>
      <c r="Q749" t="n">
        <v>74.05</v>
      </c>
      <c r="R749" t="b">
        <v>0</v>
      </c>
    </row>
    <row r="750">
      <c r="A750" t="inlineStr">
        <is>
          <t>INV0015389</t>
        </is>
      </c>
      <c r="B750" t="inlineStr">
        <is>
          <t>MER00726</t>
        </is>
      </c>
      <c r="C750" t="inlineStr">
        <is>
          <t>2025-10-01</t>
        </is>
      </c>
      <c r="D750" t="inlineStr">
        <is>
          <t>2025-10-31</t>
        </is>
      </c>
      <c r="E750" s="8" t="n">
        <v>45963</v>
      </c>
      <c r="F750" s="8" t="n">
        <v>45993</v>
      </c>
      <c r="G750" t="n">
        <v>245.7</v>
      </c>
      <c r="H750" t="n">
        <v>17.94</v>
      </c>
      <c r="I750" t="n">
        <v>227.76</v>
      </c>
      <c r="J750" t="n">
        <v>0.18</v>
      </c>
      <c r="K750" t="n">
        <v>41</v>
      </c>
      <c r="L750" t="n">
        <v>268.76</v>
      </c>
      <c r="M750" t="inlineStr">
        <is>
          <t>INR</t>
        </is>
      </c>
      <c r="N750" t="inlineStr">
        <is>
          <t>Paid</t>
        </is>
      </c>
      <c r="O750" t="inlineStr">
        <is>
          <t>Paid</t>
        </is>
      </c>
      <c r="P750" t="n">
        <v>245.7</v>
      </c>
      <c r="Q750" t="n">
        <v>245.7</v>
      </c>
      <c r="R750" t="b">
        <v>0</v>
      </c>
    </row>
    <row r="751">
      <c r="A751" t="inlineStr">
        <is>
          <t>INV0015390</t>
        </is>
      </c>
      <c r="B751" t="inlineStr">
        <is>
          <t>MER00726</t>
        </is>
      </c>
      <c r="C751" t="inlineStr">
        <is>
          <t>2025-11-01</t>
        </is>
      </c>
      <c r="D751" t="inlineStr">
        <is>
          <t>2025-11-30</t>
        </is>
      </c>
      <c r="E751" s="8" t="n">
        <v>45993</v>
      </c>
      <c r="F751" s="8" t="n">
        <v>46023</v>
      </c>
      <c r="G751" t="n">
        <v>296.82</v>
      </c>
      <c r="H751" t="n">
        <v>0</v>
      </c>
      <c r="I751" t="n">
        <v>296.82</v>
      </c>
      <c r="J751" t="n">
        <v>0.18</v>
      </c>
      <c r="K751" t="n">
        <v>53.43</v>
      </c>
      <c r="L751" t="n">
        <v>350.25</v>
      </c>
      <c r="M751" t="inlineStr">
        <is>
          <t>INR</t>
        </is>
      </c>
      <c r="N751" t="inlineStr">
        <is>
          <t>Paid</t>
        </is>
      </c>
      <c r="O751" t="inlineStr">
        <is>
          <t>Paid</t>
        </is>
      </c>
      <c r="P751" t="n">
        <v>296.82</v>
      </c>
      <c r="Q751" t="n">
        <v>296.82</v>
      </c>
      <c r="R751" t="b">
        <v>0</v>
      </c>
    </row>
    <row r="752">
      <c r="A752" t="inlineStr">
        <is>
          <t>INV0015391</t>
        </is>
      </c>
      <c r="B752" t="inlineStr">
        <is>
          <t>MER00726</t>
        </is>
      </c>
      <c r="C752" t="inlineStr">
        <is>
          <t>2025-12-01</t>
        </is>
      </c>
      <c r="D752" t="inlineStr">
        <is>
          <t>2025-12-31</t>
        </is>
      </c>
      <c r="E752" s="8" t="n">
        <v>46024</v>
      </c>
      <c r="F752" s="8" t="n">
        <v>46054</v>
      </c>
      <c r="G752" t="n">
        <v>67.8</v>
      </c>
      <c r="H752" t="n">
        <v>0</v>
      </c>
      <c r="I752" t="n">
        <v>67.8</v>
      </c>
      <c r="J752" t="n">
        <v>0.18</v>
      </c>
      <c r="K752" t="n">
        <v>12.2</v>
      </c>
      <c r="L752" t="n">
        <v>80</v>
      </c>
      <c r="M752" t="inlineStr">
        <is>
          <t>INR</t>
        </is>
      </c>
      <c r="N752" t="inlineStr">
        <is>
          <t>Paid</t>
        </is>
      </c>
      <c r="O752" t="inlineStr">
        <is>
          <t>Paid</t>
        </is>
      </c>
      <c r="P752" t="n">
        <v>67.8</v>
      </c>
      <c r="Q752" t="n">
        <v>67.8</v>
      </c>
      <c r="R752" t="b">
        <v>0</v>
      </c>
    </row>
    <row r="753">
      <c r="A753" t="inlineStr">
        <is>
          <t>INV0015392</t>
        </is>
      </c>
      <c r="B753" t="inlineStr">
        <is>
          <t>MER00726</t>
        </is>
      </c>
      <c r="C753" t="inlineStr">
        <is>
          <t>2026-01-01</t>
        </is>
      </c>
      <c r="D753" t="inlineStr">
        <is>
          <t>2026-01-31</t>
        </is>
      </c>
      <c r="E753" s="8" t="n">
        <v>46055</v>
      </c>
      <c r="F753" s="8" t="n">
        <v>46085</v>
      </c>
      <c r="G753" t="n">
        <v>193.57</v>
      </c>
      <c r="H753" t="n">
        <v>0</v>
      </c>
      <c r="I753" t="n">
        <v>193.57</v>
      </c>
      <c r="J753" t="n">
        <v>0.18</v>
      </c>
      <c r="K753" t="n">
        <v>34.84</v>
      </c>
      <c r="L753" t="n">
        <v>228.41</v>
      </c>
      <c r="M753" t="inlineStr">
        <is>
          <t>INR</t>
        </is>
      </c>
      <c r="N753" t="inlineStr">
        <is>
          <t>Overdue</t>
        </is>
      </c>
      <c r="O753" t="inlineStr">
        <is>
          <t>Partially Paid</t>
        </is>
      </c>
      <c r="P753" t="n">
        <v>193.57</v>
      </c>
      <c r="Q753" t="n">
        <v>193.57</v>
      </c>
      <c r="R753" t="b">
        <v>0</v>
      </c>
    </row>
    <row r="754">
      <c r="A754" t="inlineStr">
        <is>
          <t>INV0015393</t>
        </is>
      </c>
      <c r="B754" t="inlineStr">
        <is>
          <t>MER00726</t>
        </is>
      </c>
      <c r="C754" t="inlineStr">
        <is>
          <t>2026-02-01</t>
        </is>
      </c>
      <c r="D754" t="inlineStr">
        <is>
          <t>2026-02-28</t>
        </is>
      </c>
      <c r="E754" s="8" t="n">
        <v>46083</v>
      </c>
      <c r="F754" s="8" t="n">
        <v>46113</v>
      </c>
      <c r="G754" t="n">
        <v>117.06</v>
      </c>
      <c r="H754" t="n">
        <v>0</v>
      </c>
      <c r="I754" t="n">
        <v>117.06</v>
      </c>
      <c r="J754" t="n">
        <v>0.18</v>
      </c>
      <c r="K754" t="n">
        <v>21.07</v>
      </c>
      <c r="L754" t="n">
        <v>138.13</v>
      </c>
      <c r="M754" t="inlineStr">
        <is>
          <t>INR</t>
        </is>
      </c>
      <c r="N754" t="inlineStr">
        <is>
          <t>Overdue</t>
        </is>
      </c>
      <c r="O754" t="inlineStr">
        <is>
          <t>Unpaid</t>
        </is>
      </c>
      <c r="P754" t="n">
        <v>117.06</v>
      </c>
      <c r="Q754" t="n">
        <v>117.06</v>
      </c>
      <c r="R754" t="b">
        <v>0</v>
      </c>
    </row>
    <row r="755">
      <c r="A755" t="inlineStr">
        <is>
          <t>INV0015394</t>
        </is>
      </c>
      <c r="B755" t="inlineStr">
        <is>
          <t>MER00726</t>
        </is>
      </c>
      <c r="C755" t="inlineStr">
        <is>
          <t>2026-03-01</t>
        </is>
      </c>
      <c r="D755" t="inlineStr">
        <is>
          <t>2026-03-31</t>
        </is>
      </c>
      <c r="E755" s="8" t="n">
        <v>46114</v>
      </c>
      <c r="F755" s="8" t="n">
        <v>46144</v>
      </c>
      <c r="G755" t="n">
        <v>38</v>
      </c>
      <c r="H755" t="n">
        <v>0</v>
      </c>
      <c r="I755" t="n">
        <v>38</v>
      </c>
      <c r="J755" t="n">
        <v>0.18</v>
      </c>
      <c r="K755" t="n">
        <v>6.84</v>
      </c>
      <c r="L755" t="n">
        <v>44.84</v>
      </c>
      <c r="M755" t="inlineStr">
        <is>
          <t>INR</t>
        </is>
      </c>
      <c r="N755" t="inlineStr">
        <is>
          <t>Overdue</t>
        </is>
      </c>
      <c r="O755" t="inlineStr">
        <is>
          <t>Unpaid</t>
        </is>
      </c>
      <c r="P755" t="n">
        <v>38</v>
      </c>
      <c r="Q755" t="n">
        <v>38</v>
      </c>
      <c r="R755" t="b">
        <v>0</v>
      </c>
    </row>
    <row r="756">
      <c r="A756" t="inlineStr">
        <is>
          <t>INV0015395</t>
        </is>
      </c>
      <c r="B756" t="inlineStr">
        <is>
          <t>MER00726</t>
        </is>
      </c>
      <c r="C756" t="inlineStr">
        <is>
          <t>2026-04-01</t>
        </is>
      </c>
      <c r="D756" t="inlineStr">
        <is>
          <t>2026-04-30</t>
        </is>
      </c>
      <c r="E756" s="8" t="n">
        <v>46144</v>
      </c>
      <c r="F756" s="8" t="n">
        <v>46174</v>
      </c>
      <c r="G756" t="n">
        <v>75.52</v>
      </c>
      <c r="H756" t="n">
        <v>0</v>
      </c>
      <c r="I756" t="n">
        <v>75.52</v>
      </c>
      <c r="J756" t="n">
        <v>0.18</v>
      </c>
      <c r="K756" t="n">
        <v>13.59</v>
      </c>
      <c r="L756" t="n">
        <v>89.11</v>
      </c>
      <c r="M756" t="inlineStr">
        <is>
          <t>INR</t>
        </is>
      </c>
      <c r="N756" t="inlineStr">
        <is>
          <t>Paid</t>
        </is>
      </c>
      <c r="O756" t="inlineStr">
        <is>
          <t>Paid</t>
        </is>
      </c>
      <c r="P756" t="n">
        <v>75.52</v>
      </c>
      <c r="Q756" t="n">
        <v>75.52</v>
      </c>
      <c r="R756" t="b">
        <v>0</v>
      </c>
    </row>
    <row r="757">
      <c r="A757" t="inlineStr">
        <is>
          <t>INV0015396</t>
        </is>
      </c>
      <c r="B757" t="inlineStr">
        <is>
          <t>MER00726</t>
        </is>
      </c>
      <c r="C757" t="inlineStr">
        <is>
          <t>2026-05-01</t>
        </is>
      </c>
      <c r="D757" t="inlineStr">
        <is>
          <t>2026-05-31</t>
        </is>
      </c>
      <c r="E757" s="8" t="n">
        <v>46175</v>
      </c>
      <c r="F757" s="8" t="n">
        <v>46205</v>
      </c>
      <c r="G757" t="n">
        <v>39.63</v>
      </c>
      <c r="H757" t="n">
        <v>0</v>
      </c>
      <c r="I757" t="n">
        <v>39.63</v>
      </c>
      <c r="J757" t="n">
        <v>0.18</v>
      </c>
      <c r="K757" t="n">
        <v>7.13</v>
      </c>
      <c r="L757" t="n">
        <v>46.76</v>
      </c>
      <c r="M757" t="inlineStr">
        <is>
          <t>INR</t>
        </is>
      </c>
      <c r="N757" t="inlineStr">
        <is>
          <t>Overdue</t>
        </is>
      </c>
      <c r="O757" t="inlineStr">
        <is>
          <t>Unpaid</t>
        </is>
      </c>
      <c r="P757" t="n">
        <v>39.63</v>
      </c>
      <c r="Q757" t="n">
        <v>39.63</v>
      </c>
      <c r="R757" t="b">
        <v>0</v>
      </c>
    </row>
    <row r="758">
      <c r="A758" t="inlineStr">
        <is>
          <t>INV0015397</t>
        </is>
      </c>
      <c r="B758" t="inlineStr">
        <is>
          <t>MER00726</t>
        </is>
      </c>
      <c r="C758" t="inlineStr">
        <is>
          <t>2026-06-01</t>
        </is>
      </c>
      <c r="D758" t="inlineStr">
        <is>
          <t>2026-06-30</t>
        </is>
      </c>
      <c r="E758" s="8" t="n">
        <v>46205</v>
      </c>
      <c r="F758" s="8" t="n">
        <v>46235</v>
      </c>
      <c r="G758" t="n">
        <v>38</v>
      </c>
      <c r="H758" t="n">
        <v>0</v>
      </c>
      <c r="I758" t="n">
        <v>38</v>
      </c>
      <c r="J758" t="n">
        <v>0.18</v>
      </c>
      <c r="K758" t="n">
        <v>6.84</v>
      </c>
      <c r="L758" t="n">
        <v>44.84</v>
      </c>
      <c r="M758" t="inlineStr">
        <is>
          <t>INR</t>
        </is>
      </c>
      <c r="N758" t="inlineStr">
        <is>
          <t>Overdue</t>
        </is>
      </c>
      <c r="O758" t="inlineStr">
        <is>
          <t>Partially Paid</t>
        </is>
      </c>
      <c r="P758" t="n">
        <v>48.05</v>
      </c>
      <c r="Q758" t="n">
        <v>38</v>
      </c>
      <c r="R758" t="b">
        <v>1</v>
      </c>
    </row>
    <row r="759">
      <c r="A759" t="inlineStr">
        <is>
          <t>INV0015398</t>
        </is>
      </c>
      <c r="B759" t="inlineStr">
        <is>
          <t>MER00726</t>
        </is>
      </c>
      <c r="C759" t="inlineStr">
        <is>
          <t>2026-07-01</t>
        </is>
      </c>
      <c r="D759" t="inlineStr">
        <is>
          <t>2026-07-31</t>
        </is>
      </c>
      <c r="E759" s="8" t="n">
        <v>46236</v>
      </c>
      <c r="F759" s="8" t="n">
        <v>46266</v>
      </c>
      <c r="G759" t="n">
        <v>181.48</v>
      </c>
      <c r="H759" t="n">
        <v>0</v>
      </c>
      <c r="I759" t="n">
        <v>181.48</v>
      </c>
      <c r="J759" t="n">
        <v>0.18</v>
      </c>
      <c r="K759" t="n">
        <v>32.67</v>
      </c>
      <c r="L759" t="n">
        <v>214.15</v>
      </c>
      <c r="M759" t="inlineStr">
        <is>
          <t>INR</t>
        </is>
      </c>
      <c r="N759" t="inlineStr">
        <is>
          <t>Paid</t>
        </is>
      </c>
      <c r="O759" t="inlineStr">
        <is>
          <t>Paid</t>
        </is>
      </c>
      <c r="P759" t="n">
        <v>181.48</v>
      </c>
      <c r="Q759" t="n">
        <v>181.48</v>
      </c>
      <c r="R759" t="b">
        <v>0</v>
      </c>
    </row>
    <row r="760">
      <c r="A760" t="inlineStr">
        <is>
          <t>INV0015422</t>
        </is>
      </c>
      <c r="B760" t="inlineStr">
        <is>
          <t>MER00728</t>
        </is>
      </c>
      <c r="C760" t="inlineStr">
        <is>
          <t>2024-08-01</t>
        </is>
      </c>
      <c r="D760" t="inlineStr">
        <is>
          <t>2024-08-31</t>
        </is>
      </c>
      <c r="E760" s="8" t="n">
        <v>45537</v>
      </c>
      <c r="F760" s="8" t="n">
        <v>45582</v>
      </c>
      <c r="G760" t="n">
        <v>776.27</v>
      </c>
      <c r="H760" t="n">
        <v>0</v>
      </c>
      <c r="I760" t="n">
        <v>776.27</v>
      </c>
      <c r="J760" t="n">
        <v>0.18</v>
      </c>
      <c r="K760" t="n">
        <v>139.73</v>
      </c>
      <c r="L760" t="n">
        <v>916</v>
      </c>
      <c r="M760" t="inlineStr">
        <is>
          <t>INR</t>
        </is>
      </c>
      <c r="N760" t="inlineStr">
        <is>
          <t>Overdue</t>
        </is>
      </c>
      <c r="O760" t="inlineStr">
        <is>
          <t>Partially Paid</t>
        </is>
      </c>
      <c r="P760" t="n">
        <v>704.28</v>
      </c>
      <c r="Q760" t="n">
        <v>776.27</v>
      </c>
      <c r="R760" t="b">
        <v>1</v>
      </c>
    </row>
    <row r="761">
      <c r="A761" t="inlineStr">
        <is>
          <t>INV0015423</t>
        </is>
      </c>
      <c r="B761" t="inlineStr">
        <is>
          <t>MER00728</t>
        </is>
      </c>
      <c r="C761" t="inlineStr">
        <is>
          <t>2024-09-01</t>
        </is>
      </c>
      <c r="D761" t="inlineStr">
        <is>
          <t>2024-09-30</t>
        </is>
      </c>
      <c r="E761" s="8" t="n">
        <v>45567</v>
      </c>
      <c r="F761" s="8" t="n">
        <v>45612</v>
      </c>
      <c r="G761" t="n">
        <v>729.84</v>
      </c>
      <c r="H761" t="n">
        <v>0</v>
      </c>
      <c r="I761" t="n">
        <v>729.84</v>
      </c>
      <c r="J761" t="n">
        <v>0.18</v>
      </c>
      <c r="K761" t="n">
        <v>131.37</v>
      </c>
      <c r="L761" t="n">
        <v>861.21</v>
      </c>
      <c r="M761" t="inlineStr">
        <is>
          <t>INR</t>
        </is>
      </c>
      <c r="N761" t="inlineStr">
        <is>
          <t>Paid</t>
        </is>
      </c>
      <c r="O761" t="inlineStr">
        <is>
          <t>Paid</t>
        </is>
      </c>
      <c r="P761" t="n">
        <v>729.84</v>
      </c>
      <c r="Q761" t="n">
        <v>729.84</v>
      </c>
      <c r="R761" t="b">
        <v>0</v>
      </c>
    </row>
    <row r="762">
      <c r="A762" t="inlineStr">
        <is>
          <t>INV0015424</t>
        </is>
      </c>
      <c r="B762" t="inlineStr">
        <is>
          <t>MER00728</t>
        </is>
      </c>
      <c r="C762" t="inlineStr">
        <is>
          <t>2024-10-01</t>
        </is>
      </c>
      <c r="D762" t="inlineStr">
        <is>
          <t>2024-10-31</t>
        </is>
      </c>
      <c r="E762" s="8" t="n">
        <v>45598</v>
      </c>
      <c r="F762" s="8" t="n">
        <v>45643</v>
      </c>
      <c r="G762" t="n">
        <v>857.05</v>
      </c>
      <c r="H762" t="n">
        <v>0</v>
      </c>
      <c r="I762" t="n">
        <v>857.05</v>
      </c>
      <c r="J762" t="n">
        <v>0.18</v>
      </c>
      <c r="K762" t="n">
        <v>154.27</v>
      </c>
      <c r="L762" t="n">
        <v>1011.32</v>
      </c>
      <c r="M762" t="inlineStr">
        <is>
          <t>INR</t>
        </is>
      </c>
      <c r="N762" t="inlineStr">
        <is>
          <t>Paid</t>
        </is>
      </c>
      <c r="O762" t="inlineStr">
        <is>
          <t>Paid</t>
        </is>
      </c>
      <c r="P762" t="n">
        <v>857.05</v>
      </c>
      <c r="Q762" t="n">
        <v>857.05</v>
      </c>
      <c r="R762" t="b">
        <v>0</v>
      </c>
    </row>
    <row r="763">
      <c r="A763" t="inlineStr">
        <is>
          <t>INV0015425</t>
        </is>
      </c>
      <c r="B763" t="inlineStr">
        <is>
          <t>MER00728</t>
        </is>
      </c>
      <c r="C763" t="inlineStr">
        <is>
          <t>2024-11-01</t>
        </is>
      </c>
      <c r="D763" t="inlineStr">
        <is>
          <t>2024-11-30</t>
        </is>
      </c>
      <c r="E763" s="8" t="n">
        <v>45628</v>
      </c>
      <c r="F763" s="8" t="n">
        <v>45673</v>
      </c>
      <c r="G763" t="n">
        <v>1399.32</v>
      </c>
      <c r="H763" t="n">
        <v>0</v>
      </c>
      <c r="I763" t="n">
        <v>1399.32</v>
      </c>
      <c r="J763" t="n">
        <v>0.18</v>
      </c>
      <c r="K763" t="n">
        <v>251.88</v>
      </c>
      <c r="L763" t="n">
        <v>1651.2</v>
      </c>
      <c r="M763" t="inlineStr">
        <is>
          <t>INR</t>
        </is>
      </c>
      <c r="N763" t="inlineStr">
        <is>
          <t>Paid</t>
        </is>
      </c>
      <c r="O763" t="inlineStr">
        <is>
          <t>Paid</t>
        </is>
      </c>
      <c r="P763" t="n">
        <v>1399.32</v>
      </c>
      <c r="Q763" t="n">
        <v>1399.32</v>
      </c>
      <c r="R763" t="b">
        <v>0</v>
      </c>
    </row>
    <row r="764">
      <c r="A764" t="inlineStr">
        <is>
          <t>INV0015426</t>
        </is>
      </c>
      <c r="B764" t="inlineStr">
        <is>
          <t>MER00728</t>
        </is>
      </c>
      <c r="C764" t="inlineStr">
        <is>
          <t>2024-12-01</t>
        </is>
      </c>
      <c r="D764" t="inlineStr">
        <is>
          <t>2024-12-31</t>
        </is>
      </c>
      <c r="E764" s="8" t="n">
        <v>45659</v>
      </c>
      <c r="F764" s="8" t="n">
        <v>45704</v>
      </c>
      <c r="G764" t="n">
        <v>571.4</v>
      </c>
      <c r="H764" t="n">
        <v>0</v>
      </c>
      <c r="I764" t="n">
        <v>571.4</v>
      </c>
      <c r="J764" t="n">
        <v>0.18</v>
      </c>
      <c r="K764" t="n">
        <v>102.85</v>
      </c>
      <c r="L764" t="n">
        <v>674.25</v>
      </c>
      <c r="M764" t="inlineStr">
        <is>
          <t>INR</t>
        </is>
      </c>
      <c r="N764" t="inlineStr">
        <is>
          <t>Paid</t>
        </is>
      </c>
      <c r="O764" t="inlineStr">
        <is>
          <t>Paid</t>
        </is>
      </c>
      <c r="P764" t="n">
        <v>571.4</v>
      </c>
      <c r="Q764" t="n">
        <v>571.4</v>
      </c>
      <c r="R764" t="b">
        <v>0</v>
      </c>
    </row>
    <row r="765">
      <c r="A765" t="inlineStr">
        <is>
          <t>INV0015427</t>
        </is>
      </c>
      <c r="B765" t="inlineStr">
        <is>
          <t>MER00728</t>
        </is>
      </c>
      <c r="C765" t="inlineStr">
        <is>
          <t>2025-01-01</t>
        </is>
      </c>
      <c r="D765" t="inlineStr">
        <is>
          <t>2025-01-31</t>
        </is>
      </c>
      <c r="E765" s="8" t="n">
        <v>45690</v>
      </c>
      <c r="F765" s="8" t="n">
        <v>45735</v>
      </c>
      <c r="G765" t="n">
        <v>1020.02</v>
      </c>
      <c r="H765" t="n">
        <v>0</v>
      </c>
      <c r="I765" t="n">
        <v>1020.02</v>
      </c>
      <c r="J765" t="n">
        <v>0.18</v>
      </c>
      <c r="K765" t="n">
        <v>183.6</v>
      </c>
      <c r="L765" t="n">
        <v>1203.62</v>
      </c>
      <c r="M765" t="inlineStr">
        <is>
          <t>INR</t>
        </is>
      </c>
      <c r="N765" t="inlineStr">
        <is>
          <t>Overdue</t>
        </is>
      </c>
      <c r="O765" t="inlineStr">
        <is>
          <t>Unpaid</t>
        </is>
      </c>
      <c r="P765" t="n">
        <v>1020.02</v>
      </c>
      <c r="Q765" t="n">
        <v>1020.02</v>
      </c>
      <c r="R765" t="b">
        <v>0</v>
      </c>
    </row>
    <row r="766">
      <c r="A766" t="inlineStr">
        <is>
          <t>INV0015428</t>
        </is>
      </c>
      <c r="B766" t="inlineStr">
        <is>
          <t>MER00728</t>
        </is>
      </c>
      <c r="C766" t="inlineStr">
        <is>
          <t>2025-02-01</t>
        </is>
      </c>
      <c r="D766" t="inlineStr">
        <is>
          <t>2025-02-28</t>
        </is>
      </c>
      <c r="E766" s="8" t="n">
        <v>45718</v>
      </c>
      <c r="F766" s="8" t="n">
        <v>45763</v>
      </c>
      <c r="G766" t="n">
        <v>946.55</v>
      </c>
      <c r="H766" t="n">
        <v>0</v>
      </c>
      <c r="I766" t="n">
        <v>946.55</v>
      </c>
      <c r="J766" t="n">
        <v>0.18</v>
      </c>
      <c r="K766" t="n">
        <v>170.38</v>
      </c>
      <c r="L766" t="n">
        <v>1116.93</v>
      </c>
      <c r="M766" t="inlineStr">
        <is>
          <t>INR</t>
        </is>
      </c>
      <c r="N766" t="inlineStr">
        <is>
          <t>Paid</t>
        </is>
      </c>
      <c r="O766" t="inlineStr">
        <is>
          <t>Paid</t>
        </is>
      </c>
      <c r="P766" t="n">
        <v>946.55</v>
      </c>
      <c r="Q766" t="n">
        <v>946.55</v>
      </c>
      <c r="R766" t="b">
        <v>0</v>
      </c>
    </row>
    <row r="767">
      <c r="A767" t="inlineStr">
        <is>
          <t>INV0015429</t>
        </is>
      </c>
      <c r="B767" t="inlineStr">
        <is>
          <t>MER00728</t>
        </is>
      </c>
      <c r="C767" t="inlineStr">
        <is>
          <t>2025-03-01</t>
        </is>
      </c>
      <c r="D767" t="inlineStr">
        <is>
          <t>2025-03-31</t>
        </is>
      </c>
      <c r="E767" s="8" t="n">
        <v>45749</v>
      </c>
      <c r="F767" s="8" t="n">
        <v>45794</v>
      </c>
      <c r="G767" t="n">
        <v>972.11</v>
      </c>
      <c r="H767" t="n">
        <v>97.20999999999999</v>
      </c>
      <c r="I767" t="n">
        <v>874.9</v>
      </c>
      <c r="J767" t="n">
        <v>0.18</v>
      </c>
      <c r="K767" t="n">
        <v>157.48</v>
      </c>
      <c r="L767" t="n">
        <v>1032.38</v>
      </c>
      <c r="M767" t="inlineStr">
        <is>
          <t>INR</t>
        </is>
      </c>
      <c r="N767" t="inlineStr">
        <is>
          <t>Overdue</t>
        </is>
      </c>
      <c r="O767" t="inlineStr">
        <is>
          <t>Unpaid</t>
        </is>
      </c>
      <c r="P767" t="n">
        <v>972.11</v>
      </c>
      <c r="Q767" t="n">
        <v>972.11</v>
      </c>
      <c r="R767" t="b">
        <v>0</v>
      </c>
    </row>
    <row r="768">
      <c r="A768" t="inlineStr">
        <is>
          <t>INV0015430</t>
        </is>
      </c>
      <c r="B768" t="inlineStr">
        <is>
          <t>MER00728</t>
        </is>
      </c>
      <c r="C768" t="inlineStr">
        <is>
          <t>2025-04-01</t>
        </is>
      </c>
      <c r="D768" t="inlineStr">
        <is>
          <t>2025-04-30</t>
        </is>
      </c>
      <c r="E768" s="8" t="n">
        <v>45779</v>
      </c>
      <c r="F768" s="8" t="n">
        <v>45824</v>
      </c>
      <c r="G768" t="n">
        <v>1035.8</v>
      </c>
      <c r="H768" t="n">
        <v>0</v>
      </c>
      <c r="I768" t="n">
        <v>1035.8</v>
      </c>
      <c r="J768" t="n">
        <v>0.18</v>
      </c>
      <c r="K768" t="n">
        <v>186.44</v>
      </c>
      <c r="L768" t="n">
        <v>1222.24</v>
      </c>
      <c r="M768" t="inlineStr">
        <is>
          <t>INR</t>
        </is>
      </c>
      <c r="N768" t="inlineStr">
        <is>
          <t>Paid</t>
        </is>
      </c>
      <c r="O768" t="inlineStr">
        <is>
          <t>Paid</t>
        </is>
      </c>
      <c r="P768" t="n">
        <v>1035.8</v>
      </c>
      <c r="Q768" t="n">
        <v>1035.8</v>
      </c>
      <c r="R768" t="b">
        <v>0</v>
      </c>
    </row>
    <row r="769">
      <c r="A769" t="inlineStr">
        <is>
          <t>INV0015431</t>
        </is>
      </c>
      <c r="B769" t="inlineStr">
        <is>
          <t>MER00728</t>
        </is>
      </c>
      <c r="C769" t="inlineStr">
        <is>
          <t>2025-05-01</t>
        </is>
      </c>
      <c r="D769" t="inlineStr">
        <is>
          <t>2025-05-31</t>
        </is>
      </c>
      <c r="E769" s="8" t="n">
        <v>45810</v>
      </c>
      <c r="F769" s="8" t="n">
        <v>45855</v>
      </c>
      <c r="G769" t="n">
        <v>1439.24</v>
      </c>
      <c r="H769" t="n">
        <v>0</v>
      </c>
      <c r="I769" t="n">
        <v>1439.24</v>
      </c>
      <c r="J769" t="n">
        <v>0.18</v>
      </c>
      <c r="K769" t="n">
        <v>259.06</v>
      </c>
      <c r="L769" t="n">
        <v>1698.3</v>
      </c>
      <c r="M769" t="inlineStr">
        <is>
          <t>INR</t>
        </is>
      </c>
      <c r="N769" t="inlineStr">
        <is>
          <t>Overdue</t>
        </is>
      </c>
      <c r="O769" t="inlineStr">
        <is>
          <t>Unpaid</t>
        </is>
      </c>
      <c r="P769" t="n">
        <v>1084.08</v>
      </c>
      <c r="Q769" t="n">
        <v>1439.24</v>
      </c>
      <c r="R769" t="b">
        <v>1</v>
      </c>
    </row>
    <row r="770">
      <c r="A770" t="inlineStr">
        <is>
          <t>INV0015432</t>
        </is>
      </c>
      <c r="B770" t="inlineStr">
        <is>
          <t>MER00728</t>
        </is>
      </c>
      <c r="C770" t="inlineStr">
        <is>
          <t>2025-06-01</t>
        </is>
      </c>
      <c r="D770" t="inlineStr">
        <is>
          <t>2025-06-30</t>
        </is>
      </c>
      <c r="E770" s="8" t="n">
        <v>45840</v>
      </c>
      <c r="F770" s="8" t="n">
        <v>45885</v>
      </c>
      <c r="G770" t="n">
        <v>433.18</v>
      </c>
      <c r="H770" t="n">
        <v>0</v>
      </c>
      <c r="I770" t="n">
        <v>433.18</v>
      </c>
      <c r="J770" t="n">
        <v>0.18</v>
      </c>
      <c r="K770" t="n">
        <v>77.97</v>
      </c>
      <c r="L770" t="n">
        <v>511.15</v>
      </c>
      <c r="M770" t="inlineStr">
        <is>
          <t>INR</t>
        </is>
      </c>
      <c r="N770" t="inlineStr">
        <is>
          <t>Overdue</t>
        </is>
      </c>
      <c r="O770" t="inlineStr">
        <is>
          <t>Unpaid</t>
        </is>
      </c>
      <c r="P770" t="n">
        <v>433.18</v>
      </c>
      <c r="Q770" t="n">
        <v>433.18</v>
      </c>
      <c r="R770" t="b">
        <v>0</v>
      </c>
    </row>
    <row r="771">
      <c r="A771" t="inlineStr">
        <is>
          <t>INV0015433</t>
        </is>
      </c>
      <c r="B771" t="inlineStr">
        <is>
          <t>MER00728</t>
        </is>
      </c>
      <c r="C771" t="inlineStr">
        <is>
          <t>2025-07-01</t>
        </is>
      </c>
      <c r="D771" t="inlineStr">
        <is>
          <t>2025-07-31</t>
        </is>
      </c>
      <c r="E771" s="8" t="n">
        <v>45871</v>
      </c>
      <c r="F771" s="8" t="n">
        <v>45916</v>
      </c>
      <c r="G771" t="n">
        <v>1220.5</v>
      </c>
      <c r="H771" t="n">
        <v>162.33</v>
      </c>
      <c r="I771" t="n">
        <v>1058.17</v>
      </c>
      <c r="J771" t="n">
        <v>0.18</v>
      </c>
      <c r="K771" t="n">
        <v>190.47</v>
      </c>
      <c r="L771" t="n">
        <v>1248.64</v>
      </c>
      <c r="M771" t="inlineStr">
        <is>
          <t>INR</t>
        </is>
      </c>
      <c r="N771" t="inlineStr">
        <is>
          <t>Paid</t>
        </is>
      </c>
      <c r="O771" t="inlineStr">
        <is>
          <t>Paid</t>
        </is>
      </c>
      <c r="P771" t="n">
        <v>1220.5</v>
      </c>
      <c r="Q771" t="n">
        <v>1220.5</v>
      </c>
      <c r="R771" t="b">
        <v>0</v>
      </c>
    </row>
    <row r="772">
      <c r="A772" t="inlineStr">
        <is>
          <t>INV0015434</t>
        </is>
      </c>
      <c r="B772" t="inlineStr">
        <is>
          <t>MER00728</t>
        </is>
      </c>
      <c r="C772" t="inlineStr">
        <is>
          <t>2025-08-01</t>
        </is>
      </c>
      <c r="D772" t="inlineStr">
        <is>
          <t>2025-08-31</t>
        </is>
      </c>
      <c r="E772" s="8" t="n">
        <v>45902</v>
      </c>
      <c r="F772" s="8" t="n">
        <v>45947</v>
      </c>
      <c r="G772" t="n">
        <v>758.45</v>
      </c>
      <c r="H772" t="n">
        <v>0</v>
      </c>
      <c r="I772" t="n">
        <v>758.45</v>
      </c>
      <c r="J772" t="n">
        <v>0.18</v>
      </c>
      <c r="K772" t="n">
        <v>136.52</v>
      </c>
      <c r="L772" t="n">
        <v>894.97</v>
      </c>
      <c r="M772" t="inlineStr">
        <is>
          <t>INR</t>
        </is>
      </c>
      <c r="N772" t="inlineStr">
        <is>
          <t>Overdue</t>
        </is>
      </c>
      <c r="O772" t="inlineStr">
        <is>
          <t>Partially Paid</t>
        </is>
      </c>
      <c r="P772" t="n">
        <v>758.45</v>
      </c>
      <c r="Q772" t="n">
        <v>758.45</v>
      </c>
      <c r="R772" t="b">
        <v>0</v>
      </c>
    </row>
    <row r="773">
      <c r="A773" t="inlineStr">
        <is>
          <t>INV0015435</t>
        </is>
      </c>
      <c r="B773" t="inlineStr">
        <is>
          <t>MER00728</t>
        </is>
      </c>
      <c r="C773" t="inlineStr">
        <is>
          <t>2025-09-01</t>
        </is>
      </c>
      <c r="D773" t="inlineStr">
        <is>
          <t>2025-09-30</t>
        </is>
      </c>
      <c r="E773" s="8" t="n">
        <v>45932</v>
      </c>
      <c r="F773" s="8" t="n">
        <v>45977</v>
      </c>
      <c r="G773" t="n">
        <v>1158.57</v>
      </c>
      <c r="H773" t="n">
        <v>0</v>
      </c>
      <c r="I773" t="n">
        <v>1158.57</v>
      </c>
      <c r="J773" t="n">
        <v>0.18</v>
      </c>
      <c r="K773" t="n">
        <v>208.54</v>
      </c>
      <c r="L773" t="n">
        <v>1367.11</v>
      </c>
      <c r="M773" t="inlineStr">
        <is>
          <t>INR</t>
        </is>
      </c>
      <c r="N773" t="inlineStr">
        <is>
          <t>Paid</t>
        </is>
      </c>
      <c r="O773" t="inlineStr">
        <is>
          <t>Paid</t>
        </is>
      </c>
      <c r="P773" t="n">
        <v>1158.57</v>
      </c>
      <c r="Q773" t="n">
        <v>1158.57</v>
      </c>
      <c r="R773" t="b">
        <v>0</v>
      </c>
    </row>
    <row r="774">
      <c r="A774" t="inlineStr">
        <is>
          <t>INV0015436</t>
        </is>
      </c>
      <c r="B774" t="inlineStr">
        <is>
          <t>MER00728</t>
        </is>
      </c>
      <c r="C774" t="inlineStr">
        <is>
          <t>2025-10-01</t>
        </is>
      </c>
      <c r="D774" t="inlineStr">
        <is>
          <t>2025-10-31</t>
        </is>
      </c>
      <c r="E774" s="8" t="n">
        <v>45963</v>
      </c>
      <c r="F774" s="8" t="n">
        <v>46008</v>
      </c>
      <c r="G774" t="n">
        <v>1434.92</v>
      </c>
      <c r="H774" t="n">
        <v>0</v>
      </c>
      <c r="I774" t="n">
        <v>1434.92</v>
      </c>
      <c r="J774" t="n">
        <v>0.18</v>
      </c>
      <c r="K774" t="n">
        <v>258.29</v>
      </c>
      <c r="L774" t="n">
        <v>1693.21</v>
      </c>
      <c r="M774" t="inlineStr">
        <is>
          <t>INR</t>
        </is>
      </c>
      <c r="N774" t="inlineStr">
        <is>
          <t>Paid</t>
        </is>
      </c>
      <c r="O774" t="inlineStr">
        <is>
          <t>Paid</t>
        </is>
      </c>
      <c r="P774" t="n">
        <v>1434.92</v>
      </c>
      <c r="Q774" t="n">
        <v>1434.92</v>
      </c>
      <c r="R774" t="b">
        <v>0</v>
      </c>
    </row>
    <row r="775">
      <c r="A775" t="inlineStr">
        <is>
          <t>INV0015437</t>
        </is>
      </c>
      <c r="B775" t="inlineStr">
        <is>
          <t>MER00728</t>
        </is>
      </c>
      <c r="C775" t="inlineStr">
        <is>
          <t>2025-11-01</t>
        </is>
      </c>
      <c r="D775" t="inlineStr">
        <is>
          <t>2025-11-30</t>
        </is>
      </c>
      <c r="E775" s="8" t="n">
        <v>45993</v>
      </c>
      <c r="F775" s="8" t="n">
        <v>46038</v>
      </c>
      <c r="G775" t="n">
        <v>1669.77</v>
      </c>
      <c r="H775" t="n">
        <v>243.79</v>
      </c>
      <c r="I775" t="n">
        <v>1425.98</v>
      </c>
      <c r="J775" t="n">
        <v>0.18</v>
      </c>
      <c r="K775" t="n">
        <v>256.68</v>
      </c>
      <c r="L775" t="n">
        <v>1682.66</v>
      </c>
      <c r="M775" t="inlineStr">
        <is>
          <t>INR</t>
        </is>
      </c>
      <c r="N775" t="inlineStr">
        <is>
          <t>Paid</t>
        </is>
      </c>
      <c r="O775" t="inlineStr">
        <is>
          <t>Paid</t>
        </is>
      </c>
      <c r="P775" t="n">
        <v>1669.77</v>
      </c>
      <c r="Q775" t="n">
        <v>1669.77</v>
      </c>
      <c r="R775" t="b">
        <v>0</v>
      </c>
    </row>
    <row r="776">
      <c r="A776" t="inlineStr">
        <is>
          <t>INV0015438</t>
        </is>
      </c>
      <c r="B776" t="inlineStr">
        <is>
          <t>MER00728</t>
        </is>
      </c>
      <c r="C776" t="inlineStr">
        <is>
          <t>2025-12-01</t>
        </is>
      </c>
      <c r="D776" t="inlineStr">
        <is>
          <t>2025-12-31</t>
        </is>
      </c>
      <c r="E776" s="8" t="n">
        <v>46024</v>
      </c>
      <c r="F776" s="8" t="n">
        <v>46069</v>
      </c>
      <c r="G776" t="n">
        <v>774.9</v>
      </c>
      <c r="H776" t="n">
        <v>0</v>
      </c>
      <c r="I776" t="n">
        <v>774.9</v>
      </c>
      <c r="J776" t="n">
        <v>0.18</v>
      </c>
      <c r="K776" t="n">
        <v>139.48</v>
      </c>
      <c r="L776" t="n">
        <v>914.38</v>
      </c>
      <c r="M776" t="inlineStr">
        <is>
          <t>INR</t>
        </is>
      </c>
      <c r="N776" t="inlineStr">
        <is>
          <t>Paid</t>
        </is>
      </c>
      <c r="O776" t="inlineStr">
        <is>
          <t>Paid</t>
        </is>
      </c>
      <c r="P776" t="n">
        <v>774.9</v>
      </c>
      <c r="Q776" t="n">
        <v>774.9</v>
      </c>
      <c r="R776" t="b">
        <v>0</v>
      </c>
    </row>
    <row r="777">
      <c r="A777" t="inlineStr">
        <is>
          <t>INV0015439</t>
        </is>
      </c>
      <c r="B777" t="inlineStr">
        <is>
          <t>MER00728</t>
        </is>
      </c>
      <c r="C777" t="inlineStr">
        <is>
          <t>2026-01-01</t>
        </is>
      </c>
      <c r="D777" t="inlineStr">
        <is>
          <t>2026-01-31</t>
        </is>
      </c>
      <c r="E777" s="8" t="n">
        <v>46055</v>
      </c>
      <c r="F777" s="8" t="n">
        <v>46100</v>
      </c>
      <c r="G777" t="n">
        <v>1216.56</v>
      </c>
      <c r="H777" t="n">
        <v>0</v>
      </c>
      <c r="I777" t="n">
        <v>1216.56</v>
      </c>
      <c r="J777" t="n">
        <v>0.18</v>
      </c>
      <c r="K777" t="n">
        <v>218.98</v>
      </c>
      <c r="L777" t="n">
        <v>1435.54</v>
      </c>
      <c r="M777" t="inlineStr">
        <is>
          <t>INR</t>
        </is>
      </c>
      <c r="N777" t="inlineStr">
        <is>
          <t>Paid</t>
        </is>
      </c>
      <c r="O777" t="inlineStr">
        <is>
          <t>Paid</t>
        </is>
      </c>
      <c r="P777" t="n">
        <v>1216.56</v>
      </c>
      <c r="Q777" t="n">
        <v>1216.56</v>
      </c>
      <c r="R777" t="b">
        <v>0</v>
      </c>
    </row>
    <row r="778">
      <c r="A778" t="inlineStr">
        <is>
          <t>INV0015440</t>
        </is>
      </c>
      <c r="B778" t="inlineStr">
        <is>
          <t>MER00728</t>
        </is>
      </c>
      <c r="C778" t="inlineStr">
        <is>
          <t>2026-02-01</t>
        </is>
      </c>
      <c r="D778" t="inlineStr">
        <is>
          <t>2026-02-28</t>
        </is>
      </c>
      <c r="E778" s="8" t="n">
        <v>46083</v>
      </c>
      <c r="F778" s="8" t="n">
        <v>46128</v>
      </c>
      <c r="G778" t="n">
        <v>969.28</v>
      </c>
      <c r="H778" t="n">
        <v>0</v>
      </c>
      <c r="I778" t="n">
        <v>969.28</v>
      </c>
      <c r="J778" t="n">
        <v>0.18</v>
      </c>
      <c r="K778" t="n">
        <v>174.47</v>
      </c>
      <c r="L778" t="n">
        <v>1143.75</v>
      </c>
      <c r="M778" t="inlineStr">
        <is>
          <t>INR</t>
        </is>
      </c>
      <c r="N778" t="inlineStr">
        <is>
          <t>Paid</t>
        </is>
      </c>
      <c r="O778" t="inlineStr">
        <is>
          <t>Paid</t>
        </is>
      </c>
      <c r="P778" t="n">
        <v>969.28</v>
      </c>
      <c r="Q778" t="n">
        <v>969.28</v>
      </c>
      <c r="R778" t="b">
        <v>0</v>
      </c>
    </row>
    <row r="779">
      <c r="A779" t="inlineStr">
        <is>
          <t>INV0015441</t>
        </is>
      </c>
      <c r="B779" t="inlineStr">
        <is>
          <t>MER00728</t>
        </is>
      </c>
      <c r="C779" t="inlineStr">
        <is>
          <t>2026-03-01</t>
        </is>
      </c>
      <c r="D779" t="inlineStr">
        <is>
          <t>2026-03-31</t>
        </is>
      </c>
      <c r="E779" s="8" t="n">
        <v>46114</v>
      </c>
      <c r="F779" s="8" t="n">
        <v>46159</v>
      </c>
      <c r="G779" t="n">
        <v>1086.67</v>
      </c>
      <c r="H779" t="n">
        <v>0</v>
      </c>
      <c r="I779" t="n">
        <v>1086.67</v>
      </c>
      <c r="J779" t="n">
        <v>0.18</v>
      </c>
      <c r="K779" t="n">
        <v>195.6</v>
      </c>
      <c r="L779" t="n">
        <v>1282.27</v>
      </c>
      <c r="M779" t="inlineStr">
        <is>
          <t>INR</t>
        </is>
      </c>
      <c r="N779" t="inlineStr">
        <is>
          <t>Overdue</t>
        </is>
      </c>
      <c r="O779" t="inlineStr">
        <is>
          <t>Unpaid</t>
        </is>
      </c>
      <c r="P779" t="n">
        <v>1086.67</v>
      </c>
      <c r="Q779" t="n">
        <v>1086.67</v>
      </c>
      <c r="R779" t="b">
        <v>0</v>
      </c>
    </row>
    <row r="780">
      <c r="A780" t="inlineStr">
        <is>
          <t>INV0015442</t>
        </is>
      </c>
      <c r="B780" t="inlineStr">
        <is>
          <t>MER00728</t>
        </is>
      </c>
      <c r="C780" t="inlineStr">
        <is>
          <t>2026-04-01</t>
        </is>
      </c>
      <c r="D780" t="inlineStr">
        <is>
          <t>2026-04-30</t>
        </is>
      </c>
      <c r="E780" s="8" t="n">
        <v>46144</v>
      </c>
      <c r="F780" s="8" t="n">
        <v>46189</v>
      </c>
      <c r="G780" t="n">
        <v>1326.15</v>
      </c>
      <c r="H780" t="n">
        <v>0</v>
      </c>
      <c r="I780" t="n">
        <v>1326.15</v>
      </c>
      <c r="J780" t="n">
        <v>0.18</v>
      </c>
      <c r="K780" t="n">
        <v>238.71</v>
      </c>
      <c r="L780" t="n">
        <v>1564.86</v>
      </c>
      <c r="M780" t="inlineStr">
        <is>
          <t>INR</t>
        </is>
      </c>
      <c r="N780" t="inlineStr">
        <is>
          <t>Paid</t>
        </is>
      </c>
      <c r="O780" t="inlineStr">
        <is>
          <t>Paid</t>
        </is>
      </c>
      <c r="P780" t="n">
        <v>1326.15</v>
      </c>
      <c r="Q780" t="n">
        <v>1326.15</v>
      </c>
      <c r="R780" t="b">
        <v>0</v>
      </c>
    </row>
    <row r="781">
      <c r="A781" t="inlineStr">
        <is>
          <t>INV0015443</t>
        </is>
      </c>
      <c r="B781" t="inlineStr">
        <is>
          <t>MER00728</t>
        </is>
      </c>
      <c r="C781" t="inlineStr">
        <is>
          <t>2026-05-01</t>
        </is>
      </c>
      <c r="D781" t="inlineStr">
        <is>
          <t>2026-05-31</t>
        </is>
      </c>
      <c r="E781" s="8" t="n">
        <v>46175</v>
      </c>
      <c r="F781" s="8" t="n">
        <v>46220</v>
      </c>
      <c r="G781" t="n">
        <v>1421.92</v>
      </c>
      <c r="H781" t="n">
        <v>0</v>
      </c>
      <c r="I781" t="n">
        <v>1421.92</v>
      </c>
      <c r="J781" t="n">
        <v>0.18</v>
      </c>
      <c r="K781" t="n">
        <v>255.95</v>
      </c>
      <c r="L781" t="n">
        <v>1677.87</v>
      </c>
      <c r="M781" t="inlineStr">
        <is>
          <t>INR</t>
        </is>
      </c>
      <c r="N781" t="inlineStr">
        <is>
          <t>Overdue</t>
        </is>
      </c>
      <c r="O781" t="inlineStr">
        <is>
          <t>Unpaid</t>
        </is>
      </c>
      <c r="P781" t="n">
        <v>1421.92</v>
      </c>
      <c r="Q781" t="n">
        <v>1421.92</v>
      </c>
      <c r="R781" t="b">
        <v>0</v>
      </c>
    </row>
    <row r="782">
      <c r="A782" t="inlineStr">
        <is>
          <t>INV0015444</t>
        </is>
      </c>
      <c r="B782" t="inlineStr">
        <is>
          <t>MER00728</t>
        </is>
      </c>
      <c r="C782" t="inlineStr">
        <is>
          <t>2026-06-01</t>
        </is>
      </c>
      <c r="D782" t="inlineStr">
        <is>
          <t>2026-06-30</t>
        </is>
      </c>
      <c r="E782" s="8" t="n">
        <v>46205</v>
      </c>
      <c r="F782" s="8" t="n">
        <v>46250</v>
      </c>
      <c r="G782" t="n">
        <v>1224.65</v>
      </c>
      <c r="H782" t="n">
        <v>0</v>
      </c>
      <c r="I782" t="n">
        <v>1224.65</v>
      </c>
      <c r="J782" t="n">
        <v>0.18</v>
      </c>
      <c r="K782" t="n">
        <v>220.44</v>
      </c>
      <c r="L782" t="n">
        <v>1445.09</v>
      </c>
      <c r="M782" t="inlineStr">
        <is>
          <t>INR</t>
        </is>
      </c>
      <c r="N782" t="inlineStr">
        <is>
          <t>Paid</t>
        </is>
      </c>
      <c r="O782" t="inlineStr">
        <is>
          <t>Paid</t>
        </is>
      </c>
      <c r="P782" t="n">
        <v>1224.65</v>
      </c>
      <c r="Q782" t="n">
        <v>1224.65</v>
      </c>
      <c r="R782" t="b">
        <v>0</v>
      </c>
    </row>
    <row r="783">
      <c r="A783" t="inlineStr">
        <is>
          <t>INV0015445</t>
        </is>
      </c>
      <c r="B783" t="inlineStr">
        <is>
          <t>MER00728</t>
        </is>
      </c>
      <c r="C783" t="inlineStr">
        <is>
          <t>2026-07-01</t>
        </is>
      </c>
      <c r="D783" t="inlineStr">
        <is>
          <t>2026-07-31</t>
        </is>
      </c>
      <c r="E783" s="8" t="n">
        <v>46236</v>
      </c>
      <c r="F783" s="8" t="n">
        <v>46281</v>
      </c>
      <c r="G783" t="n">
        <v>813.73</v>
      </c>
      <c r="H783" t="n">
        <v>0</v>
      </c>
      <c r="I783" t="n">
        <v>813.73</v>
      </c>
      <c r="J783" t="n">
        <v>0.18</v>
      </c>
      <c r="K783" t="n">
        <v>146.47</v>
      </c>
      <c r="L783" t="n">
        <v>960.2</v>
      </c>
      <c r="M783" t="inlineStr">
        <is>
          <t>INR</t>
        </is>
      </c>
      <c r="N783" t="inlineStr">
        <is>
          <t>Paid</t>
        </is>
      </c>
      <c r="O783" t="inlineStr">
        <is>
          <t>Paid</t>
        </is>
      </c>
      <c r="P783" t="n">
        <v>813.73</v>
      </c>
      <c r="Q783" t="n">
        <v>813.73</v>
      </c>
      <c r="R783" t="b">
        <v>0</v>
      </c>
    </row>
    <row r="784">
      <c r="A784" t="inlineStr">
        <is>
          <t>INV0016142</t>
        </is>
      </c>
      <c r="B784" t="inlineStr">
        <is>
          <t>MER00764</t>
        </is>
      </c>
      <c r="C784" t="inlineStr">
        <is>
          <t>2024-08-01</t>
        </is>
      </c>
      <c r="D784" t="inlineStr">
        <is>
          <t>2024-08-31</t>
        </is>
      </c>
      <c r="E784" s="8" t="n">
        <v>45537</v>
      </c>
      <c r="F784" s="8" t="n">
        <v>45567</v>
      </c>
      <c r="G784" t="n">
        <v>390.29</v>
      </c>
      <c r="H784" t="n">
        <v>0</v>
      </c>
      <c r="I784" t="n">
        <v>390.29</v>
      </c>
      <c r="J784" t="n">
        <v>0.18</v>
      </c>
      <c r="K784" t="n">
        <v>70.25</v>
      </c>
      <c r="L784" t="n">
        <v>460.54</v>
      </c>
      <c r="M784" t="inlineStr">
        <is>
          <t>INR</t>
        </is>
      </c>
      <c r="N784" t="inlineStr">
        <is>
          <t>Paid</t>
        </is>
      </c>
      <c r="O784" t="inlineStr">
        <is>
          <t>Paid</t>
        </is>
      </c>
      <c r="P784" t="n">
        <v>390.29</v>
      </c>
      <c r="Q784" t="n">
        <v>390.29</v>
      </c>
      <c r="R784" t="b">
        <v>0</v>
      </c>
    </row>
    <row r="785">
      <c r="A785" t="inlineStr">
        <is>
          <t>INV0016143</t>
        </is>
      </c>
      <c r="B785" t="inlineStr">
        <is>
          <t>MER00764</t>
        </is>
      </c>
      <c r="C785" t="inlineStr">
        <is>
          <t>2024-09-01</t>
        </is>
      </c>
      <c r="D785" t="inlineStr">
        <is>
          <t>2024-09-30</t>
        </is>
      </c>
      <c r="E785" s="8" t="n">
        <v>45567</v>
      </c>
      <c r="F785" s="8" t="n">
        <v>45597</v>
      </c>
      <c r="G785" t="n">
        <v>380.96</v>
      </c>
      <c r="H785" t="n">
        <v>0</v>
      </c>
      <c r="I785" t="n">
        <v>380.96</v>
      </c>
      <c r="J785" t="n">
        <v>0.18</v>
      </c>
      <c r="K785" t="n">
        <v>68.56999999999999</v>
      </c>
      <c r="L785" t="n">
        <v>449.53</v>
      </c>
      <c r="M785" t="inlineStr">
        <is>
          <t>INR</t>
        </is>
      </c>
      <c r="N785" t="inlineStr">
        <is>
          <t>Paid</t>
        </is>
      </c>
      <c r="O785" t="inlineStr">
        <is>
          <t>Paid</t>
        </is>
      </c>
      <c r="P785" t="n">
        <v>380.96</v>
      </c>
      <c r="Q785" t="n">
        <v>380.96</v>
      </c>
      <c r="R785" t="b">
        <v>0</v>
      </c>
    </row>
    <row r="786">
      <c r="A786" t="inlineStr">
        <is>
          <t>INV0016144</t>
        </is>
      </c>
      <c r="B786" t="inlineStr">
        <is>
          <t>MER00764</t>
        </is>
      </c>
      <c r="C786" t="inlineStr">
        <is>
          <t>2024-10-01</t>
        </is>
      </c>
      <c r="D786" t="inlineStr">
        <is>
          <t>2024-10-31</t>
        </is>
      </c>
      <c r="E786" s="8" t="n">
        <v>45598</v>
      </c>
      <c r="F786" s="8" t="n">
        <v>45628</v>
      </c>
      <c r="G786" t="n">
        <v>616.87</v>
      </c>
      <c r="H786" t="n">
        <v>0</v>
      </c>
      <c r="I786" t="n">
        <v>616.87</v>
      </c>
      <c r="J786" t="n">
        <v>0.18</v>
      </c>
      <c r="K786" t="n">
        <v>111.04</v>
      </c>
      <c r="L786" t="n">
        <v>727.91</v>
      </c>
      <c r="M786" t="inlineStr">
        <is>
          <t>INR</t>
        </is>
      </c>
      <c r="N786" t="inlineStr">
        <is>
          <t>Paid</t>
        </is>
      </c>
      <c r="O786" t="inlineStr">
        <is>
          <t>Paid</t>
        </is>
      </c>
      <c r="P786" t="n">
        <v>616.87</v>
      </c>
      <c r="Q786" t="n">
        <v>616.87</v>
      </c>
      <c r="R786" t="b">
        <v>0</v>
      </c>
    </row>
    <row r="787">
      <c r="A787" t="inlineStr">
        <is>
          <t>INV0016145</t>
        </is>
      </c>
      <c r="B787" t="inlineStr">
        <is>
          <t>MER00764</t>
        </is>
      </c>
      <c r="C787" t="inlineStr">
        <is>
          <t>2024-11-01</t>
        </is>
      </c>
      <c r="D787" t="inlineStr">
        <is>
          <t>2024-11-30</t>
        </is>
      </c>
      <c r="E787" s="8" t="n">
        <v>45628</v>
      </c>
      <c r="F787" s="8" t="n">
        <v>45658</v>
      </c>
      <c r="G787" t="n">
        <v>766.8</v>
      </c>
      <c r="H787" t="n">
        <v>88.95</v>
      </c>
      <c r="I787" t="n">
        <v>677.85</v>
      </c>
      <c r="J787" t="n">
        <v>0.18</v>
      </c>
      <c r="K787" t="n">
        <v>122.01</v>
      </c>
      <c r="L787" t="n">
        <v>799.86</v>
      </c>
      <c r="M787" t="inlineStr">
        <is>
          <t>INR</t>
        </is>
      </c>
      <c r="N787" t="inlineStr">
        <is>
          <t>Overdue</t>
        </is>
      </c>
      <c r="O787" t="inlineStr">
        <is>
          <t>Unpaid</t>
        </is>
      </c>
      <c r="P787" t="n">
        <v>766.8</v>
      </c>
      <c r="Q787" t="n">
        <v>766.8</v>
      </c>
      <c r="R787" t="b">
        <v>0</v>
      </c>
    </row>
    <row r="788">
      <c r="A788" t="inlineStr">
        <is>
          <t>INV0016146</t>
        </is>
      </c>
      <c r="B788" t="inlineStr">
        <is>
          <t>MER00764</t>
        </is>
      </c>
      <c r="C788" t="inlineStr">
        <is>
          <t>2024-12-01</t>
        </is>
      </c>
      <c r="D788" t="inlineStr">
        <is>
          <t>2024-12-31</t>
        </is>
      </c>
      <c r="E788" s="8" t="n">
        <v>45659</v>
      </c>
      <c r="F788" s="8" t="n">
        <v>45689</v>
      </c>
      <c r="G788" t="n">
        <v>391.79</v>
      </c>
      <c r="H788" t="n">
        <v>0</v>
      </c>
      <c r="I788" t="n">
        <v>391.79</v>
      </c>
      <c r="J788" t="n">
        <v>0.18</v>
      </c>
      <c r="K788" t="n">
        <v>70.52</v>
      </c>
      <c r="L788" t="n">
        <v>462.31</v>
      </c>
      <c r="M788" t="inlineStr">
        <is>
          <t>INR</t>
        </is>
      </c>
      <c r="N788" t="inlineStr">
        <is>
          <t>Paid</t>
        </is>
      </c>
      <c r="O788" t="inlineStr">
        <is>
          <t>Paid</t>
        </is>
      </c>
      <c r="P788" t="n">
        <v>391.79</v>
      </c>
      <c r="Q788" t="n">
        <v>391.79</v>
      </c>
      <c r="R788" t="b">
        <v>0</v>
      </c>
    </row>
    <row r="789">
      <c r="A789" t="inlineStr">
        <is>
          <t>INV0016147</t>
        </is>
      </c>
      <c r="B789" t="inlineStr">
        <is>
          <t>MER00764</t>
        </is>
      </c>
      <c r="C789" t="inlineStr">
        <is>
          <t>2025-01-01</t>
        </is>
      </c>
      <c r="D789" t="inlineStr">
        <is>
          <t>2025-01-31</t>
        </is>
      </c>
      <c r="E789" s="8" t="n">
        <v>45690</v>
      </c>
      <c r="F789" s="8" t="n">
        <v>45720</v>
      </c>
      <c r="G789" t="n">
        <v>482.49</v>
      </c>
      <c r="H789" t="n">
        <v>0</v>
      </c>
      <c r="I789" t="n">
        <v>482.49</v>
      </c>
      <c r="J789" t="n">
        <v>0.18</v>
      </c>
      <c r="K789" t="n">
        <v>86.84999999999999</v>
      </c>
      <c r="L789" t="n">
        <v>569.34</v>
      </c>
      <c r="M789" t="inlineStr">
        <is>
          <t>INR</t>
        </is>
      </c>
      <c r="N789" t="inlineStr">
        <is>
          <t>Overdue</t>
        </is>
      </c>
      <c r="O789" t="inlineStr">
        <is>
          <t>Partially Paid</t>
        </is>
      </c>
      <c r="P789" t="n">
        <v>482.49</v>
      </c>
      <c r="Q789" t="n">
        <v>482.49</v>
      </c>
      <c r="R789" t="b">
        <v>0</v>
      </c>
    </row>
    <row r="790">
      <c r="A790" t="inlineStr">
        <is>
          <t>INV0016148</t>
        </is>
      </c>
      <c r="B790" t="inlineStr">
        <is>
          <t>MER00764</t>
        </is>
      </c>
      <c r="C790" t="inlineStr">
        <is>
          <t>2025-02-01</t>
        </is>
      </c>
      <c r="D790" t="inlineStr">
        <is>
          <t>2025-02-28</t>
        </is>
      </c>
      <c r="E790" s="8" t="n">
        <v>45718</v>
      </c>
      <c r="F790" s="8" t="n">
        <v>45748</v>
      </c>
      <c r="G790" t="n">
        <v>647.11</v>
      </c>
      <c r="H790" t="n">
        <v>0</v>
      </c>
      <c r="I790" t="n">
        <v>647.11</v>
      </c>
      <c r="J790" t="n">
        <v>0.18</v>
      </c>
      <c r="K790" t="n">
        <v>116.48</v>
      </c>
      <c r="L790" t="n">
        <v>763.59</v>
      </c>
      <c r="M790" t="inlineStr">
        <is>
          <t>INR</t>
        </is>
      </c>
      <c r="N790" t="inlineStr">
        <is>
          <t>Paid</t>
        </is>
      </c>
      <c r="O790" t="inlineStr">
        <is>
          <t>Paid</t>
        </is>
      </c>
      <c r="P790" t="n">
        <v>647.11</v>
      </c>
      <c r="Q790" t="n">
        <v>647.11</v>
      </c>
      <c r="R790" t="b">
        <v>0</v>
      </c>
    </row>
    <row r="791">
      <c r="A791" t="inlineStr">
        <is>
          <t>INV0016149</t>
        </is>
      </c>
      <c r="B791" t="inlineStr">
        <is>
          <t>MER00764</t>
        </is>
      </c>
      <c r="C791" t="inlineStr">
        <is>
          <t>2025-03-01</t>
        </is>
      </c>
      <c r="D791" t="inlineStr">
        <is>
          <t>2025-03-31</t>
        </is>
      </c>
      <c r="E791" s="8" t="n">
        <v>45749</v>
      </c>
      <c r="F791" s="8" t="n">
        <v>45779</v>
      </c>
      <c r="G791" t="n">
        <v>479</v>
      </c>
      <c r="H791" t="n">
        <v>0</v>
      </c>
      <c r="I791" t="n">
        <v>479</v>
      </c>
      <c r="J791" t="n">
        <v>0.18</v>
      </c>
      <c r="K791" t="n">
        <v>86.22</v>
      </c>
      <c r="L791" t="n">
        <v>565.22</v>
      </c>
      <c r="M791" t="inlineStr">
        <is>
          <t>INR</t>
        </is>
      </c>
      <c r="N791" t="inlineStr">
        <is>
          <t>Paid</t>
        </is>
      </c>
      <c r="O791" t="inlineStr">
        <is>
          <t>Paid</t>
        </is>
      </c>
      <c r="P791" t="n">
        <v>479</v>
      </c>
      <c r="Q791" t="n">
        <v>479</v>
      </c>
      <c r="R791" t="b">
        <v>0</v>
      </c>
    </row>
    <row r="792">
      <c r="A792" t="inlineStr">
        <is>
          <t>INV0016150</t>
        </is>
      </c>
      <c r="B792" t="inlineStr">
        <is>
          <t>MER00764</t>
        </is>
      </c>
      <c r="C792" t="inlineStr">
        <is>
          <t>2025-04-01</t>
        </is>
      </c>
      <c r="D792" t="inlineStr">
        <is>
          <t>2025-04-30</t>
        </is>
      </c>
      <c r="E792" s="8" t="n">
        <v>45779</v>
      </c>
      <c r="F792" s="8" t="n">
        <v>45809</v>
      </c>
      <c r="G792" t="n">
        <v>429.58</v>
      </c>
      <c r="H792" t="n">
        <v>0</v>
      </c>
      <c r="I792" t="n">
        <v>429.58</v>
      </c>
      <c r="J792" t="n">
        <v>0.18</v>
      </c>
      <c r="K792" t="n">
        <v>77.31999999999999</v>
      </c>
      <c r="L792" t="n">
        <v>506.9</v>
      </c>
      <c r="M792" t="inlineStr">
        <is>
          <t>INR</t>
        </is>
      </c>
      <c r="N792" t="inlineStr">
        <is>
          <t>Overdue</t>
        </is>
      </c>
      <c r="O792" t="inlineStr">
        <is>
          <t>Partially Paid</t>
        </is>
      </c>
      <c r="P792" t="n">
        <v>429.58</v>
      </c>
      <c r="Q792" t="n">
        <v>429.58</v>
      </c>
      <c r="R792" t="b">
        <v>0</v>
      </c>
    </row>
    <row r="793">
      <c r="A793" t="inlineStr">
        <is>
          <t>INV0016151</t>
        </is>
      </c>
      <c r="B793" t="inlineStr">
        <is>
          <t>MER00764</t>
        </is>
      </c>
      <c r="C793" t="inlineStr">
        <is>
          <t>2025-05-01</t>
        </is>
      </c>
      <c r="D793" t="inlineStr">
        <is>
          <t>2025-05-31</t>
        </is>
      </c>
      <c r="E793" s="8" t="n">
        <v>45810</v>
      </c>
      <c r="F793" s="8" t="n">
        <v>45840</v>
      </c>
      <c r="G793" t="n">
        <v>665.73</v>
      </c>
      <c r="H793" t="n">
        <v>0</v>
      </c>
      <c r="I793" t="n">
        <v>665.73</v>
      </c>
      <c r="J793" t="n">
        <v>0.18</v>
      </c>
      <c r="K793" t="n">
        <v>119.83</v>
      </c>
      <c r="L793" t="n">
        <v>785.5599999999999</v>
      </c>
      <c r="M793" t="inlineStr">
        <is>
          <t>INR</t>
        </is>
      </c>
      <c r="N793" t="inlineStr">
        <is>
          <t>Paid</t>
        </is>
      </c>
      <c r="O793" t="inlineStr">
        <is>
          <t>Paid</t>
        </is>
      </c>
      <c r="P793" t="n">
        <v>665.73</v>
      </c>
      <c r="Q793" t="n">
        <v>665.73</v>
      </c>
      <c r="R793" t="b">
        <v>0</v>
      </c>
    </row>
    <row r="794">
      <c r="A794" t="inlineStr">
        <is>
          <t>INV0016152</t>
        </is>
      </c>
      <c r="B794" t="inlineStr">
        <is>
          <t>MER00764</t>
        </is>
      </c>
      <c r="C794" t="inlineStr">
        <is>
          <t>2025-06-01</t>
        </is>
      </c>
      <c r="D794" t="inlineStr">
        <is>
          <t>2025-06-30</t>
        </is>
      </c>
      <c r="E794" s="8" t="n">
        <v>45840</v>
      </c>
      <c r="F794" s="8" t="n">
        <v>45870</v>
      </c>
      <c r="G794" t="n">
        <v>633.15</v>
      </c>
      <c r="H794" t="n">
        <v>0</v>
      </c>
      <c r="I794" t="n">
        <v>633.15</v>
      </c>
      <c r="J794" t="n">
        <v>0.18</v>
      </c>
      <c r="K794" t="n">
        <v>113.97</v>
      </c>
      <c r="L794" t="n">
        <v>747.12</v>
      </c>
      <c r="M794" t="inlineStr">
        <is>
          <t>INR</t>
        </is>
      </c>
      <c r="N794" t="inlineStr">
        <is>
          <t>Paid</t>
        </is>
      </c>
      <c r="O794" t="inlineStr">
        <is>
          <t>Paid</t>
        </is>
      </c>
      <c r="P794" t="n">
        <v>633.15</v>
      </c>
      <c r="Q794" t="n">
        <v>633.15</v>
      </c>
      <c r="R794" t="b">
        <v>0</v>
      </c>
    </row>
    <row r="795">
      <c r="A795" t="inlineStr">
        <is>
          <t>INV0016153</t>
        </is>
      </c>
      <c r="B795" t="inlineStr">
        <is>
          <t>MER00764</t>
        </is>
      </c>
      <c r="C795" t="inlineStr">
        <is>
          <t>2025-07-01</t>
        </is>
      </c>
      <c r="D795" t="inlineStr">
        <is>
          <t>2025-07-31</t>
        </is>
      </c>
      <c r="E795" s="8" t="n">
        <v>45871</v>
      </c>
      <c r="F795" s="8" t="n">
        <v>45901</v>
      </c>
      <c r="G795" t="n">
        <v>215.28</v>
      </c>
      <c r="H795" t="n">
        <v>10.98</v>
      </c>
      <c r="I795" t="n">
        <v>204.3</v>
      </c>
      <c r="J795" t="n">
        <v>0.18</v>
      </c>
      <c r="K795" t="n">
        <v>36.77</v>
      </c>
      <c r="L795" t="n">
        <v>241.07</v>
      </c>
      <c r="M795" t="inlineStr">
        <is>
          <t>INR</t>
        </is>
      </c>
      <c r="N795" t="inlineStr">
        <is>
          <t>Paid</t>
        </is>
      </c>
      <c r="O795" t="inlineStr">
        <is>
          <t>Paid</t>
        </is>
      </c>
      <c r="P795" t="n">
        <v>215.28</v>
      </c>
      <c r="Q795" t="n">
        <v>215.28</v>
      </c>
      <c r="R795" t="b">
        <v>0</v>
      </c>
    </row>
    <row r="796">
      <c r="A796" t="inlineStr">
        <is>
          <t>INV0016154</t>
        </is>
      </c>
      <c r="B796" t="inlineStr">
        <is>
          <t>MER00764</t>
        </is>
      </c>
      <c r="C796" t="inlineStr">
        <is>
          <t>2025-08-01</t>
        </is>
      </c>
      <c r="D796" t="inlineStr">
        <is>
          <t>2025-08-31</t>
        </is>
      </c>
      <c r="E796" s="8" t="n">
        <v>45902</v>
      </c>
      <c r="F796" s="8" t="n">
        <v>45932</v>
      </c>
      <c r="G796" t="n">
        <v>378</v>
      </c>
      <c r="H796" t="n">
        <v>45.36</v>
      </c>
      <c r="I796" t="n">
        <v>332.64</v>
      </c>
      <c r="J796" t="n">
        <v>0.18</v>
      </c>
      <c r="K796" t="n">
        <v>59.88</v>
      </c>
      <c r="L796" t="n">
        <v>392.52</v>
      </c>
      <c r="M796" t="inlineStr">
        <is>
          <t>INR</t>
        </is>
      </c>
      <c r="N796" t="inlineStr">
        <is>
          <t>Paid</t>
        </is>
      </c>
      <c r="O796" t="inlineStr">
        <is>
          <t>Paid</t>
        </is>
      </c>
      <c r="P796" t="n">
        <v>477.12</v>
      </c>
      <c r="Q796" t="n">
        <v>378</v>
      </c>
      <c r="R796" t="b">
        <v>1</v>
      </c>
    </row>
    <row r="797">
      <c r="A797" t="inlineStr">
        <is>
          <t>INV0016155</t>
        </is>
      </c>
      <c r="B797" t="inlineStr">
        <is>
          <t>MER00764</t>
        </is>
      </c>
      <c r="C797" t="inlineStr">
        <is>
          <t>2025-09-01</t>
        </is>
      </c>
      <c r="D797" t="inlineStr">
        <is>
          <t>2025-09-30</t>
        </is>
      </c>
      <c r="E797" s="8" t="n">
        <v>45932</v>
      </c>
      <c r="F797" s="8" t="n">
        <v>45962</v>
      </c>
      <c r="G797" t="n">
        <v>668.63</v>
      </c>
      <c r="H797" t="n">
        <v>0</v>
      </c>
      <c r="I797" t="n">
        <v>668.63</v>
      </c>
      <c r="J797" t="n">
        <v>0.18</v>
      </c>
      <c r="K797" t="n">
        <v>120.35</v>
      </c>
      <c r="L797" t="n">
        <v>788.98</v>
      </c>
      <c r="M797" t="inlineStr">
        <is>
          <t>INR</t>
        </is>
      </c>
      <c r="N797" t="inlineStr">
        <is>
          <t>Overdue</t>
        </is>
      </c>
      <c r="O797" t="inlineStr">
        <is>
          <t>Partially Paid</t>
        </is>
      </c>
      <c r="P797" t="n">
        <v>668.63</v>
      </c>
      <c r="Q797" t="n">
        <v>668.63</v>
      </c>
      <c r="R797" t="b">
        <v>0</v>
      </c>
    </row>
    <row r="798">
      <c r="A798" t="inlineStr">
        <is>
          <t>INV0016156</t>
        </is>
      </c>
      <c r="B798" t="inlineStr">
        <is>
          <t>MER00764</t>
        </is>
      </c>
      <c r="C798" t="inlineStr">
        <is>
          <t>2025-10-01</t>
        </is>
      </c>
      <c r="D798" t="inlineStr">
        <is>
          <t>2025-10-31</t>
        </is>
      </c>
      <c r="E798" s="8" t="n">
        <v>45963</v>
      </c>
      <c r="F798" s="8" t="n">
        <v>45993</v>
      </c>
      <c r="G798" t="n">
        <v>722.35</v>
      </c>
      <c r="H798" t="n">
        <v>0</v>
      </c>
      <c r="I798" t="n">
        <v>722.35</v>
      </c>
      <c r="J798" t="n">
        <v>0.18</v>
      </c>
      <c r="K798" t="n">
        <v>130.02</v>
      </c>
      <c r="L798" t="n">
        <v>852.37</v>
      </c>
      <c r="M798" t="inlineStr">
        <is>
          <t>INR</t>
        </is>
      </c>
      <c r="N798" t="inlineStr">
        <is>
          <t>Overdue</t>
        </is>
      </c>
      <c r="O798" t="inlineStr">
        <is>
          <t>Unpaid</t>
        </is>
      </c>
      <c r="P798" t="n">
        <v>722.35</v>
      </c>
      <c r="Q798" t="n">
        <v>722.35</v>
      </c>
      <c r="R798" t="b">
        <v>0</v>
      </c>
    </row>
    <row r="799">
      <c r="A799" t="inlineStr">
        <is>
          <t>INV0016157</t>
        </is>
      </c>
      <c r="B799" t="inlineStr">
        <is>
          <t>MER00764</t>
        </is>
      </c>
      <c r="C799" t="inlineStr">
        <is>
          <t>2025-11-01</t>
        </is>
      </c>
      <c r="D799" t="inlineStr">
        <is>
          <t>2025-11-30</t>
        </is>
      </c>
      <c r="E799" s="8" t="n">
        <v>45993</v>
      </c>
      <c r="F799" s="8" t="n">
        <v>46023</v>
      </c>
      <c r="G799" t="n">
        <v>760.21</v>
      </c>
      <c r="H799" t="n">
        <v>0</v>
      </c>
      <c r="I799" t="n">
        <v>760.21</v>
      </c>
      <c r="J799" t="n">
        <v>0.18</v>
      </c>
      <c r="K799" t="n">
        <v>136.84</v>
      </c>
      <c r="L799" t="n">
        <v>897.05</v>
      </c>
      <c r="M799" t="inlineStr">
        <is>
          <t>INR</t>
        </is>
      </c>
      <c r="N799" t="inlineStr">
        <is>
          <t>Paid</t>
        </is>
      </c>
      <c r="O799" t="inlineStr">
        <is>
          <t>Paid</t>
        </is>
      </c>
      <c r="P799" t="n">
        <v>760.21</v>
      </c>
      <c r="Q799" t="n">
        <v>760.21</v>
      </c>
      <c r="R799" t="b">
        <v>0</v>
      </c>
    </row>
    <row r="800">
      <c r="A800" t="inlineStr">
        <is>
          <t>INV0016158</t>
        </is>
      </c>
      <c r="B800" t="inlineStr">
        <is>
          <t>MER00764</t>
        </is>
      </c>
      <c r="C800" t="inlineStr">
        <is>
          <t>2025-12-01</t>
        </is>
      </c>
      <c r="D800" t="inlineStr">
        <is>
          <t>2025-12-31</t>
        </is>
      </c>
      <c r="E800" s="8" t="n">
        <v>46024</v>
      </c>
      <c r="F800" s="8" t="n">
        <v>46054</v>
      </c>
      <c r="G800" t="n">
        <v>657.74</v>
      </c>
      <c r="H800" t="n">
        <v>0</v>
      </c>
      <c r="I800" t="n">
        <v>657.74</v>
      </c>
      <c r="J800" t="n">
        <v>0.18</v>
      </c>
      <c r="K800" t="n">
        <v>118.39</v>
      </c>
      <c r="L800" t="n">
        <v>776.13</v>
      </c>
      <c r="M800" t="inlineStr">
        <is>
          <t>INR</t>
        </is>
      </c>
      <c r="N800" t="inlineStr">
        <is>
          <t>Paid</t>
        </is>
      </c>
      <c r="O800" t="inlineStr">
        <is>
          <t>Paid</t>
        </is>
      </c>
      <c r="P800" t="n">
        <v>657.74</v>
      </c>
      <c r="Q800" t="n">
        <v>657.74</v>
      </c>
      <c r="R800" t="b">
        <v>0</v>
      </c>
    </row>
    <row r="801">
      <c r="A801" t="inlineStr">
        <is>
          <t>INV0016159</t>
        </is>
      </c>
      <c r="B801" t="inlineStr">
        <is>
          <t>MER00764</t>
        </is>
      </c>
      <c r="C801" t="inlineStr">
        <is>
          <t>2026-01-01</t>
        </is>
      </c>
      <c r="D801" t="inlineStr">
        <is>
          <t>2026-01-31</t>
        </is>
      </c>
      <c r="E801" s="8" t="n">
        <v>46055</v>
      </c>
      <c r="F801" s="8" t="n">
        <v>46085</v>
      </c>
      <c r="G801" t="n">
        <v>361.93</v>
      </c>
      <c r="H801" t="n">
        <v>0</v>
      </c>
      <c r="I801" t="n">
        <v>361.93</v>
      </c>
      <c r="J801" t="n">
        <v>0.18</v>
      </c>
      <c r="K801" t="n">
        <v>65.15000000000001</v>
      </c>
      <c r="L801" t="n">
        <v>427.08</v>
      </c>
      <c r="M801" t="inlineStr">
        <is>
          <t>INR</t>
        </is>
      </c>
      <c r="N801" t="inlineStr">
        <is>
          <t>Overdue</t>
        </is>
      </c>
      <c r="O801" t="inlineStr">
        <is>
          <t>Unpaid</t>
        </is>
      </c>
      <c r="P801" t="n">
        <v>361.93</v>
      </c>
      <c r="Q801" t="n">
        <v>361.93</v>
      </c>
      <c r="R801" t="b">
        <v>0</v>
      </c>
    </row>
    <row r="802">
      <c r="A802" t="inlineStr">
        <is>
          <t>INV0016160</t>
        </is>
      </c>
      <c r="B802" t="inlineStr">
        <is>
          <t>MER00764</t>
        </is>
      </c>
      <c r="C802" t="inlineStr">
        <is>
          <t>2026-02-01</t>
        </is>
      </c>
      <c r="D802" t="inlineStr">
        <is>
          <t>2026-02-28</t>
        </is>
      </c>
      <c r="E802" s="8" t="n">
        <v>46083</v>
      </c>
      <c r="F802" s="8" t="n">
        <v>46113</v>
      </c>
      <c r="G802" t="n">
        <v>562.72</v>
      </c>
      <c r="H802" t="n">
        <v>0</v>
      </c>
      <c r="I802" t="n">
        <v>562.72</v>
      </c>
      <c r="J802" t="n">
        <v>0.18</v>
      </c>
      <c r="K802" t="n">
        <v>101.29</v>
      </c>
      <c r="L802" t="n">
        <v>664.01</v>
      </c>
      <c r="M802" t="inlineStr">
        <is>
          <t>INR</t>
        </is>
      </c>
      <c r="N802" t="inlineStr">
        <is>
          <t>Paid</t>
        </is>
      </c>
      <c r="O802" t="inlineStr">
        <is>
          <t>Paid</t>
        </is>
      </c>
      <c r="P802" t="n">
        <v>834.04</v>
      </c>
      <c r="Q802" t="n">
        <v>562.72</v>
      </c>
      <c r="R802" t="b">
        <v>1</v>
      </c>
    </row>
    <row r="803">
      <c r="A803" t="inlineStr">
        <is>
          <t>INV0016161</t>
        </is>
      </c>
      <c r="B803" t="inlineStr">
        <is>
          <t>MER00764</t>
        </is>
      </c>
      <c r="C803" t="inlineStr">
        <is>
          <t>2026-03-01</t>
        </is>
      </c>
      <c r="D803" t="inlineStr">
        <is>
          <t>2026-03-31</t>
        </is>
      </c>
      <c r="E803" s="8" t="n">
        <v>46114</v>
      </c>
      <c r="F803" s="8" t="n">
        <v>46144</v>
      </c>
      <c r="G803" t="n">
        <v>489.19</v>
      </c>
      <c r="H803" t="n">
        <v>0</v>
      </c>
      <c r="I803" t="n">
        <v>489.19</v>
      </c>
      <c r="J803" t="n">
        <v>0.18</v>
      </c>
      <c r="K803" t="n">
        <v>88.05</v>
      </c>
      <c r="L803" t="n">
        <v>577.24</v>
      </c>
      <c r="M803" t="inlineStr">
        <is>
          <t>INR</t>
        </is>
      </c>
      <c r="N803" t="inlineStr">
        <is>
          <t>Paid</t>
        </is>
      </c>
      <c r="O803" t="inlineStr">
        <is>
          <t>Paid</t>
        </is>
      </c>
      <c r="P803" t="n">
        <v>489.19</v>
      </c>
      <c r="Q803" t="n">
        <v>489.19</v>
      </c>
      <c r="R803" t="b">
        <v>0</v>
      </c>
    </row>
    <row r="804">
      <c r="A804" t="inlineStr">
        <is>
          <t>INV0016162</t>
        </is>
      </c>
      <c r="B804" t="inlineStr">
        <is>
          <t>MER00764</t>
        </is>
      </c>
      <c r="C804" t="inlineStr">
        <is>
          <t>2026-04-01</t>
        </is>
      </c>
      <c r="D804" t="inlineStr">
        <is>
          <t>2026-04-30</t>
        </is>
      </c>
      <c r="E804" s="8" t="n">
        <v>46144</v>
      </c>
      <c r="F804" s="8" t="n">
        <v>46174</v>
      </c>
      <c r="G804" t="n">
        <v>679.39</v>
      </c>
      <c r="H804" t="n">
        <v>0</v>
      </c>
      <c r="I804" t="n">
        <v>679.39</v>
      </c>
      <c r="J804" t="n">
        <v>0.18</v>
      </c>
      <c r="K804" t="n">
        <v>122.29</v>
      </c>
      <c r="L804" t="n">
        <v>801.6799999999999</v>
      </c>
      <c r="M804" t="inlineStr">
        <is>
          <t>INR</t>
        </is>
      </c>
      <c r="N804" t="inlineStr">
        <is>
          <t>Paid</t>
        </is>
      </c>
      <c r="O804" t="inlineStr">
        <is>
          <t>Paid</t>
        </is>
      </c>
      <c r="P804" t="n">
        <v>679.39</v>
      </c>
      <c r="Q804" t="n">
        <v>679.39</v>
      </c>
      <c r="R804" t="b">
        <v>0</v>
      </c>
    </row>
    <row r="805">
      <c r="A805" t="inlineStr">
        <is>
          <t>INV0016163</t>
        </is>
      </c>
      <c r="B805" t="inlineStr">
        <is>
          <t>MER00764</t>
        </is>
      </c>
      <c r="C805" t="inlineStr">
        <is>
          <t>2026-05-01</t>
        </is>
      </c>
      <c r="D805" t="inlineStr">
        <is>
          <t>2026-05-31</t>
        </is>
      </c>
      <c r="E805" s="8" t="n">
        <v>46175</v>
      </c>
      <c r="F805" s="8" t="n">
        <v>46205</v>
      </c>
      <c r="G805" t="n">
        <v>885.16</v>
      </c>
      <c r="H805" t="n">
        <v>0</v>
      </c>
      <c r="I805" t="n">
        <v>885.16</v>
      </c>
      <c r="J805" t="n">
        <v>0.18</v>
      </c>
      <c r="K805" t="n">
        <v>159.33</v>
      </c>
      <c r="L805" t="n">
        <v>1044.49</v>
      </c>
      <c r="M805" t="inlineStr">
        <is>
          <t>INR</t>
        </is>
      </c>
      <c r="N805" t="inlineStr">
        <is>
          <t>Paid</t>
        </is>
      </c>
      <c r="O805" t="inlineStr">
        <is>
          <t>Paid</t>
        </is>
      </c>
      <c r="P805" t="n">
        <v>885.16</v>
      </c>
      <c r="Q805" t="n">
        <v>885.16</v>
      </c>
      <c r="R805" t="b">
        <v>0</v>
      </c>
    </row>
    <row r="806">
      <c r="A806" t="inlineStr">
        <is>
          <t>INV0016164</t>
        </is>
      </c>
      <c r="B806" t="inlineStr">
        <is>
          <t>MER00764</t>
        </is>
      </c>
      <c r="C806" t="inlineStr">
        <is>
          <t>2026-06-01</t>
        </is>
      </c>
      <c r="D806" t="inlineStr">
        <is>
          <t>2026-06-30</t>
        </is>
      </c>
      <c r="E806" s="8" t="n">
        <v>46205</v>
      </c>
      <c r="F806" s="8" t="n">
        <v>46235</v>
      </c>
      <c r="G806" t="n">
        <v>802.59</v>
      </c>
      <c r="H806" t="n">
        <v>0</v>
      </c>
      <c r="I806" t="n">
        <v>802.59</v>
      </c>
      <c r="J806" t="n">
        <v>0.18</v>
      </c>
      <c r="K806" t="n">
        <v>144.47</v>
      </c>
      <c r="L806" t="n">
        <v>947.0599999999999</v>
      </c>
      <c r="M806" t="inlineStr">
        <is>
          <t>INR</t>
        </is>
      </c>
      <c r="N806" t="inlineStr">
        <is>
          <t>Paid</t>
        </is>
      </c>
      <c r="O806" t="inlineStr">
        <is>
          <t>Paid</t>
        </is>
      </c>
      <c r="P806" t="n">
        <v>802.59</v>
      </c>
      <c r="Q806" t="n">
        <v>802.59</v>
      </c>
      <c r="R806" t="b">
        <v>0</v>
      </c>
    </row>
    <row r="807">
      <c r="A807" t="inlineStr">
        <is>
          <t>INV0016165</t>
        </is>
      </c>
      <c r="B807" t="inlineStr">
        <is>
          <t>MER00764</t>
        </is>
      </c>
      <c r="C807" t="inlineStr">
        <is>
          <t>2026-07-01</t>
        </is>
      </c>
      <c r="D807" t="inlineStr">
        <is>
          <t>2026-07-31</t>
        </is>
      </c>
      <c r="E807" s="8" t="n">
        <v>46236</v>
      </c>
      <c r="F807" s="8" t="n">
        <v>46266</v>
      </c>
      <c r="G807" t="n">
        <v>512.47</v>
      </c>
      <c r="H807" t="n">
        <v>0</v>
      </c>
      <c r="I807" t="n">
        <v>512.47</v>
      </c>
      <c r="J807" t="n">
        <v>0.18</v>
      </c>
      <c r="K807" t="n">
        <v>92.23999999999999</v>
      </c>
      <c r="L807" t="n">
        <v>604.71</v>
      </c>
      <c r="M807" t="inlineStr">
        <is>
          <t>INR</t>
        </is>
      </c>
      <c r="N807" t="inlineStr">
        <is>
          <t>Paid</t>
        </is>
      </c>
      <c r="O807" t="inlineStr">
        <is>
          <t>Paid</t>
        </is>
      </c>
      <c r="P807" t="n">
        <v>512.47</v>
      </c>
      <c r="Q807" t="n">
        <v>512.47</v>
      </c>
      <c r="R807" t="b">
        <v>0</v>
      </c>
    </row>
    <row r="808">
      <c r="A808" t="inlineStr">
        <is>
          <t>INV0018120</t>
        </is>
      </c>
      <c r="B808" t="inlineStr">
        <is>
          <t>MER00856</t>
        </is>
      </c>
      <c r="C808" t="inlineStr">
        <is>
          <t>2024-08-01</t>
        </is>
      </c>
      <c r="D808" t="inlineStr">
        <is>
          <t>2024-08-31</t>
        </is>
      </c>
      <c r="E808" s="8" t="n">
        <v>45537</v>
      </c>
      <c r="F808" s="8" t="n">
        <v>45567</v>
      </c>
      <c r="G808" t="n">
        <v>100.33</v>
      </c>
      <c r="H808" t="n">
        <v>13.54</v>
      </c>
      <c r="I808" t="n">
        <v>86.79000000000001</v>
      </c>
      <c r="J808" t="n">
        <v>0.18</v>
      </c>
      <c r="K808" t="n">
        <v>15.62</v>
      </c>
      <c r="L808" t="n">
        <v>102.41</v>
      </c>
      <c r="M808" t="inlineStr">
        <is>
          <t>INR</t>
        </is>
      </c>
      <c r="N808" t="inlineStr">
        <is>
          <t>Overdue</t>
        </is>
      </c>
      <c r="O808" t="inlineStr">
        <is>
          <t>Partially Paid</t>
        </is>
      </c>
      <c r="P808" t="n">
        <v>100.33</v>
      </c>
      <c r="Q808" t="n">
        <v>100.33</v>
      </c>
      <c r="R808" t="b">
        <v>0</v>
      </c>
    </row>
    <row r="809">
      <c r="A809" t="inlineStr">
        <is>
          <t>INV0018121</t>
        </is>
      </c>
      <c r="B809" t="inlineStr">
        <is>
          <t>MER00856</t>
        </is>
      </c>
      <c r="C809" t="inlineStr">
        <is>
          <t>2024-09-01</t>
        </is>
      </c>
      <c r="D809" t="inlineStr">
        <is>
          <t>2024-09-30</t>
        </is>
      </c>
      <c r="E809" s="8" t="n">
        <v>45567</v>
      </c>
      <c r="F809" s="8" t="n">
        <v>45597</v>
      </c>
      <c r="G809" t="n">
        <v>187.43</v>
      </c>
      <c r="H809" t="n">
        <v>0</v>
      </c>
      <c r="I809" t="n">
        <v>187.43</v>
      </c>
      <c r="J809" t="n">
        <v>0.18</v>
      </c>
      <c r="K809" t="n">
        <v>33.74</v>
      </c>
      <c r="L809" t="n">
        <v>221.17</v>
      </c>
      <c r="M809" t="inlineStr">
        <is>
          <t>INR</t>
        </is>
      </c>
      <c r="N809" t="inlineStr">
        <is>
          <t>Paid</t>
        </is>
      </c>
      <c r="O809" t="inlineStr">
        <is>
          <t>Paid</t>
        </is>
      </c>
      <c r="P809" t="n">
        <v>187.43</v>
      </c>
      <c r="Q809" t="n">
        <v>187.43</v>
      </c>
      <c r="R809" t="b">
        <v>0</v>
      </c>
    </row>
    <row r="810">
      <c r="A810" t="inlineStr">
        <is>
          <t>INV0018122</t>
        </is>
      </c>
      <c r="B810" t="inlineStr">
        <is>
          <t>MER00856</t>
        </is>
      </c>
      <c r="C810" t="inlineStr">
        <is>
          <t>2024-10-01</t>
        </is>
      </c>
      <c r="D810" t="inlineStr">
        <is>
          <t>2024-10-31</t>
        </is>
      </c>
      <c r="E810" s="8" t="n">
        <v>45598</v>
      </c>
      <c r="F810" s="8" t="n">
        <v>45628</v>
      </c>
      <c r="G810" t="n">
        <v>206.17</v>
      </c>
      <c r="H810" t="n">
        <v>0</v>
      </c>
      <c r="I810" t="n">
        <v>206.17</v>
      </c>
      <c r="J810" t="n">
        <v>0.18</v>
      </c>
      <c r="K810" t="n">
        <v>37.11</v>
      </c>
      <c r="L810" t="n">
        <v>243.28</v>
      </c>
      <c r="M810" t="inlineStr">
        <is>
          <t>INR</t>
        </is>
      </c>
      <c r="N810" t="inlineStr">
        <is>
          <t>Paid</t>
        </is>
      </c>
      <c r="O810" t="inlineStr">
        <is>
          <t>Paid</t>
        </is>
      </c>
      <c r="P810" t="n">
        <v>206.17</v>
      </c>
      <c r="Q810" t="n">
        <v>206.17</v>
      </c>
      <c r="R810" t="b">
        <v>0</v>
      </c>
    </row>
    <row r="811">
      <c r="A811" t="inlineStr">
        <is>
          <t>INV0018123</t>
        </is>
      </c>
      <c r="B811" t="inlineStr">
        <is>
          <t>MER00856</t>
        </is>
      </c>
      <c r="C811" t="inlineStr">
        <is>
          <t>2024-11-01</t>
        </is>
      </c>
      <c r="D811" t="inlineStr">
        <is>
          <t>2024-11-30</t>
        </is>
      </c>
      <c r="E811" s="8" t="n">
        <v>45628</v>
      </c>
      <c r="F811" s="8" t="n">
        <v>45658</v>
      </c>
      <c r="G811" t="n">
        <v>131.49</v>
      </c>
      <c r="H811" t="n">
        <v>0</v>
      </c>
      <c r="I811" t="n">
        <v>131.49</v>
      </c>
      <c r="J811" t="n">
        <v>0.18</v>
      </c>
      <c r="K811" t="n">
        <v>23.67</v>
      </c>
      <c r="L811" t="n">
        <v>155.16</v>
      </c>
      <c r="M811" t="inlineStr">
        <is>
          <t>INR</t>
        </is>
      </c>
      <c r="N811" t="inlineStr">
        <is>
          <t>Paid</t>
        </is>
      </c>
      <c r="O811" t="inlineStr">
        <is>
          <t>Paid</t>
        </is>
      </c>
      <c r="P811" t="n">
        <v>131.49</v>
      </c>
      <c r="Q811" t="n">
        <v>131.49</v>
      </c>
      <c r="R811" t="b">
        <v>0</v>
      </c>
    </row>
    <row r="812">
      <c r="A812" t="inlineStr">
        <is>
          <t>INV0018124</t>
        </is>
      </c>
      <c r="B812" t="inlineStr">
        <is>
          <t>MER00856</t>
        </is>
      </c>
      <c r="C812" t="inlineStr">
        <is>
          <t>2024-12-01</t>
        </is>
      </c>
      <c r="D812" t="inlineStr">
        <is>
          <t>2024-12-31</t>
        </is>
      </c>
      <c r="E812" s="8" t="n">
        <v>45659</v>
      </c>
      <c r="F812" s="8" t="n">
        <v>45689</v>
      </c>
      <c r="G812" t="n">
        <v>85.95999999999999</v>
      </c>
      <c r="H812" t="n">
        <v>12.55</v>
      </c>
      <c r="I812" t="n">
        <v>73.41</v>
      </c>
      <c r="J812" t="n">
        <v>0.18</v>
      </c>
      <c r="K812" t="n">
        <v>13.21</v>
      </c>
      <c r="L812" t="n">
        <v>86.62</v>
      </c>
      <c r="M812" t="inlineStr">
        <is>
          <t>INR</t>
        </is>
      </c>
      <c r="N812" t="inlineStr">
        <is>
          <t>Paid</t>
        </is>
      </c>
      <c r="O812" t="inlineStr">
        <is>
          <t>Paid</t>
        </is>
      </c>
      <c r="P812" t="n">
        <v>85.95999999999999</v>
      </c>
      <c r="Q812" t="n">
        <v>85.95999999999999</v>
      </c>
      <c r="R812" t="b">
        <v>0</v>
      </c>
    </row>
    <row r="813">
      <c r="A813" t="inlineStr">
        <is>
          <t>INV0018125</t>
        </is>
      </c>
      <c r="B813" t="inlineStr">
        <is>
          <t>MER00856</t>
        </is>
      </c>
      <c r="C813" t="inlineStr">
        <is>
          <t>2025-01-01</t>
        </is>
      </c>
      <c r="D813" t="inlineStr">
        <is>
          <t>2025-01-31</t>
        </is>
      </c>
      <c r="E813" s="8" t="n">
        <v>45690</v>
      </c>
      <c r="F813" s="8" t="n">
        <v>45720</v>
      </c>
      <c r="G813" t="n">
        <v>86.62</v>
      </c>
      <c r="H813" t="n">
        <v>0</v>
      </c>
      <c r="I813" t="n">
        <v>86.62</v>
      </c>
      <c r="J813" t="n">
        <v>0.18</v>
      </c>
      <c r="K813" t="n">
        <v>15.59</v>
      </c>
      <c r="L813" t="n">
        <v>102.21</v>
      </c>
      <c r="M813" t="inlineStr">
        <is>
          <t>INR</t>
        </is>
      </c>
      <c r="N813" t="inlineStr">
        <is>
          <t>Paid</t>
        </is>
      </c>
      <c r="O813" t="inlineStr">
        <is>
          <t>Paid</t>
        </is>
      </c>
      <c r="P813" t="n">
        <v>86.62</v>
      </c>
      <c r="Q813" t="n">
        <v>86.62</v>
      </c>
      <c r="R813" t="b">
        <v>0</v>
      </c>
    </row>
    <row r="814">
      <c r="A814" t="inlineStr">
        <is>
          <t>INV0018126</t>
        </is>
      </c>
      <c r="B814" t="inlineStr">
        <is>
          <t>MER00856</t>
        </is>
      </c>
      <c r="C814" t="inlineStr">
        <is>
          <t>2025-02-01</t>
        </is>
      </c>
      <c r="D814" t="inlineStr">
        <is>
          <t>2025-02-28</t>
        </is>
      </c>
      <c r="E814" s="8" t="n">
        <v>45718</v>
      </c>
      <c r="F814" s="8" t="n">
        <v>45748</v>
      </c>
      <c r="G814" t="n">
        <v>210.94</v>
      </c>
      <c r="H814" t="n">
        <v>0</v>
      </c>
      <c r="I814" t="n">
        <v>210.94</v>
      </c>
      <c r="J814" t="n">
        <v>0.18</v>
      </c>
      <c r="K814" t="n">
        <v>37.97</v>
      </c>
      <c r="L814" t="n">
        <v>248.91</v>
      </c>
      <c r="M814" t="inlineStr">
        <is>
          <t>INR</t>
        </is>
      </c>
      <c r="N814" t="inlineStr">
        <is>
          <t>Paid</t>
        </is>
      </c>
      <c r="O814" t="inlineStr">
        <is>
          <t>Paid</t>
        </is>
      </c>
      <c r="P814" t="n">
        <v>210.94</v>
      </c>
      <c r="Q814" t="n">
        <v>210.94</v>
      </c>
      <c r="R814" t="b">
        <v>0</v>
      </c>
    </row>
    <row r="815">
      <c r="A815" t="inlineStr">
        <is>
          <t>INV0018127</t>
        </is>
      </c>
      <c r="B815" t="inlineStr">
        <is>
          <t>MER00856</t>
        </is>
      </c>
      <c r="C815" t="inlineStr">
        <is>
          <t>2025-04-01</t>
        </is>
      </c>
      <c r="D815" t="inlineStr">
        <is>
          <t>2025-04-30</t>
        </is>
      </c>
      <c r="E815" s="8" t="n">
        <v>45779</v>
      </c>
      <c r="F815" s="8" t="n">
        <v>45809</v>
      </c>
      <c r="G815" t="n">
        <v>85.29000000000001</v>
      </c>
      <c r="H815" t="n">
        <v>0</v>
      </c>
      <c r="I815" t="n">
        <v>85.29000000000001</v>
      </c>
      <c r="J815" t="n">
        <v>0.18</v>
      </c>
      <c r="K815" t="n">
        <v>15.35</v>
      </c>
      <c r="L815" t="n">
        <v>100.64</v>
      </c>
      <c r="M815" t="inlineStr">
        <is>
          <t>INR</t>
        </is>
      </c>
      <c r="N815" t="inlineStr">
        <is>
          <t>Paid</t>
        </is>
      </c>
      <c r="O815" t="inlineStr">
        <is>
          <t>Paid</t>
        </is>
      </c>
      <c r="P815" t="n">
        <v>85.29000000000001</v>
      </c>
      <c r="Q815" t="n">
        <v>85.29000000000001</v>
      </c>
      <c r="R815" t="b">
        <v>0</v>
      </c>
    </row>
    <row r="816">
      <c r="A816" t="inlineStr">
        <is>
          <t>INV0018128</t>
        </is>
      </c>
      <c r="B816" t="inlineStr">
        <is>
          <t>MER00856</t>
        </is>
      </c>
      <c r="C816" t="inlineStr">
        <is>
          <t>2025-05-01</t>
        </is>
      </c>
      <c r="D816" t="inlineStr">
        <is>
          <t>2025-05-31</t>
        </is>
      </c>
      <c r="E816" s="8" t="n">
        <v>45810</v>
      </c>
      <c r="F816" s="8" t="n">
        <v>45840</v>
      </c>
      <c r="G816" t="n">
        <v>152.18</v>
      </c>
      <c r="H816" t="n">
        <v>22.67</v>
      </c>
      <c r="I816" t="n">
        <v>129.51</v>
      </c>
      <c r="J816" t="n">
        <v>0.18</v>
      </c>
      <c r="K816" t="n">
        <v>23.31</v>
      </c>
      <c r="L816" t="n">
        <v>152.82</v>
      </c>
      <c r="M816" t="inlineStr">
        <is>
          <t>INR</t>
        </is>
      </c>
      <c r="N816" t="inlineStr">
        <is>
          <t>Overdue</t>
        </is>
      </c>
      <c r="O816" t="inlineStr">
        <is>
          <t>Unpaid</t>
        </is>
      </c>
      <c r="P816" t="n">
        <v>152.18</v>
      </c>
      <c r="Q816" t="n">
        <v>152.18</v>
      </c>
      <c r="R816" t="b">
        <v>0</v>
      </c>
    </row>
    <row r="817">
      <c r="A817" t="inlineStr">
        <is>
          <t>INV0018129</t>
        </is>
      </c>
      <c r="B817" t="inlineStr">
        <is>
          <t>MER00856</t>
        </is>
      </c>
      <c r="C817" t="inlineStr">
        <is>
          <t>2025-06-01</t>
        </is>
      </c>
      <c r="D817" t="inlineStr">
        <is>
          <t>2025-06-30</t>
        </is>
      </c>
      <c r="E817" s="8" t="n">
        <v>45840</v>
      </c>
      <c r="F817" s="8" t="n">
        <v>45870</v>
      </c>
      <c r="G817" t="n">
        <v>235.22</v>
      </c>
      <c r="H817" t="n">
        <v>0</v>
      </c>
      <c r="I817" t="n">
        <v>235.22</v>
      </c>
      <c r="J817" t="n">
        <v>0.18</v>
      </c>
      <c r="K817" t="n">
        <v>42.34</v>
      </c>
      <c r="L817" t="n">
        <v>277.56</v>
      </c>
      <c r="M817" t="inlineStr">
        <is>
          <t>INR</t>
        </is>
      </c>
      <c r="N817" t="inlineStr">
        <is>
          <t>Paid</t>
        </is>
      </c>
      <c r="O817" t="inlineStr">
        <is>
          <t>Paid</t>
        </is>
      </c>
      <c r="P817" t="n">
        <v>235.22</v>
      </c>
      <c r="Q817" t="n">
        <v>235.22</v>
      </c>
      <c r="R817" t="b">
        <v>0</v>
      </c>
    </row>
    <row r="818">
      <c r="A818" t="inlineStr">
        <is>
          <t>INV0018130</t>
        </is>
      </c>
      <c r="B818" t="inlineStr">
        <is>
          <t>MER00856</t>
        </is>
      </c>
      <c r="C818" t="inlineStr">
        <is>
          <t>2025-07-01</t>
        </is>
      </c>
      <c r="D818" t="inlineStr">
        <is>
          <t>2025-07-31</t>
        </is>
      </c>
      <c r="E818" s="8" t="n">
        <v>45871</v>
      </c>
      <c r="F818" s="8" t="n">
        <v>45901</v>
      </c>
      <c r="G818" t="n">
        <v>121.85</v>
      </c>
      <c r="H818" t="n">
        <v>0</v>
      </c>
      <c r="I818" t="n">
        <v>121.85</v>
      </c>
      <c r="J818" t="n">
        <v>0.18</v>
      </c>
      <c r="K818" t="n">
        <v>21.93</v>
      </c>
      <c r="L818" t="n">
        <v>143.78</v>
      </c>
      <c r="M818" t="inlineStr">
        <is>
          <t>INR</t>
        </is>
      </c>
      <c r="N818" t="inlineStr">
        <is>
          <t>Paid</t>
        </is>
      </c>
      <c r="O818" t="inlineStr">
        <is>
          <t>Paid</t>
        </is>
      </c>
      <c r="P818" t="n">
        <v>121.85</v>
      </c>
      <c r="Q818" t="n">
        <v>121.85</v>
      </c>
      <c r="R818" t="b">
        <v>0</v>
      </c>
    </row>
    <row r="819">
      <c r="A819" t="inlineStr">
        <is>
          <t>INV0018131</t>
        </is>
      </c>
      <c r="B819" t="inlineStr">
        <is>
          <t>MER00856</t>
        </is>
      </c>
      <c r="C819" t="inlineStr">
        <is>
          <t>2025-08-01</t>
        </is>
      </c>
      <c r="D819" t="inlineStr">
        <is>
          <t>2025-08-31</t>
        </is>
      </c>
      <c r="E819" s="8" t="n">
        <v>45902</v>
      </c>
      <c r="F819" s="8" t="n">
        <v>45932</v>
      </c>
      <c r="G819" t="n">
        <v>107.56</v>
      </c>
      <c r="H819" t="n">
        <v>0</v>
      </c>
      <c r="I819" t="n">
        <v>107.56</v>
      </c>
      <c r="J819" t="n">
        <v>0.18</v>
      </c>
      <c r="K819" t="n">
        <v>19.36</v>
      </c>
      <c r="L819" t="n">
        <v>126.92</v>
      </c>
      <c r="M819" t="inlineStr">
        <is>
          <t>INR</t>
        </is>
      </c>
      <c r="N819" t="inlineStr">
        <is>
          <t>Paid</t>
        </is>
      </c>
      <c r="O819" t="inlineStr">
        <is>
          <t>Paid</t>
        </is>
      </c>
      <c r="P819" t="n">
        <v>107.56</v>
      </c>
      <c r="Q819" t="n">
        <v>107.56</v>
      </c>
      <c r="R819" t="b">
        <v>0</v>
      </c>
    </row>
    <row r="820">
      <c r="A820" t="inlineStr">
        <is>
          <t>INV0018132</t>
        </is>
      </c>
      <c r="B820" t="inlineStr">
        <is>
          <t>MER00856</t>
        </is>
      </c>
      <c r="C820" t="inlineStr">
        <is>
          <t>2025-10-01</t>
        </is>
      </c>
      <c r="D820" t="inlineStr">
        <is>
          <t>2025-10-31</t>
        </is>
      </c>
      <c r="E820" s="8" t="n">
        <v>45963</v>
      </c>
      <c r="F820" s="8" t="n">
        <v>45993</v>
      </c>
      <c r="G820" t="n">
        <v>212.05</v>
      </c>
      <c r="H820" t="n">
        <v>0</v>
      </c>
      <c r="I820" t="n">
        <v>212.05</v>
      </c>
      <c r="J820" t="n">
        <v>0.18</v>
      </c>
      <c r="K820" t="n">
        <v>38.17</v>
      </c>
      <c r="L820" t="n">
        <v>250.22</v>
      </c>
      <c r="M820" t="inlineStr">
        <is>
          <t>INR</t>
        </is>
      </c>
      <c r="N820" t="inlineStr">
        <is>
          <t>Paid</t>
        </is>
      </c>
      <c r="O820" t="inlineStr">
        <is>
          <t>Paid</t>
        </is>
      </c>
      <c r="P820" t="n">
        <v>212.05</v>
      </c>
      <c r="Q820" t="n">
        <v>212.05</v>
      </c>
      <c r="R820" t="b">
        <v>0</v>
      </c>
    </row>
    <row r="821">
      <c r="A821" t="inlineStr">
        <is>
          <t>INV0018133</t>
        </is>
      </c>
      <c r="B821" t="inlineStr">
        <is>
          <t>MER00856</t>
        </is>
      </c>
      <c r="C821" t="inlineStr">
        <is>
          <t>2025-11-01</t>
        </is>
      </c>
      <c r="D821" t="inlineStr">
        <is>
          <t>2025-11-30</t>
        </is>
      </c>
      <c r="E821" s="8" t="n">
        <v>45993</v>
      </c>
      <c r="F821" s="8" t="n">
        <v>46023</v>
      </c>
      <c r="G821" t="n">
        <v>243.98</v>
      </c>
      <c r="H821" t="n">
        <v>0</v>
      </c>
      <c r="I821" t="n">
        <v>243.98</v>
      </c>
      <c r="J821" t="n">
        <v>0.18</v>
      </c>
      <c r="K821" t="n">
        <v>43.92</v>
      </c>
      <c r="L821" t="n">
        <v>287.9</v>
      </c>
      <c r="M821" t="inlineStr">
        <is>
          <t>INR</t>
        </is>
      </c>
      <c r="N821" t="inlineStr">
        <is>
          <t>Paid</t>
        </is>
      </c>
      <c r="O821" t="inlineStr">
        <is>
          <t>Paid</t>
        </is>
      </c>
      <c r="P821" t="n">
        <v>243.98</v>
      </c>
      <c r="Q821" t="n">
        <v>243.98</v>
      </c>
      <c r="R821" t="b">
        <v>0</v>
      </c>
    </row>
    <row r="822">
      <c r="A822" t="inlineStr">
        <is>
          <t>INV0018134</t>
        </is>
      </c>
      <c r="B822" t="inlineStr">
        <is>
          <t>MER00856</t>
        </is>
      </c>
      <c r="C822" t="inlineStr">
        <is>
          <t>2025-12-01</t>
        </is>
      </c>
      <c r="D822" t="inlineStr">
        <is>
          <t>2025-12-31</t>
        </is>
      </c>
      <c r="E822" s="8" t="n">
        <v>46024</v>
      </c>
      <c r="F822" s="8" t="n">
        <v>46054</v>
      </c>
      <c r="G822" t="n">
        <v>240.58</v>
      </c>
      <c r="H822" t="n">
        <v>0</v>
      </c>
      <c r="I822" t="n">
        <v>240.58</v>
      </c>
      <c r="J822" t="n">
        <v>0.18</v>
      </c>
      <c r="K822" t="n">
        <v>43.3</v>
      </c>
      <c r="L822" t="n">
        <v>283.88</v>
      </c>
      <c r="M822" t="inlineStr">
        <is>
          <t>INR</t>
        </is>
      </c>
      <c r="N822" t="inlineStr">
        <is>
          <t>Paid</t>
        </is>
      </c>
      <c r="O822" t="inlineStr">
        <is>
          <t>Paid</t>
        </is>
      </c>
      <c r="P822" t="n">
        <v>240.58</v>
      </c>
      <c r="Q822" t="n">
        <v>240.58</v>
      </c>
      <c r="R822" t="b">
        <v>0</v>
      </c>
    </row>
    <row r="823">
      <c r="A823" t="inlineStr">
        <is>
          <t>INV0018135</t>
        </is>
      </c>
      <c r="B823" t="inlineStr">
        <is>
          <t>MER00856</t>
        </is>
      </c>
      <c r="C823" t="inlineStr">
        <is>
          <t>2026-01-01</t>
        </is>
      </c>
      <c r="D823" t="inlineStr">
        <is>
          <t>2026-01-31</t>
        </is>
      </c>
      <c r="E823" s="8" t="n">
        <v>46055</v>
      </c>
      <c r="F823" s="8" t="n">
        <v>46085</v>
      </c>
      <c r="G823" t="n">
        <v>161.32</v>
      </c>
      <c r="H823" t="n">
        <v>0</v>
      </c>
      <c r="I823" t="n">
        <v>161.32</v>
      </c>
      <c r="J823" t="n">
        <v>0.18</v>
      </c>
      <c r="K823" t="n">
        <v>29.04</v>
      </c>
      <c r="L823" t="n">
        <v>190.36</v>
      </c>
      <c r="M823" t="inlineStr">
        <is>
          <t>INR</t>
        </is>
      </c>
      <c r="N823" t="inlineStr">
        <is>
          <t>Overdue</t>
        </is>
      </c>
      <c r="O823" t="inlineStr">
        <is>
          <t>Unpaid</t>
        </is>
      </c>
      <c r="P823" t="n">
        <v>161.32</v>
      </c>
      <c r="Q823" t="n">
        <v>161.32</v>
      </c>
      <c r="R823" t="b">
        <v>0</v>
      </c>
    </row>
    <row r="824">
      <c r="A824" t="inlineStr">
        <is>
          <t>INV0018136</t>
        </is>
      </c>
      <c r="B824" t="inlineStr">
        <is>
          <t>MER00856</t>
        </is>
      </c>
      <c r="C824" t="inlineStr">
        <is>
          <t>2026-02-01</t>
        </is>
      </c>
      <c r="D824" t="inlineStr">
        <is>
          <t>2026-02-28</t>
        </is>
      </c>
      <c r="E824" s="8" t="n">
        <v>46083</v>
      </c>
      <c r="F824" s="8" t="n">
        <v>46113</v>
      </c>
      <c r="G824" t="n">
        <v>142.31</v>
      </c>
      <c r="H824" t="n">
        <v>0</v>
      </c>
      <c r="I824" t="n">
        <v>142.31</v>
      </c>
      <c r="J824" t="n">
        <v>0.18</v>
      </c>
      <c r="K824" t="n">
        <v>25.62</v>
      </c>
      <c r="L824" t="n">
        <v>167.93</v>
      </c>
      <c r="M824" t="inlineStr">
        <is>
          <t>INR</t>
        </is>
      </c>
      <c r="N824" t="inlineStr">
        <is>
          <t>Paid</t>
        </is>
      </c>
      <c r="O824" t="inlineStr">
        <is>
          <t>Paid</t>
        </is>
      </c>
      <c r="P824" t="n">
        <v>142.31</v>
      </c>
      <c r="Q824" t="n">
        <v>142.31</v>
      </c>
      <c r="R824" t="b">
        <v>0</v>
      </c>
    </row>
    <row r="825">
      <c r="A825" t="inlineStr">
        <is>
          <t>INV0018137</t>
        </is>
      </c>
      <c r="B825" t="inlineStr">
        <is>
          <t>MER00856</t>
        </is>
      </c>
      <c r="C825" t="inlineStr">
        <is>
          <t>2026-03-01</t>
        </is>
      </c>
      <c r="D825" t="inlineStr">
        <is>
          <t>2026-03-31</t>
        </is>
      </c>
      <c r="E825" s="8" t="n">
        <v>46114</v>
      </c>
      <c r="F825" s="8" t="n">
        <v>46144</v>
      </c>
      <c r="G825" t="n">
        <v>89.34999999999999</v>
      </c>
      <c r="H825" t="n">
        <v>0</v>
      </c>
      <c r="I825" t="n">
        <v>89.34999999999999</v>
      </c>
      <c r="J825" t="n">
        <v>0.18</v>
      </c>
      <c r="K825" t="n">
        <v>16.08</v>
      </c>
      <c r="L825" t="n">
        <v>105.43</v>
      </c>
      <c r="M825" t="inlineStr">
        <is>
          <t>INR</t>
        </is>
      </c>
      <c r="N825" t="inlineStr">
        <is>
          <t>Paid</t>
        </is>
      </c>
      <c r="O825" t="inlineStr">
        <is>
          <t>Paid</t>
        </is>
      </c>
      <c r="P825" t="n">
        <v>89.34999999999999</v>
      </c>
      <c r="Q825" t="n">
        <v>89.34999999999999</v>
      </c>
      <c r="R825" t="b">
        <v>0</v>
      </c>
    </row>
    <row r="826">
      <c r="A826" t="inlineStr">
        <is>
          <t>INV0018138</t>
        </is>
      </c>
      <c r="B826" t="inlineStr">
        <is>
          <t>MER00856</t>
        </is>
      </c>
      <c r="C826" t="inlineStr">
        <is>
          <t>2026-04-01</t>
        </is>
      </c>
      <c r="D826" t="inlineStr">
        <is>
          <t>2026-04-30</t>
        </is>
      </c>
      <c r="E826" s="8" t="n">
        <v>46144</v>
      </c>
      <c r="F826" s="8" t="n">
        <v>46174</v>
      </c>
      <c r="G826" t="n">
        <v>76.69</v>
      </c>
      <c r="H826" t="n">
        <v>0</v>
      </c>
      <c r="I826" t="n">
        <v>76.69</v>
      </c>
      <c r="J826" t="n">
        <v>0.18</v>
      </c>
      <c r="K826" t="n">
        <v>13.8</v>
      </c>
      <c r="L826" t="n">
        <v>90.48999999999999</v>
      </c>
      <c r="M826" t="inlineStr">
        <is>
          <t>INR</t>
        </is>
      </c>
      <c r="N826" t="inlineStr">
        <is>
          <t>Paid</t>
        </is>
      </c>
      <c r="O826" t="inlineStr">
        <is>
          <t>Paid</t>
        </is>
      </c>
      <c r="P826" t="n">
        <v>76.69</v>
      </c>
      <c r="Q826" t="n">
        <v>76.69</v>
      </c>
      <c r="R826" t="b">
        <v>0</v>
      </c>
    </row>
    <row r="827">
      <c r="A827" t="inlineStr">
        <is>
          <t>INV0018139</t>
        </is>
      </c>
      <c r="B827" t="inlineStr">
        <is>
          <t>MER00856</t>
        </is>
      </c>
      <c r="C827" t="inlineStr">
        <is>
          <t>2026-05-01</t>
        </is>
      </c>
      <c r="D827" t="inlineStr">
        <is>
          <t>2026-05-31</t>
        </is>
      </c>
      <c r="E827" s="8" t="n">
        <v>46175</v>
      </c>
      <c r="F827" s="8" t="n">
        <v>46205</v>
      </c>
      <c r="G827" t="n">
        <v>136.03</v>
      </c>
      <c r="H827" t="n">
        <v>0</v>
      </c>
      <c r="I827" t="n">
        <v>136.03</v>
      </c>
      <c r="J827" t="n">
        <v>0.18</v>
      </c>
      <c r="K827" t="n">
        <v>24.49</v>
      </c>
      <c r="L827" t="n">
        <v>160.52</v>
      </c>
      <c r="M827" t="inlineStr">
        <is>
          <t>INR</t>
        </is>
      </c>
      <c r="N827" t="inlineStr">
        <is>
          <t>Paid</t>
        </is>
      </c>
      <c r="O827" t="inlineStr">
        <is>
          <t>Paid</t>
        </is>
      </c>
      <c r="P827" t="n">
        <v>136.03</v>
      </c>
      <c r="Q827" t="n">
        <v>136.03</v>
      </c>
      <c r="R827" t="b">
        <v>0</v>
      </c>
    </row>
    <row r="828">
      <c r="A828" t="inlineStr">
        <is>
          <t>INV0018140</t>
        </is>
      </c>
      <c r="B828" t="inlineStr">
        <is>
          <t>MER00856</t>
        </is>
      </c>
      <c r="C828" t="inlineStr">
        <is>
          <t>2026-06-01</t>
        </is>
      </c>
      <c r="D828" t="inlineStr">
        <is>
          <t>2026-06-30</t>
        </is>
      </c>
      <c r="E828" s="8" t="n">
        <v>46205</v>
      </c>
      <c r="F828" s="8" t="n">
        <v>46235</v>
      </c>
      <c r="G828" t="n">
        <v>106.14</v>
      </c>
      <c r="H828" t="n">
        <v>0</v>
      </c>
      <c r="I828" t="n">
        <v>106.14</v>
      </c>
      <c r="J828" t="n">
        <v>0.18</v>
      </c>
      <c r="K828" t="n">
        <v>19.11</v>
      </c>
      <c r="L828" t="n">
        <v>125.25</v>
      </c>
      <c r="M828" t="inlineStr">
        <is>
          <t>INR</t>
        </is>
      </c>
      <c r="N828" t="inlineStr">
        <is>
          <t>Paid</t>
        </is>
      </c>
      <c r="O828" t="inlineStr">
        <is>
          <t>Paid</t>
        </is>
      </c>
      <c r="P828" t="n">
        <v>121.76</v>
      </c>
      <c r="Q828" t="n">
        <v>106.14</v>
      </c>
      <c r="R828" t="b">
        <v>1</v>
      </c>
    </row>
    <row r="829">
      <c r="A829" t="inlineStr">
        <is>
          <t>INV0018141</t>
        </is>
      </c>
      <c r="B829" t="inlineStr">
        <is>
          <t>MER00856</t>
        </is>
      </c>
      <c r="C829" t="inlineStr">
        <is>
          <t>2026-07-01</t>
        </is>
      </c>
      <c r="D829" t="inlineStr">
        <is>
          <t>2026-07-31</t>
        </is>
      </c>
      <c r="E829" s="8" t="n">
        <v>46236</v>
      </c>
      <c r="F829" s="8" t="n">
        <v>46266</v>
      </c>
      <c r="G829" t="n">
        <v>156.92</v>
      </c>
      <c r="H829" t="n">
        <v>0</v>
      </c>
      <c r="I829" t="n">
        <v>156.92</v>
      </c>
      <c r="J829" t="n">
        <v>0.18</v>
      </c>
      <c r="K829" t="n">
        <v>28.25</v>
      </c>
      <c r="L829" t="n">
        <v>185.17</v>
      </c>
      <c r="M829" t="inlineStr">
        <is>
          <t>INR</t>
        </is>
      </c>
      <c r="N829" t="inlineStr">
        <is>
          <t>Paid</t>
        </is>
      </c>
      <c r="O829" t="inlineStr">
        <is>
          <t>Paid</t>
        </is>
      </c>
      <c r="P829" t="n">
        <v>156.92</v>
      </c>
      <c r="Q829" t="n">
        <v>156.92</v>
      </c>
      <c r="R829" t="b">
        <v>0</v>
      </c>
    </row>
    <row r="830">
      <c r="A830" t="inlineStr">
        <is>
          <t>INV0018227</t>
        </is>
      </c>
      <c r="B830" t="inlineStr">
        <is>
          <t>MER00861</t>
        </is>
      </c>
      <c r="C830" t="inlineStr">
        <is>
          <t>2024-08-01</t>
        </is>
      </c>
      <c r="D830" t="inlineStr">
        <is>
          <t>2024-08-31</t>
        </is>
      </c>
      <c r="E830" s="8" t="n">
        <v>45537</v>
      </c>
      <c r="F830" s="8" t="n">
        <v>45552</v>
      </c>
      <c r="G830" t="n">
        <v>1463.56</v>
      </c>
      <c r="H830" t="n">
        <v>0</v>
      </c>
      <c r="I830" t="n">
        <v>1463.56</v>
      </c>
      <c r="J830" t="n">
        <v>0.18</v>
      </c>
      <c r="K830" t="n">
        <v>263.44</v>
      </c>
      <c r="L830" t="n">
        <v>1727</v>
      </c>
      <c r="M830" t="inlineStr">
        <is>
          <t>INR</t>
        </is>
      </c>
      <c r="N830" t="inlineStr">
        <is>
          <t>Paid</t>
        </is>
      </c>
      <c r="O830" t="inlineStr">
        <is>
          <t>Paid</t>
        </is>
      </c>
      <c r="P830" t="n">
        <v>1463.56</v>
      </c>
      <c r="Q830" t="n">
        <v>1463.56</v>
      </c>
      <c r="R830" t="b">
        <v>0</v>
      </c>
    </row>
    <row r="831">
      <c r="A831" t="inlineStr">
        <is>
          <t>INV0018228</t>
        </is>
      </c>
      <c r="B831" t="inlineStr">
        <is>
          <t>MER00861</t>
        </is>
      </c>
      <c r="C831" t="inlineStr">
        <is>
          <t>2024-09-01</t>
        </is>
      </c>
      <c r="D831" t="inlineStr">
        <is>
          <t>2024-09-30</t>
        </is>
      </c>
      <c r="E831" s="8" t="n">
        <v>45567</v>
      </c>
      <c r="F831" s="8" t="n">
        <v>45582</v>
      </c>
      <c r="G831" t="n">
        <v>814.5599999999999</v>
      </c>
      <c r="H831" t="n">
        <v>0</v>
      </c>
      <c r="I831" t="n">
        <v>814.5599999999999</v>
      </c>
      <c r="J831" t="n">
        <v>0.18</v>
      </c>
      <c r="K831" t="n">
        <v>146.62</v>
      </c>
      <c r="L831" t="n">
        <v>961.1799999999999</v>
      </c>
      <c r="M831" t="inlineStr">
        <is>
          <t>INR</t>
        </is>
      </c>
      <c r="N831" t="inlineStr">
        <is>
          <t>Paid</t>
        </is>
      </c>
      <c r="O831" t="inlineStr">
        <is>
          <t>Paid</t>
        </is>
      </c>
      <c r="P831" t="n">
        <v>814.5599999999999</v>
      </c>
      <c r="Q831" t="n">
        <v>814.5599999999999</v>
      </c>
      <c r="R831" t="b">
        <v>0</v>
      </c>
    </row>
    <row r="832">
      <c r="A832" t="inlineStr">
        <is>
          <t>INV0018229</t>
        </is>
      </c>
      <c r="B832" t="inlineStr">
        <is>
          <t>MER00861</t>
        </is>
      </c>
      <c r="C832" t="inlineStr">
        <is>
          <t>2024-10-01</t>
        </is>
      </c>
      <c r="D832" t="inlineStr">
        <is>
          <t>2024-10-31</t>
        </is>
      </c>
      <c r="E832" s="8" t="n">
        <v>45598</v>
      </c>
      <c r="F832" s="8" t="n">
        <v>45613</v>
      </c>
      <c r="G832" t="n">
        <v>1556.34</v>
      </c>
      <c r="H832" t="n">
        <v>88.70999999999999</v>
      </c>
      <c r="I832" t="n">
        <v>1467.63</v>
      </c>
      <c r="J832" t="n">
        <v>0.18</v>
      </c>
      <c r="K832" t="n">
        <v>264.17</v>
      </c>
      <c r="L832" t="n">
        <v>1731.8</v>
      </c>
      <c r="M832" t="inlineStr">
        <is>
          <t>INR</t>
        </is>
      </c>
      <c r="N832" t="inlineStr">
        <is>
          <t>Overdue</t>
        </is>
      </c>
      <c r="O832" t="inlineStr">
        <is>
          <t>Partially Paid</t>
        </is>
      </c>
      <c r="P832" t="n">
        <v>1556.34</v>
      </c>
      <c r="Q832" t="n">
        <v>1556.34</v>
      </c>
      <c r="R832" t="b">
        <v>0</v>
      </c>
    </row>
    <row r="833">
      <c r="A833" t="inlineStr">
        <is>
          <t>INV0018230</t>
        </is>
      </c>
      <c r="B833" t="inlineStr">
        <is>
          <t>MER00861</t>
        </is>
      </c>
      <c r="C833" t="inlineStr">
        <is>
          <t>2024-11-01</t>
        </is>
      </c>
      <c r="D833" t="inlineStr">
        <is>
          <t>2024-11-30</t>
        </is>
      </c>
      <c r="E833" s="8" t="n">
        <v>45628</v>
      </c>
      <c r="F833" s="8" t="n">
        <v>45643</v>
      </c>
      <c r="G833" t="n">
        <v>1588.09</v>
      </c>
      <c r="H833" t="n">
        <v>0</v>
      </c>
      <c r="I833" t="n">
        <v>1588.09</v>
      </c>
      <c r="J833" t="n">
        <v>0.18</v>
      </c>
      <c r="K833" t="n">
        <v>285.86</v>
      </c>
      <c r="L833" t="n">
        <v>1873.95</v>
      </c>
      <c r="M833" t="inlineStr">
        <is>
          <t>INR</t>
        </is>
      </c>
      <c r="N833" t="inlineStr">
        <is>
          <t>Overdue</t>
        </is>
      </c>
      <c r="O833" t="inlineStr">
        <is>
          <t>Unpaid</t>
        </is>
      </c>
      <c r="P833" t="n">
        <v>1588.09</v>
      </c>
      <c r="Q833" t="n">
        <v>1588.09</v>
      </c>
      <c r="R833" t="b">
        <v>0</v>
      </c>
    </row>
    <row r="834">
      <c r="A834" t="inlineStr">
        <is>
          <t>INV0018231</t>
        </is>
      </c>
      <c r="B834" t="inlineStr">
        <is>
          <t>MER00861</t>
        </is>
      </c>
      <c r="C834" t="inlineStr">
        <is>
          <t>2024-12-01</t>
        </is>
      </c>
      <c r="D834" t="inlineStr">
        <is>
          <t>2024-12-31</t>
        </is>
      </c>
      <c r="E834" s="8" t="n">
        <v>45659</v>
      </c>
      <c r="F834" s="8" t="n">
        <v>45674</v>
      </c>
      <c r="G834" t="n">
        <v>1116.81</v>
      </c>
      <c r="H834" t="n">
        <v>0</v>
      </c>
      <c r="I834" t="n">
        <v>1116.81</v>
      </c>
      <c r="J834" t="n">
        <v>0.18</v>
      </c>
      <c r="K834" t="n">
        <v>201.03</v>
      </c>
      <c r="L834" t="n">
        <v>1317.84</v>
      </c>
      <c r="M834" t="inlineStr">
        <is>
          <t>INR</t>
        </is>
      </c>
      <c r="N834" t="inlineStr">
        <is>
          <t>Paid</t>
        </is>
      </c>
      <c r="O834" t="inlineStr">
        <is>
          <t>Paid</t>
        </is>
      </c>
      <c r="P834" t="n">
        <v>1116.81</v>
      </c>
      <c r="Q834" t="n">
        <v>1116.81</v>
      </c>
      <c r="R834" t="b">
        <v>0</v>
      </c>
    </row>
    <row r="835">
      <c r="A835" t="inlineStr">
        <is>
          <t>INV0018232</t>
        </is>
      </c>
      <c r="B835" t="inlineStr">
        <is>
          <t>MER00861</t>
        </is>
      </c>
      <c r="C835" t="inlineStr">
        <is>
          <t>2025-01-01</t>
        </is>
      </c>
      <c r="D835" t="inlineStr">
        <is>
          <t>2025-01-31</t>
        </is>
      </c>
      <c r="E835" s="8" t="n">
        <v>45690</v>
      </c>
      <c r="F835" s="8" t="n">
        <v>45705</v>
      </c>
      <c r="G835" t="n">
        <v>919.29</v>
      </c>
      <c r="H835" t="n">
        <v>0</v>
      </c>
      <c r="I835" t="n">
        <v>919.29</v>
      </c>
      <c r="J835" t="n">
        <v>0.18</v>
      </c>
      <c r="K835" t="n">
        <v>165.47</v>
      </c>
      <c r="L835" t="n">
        <v>1084.76</v>
      </c>
      <c r="M835" t="inlineStr">
        <is>
          <t>INR</t>
        </is>
      </c>
      <c r="N835" t="inlineStr">
        <is>
          <t>Overdue</t>
        </is>
      </c>
      <c r="O835" t="inlineStr">
        <is>
          <t>Unpaid</t>
        </is>
      </c>
      <c r="P835" t="n">
        <v>919.29</v>
      </c>
      <c r="Q835" t="n">
        <v>919.29</v>
      </c>
      <c r="R835" t="b">
        <v>0</v>
      </c>
    </row>
    <row r="836">
      <c r="A836" t="inlineStr">
        <is>
          <t>INV0018233</t>
        </is>
      </c>
      <c r="B836" t="inlineStr">
        <is>
          <t>MER00861</t>
        </is>
      </c>
      <c r="C836" t="inlineStr">
        <is>
          <t>2025-02-01</t>
        </is>
      </c>
      <c r="D836" t="inlineStr">
        <is>
          <t>2025-02-28</t>
        </is>
      </c>
      <c r="E836" s="8" t="n">
        <v>45718</v>
      </c>
      <c r="F836" s="8" t="n">
        <v>45733</v>
      </c>
      <c r="G836" t="n">
        <v>1030.88</v>
      </c>
      <c r="H836" t="n">
        <v>0</v>
      </c>
      <c r="I836" t="n">
        <v>1030.88</v>
      </c>
      <c r="J836" t="n">
        <v>0.18</v>
      </c>
      <c r="K836" t="n">
        <v>185.56</v>
      </c>
      <c r="L836" t="n">
        <v>1216.44</v>
      </c>
      <c r="M836" t="inlineStr">
        <is>
          <t>INR</t>
        </is>
      </c>
      <c r="N836" t="inlineStr">
        <is>
          <t>Paid</t>
        </is>
      </c>
      <c r="O836" t="inlineStr">
        <is>
          <t>Paid</t>
        </is>
      </c>
      <c r="P836" t="n">
        <v>1030.88</v>
      </c>
      <c r="Q836" t="n">
        <v>1030.88</v>
      </c>
      <c r="R836" t="b">
        <v>0</v>
      </c>
    </row>
    <row r="837">
      <c r="A837" t="inlineStr">
        <is>
          <t>INV0018234</t>
        </is>
      </c>
      <c r="B837" t="inlineStr">
        <is>
          <t>MER00861</t>
        </is>
      </c>
      <c r="C837" t="inlineStr">
        <is>
          <t>2025-03-01</t>
        </is>
      </c>
      <c r="D837" t="inlineStr">
        <is>
          <t>2025-03-31</t>
        </is>
      </c>
      <c r="E837" s="8" t="n">
        <v>45749</v>
      </c>
      <c r="F837" s="8" t="n">
        <v>45764</v>
      </c>
      <c r="G837" t="n">
        <v>908.48</v>
      </c>
      <c r="H837" t="n">
        <v>0</v>
      </c>
      <c r="I837" t="n">
        <v>908.48</v>
      </c>
      <c r="J837" t="n">
        <v>0.18</v>
      </c>
      <c r="K837" t="n">
        <v>163.53</v>
      </c>
      <c r="L837" t="n">
        <v>1072.01</v>
      </c>
      <c r="M837" t="inlineStr">
        <is>
          <t>INR</t>
        </is>
      </c>
      <c r="N837" t="inlineStr">
        <is>
          <t>Overdue</t>
        </is>
      </c>
      <c r="O837" t="inlineStr">
        <is>
          <t>Unpaid</t>
        </is>
      </c>
      <c r="P837" t="n">
        <v>908.48</v>
      </c>
      <c r="Q837" t="n">
        <v>908.48</v>
      </c>
      <c r="R837" t="b">
        <v>0</v>
      </c>
    </row>
    <row r="838">
      <c r="A838" t="inlineStr">
        <is>
          <t>INV0018235</t>
        </is>
      </c>
      <c r="B838" t="inlineStr">
        <is>
          <t>MER00861</t>
        </is>
      </c>
      <c r="C838" t="inlineStr">
        <is>
          <t>2025-04-01</t>
        </is>
      </c>
      <c r="D838" t="inlineStr">
        <is>
          <t>2025-04-30</t>
        </is>
      </c>
      <c r="E838" s="8" t="n">
        <v>45779</v>
      </c>
      <c r="F838" s="8" t="n">
        <v>45794</v>
      </c>
      <c r="G838" t="n">
        <v>1150.31</v>
      </c>
      <c r="H838" t="n">
        <v>0</v>
      </c>
      <c r="I838" t="n">
        <v>1150.31</v>
      </c>
      <c r="J838" t="n">
        <v>0.18</v>
      </c>
      <c r="K838" t="n">
        <v>207.06</v>
      </c>
      <c r="L838" t="n">
        <v>1357.37</v>
      </c>
      <c r="M838" t="inlineStr">
        <is>
          <t>INR</t>
        </is>
      </c>
      <c r="N838" t="inlineStr">
        <is>
          <t>Paid</t>
        </is>
      </c>
      <c r="O838" t="inlineStr">
        <is>
          <t>Paid</t>
        </is>
      </c>
      <c r="P838" t="n">
        <v>1150.31</v>
      </c>
      <c r="Q838" t="n">
        <v>1150.31</v>
      </c>
      <c r="R838" t="b">
        <v>0</v>
      </c>
    </row>
    <row r="839">
      <c r="A839" t="inlineStr">
        <is>
          <t>INV0018236</t>
        </is>
      </c>
      <c r="B839" t="inlineStr">
        <is>
          <t>MER00861</t>
        </is>
      </c>
      <c r="C839" t="inlineStr">
        <is>
          <t>2025-05-01</t>
        </is>
      </c>
      <c r="D839" t="inlineStr">
        <is>
          <t>2025-05-31</t>
        </is>
      </c>
      <c r="E839" s="8" t="n">
        <v>45810</v>
      </c>
      <c r="F839" s="8" t="n">
        <v>45825</v>
      </c>
      <c r="G839" t="n">
        <v>1585.09</v>
      </c>
      <c r="H839" t="n">
        <v>0</v>
      </c>
      <c r="I839" t="n">
        <v>1585.09</v>
      </c>
      <c r="J839" t="n">
        <v>0.18</v>
      </c>
      <c r="K839" t="n">
        <v>285.32</v>
      </c>
      <c r="L839" t="n">
        <v>1870.41</v>
      </c>
      <c r="M839" t="inlineStr">
        <is>
          <t>INR</t>
        </is>
      </c>
      <c r="N839" t="inlineStr">
        <is>
          <t>Overdue</t>
        </is>
      </c>
      <c r="O839" t="inlineStr">
        <is>
          <t>Partially Paid</t>
        </is>
      </c>
      <c r="P839" t="n">
        <v>2063.62</v>
      </c>
      <c r="Q839" t="n">
        <v>1585.09</v>
      </c>
      <c r="R839" t="b">
        <v>1</v>
      </c>
    </row>
    <row r="840">
      <c r="A840" t="inlineStr">
        <is>
          <t>INV0018237</t>
        </is>
      </c>
      <c r="B840" t="inlineStr">
        <is>
          <t>MER00861</t>
        </is>
      </c>
      <c r="C840" t="inlineStr">
        <is>
          <t>2025-06-01</t>
        </is>
      </c>
      <c r="D840" t="inlineStr">
        <is>
          <t>2025-06-30</t>
        </is>
      </c>
      <c r="E840" s="8" t="n">
        <v>45840</v>
      </c>
      <c r="F840" s="8" t="n">
        <v>45855</v>
      </c>
      <c r="G840" t="n">
        <v>1287.44</v>
      </c>
      <c r="H840" t="n">
        <v>0</v>
      </c>
      <c r="I840" t="n">
        <v>1287.44</v>
      </c>
      <c r="J840" t="n">
        <v>0.18</v>
      </c>
      <c r="K840" t="n">
        <v>231.74</v>
      </c>
      <c r="L840" t="n">
        <v>1519.18</v>
      </c>
      <c r="M840" t="inlineStr">
        <is>
          <t>INR</t>
        </is>
      </c>
      <c r="N840" t="inlineStr">
        <is>
          <t>Overdue</t>
        </is>
      </c>
      <c r="O840" t="inlineStr">
        <is>
          <t>Unpaid</t>
        </is>
      </c>
      <c r="P840" t="n">
        <v>1287.44</v>
      </c>
      <c r="Q840" t="n">
        <v>1287.44</v>
      </c>
      <c r="R840" t="b">
        <v>0</v>
      </c>
    </row>
    <row r="841">
      <c r="A841" t="inlineStr">
        <is>
          <t>INV0018238</t>
        </is>
      </c>
      <c r="B841" t="inlineStr">
        <is>
          <t>MER00861</t>
        </is>
      </c>
      <c r="C841" t="inlineStr">
        <is>
          <t>2025-07-01</t>
        </is>
      </c>
      <c r="D841" t="inlineStr">
        <is>
          <t>2025-07-31</t>
        </is>
      </c>
      <c r="E841" s="8" t="n">
        <v>45871</v>
      </c>
      <c r="F841" s="8" t="n">
        <v>45886</v>
      </c>
      <c r="G841" t="n">
        <v>1685.63</v>
      </c>
      <c r="H841" t="n">
        <v>0</v>
      </c>
      <c r="I841" t="n">
        <v>1685.63</v>
      </c>
      <c r="J841" t="n">
        <v>0.18</v>
      </c>
      <c r="K841" t="n">
        <v>303.41</v>
      </c>
      <c r="L841" t="n">
        <v>1989.04</v>
      </c>
      <c r="M841" t="inlineStr">
        <is>
          <t>INR</t>
        </is>
      </c>
      <c r="N841" t="inlineStr">
        <is>
          <t>Overdue</t>
        </is>
      </c>
      <c r="O841" t="inlineStr">
        <is>
          <t>Unpaid</t>
        </is>
      </c>
      <c r="P841" t="n">
        <v>1685.63</v>
      </c>
      <c r="Q841" t="n">
        <v>1685.63</v>
      </c>
      <c r="R841" t="b">
        <v>0</v>
      </c>
    </row>
    <row r="842">
      <c r="A842" t="inlineStr">
        <is>
          <t>INV0018239</t>
        </is>
      </c>
      <c r="B842" t="inlineStr">
        <is>
          <t>MER00861</t>
        </is>
      </c>
      <c r="C842" t="inlineStr">
        <is>
          <t>2025-08-01</t>
        </is>
      </c>
      <c r="D842" t="inlineStr">
        <is>
          <t>2025-08-31</t>
        </is>
      </c>
      <c r="E842" s="8" t="n">
        <v>45902</v>
      </c>
      <c r="F842" s="8" t="n">
        <v>45917</v>
      </c>
      <c r="G842" t="n">
        <v>828.77</v>
      </c>
      <c r="H842" t="n">
        <v>0</v>
      </c>
      <c r="I842" t="n">
        <v>828.77</v>
      </c>
      <c r="J842" t="n">
        <v>0.18</v>
      </c>
      <c r="K842" t="n">
        <v>149.18</v>
      </c>
      <c r="L842" t="n">
        <v>977.95</v>
      </c>
      <c r="M842" t="inlineStr">
        <is>
          <t>INR</t>
        </is>
      </c>
      <c r="N842" t="inlineStr">
        <is>
          <t>Paid</t>
        </is>
      </c>
      <c r="O842" t="inlineStr">
        <is>
          <t>Paid</t>
        </is>
      </c>
      <c r="P842" t="n">
        <v>828.77</v>
      </c>
      <c r="Q842" t="n">
        <v>828.77</v>
      </c>
      <c r="R842" t="b">
        <v>0</v>
      </c>
    </row>
    <row r="843">
      <c r="A843" t="inlineStr">
        <is>
          <t>INV0018240</t>
        </is>
      </c>
      <c r="B843" t="inlineStr">
        <is>
          <t>MER00861</t>
        </is>
      </c>
      <c r="C843" t="inlineStr">
        <is>
          <t>2025-09-01</t>
        </is>
      </c>
      <c r="D843" t="inlineStr">
        <is>
          <t>2025-09-30</t>
        </is>
      </c>
      <c r="E843" s="8" t="n">
        <v>45932</v>
      </c>
      <c r="F843" s="8" t="n">
        <v>45947</v>
      </c>
      <c r="G843" t="n">
        <v>1209.05</v>
      </c>
      <c r="H843" t="n">
        <v>0</v>
      </c>
      <c r="I843" t="n">
        <v>1209.05</v>
      </c>
      <c r="J843" t="n">
        <v>0.18</v>
      </c>
      <c r="K843" t="n">
        <v>217.63</v>
      </c>
      <c r="L843" t="n">
        <v>1426.68</v>
      </c>
      <c r="M843" t="inlineStr">
        <is>
          <t>INR</t>
        </is>
      </c>
      <c r="N843" t="inlineStr">
        <is>
          <t>Paid</t>
        </is>
      </c>
      <c r="O843" t="inlineStr">
        <is>
          <t>Paid</t>
        </is>
      </c>
      <c r="P843" t="n">
        <v>1209.05</v>
      </c>
      <c r="Q843" t="n">
        <v>1209.05</v>
      </c>
      <c r="R843" t="b">
        <v>0</v>
      </c>
    </row>
    <row r="844">
      <c r="A844" t="inlineStr">
        <is>
          <t>INV0018241</t>
        </is>
      </c>
      <c r="B844" t="inlineStr">
        <is>
          <t>MER00861</t>
        </is>
      </c>
      <c r="C844" t="inlineStr">
        <is>
          <t>2025-10-01</t>
        </is>
      </c>
      <c r="D844" t="inlineStr">
        <is>
          <t>2025-10-31</t>
        </is>
      </c>
      <c r="E844" s="8" t="n">
        <v>45963</v>
      </c>
      <c r="F844" s="8" t="n">
        <v>45978</v>
      </c>
      <c r="G844" t="n">
        <v>1011.9</v>
      </c>
      <c r="H844" t="n">
        <v>0</v>
      </c>
      <c r="I844" t="n">
        <v>1011.9</v>
      </c>
      <c r="J844" t="n">
        <v>0.18</v>
      </c>
      <c r="K844" t="n">
        <v>182.14</v>
      </c>
      <c r="L844" t="n">
        <v>1194.04</v>
      </c>
      <c r="M844" t="inlineStr">
        <is>
          <t>INR</t>
        </is>
      </c>
      <c r="N844" t="inlineStr">
        <is>
          <t>Paid</t>
        </is>
      </c>
      <c r="O844" t="inlineStr">
        <is>
          <t>Paid</t>
        </is>
      </c>
      <c r="P844" t="n">
        <v>1271.92</v>
      </c>
      <c r="Q844" t="n">
        <v>1011.9</v>
      </c>
      <c r="R844" t="b">
        <v>1</v>
      </c>
    </row>
    <row r="845">
      <c r="A845" t="inlineStr">
        <is>
          <t>INV0018242</t>
        </is>
      </c>
      <c r="B845" t="inlineStr">
        <is>
          <t>MER00861</t>
        </is>
      </c>
      <c r="C845" t="inlineStr">
        <is>
          <t>2025-11-01</t>
        </is>
      </c>
      <c r="D845" t="inlineStr">
        <is>
          <t>2025-11-30</t>
        </is>
      </c>
      <c r="E845" s="8" t="n">
        <v>45993</v>
      </c>
      <c r="F845" s="8" t="n">
        <v>46008</v>
      </c>
      <c r="G845" t="n">
        <v>2275.18</v>
      </c>
      <c r="H845" t="n">
        <v>0</v>
      </c>
      <c r="I845" t="n">
        <v>2275.18</v>
      </c>
      <c r="J845" t="n">
        <v>0.18</v>
      </c>
      <c r="K845" t="n">
        <v>409.53</v>
      </c>
      <c r="L845" t="n">
        <v>2684.71</v>
      </c>
      <c r="M845" t="inlineStr">
        <is>
          <t>INR</t>
        </is>
      </c>
      <c r="N845" t="inlineStr">
        <is>
          <t>Paid</t>
        </is>
      </c>
      <c r="O845" t="inlineStr">
        <is>
          <t>Paid</t>
        </is>
      </c>
      <c r="P845" t="n">
        <v>2275.18</v>
      </c>
      <c r="Q845" t="n">
        <v>2275.18</v>
      </c>
      <c r="R845" t="b">
        <v>0</v>
      </c>
    </row>
    <row r="846">
      <c r="A846" t="inlineStr">
        <is>
          <t>INV0018243</t>
        </is>
      </c>
      <c r="B846" t="inlineStr">
        <is>
          <t>MER00861</t>
        </is>
      </c>
      <c r="C846" t="inlineStr">
        <is>
          <t>2025-12-01</t>
        </is>
      </c>
      <c r="D846" t="inlineStr">
        <is>
          <t>2025-12-31</t>
        </is>
      </c>
      <c r="E846" s="8" t="n">
        <v>46024</v>
      </c>
      <c r="F846" s="8" t="n">
        <v>46039</v>
      </c>
      <c r="G846" t="n">
        <v>1157.92</v>
      </c>
      <c r="H846" t="n">
        <v>0</v>
      </c>
      <c r="I846" t="n">
        <v>1157.92</v>
      </c>
      <c r="J846" t="n">
        <v>0.18</v>
      </c>
      <c r="K846" t="n">
        <v>208.43</v>
      </c>
      <c r="L846" t="n">
        <v>1366.35</v>
      </c>
      <c r="M846" t="inlineStr">
        <is>
          <t>INR</t>
        </is>
      </c>
      <c r="N846" t="inlineStr">
        <is>
          <t>Paid</t>
        </is>
      </c>
      <c r="O846" t="inlineStr">
        <is>
          <t>Paid</t>
        </is>
      </c>
      <c r="P846" t="n">
        <v>1157.92</v>
      </c>
      <c r="Q846" t="n">
        <v>1157.92</v>
      </c>
      <c r="R846" t="b">
        <v>0</v>
      </c>
    </row>
    <row r="847">
      <c r="A847" t="inlineStr">
        <is>
          <t>INV0018244</t>
        </is>
      </c>
      <c r="B847" t="inlineStr">
        <is>
          <t>MER00861</t>
        </is>
      </c>
      <c r="C847" t="inlineStr">
        <is>
          <t>2026-01-01</t>
        </is>
      </c>
      <c r="D847" t="inlineStr">
        <is>
          <t>2026-01-31</t>
        </is>
      </c>
      <c r="E847" s="8" t="n">
        <v>46055</v>
      </c>
      <c r="F847" s="8" t="n">
        <v>46070</v>
      </c>
      <c r="G847" t="n">
        <v>1416.98</v>
      </c>
      <c r="H847" t="n">
        <v>0</v>
      </c>
      <c r="I847" t="n">
        <v>1416.98</v>
      </c>
      <c r="J847" t="n">
        <v>0.18</v>
      </c>
      <c r="K847" t="n">
        <v>255.06</v>
      </c>
      <c r="L847" t="n">
        <v>1672.04</v>
      </c>
      <c r="M847" t="inlineStr">
        <is>
          <t>INR</t>
        </is>
      </c>
      <c r="N847" t="inlineStr">
        <is>
          <t>Paid</t>
        </is>
      </c>
      <c r="O847" t="inlineStr">
        <is>
          <t>Paid</t>
        </is>
      </c>
      <c r="P847" t="n">
        <v>1416.98</v>
      </c>
      <c r="Q847" t="n">
        <v>1416.98</v>
      </c>
      <c r="R847" t="b">
        <v>0</v>
      </c>
    </row>
    <row r="848">
      <c r="A848" t="inlineStr">
        <is>
          <t>INV0018245</t>
        </is>
      </c>
      <c r="B848" t="inlineStr">
        <is>
          <t>MER00861</t>
        </is>
      </c>
      <c r="C848" t="inlineStr">
        <is>
          <t>2026-02-01</t>
        </is>
      </c>
      <c r="D848" t="inlineStr">
        <is>
          <t>2026-02-28</t>
        </is>
      </c>
      <c r="E848" s="8" t="n">
        <v>46083</v>
      </c>
      <c r="F848" s="8" t="n">
        <v>46098</v>
      </c>
      <c r="G848" t="n">
        <v>1162.44</v>
      </c>
      <c r="H848" t="n">
        <v>0</v>
      </c>
      <c r="I848" t="n">
        <v>1162.44</v>
      </c>
      <c r="J848" t="n">
        <v>0.18</v>
      </c>
      <c r="K848" t="n">
        <v>209.24</v>
      </c>
      <c r="L848" t="n">
        <v>1371.68</v>
      </c>
      <c r="M848" t="inlineStr">
        <is>
          <t>INR</t>
        </is>
      </c>
      <c r="N848" t="inlineStr">
        <is>
          <t>Paid</t>
        </is>
      </c>
      <c r="O848" t="inlineStr">
        <is>
          <t>Paid</t>
        </is>
      </c>
      <c r="P848" t="n">
        <v>1162.44</v>
      </c>
      <c r="Q848" t="n">
        <v>1162.44</v>
      </c>
      <c r="R848" t="b">
        <v>0</v>
      </c>
    </row>
    <row r="849">
      <c r="A849" t="inlineStr">
        <is>
          <t>INV0018246</t>
        </is>
      </c>
      <c r="B849" t="inlineStr">
        <is>
          <t>MER00861</t>
        </is>
      </c>
      <c r="C849" t="inlineStr">
        <is>
          <t>2026-03-01</t>
        </is>
      </c>
      <c r="D849" t="inlineStr">
        <is>
          <t>2026-03-31</t>
        </is>
      </c>
      <c r="E849" s="8" t="n">
        <v>46114</v>
      </c>
      <c r="F849" s="8" t="n">
        <v>46129</v>
      </c>
      <c r="G849" t="n">
        <v>557.34</v>
      </c>
      <c r="H849" t="n">
        <v>0</v>
      </c>
      <c r="I849" t="n">
        <v>557.34</v>
      </c>
      <c r="J849" t="n">
        <v>0.18</v>
      </c>
      <c r="K849" t="n">
        <v>100.32</v>
      </c>
      <c r="L849" t="n">
        <v>657.66</v>
      </c>
      <c r="M849" t="inlineStr">
        <is>
          <t>INR</t>
        </is>
      </c>
      <c r="N849" t="inlineStr">
        <is>
          <t>Paid</t>
        </is>
      </c>
      <c r="O849" t="inlineStr">
        <is>
          <t>Paid</t>
        </is>
      </c>
      <c r="P849" t="n">
        <v>557.34</v>
      </c>
      <c r="Q849" t="n">
        <v>557.34</v>
      </c>
      <c r="R849" t="b">
        <v>0</v>
      </c>
    </row>
    <row r="850">
      <c r="A850" t="inlineStr">
        <is>
          <t>INV0018247</t>
        </is>
      </c>
      <c r="B850" t="inlineStr">
        <is>
          <t>MER00861</t>
        </is>
      </c>
      <c r="C850" t="inlineStr">
        <is>
          <t>2026-04-01</t>
        </is>
      </c>
      <c r="D850" t="inlineStr">
        <is>
          <t>2026-04-30</t>
        </is>
      </c>
      <c r="E850" s="8" t="n">
        <v>46144</v>
      </c>
      <c r="F850" s="8" t="n">
        <v>46159</v>
      </c>
      <c r="G850" t="n">
        <v>1473.64</v>
      </c>
      <c r="H850" t="n">
        <v>0</v>
      </c>
      <c r="I850" t="n">
        <v>1473.64</v>
      </c>
      <c r="J850" t="n">
        <v>0.18</v>
      </c>
      <c r="K850" t="n">
        <v>265.26</v>
      </c>
      <c r="L850" t="n">
        <v>1738.9</v>
      </c>
      <c r="M850" t="inlineStr">
        <is>
          <t>INR</t>
        </is>
      </c>
      <c r="N850" t="inlineStr">
        <is>
          <t>Paid</t>
        </is>
      </c>
      <c r="O850" t="inlineStr">
        <is>
          <t>Paid</t>
        </is>
      </c>
      <c r="P850" t="n">
        <v>1473.64</v>
      </c>
      <c r="Q850" t="n">
        <v>1473.64</v>
      </c>
      <c r="R850" t="b">
        <v>0</v>
      </c>
    </row>
    <row r="851">
      <c r="A851" t="inlineStr">
        <is>
          <t>INV0018248</t>
        </is>
      </c>
      <c r="B851" t="inlineStr">
        <is>
          <t>MER00861</t>
        </is>
      </c>
      <c r="C851" t="inlineStr">
        <is>
          <t>2026-05-01</t>
        </is>
      </c>
      <c r="D851" t="inlineStr">
        <is>
          <t>2026-05-31</t>
        </is>
      </c>
      <c r="E851" s="8" t="n">
        <v>46175</v>
      </c>
      <c r="F851" s="8" t="n">
        <v>46190</v>
      </c>
      <c r="G851" t="n">
        <v>1129.41</v>
      </c>
      <c r="H851" t="n">
        <v>0</v>
      </c>
      <c r="I851" t="n">
        <v>1129.41</v>
      </c>
      <c r="J851" t="n">
        <v>0.18</v>
      </c>
      <c r="K851" t="n">
        <v>203.29</v>
      </c>
      <c r="L851" t="n">
        <v>1332.7</v>
      </c>
      <c r="M851" t="inlineStr">
        <is>
          <t>INR</t>
        </is>
      </c>
      <c r="N851" t="inlineStr">
        <is>
          <t>Paid</t>
        </is>
      </c>
      <c r="O851" t="inlineStr">
        <is>
          <t>Paid</t>
        </is>
      </c>
      <c r="P851" t="n">
        <v>1129.41</v>
      </c>
      <c r="Q851" t="n">
        <v>1129.41</v>
      </c>
      <c r="R851" t="b">
        <v>0</v>
      </c>
    </row>
    <row r="852">
      <c r="A852" t="inlineStr">
        <is>
          <t>INV0018249</t>
        </is>
      </c>
      <c r="B852" t="inlineStr">
        <is>
          <t>MER00861</t>
        </is>
      </c>
      <c r="C852" t="inlineStr">
        <is>
          <t>2026-06-01</t>
        </is>
      </c>
      <c r="D852" t="inlineStr">
        <is>
          <t>2026-06-30</t>
        </is>
      </c>
      <c r="E852" s="8" t="n">
        <v>46205</v>
      </c>
      <c r="F852" s="8" t="n">
        <v>46220</v>
      </c>
      <c r="G852" t="n">
        <v>1007.5</v>
      </c>
      <c r="H852" t="n">
        <v>0</v>
      </c>
      <c r="I852" t="n">
        <v>1007.5</v>
      </c>
      <c r="J852" t="n">
        <v>0.18</v>
      </c>
      <c r="K852" t="n">
        <v>181.35</v>
      </c>
      <c r="L852" t="n">
        <v>1188.85</v>
      </c>
      <c r="M852" t="inlineStr">
        <is>
          <t>INR</t>
        </is>
      </c>
      <c r="N852" t="inlineStr">
        <is>
          <t>Paid</t>
        </is>
      </c>
      <c r="O852" t="inlineStr">
        <is>
          <t>Paid</t>
        </is>
      </c>
      <c r="P852" t="n">
        <v>1007.5</v>
      </c>
      <c r="Q852" t="n">
        <v>1007.5</v>
      </c>
      <c r="R852" t="b">
        <v>0</v>
      </c>
    </row>
    <row r="853">
      <c r="A853" t="inlineStr">
        <is>
          <t>INV0018250</t>
        </is>
      </c>
      <c r="B853" t="inlineStr">
        <is>
          <t>MER00861</t>
        </is>
      </c>
      <c r="C853" t="inlineStr">
        <is>
          <t>2026-07-01</t>
        </is>
      </c>
      <c r="D853" t="inlineStr">
        <is>
          <t>2026-07-31</t>
        </is>
      </c>
      <c r="E853" s="8" t="n">
        <v>46236</v>
      </c>
      <c r="F853" s="8" t="n">
        <v>46251</v>
      </c>
      <c r="G853" t="n">
        <v>1346.28</v>
      </c>
      <c r="H853" t="n">
        <v>0</v>
      </c>
      <c r="I853" t="n">
        <v>1346.28</v>
      </c>
      <c r="J853" t="n">
        <v>0.18</v>
      </c>
      <c r="K853" t="n">
        <v>242.33</v>
      </c>
      <c r="L853" t="n">
        <v>1588.61</v>
      </c>
      <c r="M853" t="inlineStr">
        <is>
          <t>INR</t>
        </is>
      </c>
      <c r="N853" t="inlineStr">
        <is>
          <t>Paid</t>
        </is>
      </c>
      <c r="O853" t="inlineStr">
        <is>
          <t>Paid</t>
        </is>
      </c>
      <c r="P853" t="n">
        <v>1619.59</v>
      </c>
      <c r="Q853" t="n">
        <v>1346.28</v>
      </c>
      <c r="R853" t="b">
        <v>1</v>
      </c>
    </row>
    <row r="854">
      <c r="A854" t="inlineStr">
        <is>
          <t>INV0018395</t>
        </is>
      </c>
      <c r="B854" t="inlineStr">
        <is>
          <t>MER00870</t>
        </is>
      </c>
      <c r="C854" t="inlineStr">
        <is>
          <t>2024-09-01</t>
        </is>
      </c>
      <c r="D854" t="inlineStr">
        <is>
          <t>2024-09-30</t>
        </is>
      </c>
      <c r="E854" s="8" t="n">
        <v>45567</v>
      </c>
      <c r="F854" s="8" t="n">
        <v>45597</v>
      </c>
      <c r="G854" t="n">
        <v>209.28</v>
      </c>
      <c r="H854" t="n">
        <v>0</v>
      </c>
      <c r="I854" t="n">
        <v>209.28</v>
      </c>
      <c r="J854" t="n">
        <v>0.18</v>
      </c>
      <c r="K854" t="n">
        <v>37.67</v>
      </c>
      <c r="L854" t="n">
        <v>246.95</v>
      </c>
      <c r="M854" t="inlineStr">
        <is>
          <t>INR</t>
        </is>
      </c>
      <c r="N854" t="inlineStr">
        <is>
          <t>Paid</t>
        </is>
      </c>
      <c r="O854" t="inlineStr">
        <is>
          <t>Paid</t>
        </is>
      </c>
      <c r="P854" t="n">
        <v>209.28</v>
      </c>
      <c r="Q854" t="n">
        <v>209.28</v>
      </c>
      <c r="R854" t="b">
        <v>0</v>
      </c>
    </row>
    <row r="855">
      <c r="A855" t="inlineStr">
        <is>
          <t>INV0018396</t>
        </is>
      </c>
      <c r="B855" t="inlineStr">
        <is>
          <t>MER00870</t>
        </is>
      </c>
      <c r="C855" t="inlineStr">
        <is>
          <t>2024-10-01</t>
        </is>
      </c>
      <c r="D855" t="inlineStr">
        <is>
          <t>2024-10-31</t>
        </is>
      </c>
      <c r="E855" s="8" t="n">
        <v>45598</v>
      </c>
      <c r="F855" s="8" t="n">
        <v>45628</v>
      </c>
      <c r="G855" t="n">
        <v>177.92</v>
      </c>
      <c r="H855" t="n">
        <v>0</v>
      </c>
      <c r="I855" t="n">
        <v>177.92</v>
      </c>
      <c r="J855" t="n">
        <v>0.18</v>
      </c>
      <c r="K855" t="n">
        <v>32.03</v>
      </c>
      <c r="L855" t="n">
        <v>209.95</v>
      </c>
      <c r="M855" t="inlineStr">
        <is>
          <t>INR</t>
        </is>
      </c>
      <c r="N855" t="inlineStr">
        <is>
          <t>Paid</t>
        </is>
      </c>
      <c r="O855" t="inlineStr">
        <is>
          <t>Paid</t>
        </is>
      </c>
      <c r="P855" t="n">
        <v>177.92</v>
      </c>
      <c r="Q855" t="n">
        <v>177.92</v>
      </c>
      <c r="R855" t="b">
        <v>0</v>
      </c>
    </row>
    <row r="856">
      <c r="A856" t="inlineStr">
        <is>
          <t>INV0018397</t>
        </is>
      </c>
      <c r="B856" t="inlineStr">
        <is>
          <t>MER00870</t>
        </is>
      </c>
      <c r="C856" t="inlineStr">
        <is>
          <t>2024-11-01</t>
        </is>
      </c>
      <c r="D856" t="inlineStr">
        <is>
          <t>2024-11-30</t>
        </is>
      </c>
      <c r="E856" s="8" t="n">
        <v>45628</v>
      </c>
      <c r="F856" s="8" t="n">
        <v>45658</v>
      </c>
      <c r="G856" t="n">
        <v>80.41</v>
      </c>
      <c r="H856" t="n">
        <v>0</v>
      </c>
      <c r="I856" t="n">
        <v>80.41</v>
      </c>
      <c r="J856" t="n">
        <v>0.18</v>
      </c>
      <c r="K856" t="n">
        <v>14.47</v>
      </c>
      <c r="L856" t="n">
        <v>94.88</v>
      </c>
      <c r="M856" t="inlineStr">
        <is>
          <t>INR</t>
        </is>
      </c>
      <c r="N856" t="inlineStr">
        <is>
          <t>Paid</t>
        </is>
      </c>
      <c r="O856" t="inlineStr">
        <is>
          <t>Paid</t>
        </is>
      </c>
      <c r="P856" t="n">
        <v>80.41</v>
      </c>
      <c r="Q856" t="n">
        <v>80.41</v>
      </c>
      <c r="R856" t="b">
        <v>0</v>
      </c>
    </row>
    <row r="857">
      <c r="A857" t="inlineStr">
        <is>
          <t>INV0018398</t>
        </is>
      </c>
      <c r="B857" t="inlineStr">
        <is>
          <t>MER00870</t>
        </is>
      </c>
      <c r="C857" t="inlineStr">
        <is>
          <t>2024-12-01</t>
        </is>
      </c>
      <c r="D857" t="inlineStr">
        <is>
          <t>2024-12-31</t>
        </is>
      </c>
      <c r="E857" s="8" t="n">
        <v>45659</v>
      </c>
      <c r="F857" s="8" t="n">
        <v>45689</v>
      </c>
      <c r="G857" t="n">
        <v>58.67</v>
      </c>
      <c r="H857" t="n">
        <v>0</v>
      </c>
      <c r="I857" t="n">
        <v>58.67</v>
      </c>
      <c r="J857" t="n">
        <v>0.18</v>
      </c>
      <c r="K857" t="n">
        <v>10.56</v>
      </c>
      <c r="L857" t="n">
        <v>69.23</v>
      </c>
      <c r="M857" t="inlineStr">
        <is>
          <t>INR</t>
        </is>
      </c>
      <c r="N857" t="inlineStr">
        <is>
          <t>Paid</t>
        </is>
      </c>
      <c r="O857" t="inlineStr">
        <is>
          <t>Paid</t>
        </is>
      </c>
      <c r="P857" t="n">
        <v>58.67</v>
      </c>
      <c r="Q857" t="n">
        <v>58.67</v>
      </c>
      <c r="R857" t="b">
        <v>0</v>
      </c>
    </row>
    <row r="858">
      <c r="A858" t="inlineStr">
        <is>
          <t>INV0018399</t>
        </is>
      </c>
      <c r="B858" t="inlineStr">
        <is>
          <t>MER00870</t>
        </is>
      </c>
      <c r="C858" t="inlineStr">
        <is>
          <t>2025-01-01</t>
        </is>
      </c>
      <c r="D858" t="inlineStr">
        <is>
          <t>2025-01-31</t>
        </is>
      </c>
      <c r="E858" s="8" t="n">
        <v>45690</v>
      </c>
      <c r="F858" s="8" t="n">
        <v>45720</v>
      </c>
      <c r="G858" t="n">
        <v>462.66</v>
      </c>
      <c r="H858" t="n">
        <v>0</v>
      </c>
      <c r="I858" t="n">
        <v>462.66</v>
      </c>
      <c r="J858" t="n">
        <v>0.18</v>
      </c>
      <c r="K858" t="n">
        <v>83.28</v>
      </c>
      <c r="L858" t="n">
        <v>545.9400000000001</v>
      </c>
      <c r="M858" t="inlineStr">
        <is>
          <t>INR</t>
        </is>
      </c>
      <c r="N858" t="inlineStr">
        <is>
          <t>Paid</t>
        </is>
      </c>
      <c r="O858" t="inlineStr">
        <is>
          <t>Paid</t>
        </is>
      </c>
      <c r="P858" t="n">
        <v>462.66</v>
      </c>
      <c r="Q858" t="n">
        <v>462.66</v>
      </c>
      <c r="R858" t="b">
        <v>0</v>
      </c>
    </row>
    <row r="859">
      <c r="A859" t="inlineStr">
        <is>
          <t>INV0018400</t>
        </is>
      </c>
      <c r="B859" t="inlineStr">
        <is>
          <t>MER00870</t>
        </is>
      </c>
      <c r="C859" t="inlineStr">
        <is>
          <t>2025-02-01</t>
        </is>
      </c>
      <c r="D859" t="inlineStr">
        <is>
          <t>2025-02-28</t>
        </is>
      </c>
      <c r="E859" s="8" t="n">
        <v>45718</v>
      </c>
      <c r="F859" s="8" t="n">
        <v>45748</v>
      </c>
      <c r="G859" t="n">
        <v>181.52</v>
      </c>
      <c r="H859" t="n">
        <v>0</v>
      </c>
      <c r="I859" t="n">
        <v>181.52</v>
      </c>
      <c r="J859" t="n">
        <v>0.18</v>
      </c>
      <c r="K859" t="n">
        <v>32.67</v>
      </c>
      <c r="L859" t="n">
        <v>214.19</v>
      </c>
      <c r="M859" t="inlineStr">
        <is>
          <t>INR</t>
        </is>
      </c>
      <c r="N859" t="inlineStr">
        <is>
          <t>Paid</t>
        </is>
      </c>
      <c r="O859" t="inlineStr">
        <is>
          <t>Paid</t>
        </is>
      </c>
      <c r="P859" t="n">
        <v>235.34</v>
      </c>
      <c r="Q859" t="n">
        <v>181.52</v>
      </c>
      <c r="R859" t="b">
        <v>1</v>
      </c>
    </row>
    <row r="860">
      <c r="A860" t="inlineStr">
        <is>
          <t>INV0018401</t>
        </is>
      </c>
      <c r="B860" t="inlineStr">
        <is>
          <t>MER00870</t>
        </is>
      </c>
      <c r="C860" t="inlineStr">
        <is>
          <t>2025-03-01</t>
        </is>
      </c>
      <c r="D860" t="inlineStr">
        <is>
          <t>2025-03-31</t>
        </is>
      </c>
      <c r="E860" s="8" t="n">
        <v>45749</v>
      </c>
      <c r="F860" s="8" t="n">
        <v>45779</v>
      </c>
      <c r="G860" t="n">
        <v>120.44</v>
      </c>
      <c r="H860" t="n">
        <v>0</v>
      </c>
      <c r="I860" t="n">
        <v>120.44</v>
      </c>
      <c r="J860" t="n">
        <v>0.18</v>
      </c>
      <c r="K860" t="n">
        <v>21.68</v>
      </c>
      <c r="L860" t="n">
        <v>142.12</v>
      </c>
      <c r="M860" t="inlineStr">
        <is>
          <t>INR</t>
        </is>
      </c>
      <c r="N860" t="inlineStr">
        <is>
          <t>Overdue</t>
        </is>
      </c>
      <c r="O860" t="inlineStr">
        <is>
          <t>Unpaid</t>
        </is>
      </c>
      <c r="P860" t="n">
        <v>120.44</v>
      </c>
      <c r="Q860" t="n">
        <v>120.44</v>
      </c>
      <c r="R860" t="b">
        <v>0</v>
      </c>
    </row>
    <row r="861">
      <c r="A861" t="inlineStr">
        <is>
          <t>INV0018402</t>
        </is>
      </c>
      <c r="B861" t="inlineStr">
        <is>
          <t>MER00870</t>
        </is>
      </c>
      <c r="C861" t="inlineStr">
        <is>
          <t>2025-05-01</t>
        </is>
      </c>
      <c r="D861" t="inlineStr">
        <is>
          <t>2025-05-31</t>
        </is>
      </c>
      <c r="E861" s="8" t="n">
        <v>45810</v>
      </c>
      <c r="F861" s="8" t="n">
        <v>45840</v>
      </c>
      <c r="G861" t="n">
        <v>213.56</v>
      </c>
      <c r="H861" t="n">
        <v>0</v>
      </c>
      <c r="I861" t="n">
        <v>213.56</v>
      </c>
      <c r="J861" t="n">
        <v>0.18</v>
      </c>
      <c r="K861" t="n">
        <v>38.44</v>
      </c>
      <c r="L861" t="n">
        <v>252</v>
      </c>
      <c r="M861" t="inlineStr">
        <is>
          <t>INR</t>
        </is>
      </c>
      <c r="N861" t="inlineStr">
        <is>
          <t>Paid</t>
        </is>
      </c>
      <c r="O861" t="inlineStr">
        <is>
          <t>Paid</t>
        </is>
      </c>
      <c r="P861" t="n">
        <v>213.56</v>
      </c>
      <c r="Q861" t="n">
        <v>213.56</v>
      </c>
      <c r="R861" t="b">
        <v>0</v>
      </c>
    </row>
    <row r="862">
      <c r="A862" t="inlineStr">
        <is>
          <t>INV0018403</t>
        </is>
      </c>
      <c r="B862" t="inlineStr">
        <is>
          <t>MER00870</t>
        </is>
      </c>
      <c r="C862" t="inlineStr">
        <is>
          <t>2025-06-01</t>
        </is>
      </c>
      <c r="D862" t="inlineStr">
        <is>
          <t>2025-06-30</t>
        </is>
      </c>
      <c r="E862" s="8" t="n">
        <v>45840</v>
      </c>
      <c r="F862" s="8" t="n">
        <v>45870</v>
      </c>
      <c r="G862" t="n">
        <v>238.98</v>
      </c>
      <c r="H862" t="n">
        <v>0</v>
      </c>
      <c r="I862" t="n">
        <v>238.98</v>
      </c>
      <c r="J862" t="n">
        <v>0.18</v>
      </c>
      <c r="K862" t="n">
        <v>43.02</v>
      </c>
      <c r="L862" t="n">
        <v>282</v>
      </c>
      <c r="M862" t="inlineStr">
        <is>
          <t>INR</t>
        </is>
      </c>
      <c r="N862" t="inlineStr">
        <is>
          <t>Paid</t>
        </is>
      </c>
      <c r="O862" t="inlineStr">
        <is>
          <t>Paid</t>
        </is>
      </c>
      <c r="P862" t="n">
        <v>238.98</v>
      </c>
      <c r="Q862" t="n">
        <v>238.98</v>
      </c>
      <c r="R862" t="b">
        <v>0</v>
      </c>
    </row>
    <row r="863">
      <c r="A863" t="inlineStr">
        <is>
          <t>INV0018404</t>
        </is>
      </c>
      <c r="B863" t="inlineStr">
        <is>
          <t>MER00870</t>
        </is>
      </c>
      <c r="C863" t="inlineStr">
        <is>
          <t>2025-07-01</t>
        </is>
      </c>
      <c r="D863" t="inlineStr">
        <is>
          <t>2025-07-31</t>
        </is>
      </c>
      <c r="E863" s="8" t="n">
        <v>45871</v>
      </c>
      <c r="F863" s="8" t="n">
        <v>45901</v>
      </c>
      <c r="G863" t="n">
        <v>34.98</v>
      </c>
      <c r="H863" t="n">
        <v>0</v>
      </c>
      <c r="I863" t="n">
        <v>34.98</v>
      </c>
      <c r="J863" t="n">
        <v>0.18</v>
      </c>
      <c r="K863" t="n">
        <v>6.3</v>
      </c>
      <c r="L863" t="n">
        <v>41.28</v>
      </c>
      <c r="M863" t="inlineStr">
        <is>
          <t>INR</t>
        </is>
      </c>
      <c r="N863" t="inlineStr">
        <is>
          <t>Paid</t>
        </is>
      </c>
      <c r="O863" t="inlineStr">
        <is>
          <t>Paid</t>
        </is>
      </c>
      <c r="P863" t="n">
        <v>34.98</v>
      </c>
      <c r="Q863" t="n">
        <v>34.98</v>
      </c>
      <c r="R863" t="b">
        <v>0</v>
      </c>
    </row>
    <row r="864">
      <c r="A864" t="inlineStr">
        <is>
          <t>INV0018405</t>
        </is>
      </c>
      <c r="B864" t="inlineStr">
        <is>
          <t>MER00870</t>
        </is>
      </c>
      <c r="C864" t="inlineStr">
        <is>
          <t>2025-08-01</t>
        </is>
      </c>
      <c r="D864" t="inlineStr">
        <is>
          <t>2025-08-31</t>
        </is>
      </c>
      <c r="E864" s="8" t="n">
        <v>45902</v>
      </c>
      <c r="F864" s="8" t="n">
        <v>45932</v>
      </c>
      <c r="G864" t="n">
        <v>223.97</v>
      </c>
      <c r="H864" t="n">
        <v>0</v>
      </c>
      <c r="I864" t="n">
        <v>223.97</v>
      </c>
      <c r="J864" t="n">
        <v>0.18</v>
      </c>
      <c r="K864" t="n">
        <v>40.31</v>
      </c>
      <c r="L864" t="n">
        <v>264.28</v>
      </c>
      <c r="M864" t="inlineStr">
        <is>
          <t>INR</t>
        </is>
      </c>
      <c r="N864" t="inlineStr">
        <is>
          <t>Paid</t>
        </is>
      </c>
      <c r="O864" t="inlineStr">
        <is>
          <t>Paid</t>
        </is>
      </c>
      <c r="P864" t="n">
        <v>223.97</v>
      </c>
      <c r="Q864" t="n">
        <v>223.97</v>
      </c>
      <c r="R864" t="b">
        <v>0</v>
      </c>
    </row>
    <row r="865">
      <c r="A865" t="inlineStr">
        <is>
          <t>INV0018406</t>
        </is>
      </c>
      <c r="B865" t="inlineStr">
        <is>
          <t>MER00870</t>
        </is>
      </c>
      <c r="C865" t="inlineStr">
        <is>
          <t>2025-09-01</t>
        </is>
      </c>
      <c r="D865" t="inlineStr">
        <is>
          <t>2025-09-30</t>
        </is>
      </c>
      <c r="E865" s="8" t="n">
        <v>45932</v>
      </c>
      <c r="F865" s="8" t="n">
        <v>45962</v>
      </c>
      <c r="G865" t="n">
        <v>94.19</v>
      </c>
      <c r="H865" t="n">
        <v>0</v>
      </c>
      <c r="I865" t="n">
        <v>94.19</v>
      </c>
      <c r="J865" t="n">
        <v>0.18</v>
      </c>
      <c r="K865" t="n">
        <v>16.95</v>
      </c>
      <c r="L865" t="n">
        <v>111.14</v>
      </c>
      <c r="M865" t="inlineStr">
        <is>
          <t>INR</t>
        </is>
      </c>
      <c r="N865" t="inlineStr">
        <is>
          <t>Paid</t>
        </is>
      </c>
      <c r="O865" t="inlineStr">
        <is>
          <t>Paid</t>
        </is>
      </c>
      <c r="P865" t="n">
        <v>94.19</v>
      </c>
      <c r="Q865" t="n">
        <v>94.19</v>
      </c>
      <c r="R865" t="b">
        <v>0</v>
      </c>
    </row>
    <row r="866">
      <c r="A866" t="inlineStr">
        <is>
          <t>INV0018407</t>
        </is>
      </c>
      <c r="B866" t="inlineStr">
        <is>
          <t>MER00870</t>
        </is>
      </c>
      <c r="C866" t="inlineStr">
        <is>
          <t>2025-10-01</t>
        </is>
      </c>
      <c r="D866" t="inlineStr">
        <is>
          <t>2025-10-31</t>
        </is>
      </c>
      <c r="E866" s="8" t="n">
        <v>45963</v>
      </c>
      <c r="F866" s="8" t="n">
        <v>45993</v>
      </c>
      <c r="G866" t="n">
        <v>94.56999999999999</v>
      </c>
      <c r="H866" t="n">
        <v>13.81</v>
      </c>
      <c r="I866" t="n">
        <v>80.76000000000001</v>
      </c>
      <c r="J866" t="n">
        <v>0.18</v>
      </c>
      <c r="K866" t="n">
        <v>14.54</v>
      </c>
      <c r="L866" t="n">
        <v>95.3</v>
      </c>
      <c r="M866" t="inlineStr">
        <is>
          <t>INR</t>
        </is>
      </c>
      <c r="N866" t="inlineStr">
        <is>
          <t>Paid</t>
        </is>
      </c>
      <c r="O866" t="inlineStr">
        <is>
          <t>Paid</t>
        </is>
      </c>
      <c r="P866" t="n">
        <v>94.56999999999999</v>
      </c>
      <c r="Q866" t="n">
        <v>94.56999999999999</v>
      </c>
      <c r="R866" t="b">
        <v>0</v>
      </c>
    </row>
    <row r="867">
      <c r="A867" t="inlineStr">
        <is>
          <t>INV0018408</t>
        </is>
      </c>
      <c r="B867" t="inlineStr">
        <is>
          <t>MER00870</t>
        </is>
      </c>
      <c r="C867" t="inlineStr">
        <is>
          <t>2025-11-01</t>
        </is>
      </c>
      <c r="D867" t="inlineStr">
        <is>
          <t>2025-11-30</t>
        </is>
      </c>
      <c r="E867" s="8" t="n">
        <v>45993</v>
      </c>
      <c r="F867" s="8" t="n">
        <v>46023</v>
      </c>
      <c r="G867" t="n">
        <v>299.73</v>
      </c>
      <c r="H867" t="n">
        <v>0</v>
      </c>
      <c r="I867" t="n">
        <v>299.73</v>
      </c>
      <c r="J867" t="n">
        <v>0.18</v>
      </c>
      <c r="K867" t="n">
        <v>53.95</v>
      </c>
      <c r="L867" t="n">
        <v>353.68</v>
      </c>
      <c r="M867" t="inlineStr">
        <is>
          <t>INR</t>
        </is>
      </c>
      <c r="N867" t="inlineStr">
        <is>
          <t>Paid</t>
        </is>
      </c>
      <c r="O867" t="inlineStr">
        <is>
          <t>Paid</t>
        </is>
      </c>
      <c r="P867" t="n">
        <v>299.73</v>
      </c>
      <c r="Q867" t="n">
        <v>299.73</v>
      </c>
      <c r="R867" t="b">
        <v>0</v>
      </c>
    </row>
    <row r="868">
      <c r="A868" t="inlineStr">
        <is>
          <t>INV0018409</t>
        </is>
      </c>
      <c r="B868" t="inlineStr">
        <is>
          <t>MER00870</t>
        </is>
      </c>
      <c r="C868" t="inlineStr">
        <is>
          <t>2025-12-01</t>
        </is>
      </c>
      <c r="D868" t="inlineStr">
        <is>
          <t>2025-12-31</t>
        </is>
      </c>
      <c r="E868" s="8" t="n">
        <v>46024</v>
      </c>
      <c r="F868" s="8" t="n">
        <v>46054</v>
      </c>
      <c r="G868" t="n">
        <v>92.16</v>
      </c>
      <c r="H868" t="n">
        <v>11.52</v>
      </c>
      <c r="I868" t="n">
        <v>80.64</v>
      </c>
      <c r="J868" t="n">
        <v>0.18</v>
      </c>
      <c r="K868" t="n">
        <v>14.52</v>
      </c>
      <c r="L868" t="n">
        <v>95.16</v>
      </c>
      <c r="M868" t="inlineStr">
        <is>
          <t>INR</t>
        </is>
      </c>
      <c r="N868" t="inlineStr">
        <is>
          <t>Paid</t>
        </is>
      </c>
      <c r="O868" t="inlineStr">
        <is>
          <t>Paid</t>
        </is>
      </c>
      <c r="P868" t="n">
        <v>92.16</v>
      </c>
      <c r="Q868" t="n">
        <v>92.16</v>
      </c>
      <c r="R868" t="b">
        <v>0</v>
      </c>
    </row>
    <row r="869">
      <c r="A869" t="inlineStr">
        <is>
          <t>INV0018410</t>
        </is>
      </c>
      <c r="B869" t="inlineStr">
        <is>
          <t>MER00870</t>
        </is>
      </c>
      <c r="C869" t="inlineStr">
        <is>
          <t>2026-01-01</t>
        </is>
      </c>
      <c r="D869" t="inlineStr">
        <is>
          <t>2026-01-31</t>
        </is>
      </c>
      <c r="E869" s="8" t="n">
        <v>46055</v>
      </c>
      <c r="F869" s="8" t="n">
        <v>46085</v>
      </c>
      <c r="G869" t="n">
        <v>141.37</v>
      </c>
      <c r="H869" t="n">
        <v>0</v>
      </c>
      <c r="I869" t="n">
        <v>141.37</v>
      </c>
      <c r="J869" t="n">
        <v>0.18</v>
      </c>
      <c r="K869" t="n">
        <v>25.45</v>
      </c>
      <c r="L869" t="n">
        <v>166.82</v>
      </c>
      <c r="M869" t="inlineStr">
        <is>
          <t>INR</t>
        </is>
      </c>
      <c r="N869" t="inlineStr">
        <is>
          <t>Paid</t>
        </is>
      </c>
      <c r="O869" t="inlineStr">
        <is>
          <t>Paid</t>
        </is>
      </c>
      <c r="P869" t="n">
        <v>141.37</v>
      </c>
      <c r="Q869" t="n">
        <v>141.37</v>
      </c>
      <c r="R869" t="b">
        <v>0</v>
      </c>
    </row>
    <row r="870">
      <c r="A870" t="inlineStr">
        <is>
          <t>INV0018411</t>
        </is>
      </c>
      <c r="B870" t="inlineStr">
        <is>
          <t>MER00870</t>
        </is>
      </c>
      <c r="C870" t="inlineStr">
        <is>
          <t>2026-03-01</t>
        </is>
      </c>
      <c r="D870" t="inlineStr">
        <is>
          <t>2026-03-31</t>
        </is>
      </c>
      <c r="E870" s="8" t="n">
        <v>46114</v>
      </c>
      <c r="F870" s="8" t="n">
        <v>46144</v>
      </c>
      <c r="G870" t="n">
        <v>179.46</v>
      </c>
      <c r="H870" t="n">
        <v>0</v>
      </c>
      <c r="I870" t="n">
        <v>179.46</v>
      </c>
      <c r="J870" t="n">
        <v>0.18</v>
      </c>
      <c r="K870" t="n">
        <v>32.3</v>
      </c>
      <c r="L870" t="n">
        <v>211.76</v>
      </c>
      <c r="M870" t="inlineStr">
        <is>
          <t>INR</t>
        </is>
      </c>
      <c r="N870" t="inlineStr">
        <is>
          <t>Paid</t>
        </is>
      </c>
      <c r="O870" t="inlineStr">
        <is>
          <t>Paid</t>
        </is>
      </c>
      <c r="P870" t="n">
        <v>179.46</v>
      </c>
      <c r="Q870" t="n">
        <v>179.46</v>
      </c>
      <c r="R870" t="b">
        <v>0</v>
      </c>
    </row>
    <row r="871">
      <c r="A871" t="inlineStr">
        <is>
          <t>INV0018412</t>
        </is>
      </c>
      <c r="B871" t="inlineStr">
        <is>
          <t>MER00870</t>
        </is>
      </c>
      <c r="C871" t="inlineStr">
        <is>
          <t>2026-04-01</t>
        </is>
      </c>
      <c r="D871" t="inlineStr">
        <is>
          <t>2026-04-30</t>
        </is>
      </c>
      <c r="E871" s="8" t="n">
        <v>46144</v>
      </c>
      <c r="F871" s="8" t="n">
        <v>46174</v>
      </c>
      <c r="G871" t="n">
        <v>256.19</v>
      </c>
      <c r="H871" t="n">
        <v>0</v>
      </c>
      <c r="I871" t="n">
        <v>256.19</v>
      </c>
      <c r="J871" t="n">
        <v>0.18</v>
      </c>
      <c r="K871" t="n">
        <v>46.11</v>
      </c>
      <c r="L871" t="n">
        <v>302.3</v>
      </c>
      <c r="M871" t="inlineStr">
        <is>
          <t>INR</t>
        </is>
      </c>
      <c r="N871" t="inlineStr">
        <is>
          <t>Paid</t>
        </is>
      </c>
      <c r="O871" t="inlineStr">
        <is>
          <t>Paid</t>
        </is>
      </c>
      <c r="P871" t="n">
        <v>256.19</v>
      </c>
      <c r="Q871" t="n">
        <v>256.19</v>
      </c>
      <c r="R871" t="b">
        <v>0</v>
      </c>
    </row>
    <row r="872">
      <c r="A872" t="inlineStr">
        <is>
          <t>INV0018413</t>
        </is>
      </c>
      <c r="B872" t="inlineStr">
        <is>
          <t>MER00870</t>
        </is>
      </c>
      <c r="C872" t="inlineStr">
        <is>
          <t>2026-05-01</t>
        </is>
      </c>
      <c r="D872" t="inlineStr">
        <is>
          <t>2026-05-31</t>
        </is>
      </c>
      <c r="E872" s="8" t="n">
        <v>46175</v>
      </c>
      <c r="F872" s="8" t="n">
        <v>46205</v>
      </c>
      <c r="G872" t="n">
        <v>432.92</v>
      </c>
      <c r="H872" t="n">
        <v>0</v>
      </c>
      <c r="I872" t="n">
        <v>432.92</v>
      </c>
      <c r="J872" t="n">
        <v>0.18</v>
      </c>
      <c r="K872" t="n">
        <v>77.93000000000001</v>
      </c>
      <c r="L872" t="n">
        <v>510.85</v>
      </c>
      <c r="M872" t="inlineStr">
        <is>
          <t>INR</t>
        </is>
      </c>
      <c r="N872" t="inlineStr">
        <is>
          <t>Paid</t>
        </is>
      </c>
      <c r="O872" t="inlineStr">
        <is>
          <t>Paid</t>
        </is>
      </c>
      <c r="P872" t="n">
        <v>432.92</v>
      </c>
      <c r="Q872" t="n">
        <v>432.92</v>
      </c>
      <c r="R872" t="b">
        <v>0</v>
      </c>
    </row>
    <row r="873">
      <c r="A873" t="inlineStr">
        <is>
          <t>INV0018414</t>
        </is>
      </c>
      <c r="B873" t="inlineStr">
        <is>
          <t>MER00870</t>
        </is>
      </c>
      <c r="C873" t="inlineStr">
        <is>
          <t>2026-06-01</t>
        </is>
      </c>
      <c r="D873" t="inlineStr">
        <is>
          <t>2026-06-30</t>
        </is>
      </c>
      <c r="E873" s="8" t="n">
        <v>46205</v>
      </c>
      <c r="F873" s="8" t="n">
        <v>46235</v>
      </c>
      <c r="G873" t="n">
        <v>160.34</v>
      </c>
      <c r="H873" t="n">
        <v>0</v>
      </c>
      <c r="I873" t="n">
        <v>160.34</v>
      </c>
      <c r="J873" t="n">
        <v>0.18</v>
      </c>
      <c r="K873" t="n">
        <v>28.86</v>
      </c>
      <c r="L873" t="n">
        <v>189.2</v>
      </c>
      <c r="M873" t="inlineStr">
        <is>
          <t>INR</t>
        </is>
      </c>
      <c r="N873" t="inlineStr">
        <is>
          <t>Paid</t>
        </is>
      </c>
      <c r="O873" t="inlineStr">
        <is>
          <t>Paid</t>
        </is>
      </c>
      <c r="P873" t="n">
        <v>160.34</v>
      </c>
      <c r="Q873" t="n">
        <v>160.34</v>
      </c>
      <c r="R873" t="b">
        <v>0</v>
      </c>
    </row>
    <row r="874">
      <c r="A874" t="inlineStr">
        <is>
          <t>INV0018415</t>
        </is>
      </c>
      <c r="B874" t="inlineStr">
        <is>
          <t>MER00870</t>
        </is>
      </c>
      <c r="C874" t="inlineStr">
        <is>
          <t>2026-07-01</t>
        </is>
      </c>
      <c r="D874" t="inlineStr">
        <is>
          <t>2026-07-31</t>
        </is>
      </c>
      <c r="E874" s="8" t="n">
        <v>46236</v>
      </c>
      <c r="F874" s="8" t="n">
        <v>46266</v>
      </c>
      <c r="G874" t="n">
        <v>286.28</v>
      </c>
      <c r="H874" t="n">
        <v>0</v>
      </c>
      <c r="I874" t="n">
        <v>286.28</v>
      </c>
      <c r="J874" t="n">
        <v>0.18</v>
      </c>
      <c r="K874" t="n">
        <v>51.53</v>
      </c>
      <c r="L874" t="n">
        <v>337.81</v>
      </c>
      <c r="M874" t="inlineStr">
        <is>
          <t>INR</t>
        </is>
      </c>
      <c r="N874" t="inlineStr">
        <is>
          <t>Paid</t>
        </is>
      </c>
      <c r="O874" t="inlineStr">
        <is>
          <t>Paid</t>
        </is>
      </c>
      <c r="P874" t="n">
        <v>286.28</v>
      </c>
      <c r="Q874" t="n">
        <v>286.28</v>
      </c>
      <c r="R874" t="b">
        <v>0</v>
      </c>
    </row>
    <row r="875">
      <c r="A875" t="inlineStr">
        <is>
          <t>INV0019117</t>
        </is>
      </c>
      <c r="B875" t="inlineStr">
        <is>
          <t>MER00902</t>
        </is>
      </c>
      <c r="C875" t="inlineStr">
        <is>
          <t>2024-08-01</t>
        </is>
      </c>
      <c r="D875" t="inlineStr">
        <is>
          <t>2024-08-31</t>
        </is>
      </c>
      <c r="E875" s="8" t="n">
        <v>45537</v>
      </c>
      <c r="F875" s="8" t="n">
        <v>45567</v>
      </c>
      <c r="G875" t="n">
        <v>653.53</v>
      </c>
      <c r="H875" t="n">
        <v>0</v>
      </c>
      <c r="I875" t="n">
        <v>653.53</v>
      </c>
      <c r="J875" t="n">
        <v>0.18</v>
      </c>
      <c r="K875" t="n">
        <v>117.64</v>
      </c>
      <c r="L875" t="n">
        <v>771.17</v>
      </c>
      <c r="M875" t="inlineStr">
        <is>
          <t>INR</t>
        </is>
      </c>
      <c r="N875" t="inlineStr">
        <is>
          <t>Overdue</t>
        </is>
      </c>
      <c r="O875" t="inlineStr">
        <is>
          <t>Unpaid</t>
        </is>
      </c>
      <c r="P875" t="n">
        <v>653.53</v>
      </c>
      <c r="Q875" t="n">
        <v>653.53</v>
      </c>
      <c r="R875" t="b">
        <v>0</v>
      </c>
    </row>
    <row r="876">
      <c r="A876" t="inlineStr">
        <is>
          <t>INV0019118</t>
        </is>
      </c>
      <c r="B876" t="inlineStr">
        <is>
          <t>MER00902</t>
        </is>
      </c>
      <c r="C876" t="inlineStr">
        <is>
          <t>2024-09-01</t>
        </is>
      </c>
      <c r="D876" t="inlineStr">
        <is>
          <t>2024-09-30</t>
        </is>
      </c>
      <c r="E876" s="8" t="n">
        <v>45567</v>
      </c>
      <c r="F876" s="8" t="n">
        <v>45597</v>
      </c>
      <c r="G876" t="n">
        <v>465.92</v>
      </c>
      <c r="H876" t="n">
        <v>0</v>
      </c>
      <c r="I876" t="n">
        <v>465.92</v>
      </c>
      <c r="J876" t="n">
        <v>0.18</v>
      </c>
      <c r="K876" t="n">
        <v>83.87</v>
      </c>
      <c r="L876" t="n">
        <v>549.79</v>
      </c>
      <c r="M876" t="inlineStr">
        <is>
          <t>INR</t>
        </is>
      </c>
      <c r="N876" t="inlineStr">
        <is>
          <t>Paid</t>
        </is>
      </c>
      <c r="O876" t="inlineStr">
        <is>
          <t>Paid</t>
        </is>
      </c>
      <c r="P876" t="n">
        <v>465.92</v>
      </c>
      <c r="Q876" t="n">
        <v>465.92</v>
      </c>
      <c r="R876" t="b">
        <v>0</v>
      </c>
    </row>
    <row r="877">
      <c r="A877" t="inlineStr">
        <is>
          <t>INV0019119</t>
        </is>
      </c>
      <c r="B877" t="inlineStr">
        <is>
          <t>MER00902</t>
        </is>
      </c>
      <c r="C877" t="inlineStr">
        <is>
          <t>2024-10-01</t>
        </is>
      </c>
      <c r="D877" t="inlineStr">
        <is>
          <t>2024-10-31</t>
        </is>
      </c>
      <c r="E877" s="8" t="n">
        <v>45598</v>
      </c>
      <c r="F877" s="8" t="n">
        <v>45628</v>
      </c>
      <c r="G877" t="n">
        <v>596.12</v>
      </c>
      <c r="H877" t="n">
        <v>0</v>
      </c>
      <c r="I877" t="n">
        <v>596.12</v>
      </c>
      <c r="J877" t="n">
        <v>0.18</v>
      </c>
      <c r="K877" t="n">
        <v>107.3</v>
      </c>
      <c r="L877" t="n">
        <v>703.42</v>
      </c>
      <c r="M877" t="inlineStr">
        <is>
          <t>INR</t>
        </is>
      </c>
      <c r="N877" t="inlineStr">
        <is>
          <t>Paid</t>
        </is>
      </c>
      <c r="O877" t="inlineStr">
        <is>
          <t>Paid</t>
        </is>
      </c>
      <c r="P877" t="n">
        <v>596.12</v>
      </c>
      <c r="Q877" t="n">
        <v>596.12</v>
      </c>
      <c r="R877" t="b">
        <v>0</v>
      </c>
    </row>
    <row r="878">
      <c r="A878" t="inlineStr">
        <is>
          <t>INV0019120</t>
        </is>
      </c>
      <c r="B878" t="inlineStr">
        <is>
          <t>MER00902</t>
        </is>
      </c>
      <c r="C878" t="inlineStr">
        <is>
          <t>2024-11-01</t>
        </is>
      </c>
      <c r="D878" t="inlineStr">
        <is>
          <t>2024-11-30</t>
        </is>
      </c>
      <c r="E878" s="8" t="n">
        <v>45628</v>
      </c>
      <c r="F878" s="8" t="n">
        <v>45658</v>
      </c>
      <c r="G878" t="n">
        <v>698.88</v>
      </c>
      <c r="H878" t="n">
        <v>0</v>
      </c>
      <c r="I878" t="n">
        <v>698.88</v>
      </c>
      <c r="J878" t="n">
        <v>0.18</v>
      </c>
      <c r="K878" t="n">
        <v>125.8</v>
      </c>
      <c r="L878" t="n">
        <v>824.6799999999999</v>
      </c>
      <c r="M878" t="inlineStr">
        <is>
          <t>INR</t>
        </is>
      </c>
      <c r="N878" t="inlineStr">
        <is>
          <t>Paid</t>
        </is>
      </c>
      <c r="O878" t="inlineStr">
        <is>
          <t>Paid</t>
        </is>
      </c>
      <c r="P878" t="n">
        <v>698.88</v>
      </c>
      <c r="Q878" t="n">
        <v>698.88</v>
      </c>
      <c r="R878" t="b">
        <v>0</v>
      </c>
    </row>
    <row r="879">
      <c r="A879" t="inlineStr">
        <is>
          <t>INV0019121</t>
        </is>
      </c>
      <c r="B879" t="inlineStr">
        <is>
          <t>MER00902</t>
        </is>
      </c>
      <c r="C879" t="inlineStr">
        <is>
          <t>2024-12-01</t>
        </is>
      </c>
      <c r="D879" t="inlineStr">
        <is>
          <t>2024-12-31</t>
        </is>
      </c>
      <c r="E879" s="8" t="n">
        <v>45659</v>
      </c>
      <c r="F879" s="8" t="n">
        <v>45689</v>
      </c>
      <c r="G879" t="n">
        <v>440.07</v>
      </c>
      <c r="H879" t="n">
        <v>0</v>
      </c>
      <c r="I879" t="n">
        <v>440.07</v>
      </c>
      <c r="J879" t="n">
        <v>0.18</v>
      </c>
      <c r="K879" t="n">
        <v>79.20999999999999</v>
      </c>
      <c r="L879" t="n">
        <v>519.28</v>
      </c>
      <c r="M879" t="inlineStr">
        <is>
          <t>INR</t>
        </is>
      </c>
      <c r="N879" t="inlineStr">
        <is>
          <t>Paid</t>
        </is>
      </c>
      <c r="O879" t="inlineStr">
        <is>
          <t>Paid</t>
        </is>
      </c>
      <c r="P879" t="n">
        <v>440.07</v>
      </c>
      <c r="Q879" t="n">
        <v>440.07</v>
      </c>
      <c r="R879" t="b">
        <v>0</v>
      </c>
    </row>
    <row r="880">
      <c r="A880" t="inlineStr">
        <is>
          <t>INV0019122</t>
        </is>
      </c>
      <c r="B880" t="inlineStr">
        <is>
          <t>MER00902</t>
        </is>
      </c>
      <c r="C880" t="inlineStr">
        <is>
          <t>2025-01-01</t>
        </is>
      </c>
      <c r="D880" t="inlineStr">
        <is>
          <t>2025-01-31</t>
        </is>
      </c>
      <c r="E880" s="8" t="n">
        <v>45690</v>
      </c>
      <c r="F880" s="8" t="n">
        <v>45720</v>
      </c>
      <c r="G880" t="n">
        <v>458.97</v>
      </c>
      <c r="H880" t="n">
        <v>0</v>
      </c>
      <c r="I880" t="n">
        <v>458.97</v>
      </c>
      <c r="J880" t="n">
        <v>0.18</v>
      </c>
      <c r="K880" t="n">
        <v>82.61</v>
      </c>
      <c r="L880" t="n">
        <v>541.58</v>
      </c>
      <c r="M880" t="inlineStr">
        <is>
          <t>INR</t>
        </is>
      </c>
      <c r="N880" t="inlineStr">
        <is>
          <t>Paid</t>
        </is>
      </c>
      <c r="O880" t="inlineStr">
        <is>
          <t>Paid</t>
        </is>
      </c>
      <c r="P880" t="n">
        <v>458.97</v>
      </c>
      <c r="Q880" t="n">
        <v>458.97</v>
      </c>
      <c r="R880" t="b">
        <v>0</v>
      </c>
    </row>
    <row r="881">
      <c r="A881" t="inlineStr">
        <is>
          <t>INV0019123</t>
        </is>
      </c>
      <c r="B881" t="inlineStr">
        <is>
          <t>MER00902</t>
        </is>
      </c>
      <c r="C881" t="inlineStr">
        <is>
          <t>2025-02-01</t>
        </is>
      </c>
      <c r="D881" t="inlineStr">
        <is>
          <t>2025-02-28</t>
        </is>
      </c>
      <c r="E881" s="8" t="n">
        <v>45718</v>
      </c>
      <c r="F881" s="8" t="n">
        <v>45748</v>
      </c>
      <c r="G881" t="n">
        <v>356.57</v>
      </c>
      <c r="H881" t="n">
        <v>0</v>
      </c>
      <c r="I881" t="n">
        <v>356.57</v>
      </c>
      <c r="J881" t="n">
        <v>0.18</v>
      </c>
      <c r="K881" t="n">
        <v>64.18000000000001</v>
      </c>
      <c r="L881" t="n">
        <v>420.75</v>
      </c>
      <c r="M881" t="inlineStr">
        <is>
          <t>INR</t>
        </is>
      </c>
      <c r="N881" t="inlineStr">
        <is>
          <t>Paid</t>
        </is>
      </c>
      <c r="O881" t="inlineStr">
        <is>
          <t>Paid</t>
        </is>
      </c>
      <c r="P881" t="n">
        <v>528.51</v>
      </c>
      <c r="Q881" t="n">
        <v>356.57</v>
      </c>
      <c r="R881" t="b">
        <v>1</v>
      </c>
    </row>
    <row r="882">
      <c r="A882" t="inlineStr">
        <is>
          <t>INV0019124</t>
        </is>
      </c>
      <c r="B882" t="inlineStr">
        <is>
          <t>MER00902</t>
        </is>
      </c>
      <c r="C882" t="inlineStr">
        <is>
          <t>2025-03-01</t>
        </is>
      </c>
      <c r="D882" t="inlineStr">
        <is>
          <t>2025-03-31</t>
        </is>
      </c>
      <c r="E882" s="8" t="n">
        <v>45749</v>
      </c>
      <c r="F882" s="8" t="n">
        <v>45779</v>
      </c>
      <c r="G882" t="n">
        <v>234.19</v>
      </c>
      <c r="H882" t="n">
        <v>0</v>
      </c>
      <c r="I882" t="n">
        <v>234.19</v>
      </c>
      <c r="J882" t="n">
        <v>0.18</v>
      </c>
      <c r="K882" t="n">
        <v>42.15</v>
      </c>
      <c r="L882" t="n">
        <v>276.34</v>
      </c>
      <c r="M882" t="inlineStr">
        <is>
          <t>INR</t>
        </is>
      </c>
      <c r="N882" t="inlineStr">
        <is>
          <t>Overdue</t>
        </is>
      </c>
      <c r="O882" t="inlineStr">
        <is>
          <t>Partially Paid</t>
        </is>
      </c>
      <c r="P882" t="n">
        <v>234.19</v>
      </c>
      <c r="Q882" t="n">
        <v>234.19</v>
      </c>
      <c r="R882" t="b">
        <v>0</v>
      </c>
    </row>
    <row r="883">
      <c r="A883" t="inlineStr">
        <is>
          <t>INV0019125</t>
        </is>
      </c>
      <c r="B883" t="inlineStr">
        <is>
          <t>MER00902</t>
        </is>
      </c>
      <c r="C883" t="inlineStr">
        <is>
          <t>2025-04-01</t>
        </is>
      </c>
      <c r="D883" t="inlineStr">
        <is>
          <t>2025-04-30</t>
        </is>
      </c>
      <c r="E883" s="8" t="n">
        <v>45779</v>
      </c>
      <c r="F883" s="8" t="n">
        <v>45809</v>
      </c>
      <c r="G883" t="n">
        <v>518.45</v>
      </c>
      <c r="H883" t="n">
        <v>0</v>
      </c>
      <c r="I883" t="n">
        <v>518.45</v>
      </c>
      <c r="J883" t="n">
        <v>0.18</v>
      </c>
      <c r="K883" t="n">
        <v>93.31999999999999</v>
      </c>
      <c r="L883" t="n">
        <v>611.77</v>
      </c>
      <c r="M883" t="inlineStr">
        <is>
          <t>INR</t>
        </is>
      </c>
      <c r="N883" t="inlineStr">
        <is>
          <t>Overdue</t>
        </is>
      </c>
      <c r="O883" t="inlineStr">
        <is>
          <t>Unpaid</t>
        </is>
      </c>
      <c r="P883" t="n">
        <v>518.45</v>
      </c>
      <c r="Q883" t="n">
        <v>518.45</v>
      </c>
      <c r="R883" t="b">
        <v>0</v>
      </c>
    </row>
    <row r="884">
      <c r="A884" t="inlineStr">
        <is>
          <t>INV0019126</t>
        </is>
      </c>
      <c r="B884" t="inlineStr">
        <is>
          <t>MER00902</t>
        </is>
      </c>
      <c r="C884" t="inlineStr">
        <is>
          <t>2025-05-01</t>
        </is>
      </c>
      <c r="D884" t="inlineStr">
        <is>
          <t>2025-05-31</t>
        </is>
      </c>
      <c r="E884" s="8" t="n">
        <v>45810</v>
      </c>
      <c r="F884" s="8" t="n">
        <v>45840</v>
      </c>
      <c r="G884" t="n">
        <v>340.61</v>
      </c>
      <c r="H884" t="n">
        <v>0</v>
      </c>
      <c r="I884" t="n">
        <v>340.61</v>
      </c>
      <c r="J884" t="n">
        <v>0.18</v>
      </c>
      <c r="K884" t="n">
        <v>61.31</v>
      </c>
      <c r="L884" t="n">
        <v>401.92</v>
      </c>
      <c r="M884" t="inlineStr">
        <is>
          <t>INR</t>
        </is>
      </c>
      <c r="N884" t="inlineStr">
        <is>
          <t>Paid</t>
        </is>
      </c>
      <c r="O884" t="inlineStr">
        <is>
          <t>Paid</t>
        </is>
      </c>
      <c r="P884" t="n">
        <v>340.61</v>
      </c>
      <c r="Q884" t="n">
        <v>340.61</v>
      </c>
      <c r="R884" t="b">
        <v>0</v>
      </c>
    </row>
    <row r="885">
      <c r="A885" t="inlineStr">
        <is>
          <t>INV0019127</t>
        </is>
      </c>
      <c r="B885" t="inlineStr">
        <is>
          <t>MER00902</t>
        </is>
      </c>
      <c r="C885" t="inlineStr">
        <is>
          <t>2025-06-01</t>
        </is>
      </c>
      <c r="D885" t="inlineStr">
        <is>
          <t>2025-06-30</t>
        </is>
      </c>
      <c r="E885" s="8" t="n">
        <v>45840</v>
      </c>
      <c r="F885" s="8" t="n">
        <v>45870</v>
      </c>
      <c r="G885" t="n">
        <v>737.71</v>
      </c>
      <c r="H885" t="n">
        <v>0</v>
      </c>
      <c r="I885" t="n">
        <v>737.71</v>
      </c>
      <c r="J885" t="n">
        <v>0.18</v>
      </c>
      <c r="K885" t="n">
        <v>132.79</v>
      </c>
      <c r="L885" t="n">
        <v>870.5</v>
      </c>
      <c r="M885" t="inlineStr">
        <is>
          <t>INR</t>
        </is>
      </c>
      <c r="N885" t="inlineStr">
        <is>
          <t>Overdue</t>
        </is>
      </c>
      <c r="O885" t="inlineStr">
        <is>
          <t>Partially Paid</t>
        </is>
      </c>
      <c r="P885" t="n">
        <v>737.71</v>
      </c>
      <c r="Q885" t="n">
        <v>737.71</v>
      </c>
      <c r="R885" t="b">
        <v>0</v>
      </c>
    </row>
    <row r="886">
      <c r="A886" t="inlineStr">
        <is>
          <t>INV0019128</t>
        </is>
      </c>
      <c r="B886" t="inlineStr">
        <is>
          <t>MER00902</t>
        </is>
      </c>
      <c r="C886" t="inlineStr">
        <is>
          <t>2025-07-01</t>
        </is>
      </c>
      <c r="D886" t="inlineStr">
        <is>
          <t>2025-07-31</t>
        </is>
      </c>
      <c r="E886" s="8" t="n">
        <v>45871</v>
      </c>
      <c r="F886" s="8" t="n">
        <v>45901</v>
      </c>
      <c r="G886" t="n">
        <v>585.52</v>
      </c>
      <c r="H886" t="n">
        <v>60.31</v>
      </c>
      <c r="I886" t="n">
        <v>525.21</v>
      </c>
      <c r="J886" t="n">
        <v>0.18</v>
      </c>
      <c r="K886" t="n">
        <v>94.54000000000001</v>
      </c>
      <c r="L886" t="n">
        <v>619.75</v>
      </c>
      <c r="M886" t="inlineStr">
        <is>
          <t>INR</t>
        </is>
      </c>
      <c r="N886" t="inlineStr">
        <is>
          <t>Paid</t>
        </is>
      </c>
      <c r="O886" t="inlineStr">
        <is>
          <t>Paid</t>
        </is>
      </c>
      <c r="P886" t="n">
        <v>585.52</v>
      </c>
      <c r="Q886" t="n">
        <v>585.52</v>
      </c>
      <c r="R886" t="b">
        <v>0</v>
      </c>
    </row>
    <row r="887">
      <c r="A887" t="inlineStr">
        <is>
          <t>INV0019129</t>
        </is>
      </c>
      <c r="B887" t="inlineStr">
        <is>
          <t>MER00902</t>
        </is>
      </c>
      <c r="C887" t="inlineStr">
        <is>
          <t>2025-08-01</t>
        </is>
      </c>
      <c r="D887" t="inlineStr">
        <is>
          <t>2025-08-31</t>
        </is>
      </c>
      <c r="E887" s="8" t="n">
        <v>45902</v>
      </c>
      <c r="F887" s="8" t="n">
        <v>45932</v>
      </c>
      <c r="G887" t="n">
        <v>994.15</v>
      </c>
      <c r="H887" t="n">
        <v>0</v>
      </c>
      <c r="I887" t="n">
        <v>994.15</v>
      </c>
      <c r="J887" t="n">
        <v>0.18</v>
      </c>
      <c r="K887" t="n">
        <v>178.95</v>
      </c>
      <c r="L887" t="n">
        <v>1173.1</v>
      </c>
      <c r="M887" t="inlineStr">
        <is>
          <t>INR</t>
        </is>
      </c>
      <c r="N887" t="inlineStr">
        <is>
          <t>Paid</t>
        </is>
      </c>
      <c r="O887" t="inlineStr">
        <is>
          <t>Paid</t>
        </is>
      </c>
      <c r="P887" t="n">
        <v>994.15</v>
      </c>
      <c r="Q887" t="n">
        <v>994.15</v>
      </c>
      <c r="R887" t="b">
        <v>0</v>
      </c>
    </row>
    <row r="888">
      <c r="A888" t="inlineStr">
        <is>
          <t>INV0019130</t>
        </is>
      </c>
      <c r="B888" t="inlineStr">
        <is>
          <t>MER00902</t>
        </is>
      </c>
      <c r="C888" t="inlineStr">
        <is>
          <t>2025-09-01</t>
        </is>
      </c>
      <c r="D888" t="inlineStr">
        <is>
          <t>2025-09-30</t>
        </is>
      </c>
      <c r="E888" s="8" t="n">
        <v>45932</v>
      </c>
      <c r="F888" s="8" t="n">
        <v>45962</v>
      </c>
      <c r="G888" t="n">
        <v>325.87</v>
      </c>
      <c r="H888" t="n">
        <v>0</v>
      </c>
      <c r="I888" t="n">
        <v>325.87</v>
      </c>
      <c r="J888" t="n">
        <v>0.18</v>
      </c>
      <c r="K888" t="n">
        <v>58.66</v>
      </c>
      <c r="L888" t="n">
        <v>384.53</v>
      </c>
      <c r="M888" t="inlineStr">
        <is>
          <t>INR</t>
        </is>
      </c>
      <c r="N888" t="inlineStr">
        <is>
          <t>Paid</t>
        </is>
      </c>
      <c r="O888" t="inlineStr">
        <is>
          <t>Paid</t>
        </is>
      </c>
      <c r="P888" t="n">
        <v>325.87</v>
      </c>
      <c r="Q888" t="n">
        <v>325.87</v>
      </c>
      <c r="R888" t="b">
        <v>0</v>
      </c>
    </row>
    <row r="889">
      <c r="A889" t="inlineStr">
        <is>
          <t>INV0019131</t>
        </is>
      </c>
      <c r="B889" t="inlineStr">
        <is>
          <t>MER00902</t>
        </is>
      </c>
      <c r="C889" t="inlineStr">
        <is>
          <t>2025-10-01</t>
        </is>
      </c>
      <c r="D889" t="inlineStr">
        <is>
          <t>2025-10-31</t>
        </is>
      </c>
      <c r="E889" s="8" t="n">
        <v>45963</v>
      </c>
      <c r="F889" s="8" t="n">
        <v>45993</v>
      </c>
      <c r="G889" t="n">
        <v>736.1</v>
      </c>
      <c r="H889" t="n">
        <v>89.8</v>
      </c>
      <c r="I889" t="n">
        <v>646.3</v>
      </c>
      <c r="J889" t="n">
        <v>0.18</v>
      </c>
      <c r="K889" t="n">
        <v>116.33</v>
      </c>
      <c r="L889" t="n">
        <v>762.63</v>
      </c>
      <c r="M889" t="inlineStr">
        <is>
          <t>INR</t>
        </is>
      </c>
      <c r="N889" t="inlineStr">
        <is>
          <t>Overdue</t>
        </is>
      </c>
      <c r="O889" t="inlineStr">
        <is>
          <t>Unpaid</t>
        </is>
      </c>
      <c r="P889" t="n">
        <v>736.1</v>
      </c>
      <c r="Q889" t="n">
        <v>736.1</v>
      </c>
      <c r="R889" t="b">
        <v>0</v>
      </c>
    </row>
    <row r="890">
      <c r="A890" t="inlineStr">
        <is>
          <t>INV0019132</t>
        </is>
      </c>
      <c r="B890" t="inlineStr">
        <is>
          <t>MER00902</t>
        </is>
      </c>
      <c r="C890" t="inlineStr">
        <is>
          <t>2025-11-01</t>
        </is>
      </c>
      <c r="D890" t="inlineStr">
        <is>
          <t>2025-11-30</t>
        </is>
      </c>
      <c r="E890" s="8" t="n">
        <v>45993</v>
      </c>
      <c r="F890" s="8" t="n">
        <v>46023</v>
      </c>
      <c r="G890" t="n">
        <v>528.6799999999999</v>
      </c>
      <c r="H890" t="n">
        <v>0</v>
      </c>
      <c r="I890" t="n">
        <v>528.6799999999999</v>
      </c>
      <c r="J890" t="n">
        <v>0.18</v>
      </c>
      <c r="K890" t="n">
        <v>95.16</v>
      </c>
      <c r="L890" t="n">
        <v>623.84</v>
      </c>
      <c r="M890" t="inlineStr">
        <is>
          <t>INR</t>
        </is>
      </c>
      <c r="N890" t="inlineStr">
        <is>
          <t>Paid</t>
        </is>
      </c>
      <c r="O890" t="inlineStr">
        <is>
          <t>Paid</t>
        </is>
      </c>
      <c r="P890" t="n">
        <v>528.6799999999999</v>
      </c>
      <c r="Q890" t="n">
        <v>528.6799999999999</v>
      </c>
      <c r="R890" t="b">
        <v>0</v>
      </c>
    </row>
    <row r="891">
      <c r="A891" t="inlineStr">
        <is>
          <t>INV0019133</t>
        </is>
      </c>
      <c r="B891" t="inlineStr">
        <is>
          <t>MER00902</t>
        </is>
      </c>
      <c r="C891" t="inlineStr">
        <is>
          <t>2025-12-01</t>
        </is>
      </c>
      <c r="D891" t="inlineStr">
        <is>
          <t>2025-12-31</t>
        </is>
      </c>
      <c r="E891" s="8" t="n">
        <v>46024</v>
      </c>
      <c r="F891" s="8" t="n">
        <v>46054</v>
      </c>
      <c r="G891" t="n">
        <v>284.36</v>
      </c>
      <c r="H891" t="n">
        <v>0</v>
      </c>
      <c r="I891" t="n">
        <v>284.36</v>
      </c>
      <c r="J891" t="n">
        <v>0.18</v>
      </c>
      <c r="K891" t="n">
        <v>51.18</v>
      </c>
      <c r="L891" t="n">
        <v>335.54</v>
      </c>
      <c r="M891" t="inlineStr">
        <is>
          <t>INR</t>
        </is>
      </c>
      <c r="N891" t="inlineStr">
        <is>
          <t>Paid</t>
        </is>
      </c>
      <c r="O891" t="inlineStr">
        <is>
          <t>Paid</t>
        </is>
      </c>
      <c r="P891" t="n">
        <v>284.36</v>
      </c>
      <c r="Q891" t="n">
        <v>284.36</v>
      </c>
      <c r="R891" t="b">
        <v>0</v>
      </c>
    </row>
    <row r="892">
      <c r="A892" t="inlineStr">
        <is>
          <t>INV0019134</t>
        </is>
      </c>
      <c r="B892" t="inlineStr">
        <is>
          <t>MER00902</t>
        </is>
      </c>
      <c r="C892" t="inlineStr">
        <is>
          <t>2026-01-01</t>
        </is>
      </c>
      <c r="D892" t="inlineStr">
        <is>
          <t>2026-01-31</t>
        </is>
      </c>
      <c r="E892" s="8" t="n">
        <v>46055</v>
      </c>
      <c r="F892" s="8" t="n">
        <v>46085</v>
      </c>
      <c r="G892" t="n">
        <v>965.59</v>
      </c>
      <c r="H892" t="n">
        <v>0</v>
      </c>
      <c r="I892" t="n">
        <v>965.59</v>
      </c>
      <c r="J892" t="n">
        <v>0.18</v>
      </c>
      <c r="K892" t="n">
        <v>173.81</v>
      </c>
      <c r="L892" t="n">
        <v>1139.4</v>
      </c>
      <c r="M892" t="inlineStr">
        <is>
          <t>INR</t>
        </is>
      </c>
      <c r="N892" t="inlineStr">
        <is>
          <t>Overdue</t>
        </is>
      </c>
      <c r="O892" t="inlineStr">
        <is>
          <t>Partially Paid</t>
        </is>
      </c>
      <c r="P892" t="n">
        <v>965.59</v>
      </c>
      <c r="Q892" t="n">
        <v>965.59</v>
      </c>
      <c r="R892" t="b">
        <v>0</v>
      </c>
    </row>
    <row r="893">
      <c r="A893" t="inlineStr">
        <is>
          <t>INV0019135</t>
        </is>
      </c>
      <c r="B893" t="inlineStr">
        <is>
          <t>MER00902</t>
        </is>
      </c>
      <c r="C893" t="inlineStr">
        <is>
          <t>2026-02-01</t>
        </is>
      </c>
      <c r="D893" t="inlineStr">
        <is>
          <t>2026-02-28</t>
        </is>
      </c>
      <c r="E893" s="8" t="n">
        <v>46083</v>
      </c>
      <c r="F893" s="8" t="n">
        <v>46113</v>
      </c>
      <c r="G893" t="n">
        <v>498.81</v>
      </c>
      <c r="H893" t="n">
        <v>0</v>
      </c>
      <c r="I893" t="n">
        <v>498.81</v>
      </c>
      <c r="J893" t="n">
        <v>0.18</v>
      </c>
      <c r="K893" t="n">
        <v>89.79000000000001</v>
      </c>
      <c r="L893" t="n">
        <v>588.6</v>
      </c>
      <c r="M893" t="inlineStr">
        <is>
          <t>INR</t>
        </is>
      </c>
      <c r="N893" t="inlineStr">
        <is>
          <t>Paid</t>
        </is>
      </c>
      <c r="O893" t="inlineStr">
        <is>
          <t>Paid</t>
        </is>
      </c>
      <c r="P893" t="n">
        <v>498.81</v>
      </c>
      <c r="Q893" t="n">
        <v>498.81</v>
      </c>
      <c r="R893" t="b">
        <v>0</v>
      </c>
    </row>
    <row r="894">
      <c r="A894" t="inlineStr">
        <is>
          <t>INV0019136</t>
        </is>
      </c>
      <c r="B894" t="inlineStr">
        <is>
          <t>MER00902</t>
        </is>
      </c>
      <c r="C894" t="inlineStr">
        <is>
          <t>2026-03-01</t>
        </is>
      </c>
      <c r="D894" t="inlineStr">
        <is>
          <t>2026-03-31</t>
        </is>
      </c>
      <c r="E894" s="8" t="n">
        <v>46114</v>
      </c>
      <c r="F894" s="8" t="n">
        <v>46144</v>
      </c>
      <c r="G894" t="n">
        <v>462.68</v>
      </c>
      <c r="H894" t="n">
        <v>0</v>
      </c>
      <c r="I894" t="n">
        <v>462.68</v>
      </c>
      <c r="J894" t="n">
        <v>0.18</v>
      </c>
      <c r="K894" t="n">
        <v>83.28</v>
      </c>
      <c r="L894" t="n">
        <v>545.96</v>
      </c>
      <c r="M894" t="inlineStr">
        <is>
          <t>INR</t>
        </is>
      </c>
      <c r="N894" t="inlineStr">
        <is>
          <t>Paid</t>
        </is>
      </c>
      <c r="O894" t="inlineStr">
        <is>
          <t>Paid</t>
        </is>
      </c>
      <c r="P894" t="n">
        <v>462.68</v>
      </c>
      <c r="Q894" t="n">
        <v>462.68</v>
      </c>
      <c r="R894" t="b">
        <v>0</v>
      </c>
    </row>
    <row r="895">
      <c r="A895" t="inlineStr">
        <is>
          <t>INV0019137</t>
        </is>
      </c>
      <c r="B895" t="inlineStr">
        <is>
          <t>MER00902</t>
        </is>
      </c>
      <c r="C895" t="inlineStr">
        <is>
          <t>2026-04-01</t>
        </is>
      </c>
      <c r="D895" t="inlineStr">
        <is>
          <t>2026-04-30</t>
        </is>
      </c>
      <c r="E895" s="8" t="n">
        <v>46144</v>
      </c>
      <c r="F895" s="8" t="n">
        <v>46174</v>
      </c>
      <c r="G895" t="n">
        <v>738.6900000000001</v>
      </c>
      <c r="H895" t="n">
        <v>0</v>
      </c>
      <c r="I895" t="n">
        <v>738.6900000000001</v>
      </c>
      <c r="J895" t="n">
        <v>0.18</v>
      </c>
      <c r="K895" t="n">
        <v>132.96</v>
      </c>
      <c r="L895" t="n">
        <v>871.65</v>
      </c>
      <c r="M895" t="inlineStr">
        <is>
          <t>INR</t>
        </is>
      </c>
      <c r="N895" t="inlineStr">
        <is>
          <t>Paid</t>
        </is>
      </c>
      <c r="O895" t="inlineStr">
        <is>
          <t>Paid</t>
        </is>
      </c>
      <c r="P895" t="n">
        <v>738.6900000000001</v>
      </c>
      <c r="Q895" t="n">
        <v>738.6900000000001</v>
      </c>
      <c r="R895" t="b">
        <v>0</v>
      </c>
    </row>
    <row r="896">
      <c r="A896" t="inlineStr">
        <is>
          <t>INV0019138</t>
        </is>
      </c>
      <c r="B896" t="inlineStr">
        <is>
          <t>MER00902</t>
        </is>
      </c>
      <c r="C896" t="inlineStr">
        <is>
          <t>2026-05-01</t>
        </is>
      </c>
      <c r="D896" t="inlineStr">
        <is>
          <t>2026-05-31</t>
        </is>
      </c>
      <c r="E896" s="8" t="n">
        <v>46175</v>
      </c>
      <c r="F896" s="8" t="n">
        <v>46205</v>
      </c>
      <c r="G896" t="n">
        <v>921</v>
      </c>
      <c r="H896" t="n">
        <v>0</v>
      </c>
      <c r="I896" t="n">
        <v>921</v>
      </c>
      <c r="J896" t="n">
        <v>0.18</v>
      </c>
      <c r="K896" t="n">
        <v>165.78</v>
      </c>
      <c r="L896" t="n">
        <v>1086.78</v>
      </c>
      <c r="M896" t="inlineStr">
        <is>
          <t>INR</t>
        </is>
      </c>
      <c r="N896" t="inlineStr">
        <is>
          <t>Paid</t>
        </is>
      </c>
      <c r="O896" t="inlineStr">
        <is>
          <t>Paid</t>
        </is>
      </c>
      <c r="P896" t="n">
        <v>921</v>
      </c>
      <c r="Q896" t="n">
        <v>921</v>
      </c>
      <c r="R896" t="b">
        <v>0</v>
      </c>
    </row>
    <row r="897">
      <c r="A897" t="inlineStr">
        <is>
          <t>INV0019139</t>
        </is>
      </c>
      <c r="B897" t="inlineStr">
        <is>
          <t>MER00902</t>
        </is>
      </c>
      <c r="C897" t="inlineStr">
        <is>
          <t>2026-06-01</t>
        </is>
      </c>
      <c r="D897" t="inlineStr">
        <is>
          <t>2026-06-30</t>
        </is>
      </c>
      <c r="E897" s="8" t="n">
        <v>46205</v>
      </c>
      <c r="F897" s="8" t="n">
        <v>46235</v>
      </c>
      <c r="G897" t="n">
        <v>1142.86</v>
      </c>
      <c r="H897" t="n">
        <v>0</v>
      </c>
      <c r="I897" t="n">
        <v>1142.86</v>
      </c>
      <c r="J897" t="n">
        <v>0.18</v>
      </c>
      <c r="K897" t="n">
        <v>205.71</v>
      </c>
      <c r="L897" t="n">
        <v>1348.57</v>
      </c>
      <c r="M897" t="inlineStr">
        <is>
          <t>INR</t>
        </is>
      </c>
      <c r="N897" t="inlineStr">
        <is>
          <t>Overdue</t>
        </is>
      </c>
      <c r="O897" t="inlineStr">
        <is>
          <t>Unpaid</t>
        </is>
      </c>
      <c r="P897" t="n">
        <v>1142.86</v>
      </c>
      <c r="Q897" t="n">
        <v>1142.86</v>
      </c>
      <c r="R897" t="b">
        <v>0</v>
      </c>
    </row>
    <row r="898">
      <c r="A898" t="inlineStr">
        <is>
          <t>INV0019140</t>
        </is>
      </c>
      <c r="B898" t="inlineStr">
        <is>
          <t>MER00902</t>
        </is>
      </c>
      <c r="C898" t="inlineStr">
        <is>
          <t>2026-07-01</t>
        </is>
      </c>
      <c r="D898" t="inlineStr">
        <is>
          <t>2026-07-31</t>
        </is>
      </c>
      <c r="E898" s="8" t="n">
        <v>46236</v>
      </c>
      <c r="F898" s="8" t="n">
        <v>46266</v>
      </c>
      <c r="G898" t="n">
        <v>530.76</v>
      </c>
      <c r="H898" t="n">
        <v>0</v>
      </c>
      <c r="I898" t="n">
        <v>530.76</v>
      </c>
      <c r="J898" t="n">
        <v>0.18</v>
      </c>
      <c r="K898" t="n">
        <v>95.54000000000001</v>
      </c>
      <c r="L898" t="n">
        <v>626.3</v>
      </c>
      <c r="M898" t="inlineStr">
        <is>
          <t>INR</t>
        </is>
      </c>
      <c r="N898" t="inlineStr">
        <is>
          <t>Paid</t>
        </is>
      </c>
      <c r="O898" t="inlineStr">
        <is>
          <t>Paid</t>
        </is>
      </c>
      <c r="P898" t="n">
        <v>530.76</v>
      </c>
      <c r="Q898" t="n">
        <v>530.76</v>
      </c>
      <c r="R898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2" customWidth="1" min="4" max="4"/>
    <col width="11" customWidth="1" min="5" max="5"/>
    <col width="11" customWidth="1" min="6" max="6"/>
    <col width="15" customWidth="1" min="7" max="7"/>
    <col width="11" customWidth="1" min="8" max="8"/>
    <col width="17" customWidth="1" min="9" max="9"/>
    <col width="12" customWidth="1" min="10" max="10"/>
  </cols>
  <sheetData>
    <row r="1">
      <c r="A1" s="6" t="inlineStr">
        <is>
          <t>Payments</t>
        </is>
      </c>
    </row>
    <row r="3">
      <c r="A3" s="7" t="inlineStr">
        <is>
          <t>payment_id</t>
        </is>
      </c>
      <c r="B3" s="7" t="inlineStr">
        <is>
          <t>invoice_id</t>
        </is>
      </c>
      <c r="C3" s="7" t="inlineStr">
        <is>
          <t>merchant_id</t>
        </is>
      </c>
      <c r="D3" s="7" t="inlineStr">
        <is>
          <t>payment_date</t>
        </is>
      </c>
      <c r="E3" s="7" t="inlineStr">
        <is>
          <t>payment_amount</t>
        </is>
      </c>
      <c r="F3" s="7" t="inlineStr">
        <is>
          <t>payment_method</t>
        </is>
      </c>
      <c r="G3" s="7" t="inlineStr">
        <is>
          <t>payment_reference</t>
        </is>
      </c>
      <c r="H3" s="7" t="inlineStr">
        <is>
          <t>payment_status</t>
        </is>
      </c>
      <c r="I3" s="7" t="inlineStr">
        <is>
          <t>bank_reference</t>
        </is>
      </c>
      <c r="J3" s="7" t="inlineStr">
        <is>
          <t>settlement_date</t>
        </is>
      </c>
    </row>
    <row r="4">
      <c r="A4" t="inlineStr">
        <is>
          <t>PAY0000165</t>
        </is>
      </c>
      <c r="B4" t="inlineStr">
        <is>
          <t>INV0000956</t>
        </is>
      </c>
      <c r="C4" t="inlineStr">
        <is>
          <t>MER00048</t>
        </is>
      </c>
      <c r="D4" s="8" t="n">
        <v>45549</v>
      </c>
      <c r="E4" t="n">
        <v>94.58</v>
      </c>
      <c r="F4" t="inlineStr">
        <is>
          <t>Card</t>
        </is>
      </c>
      <c r="G4" t="inlineStr">
        <is>
          <t>PAYMKP6KQR24E</t>
        </is>
      </c>
      <c r="H4" t="inlineStr">
        <is>
          <t>Success</t>
        </is>
      </c>
      <c r="I4" t="inlineStr">
        <is>
          <t>BNKMQ2KPJLA326D</t>
        </is>
      </c>
      <c r="J4" s="8" t="n">
        <v>45550</v>
      </c>
    </row>
    <row r="5">
      <c r="A5" t="inlineStr">
        <is>
          <t>PAY0000166</t>
        </is>
      </c>
      <c r="B5" t="inlineStr">
        <is>
          <t>INV0000957</t>
        </is>
      </c>
      <c r="C5" t="inlineStr">
        <is>
          <t>MER00048</t>
        </is>
      </c>
      <c r="D5" s="8" t="n">
        <v>45579</v>
      </c>
      <c r="E5" t="n">
        <v>384.73</v>
      </c>
      <c r="F5" t="inlineStr">
        <is>
          <t>UPI</t>
        </is>
      </c>
      <c r="G5" t="inlineStr">
        <is>
          <t>PAYG38QBVMBUN</t>
        </is>
      </c>
      <c r="H5" t="inlineStr">
        <is>
          <t>Success</t>
        </is>
      </c>
      <c r="I5" t="inlineStr">
        <is>
          <t>BNK8G4PL86ZH5QB</t>
        </is>
      </c>
      <c r="J5" s="8" t="n">
        <v>45582</v>
      </c>
    </row>
    <row r="6">
      <c r="A6" t="inlineStr">
        <is>
          <t>PAY0000167</t>
        </is>
      </c>
      <c r="B6" t="inlineStr">
        <is>
          <t>INV0000958</t>
        </is>
      </c>
      <c r="C6" t="inlineStr">
        <is>
          <t>MER00048</t>
        </is>
      </c>
      <c r="D6" s="8" t="n">
        <v>45608</v>
      </c>
      <c r="E6" t="n">
        <v>305.44</v>
      </c>
      <c r="F6" t="inlineStr">
        <is>
          <t>UPI</t>
        </is>
      </c>
      <c r="G6" t="inlineStr">
        <is>
          <t>PAYX4QSV4PCFH</t>
        </is>
      </c>
      <c r="H6" t="inlineStr">
        <is>
          <t>Success</t>
        </is>
      </c>
      <c r="I6" t="inlineStr">
        <is>
          <t>BNKJBTGPFPUWDWP</t>
        </is>
      </c>
      <c r="J6" s="8" t="n">
        <v>45609</v>
      </c>
    </row>
    <row r="7">
      <c r="A7" t="inlineStr">
        <is>
          <t>PAY0000168</t>
        </is>
      </c>
      <c r="B7" t="inlineStr">
        <is>
          <t>INV0000959</t>
        </is>
      </c>
      <c r="C7" t="inlineStr">
        <is>
          <t>MER00048</t>
        </is>
      </c>
      <c r="D7" s="8" t="n">
        <v>45635</v>
      </c>
      <c r="E7" t="n">
        <v>603.04</v>
      </c>
      <c r="F7" t="inlineStr">
        <is>
          <t>Card</t>
        </is>
      </c>
      <c r="G7" t="inlineStr">
        <is>
          <t>PAYLMV9CN64BX</t>
        </is>
      </c>
      <c r="H7" t="inlineStr">
        <is>
          <t>Success</t>
        </is>
      </c>
      <c r="I7" t="inlineStr">
        <is>
          <t>BNKRLQMHTYN84L3</t>
        </is>
      </c>
      <c r="J7" s="8" t="n">
        <v>45636</v>
      </c>
    </row>
    <row r="8">
      <c r="A8" t="inlineStr">
        <is>
          <t>PAY0000169</t>
        </is>
      </c>
      <c r="B8" t="inlineStr">
        <is>
          <t>INV0000960</t>
        </is>
      </c>
      <c r="C8" t="inlineStr">
        <is>
          <t>MER00048</t>
        </is>
      </c>
      <c r="D8" s="8" t="n">
        <v>45675</v>
      </c>
      <c r="E8" t="n">
        <v>65.70999999999999</v>
      </c>
      <c r="F8" t="inlineStr">
        <is>
          <t>Card</t>
        </is>
      </c>
      <c r="G8" t="inlineStr">
        <is>
          <t>PAYQMR34A2NF6</t>
        </is>
      </c>
      <c r="H8" t="inlineStr">
        <is>
          <t>Success</t>
        </is>
      </c>
      <c r="I8" t="inlineStr">
        <is>
          <t>BNKNJ695DMUQW8S</t>
        </is>
      </c>
      <c r="J8" s="8" t="n">
        <v>45677</v>
      </c>
    </row>
    <row r="9">
      <c r="A9" t="inlineStr">
        <is>
          <t>PAY0000170</t>
        </is>
      </c>
      <c r="B9" t="inlineStr">
        <is>
          <t>INV0000962</t>
        </is>
      </c>
      <c r="C9" t="inlineStr">
        <is>
          <t>MER00048</t>
        </is>
      </c>
      <c r="D9" s="8" t="n">
        <v>45734</v>
      </c>
      <c r="E9" t="n">
        <v>191.61</v>
      </c>
      <c r="F9" t="inlineStr">
        <is>
          <t>UPI</t>
        </is>
      </c>
      <c r="G9" t="inlineStr">
        <is>
          <t>PAYXNTPE9KLN5</t>
        </is>
      </c>
      <c r="H9" t="inlineStr">
        <is>
          <t>Success</t>
        </is>
      </c>
      <c r="I9" t="inlineStr">
        <is>
          <t>BNK8GAARTLR8H76</t>
        </is>
      </c>
      <c r="J9" s="8" t="n">
        <v>45735</v>
      </c>
    </row>
    <row r="10">
      <c r="A10" t="inlineStr">
        <is>
          <t>PAY0000171</t>
        </is>
      </c>
      <c r="B10" t="inlineStr">
        <is>
          <t>INV0000963</t>
        </is>
      </c>
      <c r="C10" t="inlineStr">
        <is>
          <t>MER00048</t>
        </is>
      </c>
      <c r="D10" s="8" t="n">
        <v>45764</v>
      </c>
      <c r="E10" t="n">
        <v>119.94</v>
      </c>
      <c r="F10" t="inlineStr">
        <is>
          <t>UPI</t>
        </is>
      </c>
      <c r="G10" t="inlineStr">
        <is>
          <t>PAYRBFLRYWH7T</t>
        </is>
      </c>
      <c r="H10" t="inlineStr">
        <is>
          <t>Success</t>
        </is>
      </c>
      <c r="I10" t="inlineStr">
        <is>
          <t>BNKA8VLKDZLQSZC</t>
        </is>
      </c>
      <c r="J10" s="8" t="n">
        <v>45766</v>
      </c>
    </row>
    <row r="11">
      <c r="A11" t="inlineStr">
        <is>
          <t>PAY0000172</t>
        </is>
      </c>
      <c r="B11" t="inlineStr">
        <is>
          <t>INV0000964</t>
        </is>
      </c>
      <c r="C11" t="inlineStr">
        <is>
          <t>MER00048</t>
        </is>
      </c>
      <c r="D11" s="8" t="n">
        <v>45789</v>
      </c>
      <c r="E11" t="n">
        <v>320.87</v>
      </c>
      <c r="F11" t="inlineStr">
        <is>
          <t>UPI</t>
        </is>
      </c>
      <c r="G11" t="inlineStr">
        <is>
          <t>PAYKVUZN2JTAE</t>
        </is>
      </c>
      <c r="H11" t="inlineStr">
        <is>
          <t>Success</t>
        </is>
      </c>
      <c r="I11" t="inlineStr">
        <is>
          <t>BNK48JEDJKBTVDZ</t>
        </is>
      </c>
      <c r="J11" s="8" t="n">
        <v>45791</v>
      </c>
    </row>
    <row r="12">
      <c r="A12" t="inlineStr">
        <is>
          <t>PAY0000173</t>
        </is>
      </c>
      <c r="B12" t="inlineStr">
        <is>
          <t>INV0000965</t>
        </is>
      </c>
      <c r="C12" t="inlineStr">
        <is>
          <t>MER00048</t>
        </is>
      </c>
      <c r="D12" s="8" t="n">
        <v>45825</v>
      </c>
      <c r="E12" t="n">
        <v>339.46</v>
      </c>
      <c r="F12" t="inlineStr">
        <is>
          <t>UPI</t>
        </is>
      </c>
      <c r="G12" t="inlineStr">
        <is>
          <t>PAYD9KANKTU6U</t>
        </is>
      </c>
      <c r="H12" t="inlineStr">
        <is>
          <t>Success</t>
        </is>
      </c>
      <c r="I12" t="inlineStr">
        <is>
          <t>BNK39DUPLVEV8C4</t>
        </is>
      </c>
      <c r="J12" s="8" t="n">
        <v>45826</v>
      </c>
    </row>
    <row r="13">
      <c r="A13" t="inlineStr">
        <is>
          <t>PAY0000174</t>
        </is>
      </c>
      <c r="B13" t="inlineStr">
        <is>
          <t>INV0000966</t>
        </is>
      </c>
      <c r="C13" t="inlineStr">
        <is>
          <t>MER00048</t>
        </is>
      </c>
      <c r="D13" s="8" t="n">
        <v>45886</v>
      </c>
      <c r="E13" t="n">
        <v>198.82</v>
      </c>
      <c r="F13" t="inlineStr">
        <is>
          <t>Card</t>
        </is>
      </c>
      <c r="G13" t="inlineStr">
        <is>
          <t>PAY6R8VLDQWAH</t>
        </is>
      </c>
      <c r="H13" t="inlineStr">
        <is>
          <t>Success</t>
        </is>
      </c>
      <c r="I13" t="inlineStr">
        <is>
          <t>BNKB25HV2UNXHX9</t>
        </is>
      </c>
      <c r="J13" s="8" t="n">
        <v>45889</v>
      </c>
    </row>
    <row r="14">
      <c r="A14" t="inlineStr">
        <is>
          <t>PAY0000175</t>
        </is>
      </c>
      <c r="B14" t="inlineStr">
        <is>
          <t>INV0000967</t>
        </is>
      </c>
      <c r="C14" t="inlineStr">
        <is>
          <t>MER00048</t>
        </is>
      </c>
      <c r="D14" s="8" t="n">
        <v>45915</v>
      </c>
      <c r="E14" t="n">
        <v>172.75</v>
      </c>
      <c r="F14" t="inlineStr">
        <is>
          <t>UPI</t>
        </is>
      </c>
      <c r="G14" t="inlineStr">
        <is>
          <t>PAY9FGL2LWD4R</t>
        </is>
      </c>
      <c r="H14" t="inlineStr">
        <is>
          <t>Success</t>
        </is>
      </c>
      <c r="I14" t="inlineStr">
        <is>
          <t>BNKYY5J537M8D2B</t>
        </is>
      </c>
      <c r="J14" s="8" t="n">
        <v>45917</v>
      </c>
    </row>
    <row r="15">
      <c r="A15" t="inlineStr">
        <is>
          <t>PAY0000176</t>
        </is>
      </c>
      <c r="B15" t="inlineStr">
        <is>
          <t>INV0000968</t>
        </is>
      </c>
      <c r="C15" t="inlineStr">
        <is>
          <t>MER00048</t>
        </is>
      </c>
      <c r="D15" s="8" t="n">
        <v>45939</v>
      </c>
      <c r="E15" t="n">
        <v>345.26</v>
      </c>
      <c r="F15" t="inlineStr">
        <is>
          <t>UPI</t>
        </is>
      </c>
      <c r="G15" t="inlineStr">
        <is>
          <t>PAY9E2DJMHQ39</t>
        </is>
      </c>
      <c r="H15" t="inlineStr">
        <is>
          <t>Success</t>
        </is>
      </c>
      <c r="I15" t="inlineStr">
        <is>
          <t>BNKY9LYTPNAG6UZ</t>
        </is>
      </c>
      <c r="J15" s="8" t="n">
        <v>45942</v>
      </c>
    </row>
    <row r="16">
      <c r="A16" t="inlineStr">
        <is>
          <t>PAY0000177</t>
        </is>
      </c>
      <c r="B16" t="inlineStr">
        <is>
          <t>INV0000969</t>
        </is>
      </c>
      <c r="C16" t="inlineStr">
        <is>
          <t>MER00048</t>
        </is>
      </c>
      <c r="D16" s="8" t="n">
        <v>45974</v>
      </c>
      <c r="E16" t="n">
        <v>228.61</v>
      </c>
      <c r="F16" t="inlineStr">
        <is>
          <t>Card</t>
        </is>
      </c>
      <c r="G16" t="inlineStr">
        <is>
          <t>PAYRA2U34LNHN</t>
        </is>
      </c>
      <c r="H16" t="inlineStr">
        <is>
          <t>Success</t>
        </is>
      </c>
      <c r="I16" t="inlineStr">
        <is>
          <t>BNKD4QJ53HF9GN9</t>
        </is>
      </c>
      <c r="J16" s="8" t="n">
        <v>45975</v>
      </c>
    </row>
    <row r="17">
      <c r="A17" t="inlineStr">
        <is>
          <t>PAY0000178</t>
        </is>
      </c>
      <c r="B17" t="inlineStr">
        <is>
          <t>INV0000970</t>
        </is>
      </c>
      <c r="C17" t="inlineStr">
        <is>
          <t>MER00048</t>
        </is>
      </c>
      <c r="D17" s="8" t="n">
        <v>46008</v>
      </c>
      <c r="E17" t="n">
        <v>344.37</v>
      </c>
      <c r="F17" t="inlineStr">
        <is>
          <t>Wallet</t>
        </is>
      </c>
      <c r="G17" t="inlineStr">
        <is>
          <t>PAYJ95W2AWKKJ</t>
        </is>
      </c>
      <c r="H17" t="inlineStr">
        <is>
          <t>Success</t>
        </is>
      </c>
      <c r="I17" t="inlineStr">
        <is>
          <t>BNKQ32682EFJ5A5</t>
        </is>
      </c>
      <c r="J17" s="8" t="n">
        <v>46009</v>
      </c>
    </row>
    <row r="18">
      <c r="A18" t="inlineStr">
        <is>
          <t>PAY0000179</t>
        </is>
      </c>
      <c r="B18" t="inlineStr">
        <is>
          <t>INV0000971</t>
        </is>
      </c>
      <c r="C18" t="inlineStr">
        <is>
          <t>MER00048</t>
        </is>
      </c>
      <c r="D18" s="8" t="n">
        <v>46036</v>
      </c>
      <c r="E18" t="n">
        <v>52.27</v>
      </c>
      <c r="F18" t="inlineStr">
        <is>
          <t>Card</t>
        </is>
      </c>
      <c r="G18" t="inlineStr">
        <is>
          <t>PAY674G8JBBMY</t>
        </is>
      </c>
      <c r="H18" t="inlineStr">
        <is>
          <t>Success</t>
        </is>
      </c>
      <c r="I18" t="inlineStr">
        <is>
          <t>BNKRPQ26YPB5VQX</t>
        </is>
      </c>
      <c r="J18" s="8" t="n">
        <v>46039</v>
      </c>
    </row>
    <row r="19">
      <c r="A19" t="inlineStr">
        <is>
          <t>PAY0000180</t>
        </is>
      </c>
      <c r="B19" t="inlineStr">
        <is>
          <t>INV0000972</t>
        </is>
      </c>
      <c r="C19" t="inlineStr">
        <is>
          <t>MER00048</t>
        </is>
      </c>
      <c r="D19" s="8" t="n">
        <v>46064</v>
      </c>
      <c r="E19" t="n">
        <v>321</v>
      </c>
      <c r="F19" t="inlineStr">
        <is>
          <t>UPI</t>
        </is>
      </c>
      <c r="G19" t="inlineStr">
        <is>
          <t>PAY2SYKTSVL9D</t>
        </is>
      </c>
      <c r="H19" t="inlineStr">
        <is>
          <t>Success</t>
        </is>
      </c>
      <c r="I19" t="inlineStr">
        <is>
          <t>BNKLAVGWUEQ545W</t>
        </is>
      </c>
      <c r="J19" s="8" t="n">
        <v>46065</v>
      </c>
    </row>
    <row r="20">
      <c r="A20" t="inlineStr">
        <is>
          <t>PAY0000181</t>
        </is>
      </c>
      <c r="B20" t="inlineStr">
        <is>
          <t>INV0000973</t>
        </is>
      </c>
      <c r="C20" t="inlineStr">
        <is>
          <t>MER00048</t>
        </is>
      </c>
      <c r="D20" s="8" t="n">
        <v>46093</v>
      </c>
      <c r="E20" t="n">
        <v>372.33</v>
      </c>
      <c r="F20" t="inlineStr">
        <is>
          <t>UPI</t>
        </is>
      </c>
      <c r="G20" t="inlineStr">
        <is>
          <t>PAYWNA5N5DFU6</t>
        </is>
      </c>
      <c r="H20" t="inlineStr">
        <is>
          <t>Success</t>
        </is>
      </c>
      <c r="I20" t="inlineStr">
        <is>
          <t>BNKD9BTHLMGYJKF</t>
        </is>
      </c>
      <c r="J20" s="8" t="n">
        <v>46096</v>
      </c>
    </row>
    <row r="21">
      <c r="A21" t="inlineStr">
        <is>
          <t>PAY0000182</t>
        </is>
      </c>
      <c r="B21" t="inlineStr">
        <is>
          <t>INV0000974</t>
        </is>
      </c>
      <c r="C21" t="inlineStr">
        <is>
          <t>MER00048</t>
        </is>
      </c>
      <c r="D21" s="8" t="n">
        <v>46128</v>
      </c>
      <c r="E21" t="n">
        <v>93.7</v>
      </c>
      <c r="F21" t="inlineStr">
        <is>
          <t>Card</t>
        </is>
      </c>
      <c r="G21" t="inlineStr">
        <is>
          <t>PAYQ5GBXPFDMH</t>
        </is>
      </c>
      <c r="H21" t="inlineStr">
        <is>
          <t>Success</t>
        </is>
      </c>
      <c r="I21" t="inlineStr">
        <is>
          <t>BNKMR8F5BKCG3UB</t>
        </is>
      </c>
      <c r="J21" s="8" t="n">
        <v>46129</v>
      </c>
    </row>
    <row r="22">
      <c r="A22" t="inlineStr">
        <is>
          <t>PAY0000183</t>
        </is>
      </c>
      <c r="B22" t="inlineStr">
        <is>
          <t>INV0000975</t>
        </is>
      </c>
      <c r="C22" t="inlineStr">
        <is>
          <t>MER00048</t>
        </is>
      </c>
      <c r="D22" s="8" t="n">
        <v>46161</v>
      </c>
      <c r="E22" t="n">
        <v>523.0700000000001</v>
      </c>
      <c r="F22" t="inlineStr">
        <is>
          <t>UPI</t>
        </is>
      </c>
      <c r="G22" t="inlineStr">
        <is>
          <t>PAYQJU5FSQAPR</t>
        </is>
      </c>
      <c r="H22" t="inlineStr">
        <is>
          <t>Success</t>
        </is>
      </c>
      <c r="I22" t="inlineStr">
        <is>
          <t>BNK4MSGQ55JHZQV</t>
        </is>
      </c>
      <c r="J22" s="8" t="n">
        <v>46163</v>
      </c>
    </row>
    <row r="23">
      <c r="A23" t="inlineStr">
        <is>
          <t>PAY0000184</t>
        </is>
      </c>
      <c r="B23" t="inlineStr">
        <is>
          <t>INV0000976</t>
        </is>
      </c>
      <c r="C23" t="inlineStr">
        <is>
          <t>MER00048</t>
        </is>
      </c>
      <c r="D23" s="8" t="n">
        <v>46187</v>
      </c>
      <c r="E23" t="n">
        <v>130.02</v>
      </c>
      <c r="F23" t="inlineStr">
        <is>
          <t>Card</t>
        </is>
      </c>
      <c r="G23" t="inlineStr">
        <is>
          <t>PAY3BX5EZBZ2K</t>
        </is>
      </c>
      <c r="H23" t="inlineStr">
        <is>
          <t>Success</t>
        </is>
      </c>
      <c r="I23" t="inlineStr">
        <is>
          <t>BNKKQM3UG7R3ZF2</t>
        </is>
      </c>
      <c r="J23" s="8" t="n">
        <v>46190</v>
      </c>
    </row>
    <row r="24">
      <c r="A24" t="inlineStr">
        <is>
          <t>PAY0000185</t>
        </is>
      </c>
      <c r="B24" t="inlineStr">
        <is>
          <t>INV0000977</t>
        </is>
      </c>
      <c r="C24" t="inlineStr">
        <is>
          <t>MER00048</t>
        </is>
      </c>
      <c r="D24" s="8" t="n">
        <v>46221</v>
      </c>
      <c r="E24" t="n">
        <v>230.21</v>
      </c>
      <c r="F24" t="inlineStr">
        <is>
          <t>UPI</t>
        </is>
      </c>
      <c r="G24" t="inlineStr">
        <is>
          <t>PAYZBN7H3KE5S</t>
        </is>
      </c>
      <c r="H24" t="inlineStr">
        <is>
          <t>Success</t>
        </is>
      </c>
      <c r="I24" t="inlineStr">
        <is>
          <t>BNKWAR5ZUQMP8RH</t>
        </is>
      </c>
      <c r="J24" s="8" t="n">
        <v>46222</v>
      </c>
    </row>
    <row r="25">
      <c r="A25" t="inlineStr">
        <is>
          <t>PAY0000186</t>
        </is>
      </c>
      <c r="B25" t="inlineStr">
        <is>
          <t>INV0000978</t>
        </is>
      </c>
      <c r="C25" t="inlineStr">
        <is>
          <t>MER00048</t>
        </is>
      </c>
      <c r="D25" s="8" t="n">
        <v>46251</v>
      </c>
      <c r="E25" t="n">
        <v>351.81</v>
      </c>
      <c r="F25" t="inlineStr">
        <is>
          <t>UPI</t>
        </is>
      </c>
      <c r="G25" t="inlineStr">
        <is>
          <t>PAYRHT7AHBGDE</t>
        </is>
      </c>
      <c r="H25" t="inlineStr">
        <is>
          <t>Success</t>
        </is>
      </c>
      <c r="I25" t="inlineStr">
        <is>
          <t>BNKAQX4WR6P8QFG</t>
        </is>
      </c>
      <c r="J25" s="8" t="n">
        <v>46253</v>
      </c>
    </row>
    <row r="26">
      <c r="A26" t="inlineStr">
        <is>
          <t>PAY0000362</t>
        </is>
      </c>
      <c r="B26" t="inlineStr">
        <is>
          <t>INV0001610</t>
        </is>
      </c>
      <c r="C26" t="inlineStr">
        <is>
          <t>MER00077</t>
        </is>
      </c>
      <c r="D26" s="8" t="n">
        <v>45553</v>
      </c>
      <c r="E26" t="n">
        <v>484.83</v>
      </c>
      <c r="F26" t="inlineStr">
        <is>
          <t>NetBanking</t>
        </is>
      </c>
      <c r="G26" t="inlineStr">
        <is>
          <t>PAYNFXRRYGKAZ</t>
        </is>
      </c>
      <c r="H26" t="inlineStr">
        <is>
          <t>Success</t>
        </is>
      </c>
      <c r="I26" t="inlineStr">
        <is>
          <t>BNK9AQ2RSLFWKGP</t>
        </is>
      </c>
      <c r="J26" s="8" t="n">
        <v>45556</v>
      </c>
    </row>
    <row r="27">
      <c r="A27" t="inlineStr">
        <is>
          <t>PAY0000363</t>
        </is>
      </c>
      <c r="B27" t="inlineStr">
        <is>
          <t>INV0001611</t>
        </is>
      </c>
      <c r="C27" t="inlineStr">
        <is>
          <t>MER00077</t>
        </is>
      </c>
      <c r="D27" s="8" t="n">
        <v>45578</v>
      </c>
      <c r="E27" t="n">
        <v>486.8</v>
      </c>
      <c r="F27" t="inlineStr">
        <is>
          <t>UPI</t>
        </is>
      </c>
      <c r="G27" t="inlineStr">
        <is>
          <t>PAYMFJZFL7YNS</t>
        </is>
      </c>
      <c r="H27" t="inlineStr">
        <is>
          <t>Success</t>
        </is>
      </c>
      <c r="I27" t="inlineStr">
        <is>
          <t>BNKKUTVCW92767L</t>
        </is>
      </c>
      <c r="J27" s="8" t="n">
        <v>45580</v>
      </c>
    </row>
    <row r="28">
      <c r="A28" t="inlineStr">
        <is>
          <t>PAY0000364</t>
        </is>
      </c>
      <c r="B28" t="inlineStr">
        <is>
          <t>INV0001612</t>
        </is>
      </c>
      <c r="C28" t="inlineStr">
        <is>
          <t>MER00077</t>
        </is>
      </c>
      <c r="D28" s="8" t="n">
        <v>45611</v>
      </c>
      <c r="E28" t="n">
        <v>362.14</v>
      </c>
      <c r="F28" t="inlineStr">
        <is>
          <t>UPI</t>
        </is>
      </c>
      <c r="G28" t="inlineStr">
        <is>
          <t>PAYGT4PRYSWY5</t>
        </is>
      </c>
      <c r="H28" t="inlineStr">
        <is>
          <t>Success</t>
        </is>
      </c>
      <c r="I28" t="inlineStr">
        <is>
          <t>BNKN2SNZCSTTYKQ</t>
        </is>
      </c>
      <c r="J28" s="8" t="n">
        <v>45612</v>
      </c>
    </row>
    <row r="29">
      <c r="A29" t="inlineStr">
        <is>
          <t>PAY0000365</t>
        </is>
      </c>
      <c r="B29" t="inlineStr">
        <is>
          <t>INV0001614</t>
        </is>
      </c>
      <c r="C29" t="inlineStr">
        <is>
          <t>MER00077</t>
        </is>
      </c>
      <c r="D29" s="8" t="n">
        <v>45674</v>
      </c>
      <c r="E29" t="n">
        <v>72.43000000000001</v>
      </c>
      <c r="F29" t="inlineStr">
        <is>
          <t>NetBanking</t>
        </is>
      </c>
      <c r="G29" t="inlineStr">
        <is>
          <t>PAYPC8L7PJUM5</t>
        </is>
      </c>
      <c r="H29" t="inlineStr">
        <is>
          <t>Success</t>
        </is>
      </c>
      <c r="I29" t="inlineStr">
        <is>
          <t>BNKXRE97C3VLA3S</t>
        </is>
      </c>
      <c r="J29" s="8" t="n">
        <v>45675</v>
      </c>
    </row>
    <row r="30">
      <c r="A30" t="inlineStr">
        <is>
          <t>PAY0000366</t>
        </is>
      </c>
      <c r="B30" t="inlineStr">
        <is>
          <t>INV0001615</t>
        </is>
      </c>
      <c r="C30" t="inlineStr">
        <is>
          <t>MER00077</t>
        </is>
      </c>
      <c r="D30" s="8" t="n">
        <v>45704</v>
      </c>
      <c r="E30" t="n">
        <v>147.46</v>
      </c>
      <c r="F30" t="inlineStr">
        <is>
          <t>UPI</t>
        </is>
      </c>
      <c r="G30" t="inlineStr">
        <is>
          <t>PAYFVCKRHB34M</t>
        </is>
      </c>
      <c r="H30" t="inlineStr">
        <is>
          <t>Success</t>
        </is>
      </c>
      <c r="I30" t="inlineStr">
        <is>
          <t>BNKVQF8FQAN72AP</t>
        </is>
      </c>
      <c r="J30" s="8" t="n">
        <v>45706</v>
      </c>
    </row>
    <row r="31">
      <c r="A31" t="inlineStr">
        <is>
          <t>PAY0000367</t>
        </is>
      </c>
      <c r="B31" t="inlineStr">
        <is>
          <t>INV0001616</t>
        </is>
      </c>
      <c r="C31" t="inlineStr">
        <is>
          <t>MER00077</t>
        </is>
      </c>
      <c r="D31" s="8" t="n">
        <v>45733</v>
      </c>
      <c r="E31" t="n">
        <v>200.27</v>
      </c>
      <c r="F31" t="inlineStr">
        <is>
          <t>Card</t>
        </is>
      </c>
      <c r="G31" t="inlineStr">
        <is>
          <t>PAYLH7NL9XRLX</t>
        </is>
      </c>
      <c r="H31" t="inlineStr">
        <is>
          <t>Success</t>
        </is>
      </c>
      <c r="I31" t="inlineStr">
        <is>
          <t>BNKC5F7W7G25YWG</t>
        </is>
      </c>
      <c r="J31" s="8" t="n">
        <v>45734</v>
      </c>
    </row>
    <row r="32">
      <c r="A32" t="inlineStr">
        <is>
          <t>PAY0000368</t>
        </is>
      </c>
      <c r="B32" t="inlineStr">
        <is>
          <t>INV0001617</t>
        </is>
      </c>
      <c r="C32" t="inlineStr">
        <is>
          <t>MER00077</t>
        </is>
      </c>
      <c r="D32" s="8" t="n">
        <v>45759</v>
      </c>
      <c r="E32" t="n">
        <v>288.26</v>
      </c>
      <c r="F32" t="inlineStr">
        <is>
          <t>UPI</t>
        </is>
      </c>
      <c r="G32" t="inlineStr">
        <is>
          <t>PAYU6W374D3QX</t>
        </is>
      </c>
      <c r="H32" t="inlineStr">
        <is>
          <t>Success</t>
        </is>
      </c>
      <c r="I32" t="inlineStr">
        <is>
          <t>BNKK86HGZRCMR4Z</t>
        </is>
      </c>
      <c r="J32" s="8" t="n">
        <v>45760</v>
      </c>
    </row>
    <row r="33">
      <c r="A33" t="inlineStr">
        <is>
          <t>PAY0000369</t>
        </is>
      </c>
      <c r="B33" t="inlineStr">
        <is>
          <t>INV0001618</t>
        </is>
      </c>
      <c r="C33" t="inlineStr">
        <is>
          <t>MER00077</t>
        </is>
      </c>
      <c r="D33" s="8" t="n">
        <v>45794</v>
      </c>
      <c r="E33" t="n">
        <v>223.33</v>
      </c>
      <c r="F33" t="inlineStr">
        <is>
          <t>COD</t>
        </is>
      </c>
      <c r="G33" t="inlineStr">
        <is>
          <t>PAYPTURL2U7G3</t>
        </is>
      </c>
      <c r="H33" t="inlineStr">
        <is>
          <t>Success</t>
        </is>
      </c>
      <c r="I33" t="inlineStr">
        <is>
          <t>BNK85JUY5PVTJKT</t>
        </is>
      </c>
      <c r="J33" s="8" t="n">
        <v>45797</v>
      </c>
    </row>
    <row r="34">
      <c r="A34" t="inlineStr">
        <is>
          <t>PAY0000370</t>
        </is>
      </c>
      <c r="B34" t="inlineStr">
        <is>
          <t>INV0001619</t>
        </is>
      </c>
      <c r="C34" t="inlineStr">
        <is>
          <t>MER00077</t>
        </is>
      </c>
      <c r="D34" s="8" t="n">
        <v>45825</v>
      </c>
      <c r="E34" t="n">
        <v>415.15</v>
      </c>
      <c r="F34" t="inlineStr">
        <is>
          <t>Card</t>
        </is>
      </c>
      <c r="G34" t="inlineStr">
        <is>
          <t>PAYDV437D758C</t>
        </is>
      </c>
      <c r="H34" t="inlineStr">
        <is>
          <t>Success</t>
        </is>
      </c>
      <c r="I34" t="inlineStr">
        <is>
          <t>BNKXHS2GU79FCN2</t>
        </is>
      </c>
      <c r="J34" s="8" t="n">
        <v>45827</v>
      </c>
    </row>
    <row r="35">
      <c r="A35" t="inlineStr">
        <is>
          <t>PAY0000371</t>
        </is>
      </c>
      <c r="B35" t="inlineStr">
        <is>
          <t>INV0001620</t>
        </is>
      </c>
      <c r="C35" t="inlineStr">
        <is>
          <t>MER00077</t>
        </is>
      </c>
      <c r="D35" s="8" t="n">
        <v>45854</v>
      </c>
      <c r="E35" t="n">
        <v>214.03</v>
      </c>
      <c r="F35" t="inlineStr">
        <is>
          <t>UPI</t>
        </is>
      </c>
      <c r="G35" t="inlineStr">
        <is>
          <t>PAY35XKS5WAJV</t>
        </is>
      </c>
      <c r="H35" t="inlineStr">
        <is>
          <t>Success</t>
        </is>
      </c>
      <c r="I35" t="inlineStr">
        <is>
          <t>BNK425WACAU5NSS</t>
        </is>
      </c>
      <c r="J35" s="8" t="n">
        <v>45855</v>
      </c>
    </row>
    <row r="36">
      <c r="A36" t="inlineStr">
        <is>
          <t>PAY0000372</t>
        </is>
      </c>
      <c r="B36" t="inlineStr">
        <is>
          <t>INV0001622</t>
        </is>
      </c>
      <c r="C36" t="inlineStr">
        <is>
          <t>MER00077</t>
        </is>
      </c>
      <c r="D36" s="8" t="n">
        <v>45916</v>
      </c>
      <c r="E36" t="n">
        <v>262.77</v>
      </c>
      <c r="F36" t="inlineStr">
        <is>
          <t>UPI</t>
        </is>
      </c>
      <c r="G36" t="inlineStr">
        <is>
          <t>PAYZ9Z3YC5WR8</t>
        </is>
      </c>
      <c r="H36" t="inlineStr">
        <is>
          <t>Success</t>
        </is>
      </c>
      <c r="I36" t="inlineStr">
        <is>
          <t>BNK637ZWWYQK9TH</t>
        </is>
      </c>
      <c r="J36" s="8" t="n">
        <v>45919</v>
      </c>
    </row>
    <row r="37">
      <c r="A37" t="inlineStr">
        <is>
          <t>PAY0000373</t>
        </is>
      </c>
      <c r="B37" t="inlineStr">
        <is>
          <t>INV0001623</t>
        </is>
      </c>
      <c r="C37" t="inlineStr">
        <is>
          <t>MER00077</t>
        </is>
      </c>
      <c r="D37" s="8" t="n">
        <v>45947</v>
      </c>
      <c r="E37" t="n">
        <v>283.01</v>
      </c>
      <c r="F37" t="inlineStr">
        <is>
          <t>UPI</t>
        </is>
      </c>
      <c r="G37" t="inlineStr">
        <is>
          <t>PAYZ9LDY9K6XM</t>
        </is>
      </c>
      <c r="H37" t="inlineStr">
        <is>
          <t>Success</t>
        </is>
      </c>
      <c r="I37" t="inlineStr">
        <is>
          <t>BNK9WHUYYNZFEN9</t>
        </is>
      </c>
      <c r="J37" s="8" t="n">
        <v>45948</v>
      </c>
    </row>
    <row r="38">
      <c r="A38" t="inlineStr">
        <is>
          <t>PAY0000374</t>
        </is>
      </c>
      <c r="B38" t="inlineStr">
        <is>
          <t>INV0001625</t>
        </is>
      </c>
      <c r="C38" t="inlineStr">
        <is>
          <t>MER00077</t>
        </is>
      </c>
      <c r="D38" s="8" t="n">
        <v>46008</v>
      </c>
      <c r="E38" t="n">
        <v>634.99</v>
      </c>
      <c r="F38" t="inlineStr">
        <is>
          <t>UPI</t>
        </is>
      </c>
      <c r="G38" t="inlineStr">
        <is>
          <t>PAY52LYSQXT8K</t>
        </is>
      </c>
      <c r="H38" t="inlineStr">
        <is>
          <t>Success</t>
        </is>
      </c>
      <c r="I38" t="inlineStr">
        <is>
          <t>BNKT8C93MCFCLCN</t>
        </is>
      </c>
      <c r="J38" s="8" t="n">
        <v>46011</v>
      </c>
    </row>
    <row r="39">
      <c r="A39" t="inlineStr">
        <is>
          <t>PAY0000375</t>
        </is>
      </c>
      <c r="B39" t="inlineStr">
        <is>
          <t>INV0001626</t>
        </is>
      </c>
      <c r="C39" t="inlineStr">
        <is>
          <t>MER00077</t>
        </is>
      </c>
      <c r="D39" s="8" t="n">
        <v>46038</v>
      </c>
      <c r="E39" t="n">
        <v>317.56</v>
      </c>
      <c r="F39" t="inlineStr">
        <is>
          <t>Card</t>
        </is>
      </c>
      <c r="G39" t="inlineStr">
        <is>
          <t>PAYNEBX5RGBRR</t>
        </is>
      </c>
      <c r="H39" t="inlineStr">
        <is>
          <t>Success</t>
        </is>
      </c>
      <c r="I39" t="inlineStr">
        <is>
          <t>BNK6WNK8Q38RS5W</t>
        </is>
      </c>
      <c r="J39" s="8" t="n">
        <v>46041</v>
      </c>
    </row>
    <row r="40">
      <c r="A40" t="inlineStr">
        <is>
          <t>PAY0000376</t>
        </is>
      </c>
      <c r="B40" t="inlineStr">
        <is>
          <t>INV0001627</t>
        </is>
      </c>
      <c r="C40" t="inlineStr">
        <is>
          <t>MER00077</t>
        </is>
      </c>
      <c r="D40" s="8" t="n">
        <v>46073</v>
      </c>
      <c r="E40" t="n">
        <v>503.38</v>
      </c>
      <c r="F40" t="inlineStr">
        <is>
          <t>Card</t>
        </is>
      </c>
      <c r="G40" t="inlineStr">
        <is>
          <t>PAYKTG5GPW5VJ</t>
        </is>
      </c>
      <c r="H40" t="inlineStr">
        <is>
          <t>Success</t>
        </is>
      </c>
      <c r="I40" t="inlineStr">
        <is>
          <t>BNKMLXRG97SAM3P</t>
        </is>
      </c>
      <c r="J40" s="8" t="n">
        <v>46075</v>
      </c>
    </row>
    <row r="41">
      <c r="A41" t="inlineStr">
        <is>
          <t>PAY0000377</t>
        </is>
      </c>
      <c r="B41" t="inlineStr">
        <is>
          <t>INV0001628</t>
        </is>
      </c>
      <c r="C41" t="inlineStr">
        <is>
          <t>MER00077</t>
        </is>
      </c>
      <c r="D41" s="8" t="n">
        <v>46098</v>
      </c>
      <c r="E41" t="n">
        <v>358.83</v>
      </c>
      <c r="F41" t="inlineStr">
        <is>
          <t>UPI</t>
        </is>
      </c>
      <c r="G41" t="inlineStr">
        <is>
          <t>PAYDFF7MY79A7</t>
        </is>
      </c>
      <c r="H41" t="inlineStr">
        <is>
          <t>Success</t>
        </is>
      </c>
      <c r="I41" t="inlineStr">
        <is>
          <t>BNKX2YWGYWD5DGZ</t>
        </is>
      </c>
      <c r="J41" s="8" t="n">
        <v>46099</v>
      </c>
    </row>
    <row r="42">
      <c r="A42" t="inlineStr">
        <is>
          <t>PAY0000378</t>
        </is>
      </c>
      <c r="B42" t="inlineStr">
        <is>
          <t>INV0001629</t>
        </is>
      </c>
      <c r="C42" t="inlineStr">
        <is>
          <t>MER00077</t>
        </is>
      </c>
      <c r="D42" s="8" t="n">
        <v>46130</v>
      </c>
      <c r="E42" t="n">
        <v>244.13</v>
      </c>
      <c r="F42" t="inlineStr">
        <is>
          <t>Card</t>
        </is>
      </c>
      <c r="G42" t="inlineStr">
        <is>
          <t>PAY877HEWDLA7</t>
        </is>
      </c>
      <c r="H42" t="inlineStr">
        <is>
          <t>Success</t>
        </is>
      </c>
      <c r="I42" t="inlineStr">
        <is>
          <t>BNK3BBZGTNNYFAE</t>
        </is>
      </c>
      <c r="J42" s="8" t="n">
        <v>46131</v>
      </c>
    </row>
    <row r="43">
      <c r="A43" t="inlineStr">
        <is>
          <t>PAY0000379</t>
        </is>
      </c>
      <c r="B43" t="inlineStr">
        <is>
          <t>INV0001631</t>
        </is>
      </c>
      <c r="C43" t="inlineStr">
        <is>
          <t>MER00077</t>
        </is>
      </c>
      <c r="D43" s="8" t="n">
        <v>46192</v>
      </c>
      <c r="E43" t="n">
        <v>106.8</v>
      </c>
      <c r="F43" t="inlineStr">
        <is>
          <t>Card</t>
        </is>
      </c>
      <c r="G43" t="inlineStr">
        <is>
          <t>PAYYDW3VHK9ZX</t>
        </is>
      </c>
      <c r="H43" t="inlineStr">
        <is>
          <t>Success</t>
        </is>
      </c>
      <c r="I43" t="inlineStr">
        <is>
          <t>BNKVR4XLEZ4YBYH</t>
        </is>
      </c>
      <c r="J43" s="8" t="n">
        <v>46195</v>
      </c>
    </row>
    <row r="44">
      <c r="A44" t="inlineStr">
        <is>
          <t>PAY0000380</t>
        </is>
      </c>
      <c r="B44" t="inlineStr">
        <is>
          <t>INV0001632</t>
        </is>
      </c>
      <c r="C44" t="inlineStr">
        <is>
          <t>MER00077</t>
        </is>
      </c>
      <c r="D44" s="8" t="n">
        <v>46223</v>
      </c>
      <c r="E44" t="n">
        <v>453.7</v>
      </c>
      <c r="F44" t="inlineStr">
        <is>
          <t>UPI</t>
        </is>
      </c>
      <c r="G44" t="inlineStr">
        <is>
          <t>PAYAAVTZKUL8X</t>
        </is>
      </c>
      <c r="H44" t="inlineStr">
        <is>
          <t>Success</t>
        </is>
      </c>
      <c r="I44" t="inlineStr">
        <is>
          <t>BNKAAKVD54MNFQY</t>
        </is>
      </c>
      <c r="J44" s="8" t="n">
        <v>46226</v>
      </c>
    </row>
    <row r="45">
      <c r="A45" t="inlineStr">
        <is>
          <t>PAY0000381</t>
        </is>
      </c>
      <c r="B45" t="inlineStr">
        <is>
          <t>INV0001633</t>
        </is>
      </c>
      <c r="C45" t="inlineStr">
        <is>
          <t>MER00077</t>
        </is>
      </c>
      <c r="D45" s="8" t="n">
        <v>46250</v>
      </c>
      <c r="E45" t="n">
        <v>453.12</v>
      </c>
      <c r="F45" t="inlineStr">
        <is>
          <t>UPI</t>
        </is>
      </c>
      <c r="G45" t="inlineStr">
        <is>
          <t>PAYU8XGGP6ZQW</t>
        </is>
      </c>
      <c r="H45" t="inlineStr">
        <is>
          <t>Success</t>
        </is>
      </c>
      <c r="I45" t="inlineStr">
        <is>
          <t>BNKTJ6Y7NHJ8MUQ</t>
        </is>
      </c>
      <c r="J45" s="8" t="n">
        <v>46252</v>
      </c>
    </row>
    <row r="46">
      <c r="A46" t="inlineStr">
        <is>
          <t>PAY0001612</t>
        </is>
      </c>
      <c r="B46" t="inlineStr">
        <is>
          <t>INV0007318</t>
        </is>
      </c>
      <c r="C46" t="inlineStr">
        <is>
          <t>MER00347</t>
        </is>
      </c>
      <c r="D46" s="8" t="n">
        <v>46203</v>
      </c>
      <c r="E46" t="n">
        <v>893.24</v>
      </c>
      <c r="F46" t="inlineStr">
        <is>
          <t>Card</t>
        </is>
      </c>
      <c r="G46" t="inlineStr">
        <is>
          <t>PAYMTY5YCFTKE</t>
        </is>
      </c>
      <c r="H46" t="inlineStr">
        <is>
          <t>Success</t>
        </is>
      </c>
      <c r="I46" t="inlineStr">
        <is>
          <t>BNKULR3CC88HDA2</t>
        </is>
      </c>
      <c r="J46" s="8" t="n">
        <v>46206</v>
      </c>
    </row>
    <row r="47">
      <c r="A47" t="inlineStr">
        <is>
          <t>PAY0001613</t>
        </is>
      </c>
      <c r="B47" t="inlineStr">
        <is>
          <t>INV0007319</t>
        </is>
      </c>
      <c r="C47" t="inlineStr">
        <is>
          <t>MER00347</t>
        </is>
      </c>
      <c r="D47" s="8" t="n">
        <v>46235</v>
      </c>
      <c r="E47" t="n">
        <v>242.7</v>
      </c>
      <c r="F47" t="inlineStr">
        <is>
          <t>NetBanking</t>
        </is>
      </c>
      <c r="G47" t="inlineStr">
        <is>
          <t>PAYHGKKZG69VG</t>
        </is>
      </c>
      <c r="H47" t="inlineStr">
        <is>
          <t>Success</t>
        </is>
      </c>
      <c r="I47" t="inlineStr">
        <is>
          <t>BNKV2WPTVDDM3CB</t>
        </is>
      </c>
      <c r="J47" s="8" t="n">
        <v>46238</v>
      </c>
    </row>
    <row r="48">
      <c r="A48" t="inlineStr">
        <is>
          <t>PAY0001614</t>
        </is>
      </c>
      <c r="B48" t="inlineStr">
        <is>
          <t>INV0007320</t>
        </is>
      </c>
      <c r="C48" t="inlineStr">
        <is>
          <t>MER00347</t>
        </is>
      </c>
      <c r="D48" s="8" t="n">
        <v>46266</v>
      </c>
      <c r="E48" t="n">
        <v>576.29</v>
      </c>
      <c r="F48" t="inlineStr">
        <is>
          <t>Card</t>
        </is>
      </c>
      <c r="G48" t="inlineStr">
        <is>
          <t>PAY3K694Y7FFX</t>
        </is>
      </c>
      <c r="H48" t="inlineStr">
        <is>
          <t>Success</t>
        </is>
      </c>
      <c r="I48" t="inlineStr">
        <is>
          <t>BNKBZQBQSG3KRD5</t>
        </is>
      </c>
      <c r="J48" s="8" t="n">
        <v>46268</v>
      </c>
    </row>
    <row r="49">
      <c r="A49" t="inlineStr">
        <is>
          <t>PAY0001845</t>
        </is>
      </c>
      <c r="B49" t="inlineStr">
        <is>
          <t>INV0008124</t>
        </is>
      </c>
      <c r="C49" t="inlineStr">
        <is>
          <t>MER00386</t>
        </is>
      </c>
      <c r="D49" s="8" t="n">
        <v>45825</v>
      </c>
      <c r="E49" t="n">
        <v>595.27</v>
      </c>
      <c r="F49" t="inlineStr">
        <is>
          <t>Card</t>
        </is>
      </c>
      <c r="G49" t="inlineStr">
        <is>
          <t>PAYXHJP82EQXS</t>
        </is>
      </c>
      <c r="H49" t="inlineStr">
        <is>
          <t>Success</t>
        </is>
      </c>
      <c r="I49" t="inlineStr">
        <is>
          <t>BNKVCA8B3UB72KD</t>
        </is>
      </c>
      <c r="J49" s="8" t="n">
        <v>45827</v>
      </c>
    </row>
    <row r="50">
      <c r="A50" t="inlineStr">
        <is>
          <t>PAY0001846</t>
        </is>
      </c>
      <c r="B50" t="inlineStr">
        <is>
          <t>INV0008125</t>
        </is>
      </c>
      <c r="C50" t="inlineStr">
        <is>
          <t>MER00386</t>
        </is>
      </c>
      <c r="D50" s="8" t="n">
        <v>45882</v>
      </c>
      <c r="E50" t="n">
        <v>643.96</v>
      </c>
      <c r="F50" t="inlineStr">
        <is>
          <t>Wallet</t>
        </is>
      </c>
      <c r="G50" t="inlineStr">
        <is>
          <t>PAYGY4NBTWSBK</t>
        </is>
      </c>
      <c r="H50" t="inlineStr">
        <is>
          <t>Success</t>
        </is>
      </c>
      <c r="I50" t="inlineStr">
        <is>
          <t>BNKQBR6HJNMGKY3</t>
        </is>
      </c>
      <c r="J50" s="8" t="n">
        <v>45884</v>
      </c>
    </row>
    <row r="51">
      <c r="A51" t="inlineStr">
        <is>
          <t>PAY0001847</t>
        </is>
      </c>
      <c r="B51" t="inlineStr">
        <is>
          <t>INV0008126</t>
        </is>
      </c>
      <c r="C51" t="inlineStr">
        <is>
          <t>MER00386</t>
        </is>
      </c>
      <c r="D51" s="8" t="n">
        <v>45919</v>
      </c>
      <c r="E51" t="n">
        <v>552.5700000000001</v>
      </c>
      <c r="F51" t="inlineStr">
        <is>
          <t>Card</t>
        </is>
      </c>
      <c r="G51" t="inlineStr">
        <is>
          <t>PAYJFFSB7DRGM</t>
        </is>
      </c>
      <c r="H51" t="inlineStr">
        <is>
          <t>Success</t>
        </is>
      </c>
      <c r="I51" t="inlineStr">
        <is>
          <t>BNK2TUFMZAWLBRE</t>
        </is>
      </c>
      <c r="J51" s="8" t="n">
        <v>45921</v>
      </c>
    </row>
    <row r="52">
      <c r="A52" t="inlineStr">
        <is>
          <t>PAY0001848</t>
        </is>
      </c>
      <c r="B52" t="inlineStr">
        <is>
          <t>INV0008127</t>
        </is>
      </c>
      <c r="C52" t="inlineStr">
        <is>
          <t>MER00386</t>
        </is>
      </c>
      <c r="D52" s="8" t="n">
        <v>45945</v>
      </c>
      <c r="E52" t="n">
        <v>515.09</v>
      </c>
      <c r="F52" t="inlineStr">
        <is>
          <t>UPI</t>
        </is>
      </c>
      <c r="G52" t="inlineStr">
        <is>
          <t>PAY83HF7D84UJ</t>
        </is>
      </c>
      <c r="H52" t="inlineStr">
        <is>
          <t>Success</t>
        </is>
      </c>
      <c r="I52" t="inlineStr">
        <is>
          <t>BNK8YFK7CBLL63A</t>
        </is>
      </c>
      <c r="J52" s="8" t="n">
        <v>45948</v>
      </c>
    </row>
    <row r="53">
      <c r="A53" t="inlineStr">
        <is>
          <t>PAY0001849</t>
        </is>
      </c>
      <c r="B53" t="inlineStr">
        <is>
          <t>INV0008128</t>
        </is>
      </c>
      <c r="C53" t="inlineStr">
        <is>
          <t>MER00386</t>
        </is>
      </c>
      <c r="D53" s="8" t="n">
        <v>45974</v>
      </c>
      <c r="E53" t="n">
        <v>1052.21</v>
      </c>
      <c r="F53" t="inlineStr">
        <is>
          <t>UPI</t>
        </is>
      </c>
      <c r="G53" t="inlineStr">
        <is>
          <t>PAY97ASXQ97FE</t>
        </is>
      </c>
      <c r="H53" t="inlineStr">
        <is>
          <t>Success</t>
        </is>
      </c>
      <c r="I53" t="inlineStr">
        <is>
          <t>BNK47LW4NQ2SVE3</t>
        </is>
      </c>
      <c r="J53" s="8" t="n">
        <v>45976</v>
      </c>
    </row>
    <row r="54">
      <c r="A54" t="inlineStr">
        <is>
          <t>PAY0001850</t>
        </is>
      </c>
      <c r="B54" t="inlineStr">
        <is>
          <t>INV0008129</t>
        </is>
      </c>
      <c r="C54" t="inlineStr">
        <is>
          <t>MER00386</t>
        </is>
      </c>
      <c r="D54" s="8" t="n">
        <v>46003</v>
      </c>
      <c r="E54" t="n">
        <v>582.74</v>
      </c>
      <c r="F54" t="inlineStr">
        <is>
          <t>UPI</t>
        </is>
      </c>
      <c r="G54" t="inlineStr">
        <is>
          <t>PAYC6M6T355MZ</t>
        </is>
      </c>
      <c r="H54" t="inlineStr">
        <is>
          <t>Success</t>
        </is>
      </c>
      <c r="I54" t="inlineStr">
        <is>
          <t>BNK3M6TDTFC74JQ</t>
        </is>
      </c>
      <c r="J54" s="8" t="n">
        <v>46004</v>
      </c>
    </row>
    <row r="55">
      <c r="A55" t="inlineStr">
        <is>
          <t>PAY0001851</t>
        </is>
      </c>
      <c r="B55" t="inlineStr">
        <is>
          <t>INV0008130</t>
        </is>
      </c>
      <c r="C55" t="inlineStr">
        <is>
          <t>MER00386</t>
        </is>
      </c>
      <c r="D55" s="8" t="n">
        <v>46034</v>
      </c>
      <c r="E55" t="n">
        <v>703.17</v>
      </c>
      <c r="F55" t="inlineStr">
        <is>
          <t>UPI</t>
        </is>
      </c>
      <c r="G55" t="inlineStr">
        <is>
          <t>PAY43DE56TVKJ</t>
        </is>
      </c>
      <c r="H55" t="inlineStr">
        <is>
          <t>Failed</t>
        </is>
      </c>
      <c r="I55" t="inlineStr">
        <is>
          <t>BNKNXALCXR45KYK</t>
        </is>
      </c>
      <c r="J55" s="8" t="n"/>
    </row>
    <row r="56">
      <c r="A56" t="inlineStr">
        <is>
          <t>PAY0001852</t>
        </is>
      </c>
      <c r="B56" t="inlineStr">
        <is>
          <t>INV0008131</t>
        </is>
      </c>
      <c r="C56" t="inlineStr">
        <is>
          <t>MER00386</t>
        </is>
      </c>
      <c r="D56" s="8" t="n">
        <v>46093</v>
      </c>
      <c r="E56" t="n">
        <v>673.14</v>
      </c>
      <c r="F56" t="inlineStr">
        <is>
          <t>UPI</t>
        </is>
      </c>
      <c r="G56" t="inlineStr">
        <is>
          <t>PAYZT6TXHWX6V</t>
        </is>
      </c>
      <c r="H56" t="inlineStr">
        <is>
          <t>Success</t>
        </is>
      </c>
      <c r="I56" t="inlineStr">
        <is>
          <t>BNKD9LZ2KUHY3EP</t>
        </is>
      </c>
      <c r="J56" s="8" t="n">
        <v>46096</v>
      </c>
    </row>
    <row r="57">
      <c r="A57" t="inlineStr">
        <is>
          <t>PAY0001853</t>
        </is>
      </c>
      <c r="B57" t="inlineStr">
        <is>
          <t>INV0008132</t>
        </is>
      </c>
      <c r="C57" t="inlineStr">
        <is>
          <t>MER00386</t>
        </is>
      </c>
      <c r="D57" s="8" t="n">
        <v>46132</v>
      </c>
      <c r="E57" t="n">
        <v>772.6900000000001</v>
      </c>
      <c r="F57" t="inlineStr">
        <is>
          <t>UPI</t>
        </is>
      </c>
      <c r="G57" t="inlineStr">
        <is>
          <t>PAYECRJR8FTMU</t>
        </is>
      </c>
      <c r="H57" t="inlineStr">
        <is>
          <t>Success</t>
        </is>
      </c>
      <c r="I57" t="inlineStr">
        <is>
          <t>BNK6KX95VH4J3W5</t>
        </is>
      </c>
      <c r="J57" s="8" t="n">
        <v>46133</v>
      </c>
    </row>
    <row r="58">
      <c r="A58" t="inlineStr">
        <is>
          <t>PAY0001854</t>
        </is>
      </c>
      <c r="B58" t="inlineStr">
        <is>
          <t>INV0008133</t>
        </is>
      </c>
      <c r="C58" t="inlineStr">
        <is>
          <t>MER00386</t>
        </is>
      </c>
      <c r="D58" s="8" t="n">
        <v>46160</v>
      </c>
      <c r="E58" t="n">
        <v>519.7</v>
      </c>
      <c r="F58" t="inlineStr">
        <is>
          <t>Card</t>
        </is>
      </c>
      <c r="G58" t="inlineStr">
        <is>
          <t>PAY8UGMCRGGR2</t>
        </is>
      </c>
      <c r="H58" t="inlineStr">
        <is>
          <t>Success</t>
        </is>
      </c>
      <c r="I58" t="inlineStr">
        <is>
          <t>BNK3P6MUZXEGY2K</t>
        </is>
      </c>
      <c r="J58" s="8" t="n">
        <v>46163</v>
      </c>
    </row>
    <row r="59">
      <c r="A59" t="inlineStr">
        <is>
          <t>PAY0001855</t>
        </is>
      </c>
      <c r="B59" t="inlineStr">
        <is>
          <t>INV0008134</t>
        </is>
      </c>
      <c r="C59" t="inlineStr">
        <is>
          <t>MER00386</t>
        </is>
      </c>
      <c r="D59" s="8" t="n">
        <v>46190</v>
      </c>
      <c r="E59" t="n">
        <v>367.03</v>
      </c>
      <c r="F59" t="inlineStr">
        <is>
          <t>NetBanking</t>
        </is>
      </c>
      <c r="G59" t="inlineStr">
        <is>
          <t>PAYCCH8WFSZFN</t>
        </is>
      </c>
      <c r="H59" t="inlineStr">
        <is>
          <t>Success</t>
        </is>
      </c>
      <c r="I59" t="inlineStr">
        <is>
          <t>BNK25AVC3UL49MG</t>
        </is>
      </c>
      <c r="J59" s="8" t="n">
        <v>46193</v>
      </c>
    </row>
    <row r="60">
      <c r="A60" t="inlineStr">
        <is>
          <t>PAY0001856</t>
        </is>
      </c>
      <c r="B60" t="inlineStr">
        <is>
          <t>INV0008135</t>
        </is>
      </c>
      <c r="C60" t="inlineStr">
        <is>
          <t>MER00386</t>
        </is>
      </c>
      <c r="D60" s="8" t="n">
        <v>46214</v>
      </c>
      <c r="E60" t="n">
        <v>494.34</v>
      </c>
      <c r="F60" t="inlineStr">
        <is>
          <t>UPI</t>
        </is>
      </c>
      <c r="G60" t="inlineStr">
        <is>
          <t>PAY6S5KRUJ9WV</t>
        </is>
      </c>
      <c r="H60" t="inlineStr">
        <is>
          <t>Success</t>
        </is>
      </c>
      <c r="I60" t="inlineStr">
        <is>
          <t>BNKGBTEKY44W6EJ</t>
        </is>
      </c>
      <c r="J60" s="8" t="n">
        <v>46216</v>
      </c>
    </row>
    <row r="61">
      <c r="A61" t="inlineStr">
        <is>
          <t>PAY0001857</t>
        </is>
      </c>
      <c r="B61" t="inlineStr">
        <is>
          <t>INV0008136</t>
        </is>
      </c>
      <c r="C61" t="inlineStr">
        <is>
          <t>MER00386</t>
        </is>
      </c>
      <c r="D61" s="8" t="n">
        <v>46245</v>
      </c>
      <c r="E61" t="n">
        <v>586.4</v>
      </c>
      <c r="F61" t="inlineStr">
        <is>
          <t>UPI</t>
        </is>
      </c>
      <c r="G61" t="inlineStr">
        <is>
          <t>PAYUPFED4ZM3U</t>
        </is>
      </c>
      <c r="H61" t="inlineStr">
        <is>
          <t>Success</t>
        </is>
      </c>
      <c r="I61" t="inlineStr">
        <is>
          <t>BNKQHKB4KKMYNC2</t>
        </is>
      </c>
      <c r="J61" s="8" t="n">
        <v>46246</v>
      </c>
    </row>
    <row r="62">
      <c r="A62" t="inlineStr">
        <is>
          <t>PAY0002060</t>
        </is>
      </c>
      <c r="B62" t="inlineStr">
        <is>
          <t>INV0009199</t>
        </is>
      </c>
      <c r="C62" t="inlineStr">
        <is>
          <t>MER00436</t>
        </is>
      </c>
      <c r="D62" s="8" t="n">
        <v>45582</v>
      </c>
      <c r="E62" t="n">
        <v>3151.01</v>
      </c>
      <c r="F62" t="inlineStr">
        <is>
          <t>UPI</t>
        </is>
      </c>
      <c r="G62" t="inlineStr">
        <is>
          <t>PAYPJREJCG472</t>
        </is>
      </c>
      <c r="H62" t="inlineStr">
        <is>
          <t>Success</t>
        </is>
      </c>
      <c r="I62" t="inlineStr">
        <is>
          <t>BNKFPU48769M2CR</t>
        </is>
      </c>
      <c r="J62" s="8" t="n">
        <v>45585</v>
      </c>
    </row>
    <row r="63">
      <c r="A63" t="inlineStr">
        <is>
          <t>PAY0002061</t>
        </is>
      </c>
      <c r="B63" t="inlineStr">
        <is>
          <t>INV0009200</t>
        </is>
      </c>
      <c r="C63" t="inlineStr">
        <is>
          <t>MER00436</t>
        </is>
      </c>
      <c r="D63" s="8" t="n">
        <v>45611</v>
      </c>
      <c r="E63" t="n">
        <v>2210.45</v>
      </c>
      <c r="F63" t="inlineStr">
        <is>
          <t>Card</t>
        </is>
      </c>
      <c r="G63" t="inlineStr">
        <is>
          <t>PAYJRJ27KRFWQ</t>
        </is>
      </c>
      <c r="H63" t="inlineStr">
        <is>
          <t>Success</t>
        </is>
      </c>
      <c r="I63" t="inlineStr">
        <is>
          <t>BNK982SDYU5GAB5</t>
        </is>
      </c>
      <c r="J63" s="8" t="n">
        <v>45614</v>
      </c>
    </row>
    <row r="64">
      <c r="A64" t="inlineStr">
        <is>
          <t>PAY0002062</t>
        </is>
      </c>
      <c r="B64" t="inlineStr">
        <is>
          <t>INV0009201</t>
        </is>
      </c>
      <c r="C64" t="inlineStr">
        <is>
          <t>MER00436</t>
        </is>
      </c>
      <c r="D64" s="8" t="n">
        <v>45640</v>
      </c>
      <c r="E64" t="n">
        <v>3622.79</v>
      </c>
      <c r="F64" t="inlineStr">
        <is>
          <t>Card</t>
        </is>
      </c>
      <c r="G64" t="inlineStr">
        <is>
          <t>PAY2S4K5Y53PF</t>
        </is>
      </c>
      <c r="H64" t="inlineStr">
        <is>
          <t>Success</t>
        </is>
      </c>
      <c r="I64" t="inlineStr">
        <is>
          <t>BNKL8WFY7G48SAN</t>
        </is>
      </c>
      <c r="J64" s="8" t="n">
        <v>45643</v>
      </c>
    </row>
    <row r="65">
      <c r="A65" t="inlineStr">
        <is>
          <t>PAY0002063</t>
        </is>
      </c>
      <c r="B65" t="inlineStr">
        <is>
          <t>INV0009202</t>
        </is>
      </c>
      <c r="C65" t="inlineStr">
        <is>
          <t>MER00436</t>
        </is>
      </c>
      <c r="D65" s="8" t="n">
        <v>45666</v>
      </c>
      <c r="E65" t="n">
        <v>2817.46</v>
      </c>
      <c r="F65" t="inlineStr">
        <is>
          <t>UPI</t>
        </is>
      </c>
      <c r="G65" t="inlineStr">
        <is>
          <t>PAYUMUGG744GT</t>
        </is>
      </c>
      <c r="H65" t="inlineStr">
        <is>
          <t>Success</t>
        </is>
      </c>
      <c r="I65" t="inlineStr">
        <is>
          <t>BNKH3B32GVSGXGY</t>
        </is>
      </c>
      <c r="J65" s="8" t="n">
        <v>45669</v>
      </c>
    </row>
    <row r="66">
      <c r="A66" t="inlineStr">
        <is>
          <t>PAY0002064</t>
        </is>
      </c>
      <c r="B66" t="inlineStr">
        <is>
          <t>INV0009203</t>
        </is>
      </c>
      <c r="C66" t="inlineStr">
        <is>
          <t>MER00436</t>
        </is>
      </c>
      <c r="D66" s="8" t="n">
        <v>45706</v>
      </c>
      <c r="E66" t="n">
        <v>2967.03</v>
      </c>
      <c r="F66" t="inlineStr">
        <is>
          <t>UPI</t>
        </is>
      </c>
      <c r="G66" t="inlineStr">
        <is>
          <t>PAYFLJR4AGGUA</t>
        </is>
      </c>
      <c r="H66" t="inlineStr">
        <is>
          <t>Success</t>
        </is>
      </c>
      <c r="I66" t="inlineStr">
        <is>
          <t>BNKZ4PGG3UBTYEY</t>
        </is>
      </c>
      <c r="J66" s="8" t="n">
        <v>45708</v>
      </c>
    </row>
    <row r="67">
      <c r="A67" t="inlineStr">
        <is>
          <t>PAY0002065</t>
        </is>
      </c>
      <c r="B67" t="inlineStr">
        <is>
          <t>INV0009204</t>
        </is>
      </c>
      <c r="C67" t="inlineStr">
        <is>
          <t>MER00436</t>
        </is>
      </c>
      <c r="D67" s="8" t="n">
        <v>45731</v>
      </c>
      <c r="E67" t="n">
        <v>3438.18</v>
      </c>
      <c r="F67" t="inlineStr">
        <is>
          <t>UPI</t>
        </is>
      </c>
      <c r="G67" t="inlineStr">
        <is>
          <t>PAYPG5RE86663</t>
        </is>
      </c>
      <c r="H67" t="inlineStr">
        <is>
          <t>Success</t>
        </is>
      </c>
      <c r="I67" t="inlineStr">
        <is>
          <t>BNKDFNTYB4EP3DX</t>
        </is>
      </c>
      <c r="J67" s="8" t="n">
        <v>45733</v>
      </c>
    </row>
    <row r="68">
      <c r="A68" t="inlineStr">
        <is>
          <t>PAY0002066</t>
        </is>
      </c>
      <c r="B68" t="inlineStr">
        <is>
          <t>INV0009205</t>
        </is>
      </c>
      <c r="C68" t="inlineStr">
        <is>
          <t>MER00436</t>
        </is>
      </c>
      <c r="D68" s="8" t="n">
        <v>45763</v>
      </c>
      <c r="E68" t="n">
        <v>2079.08</v>
      </c>
      <c r="F68" t="inlineStr">
        <is>
          <t>Card</t>
        </is>
      </c>
      <c r="G68" t="inlineStr">
        <is>
          <t>PAYCHL74BG2V3</t>
        </is>
      </c>
      <c r="H68" t="inlineStr">
        <is>
          <t>Success</t>
        </is>
      </c>
      <c r="I68" t="inlineStr">
        <is>
          <t>BNKGHUA7NL6Y4EP</t>
        </is>
      </c>
      <c r="J68" s="8" t="n">
        <v>45764</v>
      </c>
    </row>
    <row r="69">
      <c r="A69" t="inlineStr">
        <is>
          <t>PAY0002067</t>
        </is>
      </c>
      <c r="B69" t="inlineStr">
        <is>
          <t>INV0009206</t>
        </is>
      </c>
      <c r="C69" t="inlineStr">
        <is>
          <t>MER00436</t>
        </is>
      </c>
      <c r="D69" s="8" t="n">
        <v>45793</v>
      </c>
      <c r="E69" t="n">
        <v>2814.76</v>
      </c>
      <c r="F69" t="inlineStr">
        <is>
          <t>Card</t>
        </is>
      </c>
      <c r="G69" t="inlineStr">
        <is>
          <t>PAY6SGXG6GYHB</t>
        </is>
      </c>
      <c r="H69" t="inlineStr">
        <is>
          <t>Success</t>
        </is>
      </c>
      <c r="I69" t="inlineStr">
        <is>
          <t>BNK5WLU3W2K9RDF</t>
        </is>
      </c>
      <c r="J69" s="8" t="n">
        <v>45796</v>
      </c>
    </row>
    <row r="70">
      <c r="A70" t="inlineStr">
        <is>
          <t>PAY0002068</t>
        </is>
      </c>
      <c r="B70" t="inlineStr">
        <is>
          <t>INV0009207</t>
        </is>
      </c>
      <c r="C70" t="inlineStr">
        <is>
          <t>MER00436</t>
        </is>
      </c>
      <c r="D70" s="8" t="n">
        <v>45823</v>
      </c>
      <c r="E70" t="n">
        <v>1813.94</v>
      </c>
      <c r="F70" t="inlineStr">
        <is>
          <t>UPI</t>
        </is>
      </c>
      <c r="G70" t="inlineStr">
        <is>
          <t>PAYXN6MM9AW4J</t>
        </is>
      </c>
      <c r="H70" t="inlineStr">
        <is>
          <t>Success</t>
        </is>
      </c>
      <c r="I70" t="inlineStr">
        <is>
          <t>BNKXEWENCHJCP76</t>
        </is>
      </c>
      <c r="J70" s="8" t="n">
        <v>45825</v>
      </c>
    </row>
    <row r="71">
      <c r="A71" t="inlineStr">
        <is>
          <t>PAY0002069</t>
        </is>
      </c>
      <c r="B71" t="inlineStr">
        <is>
          <t>INV0009208</t>
        </is>
      </c>
      <c r="C71" t="inlineStr">
        <is>
          <t>MER00436</t>
        </is>
      </c>
      <c r="D71" s="8" t="n">
        <v>45851</v>
      </c>
      <c r="E71" t="n">
        <v>2524.89</v>
      </c>
      <c r="F71" t="inlineStr">
        <is>
          <t>Card</t>
        </is>
      </c>
      <c r="G71" t="inlineStr">
        <is>
          <t>PAY83ATNCKLXS</t>
        </is>
      </c>
      <c r="H71" t="inlineStr">
        <is>
          <t>Success</t>
        </is>
      </c>
      <c r="I71" t="inlineStr">
        <is>
          <t>BNK2AMUM6JDW6SN</t>
        </is>
      </c>
      <c r="J71" s="8" t="n">
        <v>45853</v>
      </c>
    </row>
    <row r="72">
      <c r="A72" t="inlineStr">
        <is>
          <t>PAY0002070</t>
        </is>
      </c>
      <c r="B72" t="inlineStr">
        <is>
          <t>INV0009209</t>
        </is>
      </c>
      <c r="C72" t="inlineStr">
        <is>
          <t>MER00436</t>
        </is>
      </c>
      <c r="D72" s="8" t="n">
        <v>45886</v>
      </c>
      <c r="E72" t="n">
        <v>2226.75</v>
      </c>
      <c r="F72" t="inlineStr">
        <is>
          <t>UPI</t>
        </is>
      </c>
      <c r="G72" t="inlineStr">
        <is>
          <t>PAYXHZ2NMC8MF</t>
        </is>
      </c>
      <c r="H72" t="inlineStr">
        <is>
          <t>Success</t>
        </is>
      </c>
      <c r="I72" t="inlineStr">
        <is>
          <t>BNKT68KLT6RPGFN</t>
        </is>
      </c>
      <c r="J72" s="8" t="n">
        <v>45887</v>
      </c>
    </row>
    <row r="73">
      <c r="A73" t="inlineStr">
        <is>
          <t>PAY0002071</t>
        </is>
      </c>
      <c r="B73" t="inlineStr">
        <is>
          <t>INV0009210</t>
        </is>
      </c>
      <c r="C73" t="inlineStr">
        <is>
          <t>MER00436</t>
        </is>
      </c>
      <c r="D73" s="8" t="n">
        <v>45912</v>
      </c>
      <c r="E73" t="n">
        <v>2934.58</v>
      </c>
      <c r="F73" t="inlineStr">
        <is>
          <t>UPI</t>
        </is>
      </c>
      <c r="G73" t="inlineStr">
        <is>
          <t>PAY48DK85369D</t>
        </is>
      </c>
      <c r="H73" t="inlineStr">
        <is>
          <t>Success</t>
        </is>
      </c>
      <c r="I73" t="inlineStr">
        <is>
          <t>BNKKYK5MC5TXNL3</t>
        </is>
      </c>
      <c r="J73" s="8" t="n">
        <v>45914</v>
      </c>
    </row>
    <row r="74">
      <c r="A74" t="inlineStr">
        <is>
          <t>PAY0002072</t>
        </is>
      </c>
      <c r="B74" t="inlineStr">
        <is>
          <t>INV0009211</t>
        </is>
      </c>
      <c r="C74" t="inlineStr">
        <is>
          <t>MER00436</t>
        </is>
      </c>
      <c r="D74" s="8" t="n">
        <v>45945</v>
      </c>
      <c r="E74" t="n">
        <v>2484.05</v>
      </c>
      <c r="F74" t="inlineStr">
        <is>
          <t>UPI</t>
        </is>
      </c>
      <c r="G74" t="inlineStr">
        <is>
          <t>PAYBYQ565PQVY</t>
        </is>
      </c>
      <c r="H74" t="inlineStr">
        <is>
          <t>Success</t>
        </is>
      </c>
      <c r="I74" t="inlineStr">
        <is>
          <t>BNK9S7K7EGG7VFK</t>
        </is>
      </c>
      <c r="J74" s="8" t="n">
        <v>45947</v>
      </c>
    </row>
    <row r="75">
      <c r="A75" t="inlineStr">
        <is>
          <t>PAY0002073</t>
        </is>
      </c>
      <c r="B75" t="inlineStr">
        <is>
          <t>INV0009212</t>
        </is>
      </c>
      <c r="C75" t="inlineStr">
        <is>
          <t>MER00436</t>
        </is>
      </c>
      <c r="D75" s="8" t="n">
        <v>45978</v>
      </c>
      <c r="E75" t="n">
        <v>1761.01</v>
      </c>
      <c r="F75" t="inlineStr">
        <is>
          <t>Card</t>
        </is>
      </c>
      <c r="G75" t="inlineStr">
        <is>
          <t>PAYK3NQFJQL5M</t>
        </is>
      </c>
      <c r="H75" t="inlineStr">
        <is>
          <t>Success</t>
        </is>
      </c>
      <c r="I75" t="inlineStr">
        <is>
          <t>BNK5A3BS6QDMK26</t>
        </is>
      </c>
      <c r="J75" s="8" t="n">
        <v>45980</v>
      </c>
    </row>
    <row r="76">
      <c r="A76" t="inlineStr">
        <is>
          <t>PAY0002074</t>
        </is>
      </c>
      <c r="B76" t="inlineStr">
        <is>
          <t>INV0009213</t>
        </is>
      </c>
      <c r="C76" t="inlineStr">
        <is>
          <t>MER00436</t>
        </is>
      </c>
      <c r="D76" s="8" t="n">
        <v>46008</v>
      </c>
      <c r="E76" t="n">
        <v>3920.24</v>
      </c>
      <c r="F76" t="inlineStr">
        <is>
          <t>Wallet</t>
        </is>
      </c>
      <c r="G76" t="inlineStr">
        <is>
          <t>PAYTEARUA73TK</t>
        </is>
      </c>
      <c r="H76" t="inlineStr">
        <is>
          <t>Success</t>
        </is>
      </c>
      <c r="I76" t="inlineStr">
        <is>
          <t>BNKFAH9XNU2VFVD</t>
        </is>
      </c>
      <c r="J76" s="8" t="n">
        <v>46011</v>
      </c>
    </row>
    <row r="77">
      <c r="A77" t="inlineStr">
        <is>
          <t>PAY0002075</t>
        </is>
      </c>
      <c r="B77" t="inlineStr">
        <is>
          <t>INV0009214</t>
        </is>
      </c>
      <c r="C77" t="inlineStr">
        <is>
          <t>MER00436</t>
        </is>
      </c>
      <c r="D77" s="8" t="n">
        <v>46034</v>
      </c>
      <c r="E77" t="n">
        <v>5025.83</v>
      </c>
      <c r="F77" t="inlineStr">
        <is>
          <t>UPI</t>
        </is>
      </c>
      <c r="G77" t="inlineStr">
        <is>
          <t>PAY2Q2337SBYV</t>
        </is>
      </c>
      <c r="H77" t="inlineStr">
        <is>
          <t>Success</t>
        </is>
      </c>
      <c r="I77" t="inlineStr">
        <is>
          <t>BNK5MTX5SQR8NW8</t>
        </is>
      </c>
      <c r="J77" s="8" t="n">
        <v>46035</v>
      </c>
    </row>
    <row r="78">
      <c r="A78" t="inlineStr">
        <is>
          <t>PAY0002076</t>
        </is>
      </c>
      <c r="B78" t="inlineStr">
        <is>
          <t>INV0009215</t>
        </is>
      </c>
      <c r="C78" t="inlineStr">
        <is>
          <t>MER00436</t>
        </is>
      </c>
      <c r="D78" s="8" t="n">
        <v>46069</v>
      </c>
      <c r="E78" t="n">
        <v>4629.1</v>
      </c>
      <c r="F78" t="inlineStr">
        <is>
          <t>UPI</t>
        </is>
      </c>
      <c r="G78" t="inlineStr">
        <is>
          <t>PAYDMYHVUQGBH</t>
        </is>
      </c>
      <c r="H78" t="inlineStr">
        <is>
          <t>Success</t>
        </is>
      </c>
      <c r="I78" t="inlineStr">
        <is>
          <t>BNK5MDVWAZY5DP6</t>
        </is>
      </c>
      <c r="J78" s="8" t="n">
        <v>46072</v>
      </c>
    </row>
    <row r="79">
      <c r="A79" t="inlineStr">
        <is>
          <t>PAY0002077</t>
        </is>
      </c>
      <c r="B79" t="inlineStr">
        <is>
          <t>INV0009216</t>
        </is>
      </c>
      <c r="C79" t="inlineStr">
        <is>
          <t>MER00436</t>
        </is>
      </c>
      <c r="D79" s="8" t="n">
        <v>46101</v>
      </c>
      <c r="E79" t="n">
        <v>4768.76</v>
      </c>
      <c r="F79" t="inlineStr">
        <is>
          <t>UPI</t>
        </is>
      </c>
      <c r="G79" t="inlineStr">
        <is>
          <t>PAYBACYEEDYXB</t>
        </is>
      </c>
      <c r="H79" t="inlineStr">
        <is>
          <t>Success</t>
        </is>
      </c>
      <c r="I79" t="inlineStr">
        <is>
          <t>BNKHU8CP877F3SD</t>
        </is>
      </c>
      <c r="J79" s="8" t="n">
        <v>46102</v>
      </c>
    </row>
    <row r="80">
      <c r="A80" t="inlineStr">
        <is>
          <t>PAY0002078</t>
        </is>
      </c>
      <c r="B80" t="inlineStr">
        <is>
          <t>INV0009217</t>
        </is>
      </c>
      <c r="C80" t="inlineStr">
        <is>
          <t>MER00436</t>
        </is>
      </c>
      <c r="D80" s="8" t="n">
        <v>46130</v>
      </c>
      <c r="E80" t="n">
        <v>2428.16</v>
      </c>
      <c r="F80" t="inlineStr">
        <is>
          <t>UPI</t>
        </is>
      </c>
      <c r="G80" t="inlineStr">
        <is>
          <t>PAYY8AWBYDV2A</t>
        </is>
      </c>
      <c r="H80" t="inlineStr">
        <is>
          <t>Success</t>
        </is>
      </c>
      <c r="I80" t="inlineStr">
        <is>
          <t>BNK3LVZHVYMLZ9M</t>
        </is>
      </c>
      <c r="J80" s="8" t="n">
        <v>46133</v>
      </c>
    </row>
    <row r="81">
      <c r="A81" t="inlineStr">
        <is>
          <t>PAY0002079</t>
        </is>
      </c>
      <c r="B81" t="inlineStr">
        <is>
          <t>INV0009218</t>
        </is>
      </c>
      <c r="C81" t="inlineStr">
        <is>
          <t>MER00436</t>
        </is>
      </c>
      <c r="D81" s="8" t="n">
        <v>46154</v>
      </c>
      <c r="E81" t="n">
        <v>2882.08</v>
      </c>
      <c r="F81" t="inlineStr">
        <is>
          <t>UPI</t>
        </is>
      </c>
      <c r="G81" t="inlineStr">
        <is>
          <t>PAYG5H5JUZY9N</t>
        </is>
      </c>
      <c r="H81" t="inlineStr">
        <is>
          <t>Success</t>
        </is>
      </c>
      <c r="I81" t="inlineStr">
        <is>
          <t>BNK7DTHTF889FCW</t>
        </is>
      </c>
      <c r="J81" s="8" t="n">
        <v>46155</v>
      </c>
    </row>
    <row r="82">
      <c r="A82" t="inlineStr">
        <is>
          <t>PAY0002080</t>
        </is>
      </c>
      <c r="B82" t="inlineStr">
        <is>
          <t>INV0009219</t>
        </is>
      </c>
      <c r="C82" t="inlineStr">
        <is>
          <t>MER00436</t>
        </is>
      </c>
      <c r="D82" s="8" t="n">
        <v>46188</v>
      </c>
      <c r="E82" t="n">
        <v>2289.12</v>
      </c>
      <c r="F82" t="inlineStr">
        <is>
          <t>Card</t>
        </is>
      </c>
      <c r="G82" t="inlineStr">
        <is>
          <t>PAYU5V6V5GPRG</t>
        </is>
      </c>
      <c r="H82" t="inlineStr">
        <is>
          <t>Success</t>
        </is>
      </c>
      <c r="I82" t="inlineStr">
        <is>
          <t>BNKGCG8J64AVDJ3</t>
        </is>
      </c>
      <c r="J82" s="8" t="n">
        <v>46189</v>
      </c>
    </row>
    <row r="83">
      <c r="A83" t="inlineStr">
        <is>
          <t>PAY0002081</t>
        </is>
      </c>
      <c r="B83" t="inlineStr">
        <is>
          <t>INV0009220</t>
        </is>
      </c>
      <c r="C83" t="inlineStr">
        <is>
          <t>MER00436</t>
        </is>
      </c>
      <c r="D83" s="8" t="n">
        <v>46221</v>
      </c>
      <c r="E83" t="n">
        <v>2763.15</v>
      </c>
      <c r="F83" t="inlineStr">
        <is>
          <t>UPI</t>
        </is>
      </c>
      <c r="G83" t="inlineStr">
        <is>
          <t>PAY2EPF6SM3SY</t>
        </is>
      </c>
      <c r="H83" t="inlineStr">
        <is>
          <t>Success</t>
        </is>
      </c>
      <c r="I83" t="inlineStr">
        <is>
          <t>BNKDK2E2GJZJRC8</t>
        </is>
      </c>
      <c r="J83" s="8" t="n">
        <v>46224</v>
      </c>
    </row>
    <row r="84">
      <c r="A84" t="inlineStr">
        <is>
          <t>PAY0002082</t>
        </is>
      </c>
      <c r="B84" t="inlineStr">
        <is>
          <t>INV0009221</t>
        </is>
      </c>
      <c r="C84" t="inlineStr">
        <is>
          <t>MER00436</t>
        </is>
      </c>
      <c r="D84" s="8" t="n">
        <v>46250</v>
      </c>
      <c r="E84" t="n">
        <v>4615.38</v>
      </c>
      <c r="F84" t="inlineStr">
        <is>
          <t>Card</t>
        </is>
      </c>
      <c r="G84" t="inlineStr">
        <is>
          <t>PAYMRBA5RF96B</t>
        </is>
      </c>
      <c r="H84" t="inlineStr">
        <is>
          <t>Success</t>
        </is>
      </c>
      <c r="I84" t="inlineStr">
        <is>
          <t>BNKEDVDWKBCC3YT</t>
        </is>
      </c>
      <c r="J84" s="8" t="n">
        <v>46251</v>
      </c>
    </row>
    <row r="85">
      <c r="A85" t="inlineStr">
        <is>
          <t>PAY0002083</t>
        </is>
      </c>
      <c r="B85" t="inlineStr">
        <is>
          <t>INV0009222</t>
        </is>
      </c>
      <c r="C85" t="inlineStr">
        <is>
          <t>MER00436</t>
        </is>
      </c>
      <c r="D85" s="8" t="n">
        <v>46281</v>
      </c>
      <c r="E85" t="n">
        <v>2608.01</v>
      </c>
      <c r="F85" t="inlineStr">
        <is>
          <t>Wallet</t>
        </is>
      </c>
      <c r="G85" t="inlineStr">
        <is>
          <t>PAYGQKJMKLAA8</t>
        </is>
      </c>
      <c r="H85" t="inlineStr">
        <is>
          <t>Success</t>
        </is>
      </c>
      <c r="I85" t="inlineStr">
        <is>
          <t>BNKFND8Q98R65YF</t>
        </is>
      </c>
      <c r="J85" s="8" t="n">
        <v>46282</v>
      </c>
    </row>
    <row r="86">
      <c r="A86" t="inlineStr">
        <is>
          <t>PAY0002493</t>
        </is>
      </c>
      <c r="B86" t="inlineStr">
        <is>
          <t>INV0011206</t>
        </is>
      </c>
      <c r="C86" t="inlineStr">
        <is>
          <t>MER00530</t>
        </is>
      </c>
      <c r="D86" s="8" t="n">
        <v>45552</v>
      </c>
      <c r="E86" t="n">
        <v>264.65</v>
      </c>
      <c r="F86" t="inlineStr">
        <is>
          <t>UPI</t>
        </is>
      </c>
      <c r="G86" t="inlineStr">
        <is>
          <t>PAYMGM3MUQ4WZ</t>
        </is>
      </c>
      <c r="H86" t="inlineStr">
        <is>
          <t>Success</t>
        </is>
      </c>
      <c r="I86" t="inlineStr">
        <is>
          <t>BNKF5AJYP8YBFM3</t>
        </is>
      </c>
      <c r="J86" s="8" t="n">
        <v>45554</v>
      </c>
    </row>
    <row r="87">
      <c r="A87" t="inlineStr">
        <is>
          <t>PAY0002494</t>
        </is>
      </c>
      <c r="B87" t="inlineStr">
        <is>
          <t>INV0011207</t>
        </is>
      </c>
      <c r="C87" t="inlineStr">
        <is>
          <t>MER00530</t>
        </is>
      </c>
      <c r="D87" s="8" t="n">
        <v>45578</v>
      </c>
      <c r="E87" t="n">
        <v>369.99</v>
      </c>
      <c r="F87" t="inlineStr">
        <is>
          <t>UPI</t>
        </is>
      </c>
      <c r="G87" t="inlineStr">
        <is>
          <t>PAYFH3V4PV436</t>
        </is>
      </c>
      <c r="H87" t="inlineStr">
        <is>
          <t>Success</t>
        </is>
      </c>
      <c r="I87" t="inlineStr">
        <is>
          <t>BNKW4XMCPMP6ZGG</t>
        </is>
      </c>
      <c r="J87" s="8" t="n">
        <v>45579</v>
      </c>
    </row>
    <row r="88">
      <c r="A88" t="inlineStr">
        <is>
          <t>PAY0002495</t>
        </is>
      </c>
      <c r="B88" t="inlineStr">
        <is>
          <t>INV0011209</t>
        </is>
      </c>
      <c r="C88" t="inlineStr">
        <is>
          <t>MER00530</t>
        </is>
      </c>
      <c r="D88" s="8" t="n">
        <v>45640</v>
      </c>
      <c r="E88" t="n">
        <v>637.86</v>
      </c>
      <c r="F88" t="inlineStr">
        <is>
          <t>Wallet</t>
        </is>
      </c>
      <c r="G88" t="inlineStr">
        <is>
          <t>PAYDQMVSMTBXD</t>
        </is>
      </c>
      <c r="H88" t="inlineStr">
        <is>
          <t>Success</t>
        </is>
      </c>
      <c r="I88" t="inlineStr">
        <is>
          <t>BNKAEHAQP5ZSN2P</t>
        </is>
      </c>
      <c r="J88" s="8" t="n">
        <v>45642</v>
      </c>
    </row>
    <row r="89">
      <c r="A89" t="inlineStr">
        <is>
          <t>PAY0002496</t>
        </is>
      </c>
      <c r="B89" t="inlineStr">
        <is>
          <t>INV0011210</t>
        </is>
      </c>
      <c r="C89" t="inlineStr">
        <is>
          <t>MER00530</t>
        </is>
      </c>
      <c r="D89" s="8" t="n">
        <v>45672</v>
      </c>
      <c r="E89" t="n">
        <v>182.46</v>
      </c>
      <c r="F89" t="inlineStr">
        <is>
          <t>UPI</t>
        </is>
      </c>
      <c r="G89" t="inlineStr">
        <is>
          <t>PAYPMURQSB5KY</t>
        </is>
      </c>
      <c r="H89" t="inlineStr">
        <is>
          <t>Success</t>
        </is>
      </c>
      <c r="I89" t="inlineStr">
        <is>
          <t>BNKFAYB2E6USM2V</t>
        </is>
      </c>
      <c r="J89" s="8" t="n">
        <v>45675</v>
      </c>
    </row>
    <row r="90">
      <c r="A90" t="inlineStr">
        <is>
          <t>PAY0002497</t>
        </is>
      </c>
      <c r="B90" t="inlineStr">
        <is>
          <t>INV0011211</t>
        </is>
      </c>
      <c r="C90" t="inlineStr">
        <is>
          <t>MER00530</t>
        </is>
      </c>
      <c r="D90" s="8" t="n">
        <v>45701</v>
      </c>
      <c r="E90" t="n">
        <v>261.9</v>
      </c>
      <c r="F90" t="inlineStr">
        <is>
          <t>UPI</t>
        </is>
      </c>
      <c r="G90" t="inlineStr">
        <is>
          <t>PAY3Z4PGADTP5</t>
        </is>
      </c>
      <c r="H90" t="inlineStr">
        <is>
          <t>Success</t>
        </is>
      </c>
      <c r="I90" t="inlineStr">
        <is>
          <t>BNKCKYADTVRSFAN</t>
        </is>
      </c>
      <c r="J90" s="8" t="n">
        <v>45703</v>
      </c>
    </row>
    <row r="91">
      <c r="A91" t="inlineStr">
        <is>
          <t>PAY0002498</t>
        </is>
      </c>
      <c r="B91" t="inlineStr">
        <is>
          <t>INV0011212</t>
        </is>
      </c>
      <c r="C91" t="inlineStr">
        <is>
          <t>MER00530</t>
        </is>
      </c>
      <c r="D91" s="8" t="n">
        <v>45731</v>
      </c>
      <c r="E91" t="n">
        <v>74.43000000000001</v>
      </c>
      <c r="F91" t="inlineStr">
        <is>
          <t>UPI</t>
        </is>
      </c>
      <c r="G91" t="inlineStr">
        <is>
          <t>PAY8Z5XXFBXXU</t>
        </is>
      </c>
      <c r="H91" t="inlineStr">
        <is>
          <t>Success</t>
        </is>
      </c>
      <c r="I91" t="inlineStr">
        <is>
          <t>BNKZAJJNRMTHJ9A</t>
        </is>
      </c>
      <c r="J91" s="8" t="n">
        <v>45733</v>
      </c>
    </row>
    <row r="92">
      <c r="A92" t="inlineStr">
        <is>
          <t>PAY0002499</t>
        </is>
      </c>
      <c r="B92" t="inlineStr">
        <is>
          <t>INV0011213</t>
        </is>
      </c>
      <c r="C92" t="inlineStr">
        <is>
          <t>MER00530</t>
        </is>
      </c>
      <c r="D92" s="8" t="n">
        <v>45765</v>
      </c>
      <c r="E92" t="n">
        <v>276.63</v>
      </c>
      <c r="F92" t="inlineStr">
        <is>
          <t>NetBanking</t>
        </is>
      </c>
      <c r="G92" t="inlineStr">
        <is>
          <t>PAY9WGL9T4F8H</t>
        </is>
      </c>
      <c r="H92" t="inlineStr">
        <is>
          <t>Success</t>
        </is>
      </c>
      <c r="I92" t="inlineStr">
        <is>
          <t>BNKQ427Y2V74K4W</t>
        </is>
      </c>
      <c r="J92" s="8" t="n">
        <v>45766</v>
      </c>
    </row>
    <row r="93">
      <c r="A93" t="inlineStr">
        <is>
          <t>PAY0002500</t>
        </is>
      </c>
      <c r="B93" t="inlineStr">
        <is>
          <t>INV0011214</t>
        </is>
      </c>
      <c r="C93" t="inlineStr">
        <is>
          <t>MER00530</t>
        </is>
      </c>
      <c r="D93" s="8" t="n">
        <v>45790</v>
      </c>
      <c r="E93" t="n">
        <v>126.43</v>
      </c>
      <c r="F93" t="inlineStr">
        <is>
          <t>UPI</t>
        </is>
      </c>
      <c r="G93" t="inlineStr">
        <is>
          <t>PAYQ44DYF3BAF</t>
        </is>
      </c>
      <c r="H93" t="inlineStr">
        <is>
          <t>Success</t>
        </is>
      </c>
      <c r="I93" t="inlineStr">
        <is>
          <t>BNKKQXDDSN3UWYK</t>
        </is>
      </c>
      <c r="J93" s="8" t="n">
        <v>45793</v>
      </c>
    </row>
    <row r="94">
      <c r="A94" t="inlineStr">
        <is>
          <t>PAY0002501</t>
        </is>
      </c>
      <c r="B94" t="inlineStr">
        <is>
          <t>INV0011215</t>
        </is>
      </c>
      <c r="C94" t="inlineStr">
        <is>
          <t>MER00530</t>
        </is>
      </c>
      <c r="D94" s="8" t="n">
        <v>45820</v>
      </c>
      <c r="E94" t="n">
        <v>426.92</v>
      </c>
      <c r="F94" t="inlineStr">
        <is>
          <t>UPI</t>
        </is>
      </c>
      <c r="G94" t="inlineStr">
        <is>
          <t>PAYH23Q22P4J7</t>
        </is>
      </c>
      <c r="H94" t="inlineStr">
        <is>
          <t>Success</t>
        </is>
      </c>
      <c r="I94" t="inlineStr">
        <is>
          <t>BNKY3US9EEGKYFE</t>
        </is>
      </c>
      <c r="J94" s="8" t="n">
        <v>45823</v>
      </c>
    </row>
    <row r="95">
      <c r="A95" t="inlineStr">
        <is>
          <t>PAY0002502</t>
        </is>
      </c>
      <c r="B95" t="inlineStr">
        <is>
          <t>INV0011216</t>
        </is>
      </c>
      <c r="C95" t="inlineStr">
        <is>
          <t>MER00530</t>
        </is>
      </c>
      <c r="D95" s="8" t="n">
        <v>45846</v>
      </c>
      <c r="E95" t="n">
        <v>629.1900000000001</v>
      </c>
      <c r="F95" t="inlineStr">
        <is>
          <t>UPI</t>
        </is>
      </c>
      <c r="G95" t="inlineStr">
        <is>
          <t>PAYY38KPM6CSP</t>
        </is>
      </c>
      <c r="H95" t="inlineStr">
        <is>
          <t>Success</t>
        </is>
      </c>
      <c r="I95" t="inlineStr">
        <is>
          <t>BNK292S8WP4HSTV</t>
        </is>
      </c>
      <c r="J95" s="8" t="n">
        <v>45848</v>
      </c>
    </row>
    <row r="96">
      <c r="A96" t="inlineStr">
        <is>
          <t>PAY0002503</t>
        </is>
      </c>
      <c r="B96" t="inlineStr">
        <is>
          <t>INV0011217</t>
        </is>
      </c>
      <c r="C96" t="inlineStr">
        <is>
          <t>MER00530</t>
        </is>
      </c>
      <c r="D96" s="8" t="n">
        <v>45880</v>
      </c>
      <c r="E96" t="n">
        <v>275.6</v>
      </c>
      <c r="F96" t="inlineStr">
        <is>
          <t>UPI</t>
        </is>
      </c>
      <c r="G96" t="inlineStr">
        <is>
          <t>PAY9W4Z97JUP4</t>
        </is>
      </c>
      <c r="H96" t="inlineStr">
        <is>
          <t>Success</t>
        </is>
      </c>
      <c r="I96" t="inlineStr">
        <is>
          <t>BNKKS39FAXFY3ZP</t>
        </is>
      </c>
      <c r="J96" s="8" t="n">
        <v>45882</v>
      </c>
    </row>
    <row r="97">
      <c r="A97" t="inlineStr">
        <is>
          <t>PAY0002504</t>
        </is>
      </c>
      <c r="B97" t="inlineStr">
        <is>
          <t>INV0011218</t>
        </is>
      </c>
      <c r="C97" t="inlineStr">
        <is>
          <t>MER00530</t>
        </is>
      </c>
      <c r="D97" s="8" t="n">
        <v>45919</v>
      </c>
      <c r="E97" t="n">
        <v>389.21</v>
      </c>
      <c r="F97" t="inlineStr">
        <is>
          <t>Card</t>
        </is>
      </c>
      <c r="G97" t="inlineStr">
        <is>
          <t>PAYQJJJFW9EPK</t>
        </is>
      </c>
      <c r="H97" t="inlineStr">
        <is>
          <t>Success</t>
        </is>
      </c>
      <c r="I97" t="inlineStr">
        <is>
          <t>BNK7V3F66E33XNQ</t>
        </is>
      </c>
      <c r="J97" s="8" t="n">
        <v>45922</v>
      </c>
    </row>
    <row r="98">
      <c r="A98" t="inlineStr">
        <is>
          <t>PAY0002505</t>
        </is>
      </c>
      <c r="B98" t="inlineStr">
        <is>
          <t>INV0011219</t>
        </is>
      </c>
      <c r="C98" t="inlineStr">
        <is>
          <t>MER00530</t>
        </is>
      </c>
      <c r="D98" s="8" t="n">
        <v>45947</v>
      </c>
      <c r="E98" t="n">
        <v>329.41</v>
      </c>
      <c r="F98" t="inlineStr">
        <is>
          <t>Card</t>
        </is>
      </c>
      <c r="G98" t="inlineStr">
        <is>
          <t>PAYYY8U2U8DH2</t>
        </is>
      </c>
      <c r="H98" t="inlineStr">
        <is>
          <t>Success</t>
        </is>
      </c>
      <c r="I98" t="inlineStr">
        <is>
          <t>BNKY6PVTM92SYWH</t>
        </is>
      </c>
      <c r="J98" s="8" t="n">
        <v>45948</v>
      </c>
    </row>
    <row r="99">
      <c r="A99" t="inlineStr">
        <is>
          <t>PAY0002506</t>
        </is>
      </c>
      <c r="B99" t="inlineStr">
        <is>
          <t>INV0011220</t>
        </is>
      </c>
      <c r="C99" t="inlineStr">
        <is>
          <t>MER00530</t>
        </is>
      </c>
      <c r="D99" s="8" t="n">
        <v>45981</v>
      </c>
      <c r="E99" t="n">
        <v>911.35</v>
      </c>
      <c r="F99" t="inlineStr">
        <is>
          <t>UPI</t>
        </is>
      </c>
      <c r="G99" t="inlineStr">
        <is>
          <t>PAY4E5DSG8C8A</t>
        </is>
      </c>
      <c r="H99" t="inlineStr">
        <is>
          <t>Success</t>
        </is>
      </c>
      <c r="I99" t="inlineStr">
        <is>
          <t>BNK5LKQGB97AQEG</t>
        </is>
      </c>
      <c r="J99" s="8" t="n">
        <v>45983</v>
      </c>
    </row>
    <row r="100">
      <c r="A100" t="inlineStr">
        <is>
          <t>PAY0002507</t>
        </is>
      </c>
      <c r="B100" t="inlineStr">
        <is>
          <t>INV0011221</t>
        </is>
      </c>
      <c r="C100" t="inlineStr">
        <is>
          <t>MER00530</t>
        </is>
      </c>
      <c r="D100" s="8" t="n">
        <v>45999</v>
      </c>
      <c r="E100" t="n">
        <v>399.11</v>
      </c>
      <c r="F100" t="inlineStr">
        <is>
          <t>NetBanking</t>
        </is>
      </c>
      <c r="G100" t="inlineStr">
        <is>
          <t>PAYJ9ZE7F242F</t>
        </is>
      </c>
      <c r="H100" t="inlineStr">
        <is>
          <t>Success</t>
        </is>
      </c>
      <c r="I100" t="inlineStr">
        <is>
          <t>BNKM965T6PHPY3D</t>
        </is>
      </c>
      <c r="J100" s="8" t="n">
        <v>46002</v>
      </c>
    </row>
    <row r="101">
      <c r="A101" t="inlineStr">
        <is>
          <t>PAY0002508</t>
        </is>
      </c>
      <c r="B101" t="inlineStr">
        <is>
          <t>INV0011222</t>
        </is>
      </c>
      <c r="C101" t="inlineStr">
        <is>
          <t>MER00530</t>
        </is>
      </c>
      <c r="D101" s="8" t="n">
        <v>46037</v>
      </c>
      <c r="E101" t="n">
        <v>327.49</v>
      </c>
      <c r="F101" t="inlineStr">
        <is>
          <t>UPI</t>
        </is>
      </c>
      <c r="G101" t="inlineStr">
        <is>
          <t>PAY8MBCMF5FAL</t>
        </is>
      </c>
      <c r="H101" t="inlineStr">
        <is>
          <t>Success</t>
        </is>
      </c>
      <c r="I101" t="inlineStr">
        <is>
          <t>BNKM34W6NNVTNTF</t>
        </is>
      </c>
      <c r="J101" s="8" t="n">
        <v>46040</v>
      </c>
    </row>
    <row r="102">
      <c r="A102" t="inlineStr">
        <is>
          <t>PAY0002509</t>
        </is>
      </c>
      <c r="B102" t="inlineStr">
        <is>
          <t>INV0011223</t>
        </is>
      </c>
      <c r="C102" t="inlineStr">
        <is>
          <t>MER00530</t>
        </is>
      </c>
      <c r="D102" s="8" t="n">
        <v>46068</v>
      </c>
      <c r="E102" t="n">
        <v>255.42</v>
      </c>
      <c r="F102" t="inlineStr">
        <is>
          <t>Wallet</t>
        </is>
      </c>
      <c r="G102" t="inlineStr">
        <is>
          <t>PAYUJVAHK8Y6K</t>
        </is>
      </c>
      <c r="H102" t="inlineStr">
        <is>
          <t>Success</t>
        </is>
      </c>
      <c r="I102" t="inlineStr">
        <is>
          <t>BNKCZ74XKGAK75J</t>
        </is>
      </c>
      <c r="J102" s="8" t="n">
        <v>46069</v>
      </c>
    </row>
    <row r="103">
      <c r="A103" t="inlineStr">
        <is>
          <t>PAY0002510</t>
        </is>
      </c>
      <c r="B103" t="inlineStr">
        <is>
          <t>INV0011224</t>
        </is>
      </c>
      <c r="C103" t="inlineStr">
        <is>
          <t>MER00530</t>
        </is>
      </c>
      <c r="D103" s="8" t="n">
        <v>46097</v>
      </c>
      <c r="E103" t="n">
        <v>481.32</v>
      </c>
      <c r="F103" t="inlineStr">
        <is>
          <t>NetBanking</t>
        </is>
      </c>
      <c r="G103" t="inlineStr">
        <is>
          <t>PAYSFFQ9VHVGZ</t>
        </is>
      </c>
      <c r="H103" t="inlineStr">
        <is>
          <t>Success</t>
        </is>
      </c>
      <c r="I103" t="inlineStr">
        <is>
          <t>BNKJ5HYLKJSHL7E</t>
        </is>
      </c>
      <c r="J103" s="8" t="n">
        <v>46099</v>
      </c>
    </row>
    <row r="104">
      <c r="A104" t="inlineStr">
        <is>
          <t>PAY0002511</t>
        </is>
      </c>
      <c r="B104" t="inlineStr">
        <is>
          <t>INV0011226</t>
        </is>
      </c>
      <c r="C104" t="inlineStr">
        <is>
          <t>MER00530</t>
        </is>
      </c>
      <c r="D104" s="8" t="n">
        <v>46153</v>
      </c>
      <c r="E104" t="n">
        <v>198.62</v>
      </c>
      <c r="F104" t="inlineStr">
        <is>
          <t>UPI</t>
        </is>
      </c>
      <c r="G104" t="inlineStr">
        <is>
          <t>PAY23Y3Q94MNJ</t>
        </is>
      </c>
      <c r="H104" t="inlineStr">
        <is>
          <t>Success</t>
        </is>
      </c>
      <c r="I104" t="inlineStr">
        <is>
          <t>BNK9S697JUSB96D</t>
        </is>
      </c>
      <c r="J104" s="8" t="n">
        <v>46155</v>
      </c>
    </row>
    <row r="105">
      <c r="A105" t="inlineStr">
        <is>
          <t>PAY0002512</t>
        </is>
      </c>
      <c r="B105" t="inlineStr">
        <is>
          <t>INV0011227</t>
        </is>
      </c>
      <c r="C105" t="inlineStr">
        <is>
          <t>MER00530</t>
        </is>
      </c>
      <c r="D105" s="8" t="n">
        <v>46185</v>
      </c>
      <c r="E105" t="n">
        <v>1192.12</v>
      </c>
      <c r="F105" t="inlineStr">
        <is>
          <t>UPI</t>
        </is>
      </c>
      <c r="G105" t="inlineStr">
        <is>
          <t>PAY59TJMBN7HV</t>
        </is>
      </c>
      <c r="H105" t="inlineStr">
        <is>
          <t>Success</t>
        </is>
      </c>
      <c r="I105" t="inlineStr">
        <is>
          <t>BNKLA6MRWLQUP3V</t>
        </is>
      </c>
      <c r="J105" s="8" t="n">
        <v>46186</v>
      </c>
    </row>
    <row r="106">
      <c r="A106" t="inlineStr">
        <is>
          <t>PAY0002513</t>
        </is>
      </c>
      <c r="B106" t="inlineStr">
        <is>
          <t>INV0011228</t>
        </is>
      </c>
      <c r="C106" t="inlineStr">
        <is>
          <t>MER00530</t>
        </is>
      </c>
      <c r="D106" s="8" t="n">
        <v>46216</v>
      </c>
      <c r="E106" t="n">
        <v>836.48</v>
      </c>
      <c r="F106" t="inlineStr">
        <is>
          <t>UPI</t>
        </is>
      </c>
      <c r="G106" t="inlineStr">
        <is>
          <t>PAYXRV7GGR28U</t>
        </is>
      </c>
      <c r="H106" t="inlineStr">
        <is>
          <t>Success</t>
        </is>
      </c>
      <c r="I106" t="inlineStr">
        <is>
          <t>BNK9WPZ84ZDWJNC</t>
        </is>
      </c>
      <c r="J106" s="8" t="n">
        <v>46218</v>
      </c>
    </row>
    <row r="107">
      <c r="A107" t="inlineStr">
        <is>
          <t>PAY0002514</t>
        </is>
      </c>
      <c r="B107" t="inlineStr">
        <is>
          <t>INV0011229</t>
        </is>
      </c>
      <c r="C107" t="inlineStr">
        <is>
          <t>MER00530</t>
        </is>
      </c>
      <c r="D107" s="8" t="n">
        <v>46257</v>
      </c>
      <c r="E107" t="n">
        <v>255.75</v>
      </c>
      <c r="F107" t="inlineStr">
        <is>
          <t>Card</t>
        </is>
      </c>
      <c r="G107" t="inlineStr">
        <is>
          <t>PAYWKMYRALZM3</t>
        </is>
      </c>
      <c r="H107" t="inlineStr">
        <is>
          <t>Success</t>
        </is>
      </c>
      <c r="I107" t="inlineStr">
        <is>
          <t>BNKQZ4SH5Z5NDED</t>
        </is>
      </c>
      <c r="J107" s="8" t="n">
        <v>46259</v>
      </c>
    </row>
    <row r="108">
      <c r="A108" t="inlineStr">
        <is>
          <t>PAY0002687</t>
        </is>
      </c>
      <c r="B108" t="inlineStr">
        <is>
          <t>INV0012092</t>
        </is>
      </c>
      <c r="C108" t="inlineStr">
        <is>
          <t>MER00572</t>
        </is>
      </c>
      <c r="D108" s="8" t="n">
        <v>45567</v>
      </c>
      <c r="E108" t="n">
        <v>1378.45</v>
      </c>
      <c r="F108" t="inlineStr">
        <is>
          <t>UPI</t>
        </is>
      </c>
      <c r="G108" t="inlineStr">
        <is>
          <t>PAYSEEUG3LLR8</t>
        </is>
      </c>
      <c r="H108" t="inlineStr">
        <is>
          <t>Success</t>
        </is>
      </c>
      <c r="I108" t="inlineStr">
        <is>
          <t>BNKBFW5XQXSZ7G9</t>
        </is>
      </c>
      <c r="J108" s="8" t="n">
        <v>45570</v>
      </c>
    </row>
    <row r="109">
      <c r="A109" t="inlineStr">
        <is>
          <t>PAY0002688</t>
        </is>
      </c>
      <c r="B109" t="inlineStr">
        <is>
          <t>INV0012093</t>
        </is>
      </c>
      <c r="C109" t="inlineStr">
        <is>
          <t>MER00572</t>
        </is>
      </c>
      <c r="D109" s="8" t="n">
        <v>45592</v>
      </c>
      <c r="E109" t="n">
        <v>1432.46</v>
      </c>
      <c r="F109" t="inlineStr">
        <is>
          <t>Card</t>
        </is>
      </c>
      <c r="G109" t="inlineStr">
        <is>
          <t>PAYCGQ5SVSY58</t>
        </is>
      </c>
      <c r="H109" t="inlineStr">
        <is>
          <t>Success</t>
        </is>
      </c>
      <c r="I109" t="inlineStr">
        <is>
          <t>BNK8UU9BTKUG3UQ</t>
        </is>
      </c>
      <c r="J109" s="8" t="n">
        <v>45594</v>
      </c>
    </row>
    <row r="110">
      <c r="A110" t="inlineStr">
        <is>
          <t>PAY0002689</t>
        </is>
      </c>
      <c r="B110" t="inlineStr">
        <is>
          <t>INV0012094</t>
        </is>
      </c>
      <c r="C110" t="inlineStr">
        <is>
          <t>MER00572</t>
        </is>
      </c>
      <c r="D110" s="8" t="n">
        <v>45625</v>
      </c>
      <c r="E110" t="n">
        <v>3417.74</v>
      </c>
      <c r="F110" t="inlineStr">
        <is>
          <t>UPI</t>
        </is>
      </c>
      <c r="G110" t="inlineStr">
        <is>
          <t>PAY8MJLNL3CC8</t>
        </is>
      </c>
      <c r="H110" t="inlineStr">
        <is>
          <t>Success</t>
        </is>
      </c>
      <c r="I110" t="inlineStr">
        <is>
          <t>BNKM8Z7FLLL2HUV</t>
        </is>
      </c>
      <c r="J110" s="8" t="n">
        <v>45628</v>
      </c>
    </row>
    <row r="111">
      <c r="A111" t="inlineStr">
        <is>
          <t>PAY0002690</t>
        </is>
      </c>
      <c r="B111" t="inlineStr">
        <is>
          <t>INV0012095</t>
        </is>
      </c>
      <c r="C111" t="inlineStr">
        <is>
          <t>MER00572</t>
        </is>
      </c>
      <c r="D111" s="8" t="n">
        <v>45650</v>
      </c>
      <c r="E111" t="n">
        <v>3169.34</v>
      </c>
      <c r="F111" t="inlineStr">
        <is>
          <t>UPI</t>
        </is>
      </c>
      <c r="G111" t="inlineStr">
        <is>
          <t>PAYEYDBKQMGSA</t>
        </is>
      </c>
      <c r="H111" t="inlineStr">
        <is>
          <t>Success</t>
        </is>
      </c>
      <c r="I111" t="inlineStr">
        <is>
          <t>BNKYKTRP6L4DUYW</t>
        </is>
      </c>
      <c r="J111" s="8" t="n">
        <v>45652</v>
      </c>
    </row>
    <row r="112">
      <c r="A112" t="inlineStr">
        <is>
          <t>PAY0002691</t>
        </is>
      </c>
      <c r="B112" t="inlineStr">
        <is>
          <t>INV0012096</t>
        </is>
      </c>
      <c r="C112" t="inlineStr">
        <is>
          <t>MER00572</t>
        </is>
      </c>
      <c r="D112" s="8" t="n">
        <v>45690</v>
      </c>
      <c r="E112" t="n">
        <v>2066.36</v>
      </c>
      <c r="F112" t="inlineStr">
        <is>
          <t>UPI</t>
        </is>
      </c>
      <c r="G112" t="inlineStr">
        <is>
          <t>PAYGN3P5G2KVJ</t>
        </is>
      </c>
      <c r="H112" t="inlineStr">
        <is>
          <t>Success</t>
        </is>
      </c>
      <c r="I112" t="inlineStr">
        <is>
          <t>BNKYSJA9JJDFJKZ</t>
        </is>
      </c>
      <c r="J112" s="8" t="n">
        <v>45691</v>
      </c>
    </row>
    <row r="113">
      <c r="A113" t="inlineStr">
        <is>
          <t>PAY0002692</t>
        </is>
      </c>
      <c r="B113" t="inlineStr">
        <is>
          <t>INV0012097</t>
        </is>
      </c>
      <c r="C113" t="inlineStr">
        <is>
          <t>MER00572</t>
        </is>
      </c>
      <c r="D113" s="8" t="n">
        <v>45718</v>
      </c>
      <c r="E113" t="n">
        <v>3174.26</v>
      </c>
      <c r="F113" t="inlineStr">
        <is>
          <t>Card</t>
        </is>
      </c>
      <c r="G113" t="inlineStr">
        <is>
          <t>PAYS6PBH78PRF</t>
        </is>
      </c>
      <c r="H113" t="inlineStr">
        <is>
          <t>Success</t>
        </is>
      </c>
      <c r="I113" t="inlineStr">
        <is>
          <t>BNKP5JXXGRDKJF9</t>
        </is>
      </c>
      <c r="J113" s="8" t="n">
        <v>45719</v>
      </c>
    </row>
    <row r="114">
      <c r="A114" t="inlineStr">
        <is>
          <t>PAY0002693</t>
        </is>
      </c>
      <c r="B114" t="inlineStr">
        <is>
          <t>INV0012098</t>
        </is>
      </c>
      <c r="C114" t="inlineStr">
        <is>
          <t>MER00572</t>
        </is>
      </c>
      <c r="D114" s="8" t="n">
        <v>45747</v>
      </c>
      <c r="E114" t="n">
        <v>2994.58</v>
      </c>
      <c r="F114" t="inlineStr">
        <is>
          <t>UPI</t>
        </is>
      </c>
      <c r="G114" t="inlineStr">
        <is>
          <t>PAYT8PNSREFFV</t>
        </is>
      </c>
      <c r="H114" t="inlineStr">
        <is>
          <t>Success</t>
        </is>
      </c>
      <c r="I114" t="inlineStr">
        <is>
          <t>BNKXY78G2856EZ7</t>
        </is>
      </c>
      <c r="J114" s="8" t="n">
        <v>45748</v>
      </c>
    </row>
    <row r="115">
      <c r="A115" t="inlineStr">
        <is>
          <t>PAY0002694</t>
        </is>
      </c>
      <c r="B115" t="inlineStr">
        <is>
          <t>INV0012099</t>
        </is>
      </c>
      <c r="C115" t="inlineStr">
        <is>
          <t>MER00572</t>
        </is>
      </c>
      <c r="D115" s="8" t="n">
        <v>45777</v>
      </c>
      <c r="E115" t="n">
        <v>993.63</v>
      </c>
      <c r="F115" t="inlineStr">
        <is>
          <t>UPI</t>
        </is>
      </c>
      <c r="G115" t="inlineStr">
        <is>
          <t>PAYPB9GFENQ7X</t>
        </is>
      </c>
      <c r="H115" t="inlineStr">
        <is>
          <t>Success</t>
        </is>
      </c>
      <c r="I115" t="inlineStr">
        <is>
          <t>BNKT5FT9N8FKJQJ</t>
        </is>
      </c>
      <c r="J115" s="8" t="n">
        <v>45778</v>
      </c>
    </row>
    <row r="116">
      <c r="A116" t="inlineStr">
        <is>
          <t>PAY0002695</t>
        </is>
      </c>
      <c r="B116" t="inlineStr">
        <is>
          <t>INV0012100</t>
        </is>
      </c>
      <c r="C116" t="inlineStr">
        <is>
          <t>MER00572</t>
        </is>
      </c>
      <c r="D116" s="8" t="n">
        <v>45809</v>
      </c>
      <c r="E116" t="n">
        <v>3778.82</v>
      </c>
      <c r="F116" t="inlineStr">
        <is>
          <t>COD</t>
        </is>
      </c>
      <c r="G116" t="inlineStr">
        <is>
          <t>PAYH324S2ZSCG</t>
        </is>
      </c>
      <c r="H116" t="inlineStr">
        <is>
          <t>Success</t>
        </is>
      </c>
      <c r="I116" t="inlineStr">
        <is>
          <t>BNKM8UA9G9MH62S</t>
        </is>
      </c>
      <c r="J116" s="8" t="n">
        <v>45810</v>
      </c>
    </row>
    <row r="117">
      <c r="A117" t="inlineStr">
        <is>
          <t>PAY0002696</t>
        </is>
      </c>
      <c r="B117" t="inlineStr">
        <is>
          <t>INV0012101</t>
        </is>
      </c>
      <c r="C117" t="inlineStr">
        <is>
          <t>MER00572</t>
        </is>
      </c>
      <c r="D117" s="8" t="n">
        <v>45840</v>
      </c>
      <c r="E117" t="n">
        <v>2862.49</v>
      </c>
      <c r="F117" t="inlineStr">
        <is>
          <t>NetBanking</t>
        </is>
      </c>
      <c r="G117" t="inlineStr">
        <is>
          <t>PAY7EP7EVMSJP</t>
        </is>
      </c>
      <c r="H117" t="inlineStr">
        <is>
          <t>Success</t>
        </is>
      </c>
      <c r="I117" t="inlineStr">
        <is>
          <t>BNK46QWAFS85W88</t>
        </is>
      </c>
      <c r="J117" s="8" t="n">
        <v>45843</v>
      </c>
    </row>
    <row r="118">
      <c r="A118" t="inlineStr">
        <is>
          <t>PAY0002697</t>
        </is>
      </c>
      <c r="B118" t="inlineStr">
        <is>
          <t>INV0012102</t>
        </is>
      </c>
      <c r="C118" t="inlineStr">
        <is>
          <t>MER00572</t>
        </is>
      </c>
      <c r="D118" s="8" t="n">
        <v>45869</v>
      </c>
      <c r="E118" t="n">
        <v>2023.89</v>
      </c>
      <c r="F118" t="inlineStr">
        <is>
          <t>NetBanking</t>
        </is>
      </c>
      <c r="G118" t="inlineStr">
        <is>
          <t>PAYEUFSNK6NZN</t>
        </is>
      </c>
      <c r="H118" t="inlineStr">
        <is>
          <t>Success</t>
        </is>
      </c>
      <c r="I118" t="inlineStr">
        <is>
          <t>BNKJGYMBV5A8VMQ</t>
        </is>
      </c>
      <c r="J118" s="8" t="n">
        <v>45872</v>
      </c>
    </row>
    <row r="119">
      <c r="A119" t="inlineStr">
        <is>
          <t>PAY0002698</t>
        </is>
      </c>
      <c r="B119" t="inlineStr">
        <is>
          <t>INV0012103</t>
        </is>
      </c>
      <c r="C119" t="inlineStr">
        <is>
          <t>MER00572</t>
        </is>
      </c>
      <c r="D119" s="8" t="n">
        <v>45900</v>
      </c>
      <c r="E119" t="n">
        <v>3889.49</v>
      </c>
      <c r="F119" t="inlineStr">
        <is>
          <t>NetBanking</t>
        </is>
      </c>
      <c r="G119" t="inlineStr">
        <is>
          <t>PAYXSXE7MGB3K</t>
        </is>
      </c>
      <c r="H119" t="inlineStr">
        <is>
          <t>Success</t>
        </is>
      </c>
      <c r="I119" t="inlineStr">
        <is>
          <t>BNKH9VBYFVDDLS9</t>
        </is>
      </c>
      <c r="J119" s="8" t="n">
        <v>45901</v>
      </c>
    </row>
    <row r="120">
      <c r="A120" t="inlineStr">
        <is>
          <t>PAY0002699</t>
        </is>
      </c>
      <c r="B120" t="inlineStr">
        <is>
          <t>INV0012105</t>
        </is>
      </c>
      <c r="C120" t="inlineStr">
        <is>
          <t>MER00572</t>
        </is>
      </c>
      <c r="D120" s="8" t="n">
        <v>45991</v>
      </c>
      <c r="E120" t="n">
        <v>2953.96</v>
      </c>
      <c r="F120" t="inlineStr">
        <is>
          <t>UPI</t>
        </is>
      </c>
      <c r="G120" t="inlineStr">
        <is>
          <t>PAYVYJYN4MPK2</t>
        </is>
      </c>
      <c r="H120" t="inlineStr">
        <is>
          <t>Success</t>
        </is>
      </c>
      <c r="I120" t="inlineStr">
        <is>
          <t>BNK9S7829WN4X6T</t>
        </is>
      </c>
      <c r="J120" s="8" t="n">
        <v>45992</v>
      </c>
    </row>
    <row r="121">
      <c r="A121" t="inlineStr">
        <is>
          <t>PAY0002700</t>
        </is>
      </c>
      <c r="B121" t="inlineStr">
        <is>
          <t>INV0012106</t>
        </is>
      </c>
      <c r="C121" t="inlineStr">
        <is>
          <t>MER00572</t>
        </is>
      </c>
      <c r="D121" s="8" t="n">
        <v>46023</v>
      </c>
      <c r="E121" t="n">
        <v>2271.62</v>
      </c>
      <c r="F121" t="inlineStr">
        <is>
          <t>NetBanking</t>
        </is>
      </c>
      <c r="G121" t="inlineStr">
        <is>
          <t>PAYYCVMHU5LYA</t>
        </is>
      </c>
      <c r="H121" t="inlineStr">
        <is>
          <t>Success</t>
        </is>
      </c>
      <c r="I121" t="inlineStr">
        <is>
          <t>BNKH32YXYSH9S8P</t>
        </is>
      </c>
      <c r="J121" s="8" t="n">
        <v>46024</v>
      </c>
    </row>
    <row r="122">
      <c r="A122" t="inlineStr">
        <is>
          <t>PAY0002701</t>
        </is>
      </c>
      <c r="B122" t="inlineStr">
        <is>
          <t>INV0012107</t>
        </is>
      </c>
      <c r="C122" t="inlineStr">
        <is>
          <t>MER00572</t>
        </is>
      </c>
      <c r="D122" s="8" t="n">
        <v>46054</v>
      </c>
      <c r="E122" t="n">
        <v>2482.87</v>
      </c>
      <c r="F122" t="inlineStr">
        <is>
          <t>UPI</t>
        </is>
      </c>
      <c r="G122" t="inlineStr">
        <is>
          <t>PAY3J2MK6GCMR</t>
        </is>
      </c>
      <c r="H122" t="inlineStr">
        <is>
          <t>Success</t>
        </is>
      </c>
      <c r="I122" t="inlineStr">
        <is>
          <t>BNKAVQ4UWTBY7S9</t>
        </is>
      </c>
      <c r="J122" s="8" t="n">
        <v>46057</v>
      </c>
    </row>
    <row r="123">
      <c r="A123" t="inlineStr">
        <is>
          <t>PAY0002702</t>
        </is>
      </c>
      <c r="B123" t="inlineStr">
        <is>
          <t>INV0012108</t>
        </is>
      </c>
      <c r="C123" t="inlineStr">
        <is>
          <t>MER00572</t>
        </is>
      </c>
      <c r="D123" s="8" t="n">
        <v>46086</v>
      </c>
      <c r="E123" t="n">
        <v>3472.63</v>
      </c>
      <c r="F123" t="inlineStr">
        <is>
          <t>UPI</t>
        </is>
      </c>
      <c r="G123" t="inlineStr">
        <is>
          <t>PAYVKWCU8VH2F</t>
        </is>
      </c>
      <c r="H123" t="inlineStr">
        <is>
          <t>Success</t>
        </is>
      </c>
      <c r="I123" t="inlineStr">
        <is>
          <t>BNKM53H8PFXVLU6</t>
        </is>
      </c>
      <c r="J123" s="8" t="n">
        <v>46089</v>
      </c>
    </row>
    <row r="124">
      <c r="A124" t="inlineStr">
        <is>
          <t>PAY0002703</t>
        </is>
      </c>
      <c r="B124" t="inlineStr">
        <is>
          <t>INV0012109</t>
        </is>
      </c>
      <c r="C124" t="inlineStr">
        <is>
          <t>MER00572</t>
        </is>
      </c>
      <c r="D124" s="8" t="n">
        <v>46112</v>
      </c>
      <c r="E124" t="n">
        <v>1102.51</v>
      </c>
      <c r="F124" t="inlineStr">
        <is>
          <t>Card</t>
        </is>
      </c>
      <c r="G124" t="inlineStr">
        <is>
          <t>PAY95FVX3ALYW</t>
        </is>
      </c>
      <c r="H124" t="inlineStr">
        <is>
          <t>Success</t>
        </is>
      </c>
      <c r="I124" t="inlineStr">
        <is>
          <t>BNKVNRA5Q7NC7XB</t>
        </is>
      </c>
      <c r="J124" s="8" t="n">
        <v>46113</v>
      </c>
    </row>
    <row r="125">
      <c r="A125" t="inlineStr">
        <is>
          <t>PAY0002704</t>
        </is>
      </c>
      <c r="B125" t="inlineStr">
        <is>
          <t>INV0012110</t>
        </is>
      </c>
      <c r="C125" t="inlineStr">
        <is>
          <t>MER00572</t>
        </is>
      </c>
      <c r="D125" s="8" t="n">
        <v>46146</v>
      </c>
      <c r="E125" t="n">
        <v>4440.42</v>
      </c>
      <c r="F125" t="inlineStr">
        <is>
          <t>NetBanking</t>
        </is>
      </c>
      <c r="G125" t="inlineStr">
        <is>
          <t>PAYXQX9XQR6VU</t>
        </is>
      </c>
      <c r="H125" t="inlineStr">
        <is>
          <t>Success</t>
        </is>
      </c>
      <c r="I125" t="inlineStr">
        <is>
          <t>BNKSBCY8PKKTCYH</t>
        </is>
      </c>
      <c r="J125" s="8" t="n">
        <v>46148</v>
      </c>
    </row>
    <row r="126">
      <c r="A126" t="inlineStr">
        <is>
          <t>PAY0002705</t>
        </is>
      </c>
      <c r="B126" t="inlineStr">
        <is>
          <t>INV0012111</t>
        </is>
      </c>
      <c r="C126" t="inlineStr">
        <is>
          <t>MER00572</t>
        </is>
      </c>
      <c r="D126" s="8" t="n">
        <v>46175</v>
      </c>
      <c r="E126" t="n">
        <v>4372.5</v>
      </c>
      <c r="F126" t="inlineStr">
        <is>
          <t>Card</t>
        </is>
      </c>
      <c r="G126" t="inlineStr">
        <is>
          <t>PAYRTZEEP5NKC</t>
        </is>
      </c>
      <c r="H126" t="inlineStr">
        <is>
          <t>Success</t>
        </is>
      </c>
      <c r="I126" t="inlineStr">
        <is>
          <t>BNK6G4SMXLK4N8B</t>
        </is>
      </c>
      <c r="J126" s="8" t="n">
        <v>46176</v>
      </c>
    </row>
    <row r="127">
      <c r="A127" t="inlineStr">
        <is>
          <t>PAY0002706</t>
        </is>
      </c>
      <c r="B127" t="inlineStr">
        <is>
          <t>INV0012112</t>
        </is>
      </c>
      <c r="C127" t="inlineStr">
        <is>
          <t>MER00572</t>
        </is>
      </c>
      <c r="D127" s="8" t="n">
        <v>46204</v>
      </c>
      <c r="E127" t="n">
        <v>2074.24</v>
      </c>
      <c r="F127" t="inlineStr">
        <is>
          <t>UPI</t>
        </is>
      </c>
      <c r="G127" t="inlineStr">
        <is>
          <t>PAY8DX5PV2855</t>
        </is>
      </c>
      <c r="H127" t="inlineStr">
        <is>
          <t>Success</t>
        </is>
      </c>
      <c r="I127" t="inlineStr">
        <is>
          <t>BNKSS36AWEQHXLD</t>
        </is>
      </c>
      <c r="J127" s="8" t="n">
        <v>46206</v>
      </c>
    </row>
    <row r="128">
      <c r="A128" t="inlineStr">
        <is>
          <t>PAY0002707</t>
        </is>
      </c>
      <c r="B128" t="inlineStr">
        <is>
          <t>INV0012113</t>
        </is>
      </c>
      <c r="C128" t="inlineStr">
        <is>
          <t>MER00572</t>
        </is>
      </c>
      <c r="D128" s="8" t="n">
        <v>46227</v>
      </c>
      <c r="E128" t="n">
        <v>2157.68</v>
      </c>
      <c r="F128" t="inlineStr">
        <is>
          <t>Card</t>
        </is>
      </c>
      <c r="G128" t="inlineStr">
        <is>
          <t>PAY8XHA9E45AU</t>
        </is>
      </c>
      <c r="H128" t="inlineStr">
        <is>
          <t>Success</t>
        </is>
      </c>
      <c r="I128" t="inlineStr">
        <is>
          <t>BNKYQVRB7CYATYB</t>
        </is>
      </c>
      <c r="J128" s="8" t="n">
        <v>46228</v>
      </c>
    </row>
    <row r="129">
      <c r="A129" t="inlineStr">
        <is>
          <t>PAY0002708</t>
        </is>
      </c>
      <c r="B129" t="inlineStr">
        <is>
          <t>INV0012114</t>
        </is>
      </c>
      <c r="C129" t="inlineStr">
        <is>
          <t>MER00572</t>
        </is>
      </c>
      <c r="D129" s="8" t="n">
        <v>46269</v>
      </c>
      <c r="E129" t="n">
        <v>3630.41</v>
      </c>
      <c r="F129" t="inlineStr">
        <is>
          <t>UPI</t>
        </is>
      </c>
      <c r="G129" t="inlineStr">
        <is>
          <t>PAY3EFHQY3UQ2</t>
        </is>
      </c>
      <c r="H129" t="inlineStr">
        <is>
          <t>Success</t>
        </is>
      </c>
      <c r="I129" t="inlineStr">
        <is>
          <t>BNKRNBXKTNCD8YX</t>
        </is>
      </c>
      <c r="J129" s="8" t="n">
        <v>46271</v>
      </c>
    </row>
    <row r="130">
      <c r="A130" t="inlineStr">
        <is>
          <t>PAY0003573</t>
        </is>
      </c>
      <c r="B130" t="inlineStr">
        <is>
          <t>INV0014986</t>
        </is>
      </c>
      <c r="C130" t="inlineStr">
        <is>
          <t>MER00708</t>
        </is>
      </c>
      <c r="D130" s="8" t="n">
        <v>45568</v>
      </c>
      <c r="E130" t="n">
        <v>51.66</v>
      </c>
      <c r="F130" t="inlineStr">
        <is>
          <t>UPI</t>
        </is>
      </c>
      <c r="G130" t="inlineStr">
        <is>
          <t>PAYRF35BBFLFE</t>
        </is>
      </c>
      <c r="H130" t="inlineStr">
        <is>
          <t>Success</t>
        </is>
      </c>
      <c r="I130" t="inlineStr">
        <is>
          <t>BNKSATGW9L4N2NV</t>
        </is>
      </c>
      <c r="J130" s="8" t="n">
        <v>45571</v>
      </c>
    </row>
    <row r="131">
      <c r="A131" t="inlineStr">
        <is>
          <t>PAY0003574</t>
        </is>
      </c>
      <c r="B131" t="inlineStr">
        <is>
          <t>INV0014987</t>
        </is>
      </c>
      <c r="C131" t="inlineStr">
        <is>
          <t>MER00708</t>
        </is>
      </c>
      <c r="D131" s="8" t="n">
        <v>45594</v>
      </c>
      <c r="E131" t="n">
        <v>149.6</v>
      </c>
      <c r="F131" t="inlineStr">
        <is>
          <t>UPI</t>
        </is>
      </c>
      <c r="G131" t="inlineStr">
        <is>
          <t>PAYD8KXZUHEKG</t>
        </is>
      </c>
      <c r="H131" t="inlineStr">
        <is>
          <t>Success</t>
        </is>
      </c>
      <c r="I131" t="inlineStr">
        <is>
          <t>BNKXDAYRJLCFG52</t>
        </is>
      </c>
      <c r="J131" s="8" t="n">
        <v>45597</v>
      </c>
    </row>
    <row r="132">
      <c r="A132" t="inlineStr">
        <is>
          <t>PAY0003575</t>
        </is>
      </c>
      <c r="B132" t="inlineStr">
        <is>
          <t>INV0014988</t>
        </is>
      </c>
      <c r="C132" t="inlineStr">
        <is>
          <t>MER00708</t>
        </is>
      </c>
      <c r="D132" s="8" t="n">
        <v>45628</v>
      </c>
      <c r="E132" t="n">
        <v>183.76</v>
      </c>
      <c r="F132" t="inlineStr">
        <is>
          <t>Wallet</t>
        </is>
      </c>
      <c r="G132" t="inlineStr">
        <is>
          <t>PAYXV27ZCE696</t>
        </is>
      </c>
      <c r="H132" t="inlineStr">
        <is>
          <t>Success</t>
        </is>
      </c>
      <c r="I132" t="inlineStr">
        <is>
          <t>BNKXLELCSUST6PH</t>
        </is>
      </c>
      <c r="J132" s="8" t="n">
        <v>45631</v>
      </c>
    </row>
    <row r="133">
      <c r="A133" t="inlineStr">
        <is>
          <t>PAY0003576</t>
        </is>
      </c>
      <c r="B133" t="inlineStr">
        <is>
          <t>INV0014989</t>
        </is>
      </c>
      <c r="C133" t="inlineStr">
        <is>
          <t>MER00708</t>
        </is>
      </c>
      <c r="D133" s="8" t="n">
        <v>45656</v>
      </c>
      <c r="E133" t="n">
        <v>184.07</v>
      </c>
      <c r="F133" t="inlineStr">
        <is>
          <t>NetBanking</t>
        </is>
      </c>
      <c r="G133" t="inlineStr">
        <is>
          <t>PAYKM9A6EJKWC</t>
        </is>
      </c>
      <c r="H133" t="inlineStr">
        <is>
          <t>Success</t>
        </is>
      </c>
      <c r="I133" t="inlineStr">
        <is>
          <t>BNKU8J9LJ4P7TAW</t>
        </is>
      </c>
      <c r="J133" s="8" t="n">
        <v>45659</v>
      </c>
    </row>
    <row r="134">
      <c r="A134" t="inlineStr">
        <is>
          <t>PAY0003577</t>
        </is>
      </c>
      <c r="B134" t="inlineStr">
        <is>
          <t>INV0014990</t>
        </is>
      </c>
      <c r="C134" t="inlineStr">
        <is>
          <t>MER00708</t>
        </is>
      </c>
      <c r="D134" s="8" t="n">
        <v>45687</v>
      </c>
      <c r="E134" t="n">
        <v>60.72</v>
      </c>
      <c r="F134" t="inlineStr">
        <is>
          <t>UPI</t>
        </is>
      </c>
      <c r="G134" t="inlineStr">
        <is>
          <t>PAYJPXE2XX53D</t>
        </is>
      </c>
      <c r="H134" t="inlineStr">
        <is>
          <t>Success</t>
        </is>
      </c>
      <c r="I134" t="inlineStr">
        <is>
          <t>BNKJ3UC8B49QQAD</t>
        </is>
      </c>
      <c r="J134" s="8" t="n">
        <v>45690</v>
      </c>
    </row>
    <row r="135">
      <c r="A135" t="inlineStr">
        <is>
          <t>PAY0003578</t>
        </is>
      </c>
      <c r="B135" t="inlineStr">
        <is>
          <t>INV0014991</t>
        </is>
      </c>
      <c r="C135" t="inlineStr">
        <is>
          <t>MER00708</t>
        </is>
      </c>
      <c r="D135" s="8" t="n">
        <v>45720</v>
      </c>
      <c r="E135" t="n">
        <v>42.48</v>
      </c>
      <c r="F135" t="inlineStr">
        <is>
          <t>UPI</t>
        </is>
      </c>
      <c r="G135" t="inlineStr">
        <is>
          <t>PAYLT7B7QVHHZ</t>
        </is>
      </c>
      <c r="H135" t="inlineStr">
        <is>
          <t>Success</t>
        </is>
      </c>
      <c r="I135" t="inlineStr">
        <is>
          <t>BNKD4KC5NET42SY</t>
        </is>
      </c>
      <c r="J135" s="8" t="n">
        <v>45723</v>
      </c>
    </row>
    <row r="136">
      <c r="A136" t="inlineStr">
        <is>
          <t>PAY0003579</t>
        </is>
      </c>
      <c r="B136" t="inlineStr">
        <is>
          <t>INV0014992</t>
        </is>
      </c>
      <c r="C136" t="inlineStr">
        <is>
          <t>MER00708</t>
        </is>
      </c>
      <c r="D136" s="8" t="n">
        <v>45752</v>
      </c>
      <c r="E136" t="n">
        <v>150.89</v>
      </c>
      <c r="F136" t="inlineStr">
        <is>
          <t>UPI</t>
        </is>
      </c>
      <c r="G136" t="inlineStr">
        <is>
          <t>PAYDBMY2Y9XHE</t>
        </is>
      </c>
      <c r="H136" t="inlineStr">
        <is>
          <t>Success</t>
        </is>
      </c>
      <c r="I136" t="inlineStr">
        <is>
          <t>BNKNB8PV8GWSUSB</t>
        </is>
      </c>
      <c r="J136" s="8" t="n">
        <v>45755</v>
      </c>
    </row>
    <row r="137">
      <c r="A137" t="inlineStr">
        <is>
          <t>PAY0003580</t>
        </is>
      </c>
      <c r="B137" t="inlineStr">
        <is>
          <t>INV0014993</t>
        </is>
      </c>
      <c r="C137" t="inlineStr">
        <is>
          <t>MER00708</t>
        </is>
      </c>
      <c r="D137" s="8" t="n">
        <v>45778</v>
      </c>
      <c r="E137" t="n">
        <v>93.47</v>
      </c>
      <c r="F137" t="inlineStr">
        <is>
          <t>UPI</t>
        </is>
      </c>
      <c r="G137" t="inlineStr">
        <is>
          <t>PAYYC4ZXX5L5Z</t>
        </is>
      </c>
      <c r="H137" t="inlineStr">
        <is>
          <t>Success</t>
        </is>
      </c>
      <c r="I137" t="inlineStr">
        <is>
          <t>BNKKTSAFF8MPDRC</t>
        </is>
      </c>
      <c r="J137" s="8" t="n">
        <v>45781</v>
      </c>
    </row>
    <row r="138">
      <c r="A138" t="inlineStr">
        <is>
          <t>PAY0003581</t>
        </is>
      </c>
      <c r="B138" t="inlineStr">
        <is>
          <t>INV0014994</t>
        </is>
      </c>
      <c r="C138" t="inlineStr">
        <is>
          <t>MER00708</t>
        </is>
      </c>
      <c r="D138" s="8" t="n">
        <v>45807</v>
      </c>
      <c r="E138" t="n">
        <v>55.75</v>
      </c>
      <c r="F138" t="inlineStr">
        <is>
          <t>Card</t>
        </is>
      </c>
      <c r="G138" t="inlineStr">
        <is>
          <t>PAYK2JQJ5MJFA</t>
        </is>
      </c>
      <c r="H138" t="inlineStr">
        <is>
          <t>Success</t>
        </is>
      </c>
      <c r="I138" t="inlineStr">
        <is>
          <t>BNKWK8A9BVBFYY9</t>
        </is>
      </c>
      <c r="J138" s="8" t="n">
        <v>45808</v>
      </c>
    </row>
    <row r="139">
      <c r="A139" t="inlineStr">
        <is>
          <t>PAY0003582</t>
        </is>
      </c>
      <c r="B139" t="inlineStr">
        <is>
          <t>INV0014995</t>
        </is>
      </c>
      <c r="C139" t="inlineStr">
        <is>
          <t>MER00708</t>
        </is>
      </c>
      <c r="D139" s="8" t="n">
        <v>45839</v>
      </c>
      <c r="E139" t="n">
        <v>134.05</v>
      </c>
      <c r="F139" t="inlineStr">
        <is>
          <t>UPI</t>
        </is>
      </c>
      <c r="G139" t="inlineStr">
        <is>
          <t>PAYXCEK659NTH</t>
        </is>
      </c>
      <c r="H139" t="inlineStr">
        <is>
          <t>Success</t>
        </is>
      </c>
      <c r="I139" t="inlineStr">
        <is>
          <t>BNKJFCSH6HJL8UB</t>
        </is>
      </c>
      <c r="J139" s="8" t="n">
        <v>45840</v>
      </c>
    </row>
    <row r="140">
      <c r="A140" t="inlineStr">
        <is>
          <t>PAY0003583</t>
        </is>
      </c>
      <c r="B140" t="inlineStr">
        <is>
          <t>INV0014996</t>
        </is>
      </c>
      <c r="C140" t="inlineStr">
        <is>
          <t>MER00708</t>
        </is>
      </c>
      <c r="D140" s="8" t="n">
        <v>45864</v>
      </c>
      <c r="E140" t="n">
        <v>23.47</v>
      </c>
      <c r="F140" t="inlineStr">
        <is>
          <t>UPI</t>
        </is>
      </c>
      <c r="G140" t="inlineStr">
        <is>
          <t>PAY7KY3BRQTS7</t>
        </is>
      </c>
      <c r="H140" t="inlineStr">
        <is>
          <t>Success</t>
        </is>
      </c>
      <c r="I140" t="inlineStr">
        <is>
          <t>BNK57NAW5MNWMN2</t>
        </is>
      </c>
      <c r="J140" s="8" t="n">
        <v>45866</v>
      </c>
    </row>
    <row r="141">
      <c r="A141" t="inlineStr">
        <is>
          <t>PAY0003584</t>
        </is>
      </c>
      <c r="B141" t="inlineStr">
        <is>
          <t>INV0014997</t>
        </is>
      </c>
      <c r="C141" t="inlineStr">
        <is>
          <t>MER00708</t>
        </is>
      </c>
      <c r="D141" s="8" t="n">
        <v>45901</v>
      </c>
      <c r="E141" t="n">
        <v>113.91</v>
      </c>
      <c r="F141" t="inlineStr">
        <is>
          <t>UPI</t>
        </is>
      </c>
      <c r="G141" t="inlineStr">
        <is>
          <t>PAYHJPC58B6YU</t>
        </is>
      </c>
      <c r="H141" t="inlineStr">
        <is>
          <t>Success</t>
        </is>
      </c>
      <c r="I141" t="inlineStr">
        <is>
          <t>BNKCKL6YCQ6KCJJ</t>
        </is>
      </c>
      <c r="J141" s="8" t="n">
        <v>45904</v>
      </c>
    </row>
    <row r="142">
      <c r="A142" t="inlineStr">
        <is>
          <t>PAY0003585</t>
        </is>
      </c>
      <c r="B142" t="inlineStr">
        <is>
          <t>INV0014998</t>
        </is>
      </c>
      <c r="C142" t="inlineStr">
        <is>
          <t>MER00708</t>
        </is>
      </c>
      <c r="D142" s="8" t="n">
        <v>45932</v>
      </c>
      <c r="E142" t="n">
        <v>65.22</v>
      </c>
      <c r="F142" t="inlineStr">
        <is>
          <t>UPI</t>
        </is>
      </c>
      <c r="G142" t="inlineStr">
        <is>
          <t>PAY8D73Q2JURX</t>
        </is>
      </c>
      <c r="H142" t="inlineStr">
        <is>
          <t>Success</t>
        </is>
      </c>
      <c r="I142" t="inlineStr">
        <is>
          <t>BNKZ342YDKNGS7R</t>
        </is>
      </c>
      <c r="J142" s="8" t="n">
        <v>45934</v>
      </c>
    </row>
    <row r="143">
      <c r="A143" t="inlineStr">
        <is>
          <t>PAY0003586</t>
        </is>
      </c>
      <c r="B143" t="inlineStr">
        <is>
          <t>INV0014999</t>
        </is>
      </c>
      <c r="C143" t="inlineStr">
        <is>
          <t>MER00708</t>
        </is>
      </c>
      <c r="D143" s="8" t="n">
        <v>45961</v>
      </c>
      <c r="E143" t="n">
        <v>131.49</v>
      </c>
      <c r="F143" t="inlineStr">
        <is>
          <t>Card</t>
        </is>
      </c>
      <c r="G143" t="inlineStr">
        <is>
          <t>PAYNQPM8A8QN8</t>
        </is>
      </c>
      <c r="H143" t="inlineStr">
        <is>
          <t>Success</t>
        </is>
      </c>
      <c r="I143" t="inlineStr">
        <is>
          <t>BNKG76H443932PP</t>
        </is>
      </c>
      <c r="J143" s="8" t="n">
        <v>45963</v>
      </c>
    </row>
    <row r="144">
      <c r="A144" t="inlineStr">
        <is>
          <t>PAY0003587</t>
        </is>
      </c>
      <c r="B144" t="inlineStr">
        <is>
          <t>INV0015000</t>
        </is>
      </c>
      <c r="C144" t="inlineStr">
        <is>
          <t>MER00708</t>
        </is>
      </c>
      <c r="D144" s="8" t="n">
        <v>45991</v>
      </c>
      <c r="E144" t="n">
        <v>95.18000000000001</v>
      </c>
      <c r="F144" t="inlineStr">
        <is>
          <t>UPI</t>
        </is>
      </c>
      <c r="G144" t="inlineStr">
        <is>
          <t>PAYVVCXMYTVUE</t>
        </is>
      </c>
      <c r="H144" t="inlineStr">
        <is>
          <t>Success</t>
        </is>
      </c>
      <c r="I144" t="inlineStr">
        <is>
          <t>BNK4682V8U3G9KB</t>
        </is>
      </c>
      <c r="J144" s="8" t="n">
        <v>45993</v>
      </c>
    </row>
    <row r="145">
      <c r="A145" t="inlineStr">
        <is>
          <t>PAY0003588</t>
        </is>
      </c>
      <c r="B145" t="inlineStr">
        <is>
          <t>INV0015001</t>
        </is>
      </c>
      <c r="C145" t="inlineStr">
        <is>
          <t>MER00708</t>
        </is>
      </c>
      <c r="D145" s="8" t="n">
        <v>46021</v>
      </c>
      <c r="E145" t="n">
        <v>381.53</v>
      </c>
      <c r="F145" t="inlineStr">
        <is>
          <t>NetBanking</t>
        </is>
      </c>
      <c r="G145" t="inlineStr">
        <is>
          <t>PAY3EEHBNTWTU</t>
        </is>
      </c>
      <c r="H145" t="inlineStr">
        <is>
          <t>Success</t>
        </is>
      </c>
      <c r="I145" t="inlineStr">
        <is>
          <t>BNK6SH9SBHSHR74</t>
        </is>
      </c>
      <c r="J145" s="8" t="n">
        <v>46024</v>
      </c>
    </row>
    <row r="146">
      <c r="A146" t="inlineStr">
        <is>
          <t>PAY0003589</t>
        </is>
      </c>
      <c r="B146" t="inlineStr">
        <is>
          <t>INV0015002</t>
        </is>
      </c>
      <c r="C146" t="inlineStr">
        <is>
          <t>MER00708</t>
        </is>
      </c>
      <c r="D146" s="8" t="n">
        <v>46051</v>
      </c>
      <c r="E146" t="n">
        <v>59.13</v>
      </c>
      <c r="F146" t="inlineStr">
        <is>
          <t>UPI</t>
        </is>
      </c>
      <c r="G146" t="inlineStr">
        <is>
          <t>PAYMMNJRWZ6SN</t>
        </is>
      </c>
      <c r="H146" t="inlineStr">
        <is>
          <t>Success</t>
        </is>
      </c>
      <c r="I146" t="inlineStr">
        <is>
          <t>BNKFHEES845G9C6</t>
        </is>
      </c>
      <c r="J146" s="8" t="n">
        <v>46053</v>
      </c>
    </row>
    <row r="147">
      <c r="A147" t="inlineStr">
        <is>
          <t>PAY0003590</t>
        </is>
      </c>
      <c r="B147" t="inlineStr">
        <is>
          <t>INV0015003</t>
        </is>
      </c>
      <c r="C147" t="inlineStr">
        <is>
          <t>MER00708</t>
        </is>
      </c>
      <c r="D147" s="8" t="n">
        <v>46091</v>
      </c>
      <c r="E147" t="n">
        <v>357.3</v>
      </c>
      <c r="F147" t="inlineStr">
        <is>
          <t>UPI</t>
        </is>
      </c>
      <c r="G147" t="inlineStr">
        <is>
          <t>PAYCUSGNHLUZ3</t>
        </is>
      </c>
      <c r="H147" t="inlineStr">
        <is>
          <t>Success</t>
        </is>
      </c>
      <c r="I147" t="inlineStr">
        <is>
          <t>BNKX7JNKG255U2R</t>
        </is>
      </c>
      <c r="J147" s="8" t="n">
        <v>46092</v>
      </c>
    </row>
    <row r="148">
      <c r="A148" t="inlineStr">
        <is>
          <t>PAY0003591</t>
        </is>
      </c>
      <c r="B148" t="inlineStr">
        <is>
          <t>INV0015004</t>
        </is>
      </c>
      <c r="C148" t="inlineStr">
        <is>
          <t>MER00708</t>
        </is>
      </c>
      <c r="D148" s="8" t="n">
        <v>46111</v>
      </c>
      <c r="E148" t="n">
        <v>89.40000000000001</v>
      </c>
      <c r="F148" t="inlineStr">
        <is>
          <t>UPI</t>
        </is>
      </c>
      <c r="G148" t="inlineStr">
        <is>
          <t>PAY7EN677H9TF</t>
        </is>
      </c>
      <c r="H148" t="inlineStr">
        <is>
          <t>Success</t>
        </is>
      </c>
      <c r="I148" t="inlineStr">
        <is>
          <t>BNKH6X5FVQ5KWYR</t>
        </is>
      </c>
      <c r="J148" s="8" t="n">
        <v>46114</v>
      </c>
    </row>
    <row r="149">
      <c r="A149" t="inlineStr">
        <is>
          <t>PAY0003592</t>
        </is>
      </c>
      <c r="B149" t="inlineStr">
        <is>
          <t>INV0015005</t>
        </is>
      </c>
      <c r="C149" t="inlineStr">
        <is>
          <t>MER00708</t>
        </is>
      </c>
      <c r="D149" s="8" t="n">
        <v>46141</v>
      </c>
      <c r="E149" t="n">
        <v>54.95</v>
      </c>
      <c r="F149" t="inlineStr">
        <is>
          <t>UPI</t>
        </is>
      </c>
      <c r="G149" t="inlineStr">
        <is>
          <t>PAYQ7VSBJJSPR</t>
        </is>
      </c>
      <c r="H149" t="inlineStr">
        <is>
          <t>Success</t>
        </is>
      </c>
      <c r="I149" t="inlineStr">
        <is>
          <t>BNKLLH48YKY22EK</t>
        </is>
      </c>
      <c r="J149" s="8" t="n">
        <v>46143</v>
      </c>
    </row>
    <row r="150">
      <c r="A150" t="inlineStr">
        <is>
          <t>PAY0003593</t>
        </is>
      </c>
      <c r="B150" t="inlineStr">
        <is>
          <t>INV0015006</t>
        </is>
      </c>
      <c r="C150" t="inlineStr">
        <is>
          <t>MER00708</t>
        </is>
      </c>
      <c r="D150" s="8" t="n">
        <v>46167</v>
      </c>
      <c r="E150" t="n">
        <v>81.45999999999999</v>
      </c>
      <c r="F150" t="inlineStr">
        <is>
          <t>UPI</t>
        </is>
      </c>
      <c r="G150" t="inlineStr">
        <is>
          <t>PAY2FHU9U9TWS</t>
        </is>
      </c>
      <c r="H150" t="inlineStr">
        <is>
          <t>Success</t>
        </is>
      </c>
      <c r="I150" t="inlineStr">
        <is>
          <t>BNKMGCXZ4KBAPKC</t>
        </is>
      </c>
      <c r="J150" s="8" t="n">
        <v>46170</v>
      </c>
    </row>
    <row r="151">
      <c r="A151" t="inlineStr">
        <is>
          <t>PAY0003594</t>
        </is>
      </c>
      <c r="B151" t="inlineStr">
        <is>
          <t>INV0015007</t>
        </is>
      </c>
      <c r="C151" t="inlineStr">
        <is>
          <t>MER00708</t>
        </is>
      </c>
      <c r="D151" s="8" t="n">
        <v>46199</v>
      </c>
      <c r="E151" t="n">
        <v>41.34</v>
      </c>
      <c r="F151" t="inlineStr">
        <is>
          <t>NetBanking</t>
        </is>
      </c>
      <c r="G151" t="inlineStr">
        <is>
          <t>PAYYNYA3NK8G7</t>
        </is>
      </c>
      <c r="H151" t="inlineStr">
        <is>
          <t>Success</t>
        </is>
      </c>
      <c r="I151" t="inlineStr">
        <is>
          <t>BNKCHWAGCZ6RTL4</t>
        </is>
      </c>
      <c r="J151" s="8" t="n">
        <v>46200</v>
      </c>
    </row>
    <row r="152">
      <c r="A152" t="inlineStr">
        <is>
          <t>PAY0003595</t>
        </is>
      </c>
      <c r="B152" t="inlineStr">
        <is>
          <t>INV0015008</t>
        </is>
      </c>
      <c r="C152" t="inlineStr">
        <is>
          <t>MER00708</t>
        </is>
      </c>
      <c r="D152" s="8" t="n">
        <v>46230</v>
      </c>
      <c r="E152" t="n">
        <v>94.86</v>
      </c>
      <c r="F152" t="inlineStr">
        <is>
          <t>UPI</t>
        </is>
      </c>
      <c r="G152" t="inlineStr">
        <is>
          <t>PAY96ZJ9E3KQ6</t>
        </is>
      </c>
      <c r="H152" t="inlineStr">
        <is>
          <t>Success</t>
        </is>
      </c>
      <c r="I152" t="inlineStr">
        <is>
          <t>BNKDC98PA8ZFS6K</t>
        </is>
      </c>
      <c r="J152" s="8" t="n">
        <v>46231</v>
      </c>
    </row>
    <row r="153">
      <c r="A153" t="inlineStr">
        <is>
          <t>PAY0003596</t>
        </is>
      </c>
      <c r="B153" t="inlineStr">
        <is>
          <t>INV0015010</t>
        </is>
      </c>
      <c r="C153" t="inlineStr">
        <is>
          <t>MER00709</t>
        </is>
      </c>
      <c r="D153" s="8" t="n">
        <v>45550</v>
      </c>
      <c r="E153" t="n">
        <v>198.03</v>
      </c>
      <c r="F153" t="inlineStr">
        <is>
          <t>Card</t>
        </is>
      </c>
      <c r="G153" t="inlineStr">
        <is>
          <t>PAYLC4W2Z6CUZ</t>
        </is>
      </c>
      <c r="H153" t="inlineStr">
        <is>
          <t>Success</t>
        </is>
      </c>
      <c r="I153" t="inlineStr">
        <is>
          <t>BNKRCFRDXMRGAX3</t>
        </is>
      </c>
      <c r="J153" s="8" t="n">
        <v>45553</v>
      </c>
    </row>
    <row r="154">
      <c r="A154" t="inlineStr">
        <is>
          <t>PAY0003597</t>
        </is>
      </c>
      <c r="B154" t="inlineStr">
        <is>
          <t>INV0015011</t>
        </is>
      </c>
      <c r="C154" t="inlineStr">
        <is>
          <t>MER00709</t>
        </is>
      </c>
      <c r="D154" s="8" t="n">
        <v>45584</v>
      </c>
      <c r="E154" t="n">
        <v>110.27</v>
      </c>
      <c r="F154" t="inlineStr">
        <is>
          <t>Card</t>
        </is>
      </c>
      <c r="G154" t="inlineStr">
        <is>
          <t>PAY96VLX49G8M</t>
        </is>
      </c>
      <c r="H154" t="inlineStr">
        <is>
          <t>Success</t>
        </is>
      </c>
      <c r="I154" t="inlineStr">
        <is>
          <t>BNK25VUJ6FYW3Q7</t>
        </is>
      </c>
      <c r="J154" s="8" t="n">
        <v>45587</v>
      </c>
    </row>
    <row r="155">
      <c r="A155" t="inlineStr">
        <is>
          <t>PAY0003598</t>
        </is>
      </c>
      <c r="B155" t="inlineStr">
        <is>
          <t>INV0015012</t>
        </is>
      </c>
      <c r="C155" t="inlineStr">
        <is>
          <t>MER00709</t>
        </is>
      </c>
      <c r="D155" s="8" t="n">
        <v>45613</v>
      </c>
      <c r="E155" t="n">
        <v>311.01</v>
      </c>
      <c r="F155" t="inlineStr">
        <is>
          <t>Card</t>
        </is>
      </c>
      <c r="G155" t="inlineStr">
        <is>
          <t>PAY5AEZDPA8DE</t>
        </is>
      </c>
      <c r="H155" t="inlineStr">
        <is>
          <t>Success</t>
        </is>
      </c>
      <c r="I155" t="inlineStr">
        <is>
          <t>BNKK4Z5RXSCDPD7</t>
        </is>
      </c>
      <c r="J155" s="8" t="n">
        <v>45615</v>
      </c>
    </row>
    <row r="156">
      <c r="A156" t="inlineStr">
        <is>
          <t>PAY0003599</t>
        </is>
      </c>
      <c r="B156" t="inlineStr">
        <is>
          <t>INV0015013</t>
        </is>
      </c>
      <c r="C156" t="inlineStr">
        <is>
          <t>MER00709</t>
        </is>
      </c>
      <c r="D156" s="8" t="n">
        <v>45634</v>
      </c>
      <c r="E156" t="n">
        <v>176.4</v>
      </c>
      <c r="F156" t="inlineStr">
        <is>
          <t>UPI</t>
        </is>
      </c>
      <c r="G156" t="inlineStr">
        <is>
          <t>PAY42FCJDN3WA</t>
        </is>
      </c>
      <c r="H156" t="inlineStr">
        <is>
          <t>Success</t>
        </is>
      </c>
      <c r="I156" t="inlineStr">
        <is>
          <t>BNKAMMVH8VACAYT</t>
        </is>
      </c>
      <c r="J156" s="8" t="n">
        <v>45636</v>
      </c>
    </row>
    <row r="157">
      <c r="A157" t="inlineStr">
        <is>
          <t>PAY0003600</t>
        </is>
      </c>
      <c r="B157" t="inlineStr">
        <is>
          <t>INV0015014</t>
        </is>
      </c>
      <c r="C157" t="inlineStr">
        <is>
          <t>MER00709</t>
        </is>
      </c>
      <c r="D157" s="8" t="n">
        <v>45681</v>
      </c>
      <c r="E157" t="n">
        <v>48.5</v>
      </c>
      <c r="F157" t="inlineStr">
        <is>
          <t>UPI</t>
        </is>
      </c>
      <c r="G157" t="inlineStr">
        <is>
          <t>PAYKMD2YMJH9Q</t>
        </is>
      </c>
      <c r="H157" t="inlineStr">
        <is>
          <t>Success</t>
        </is>
      </c>
      <c r="I157" t="inlineStr">
        <is>
          <t>BNKQ7SFVGQFDK7Q</t>
        </is>
      </c>
      <c r="J157" s="8" t="n">
        <v>45683</v>
      </c>
    </row>
    <row r="158">
      <c r="A158" t="inlineStr">
        <is>
          <t>PAY0003601</t>
        </is>
      </c>
      <c r="B158" t="inlineStr">
        <is>
          <t>INV0015015</t>
        </is>
      </c>
      <c r="C158" t="inlineStr">
        <is>
          <t>MER00709</t>
        </is>
      </c>
      <c r="D158" s="8" t="n">
        <v>45704</v>
      </c>
      <c r="E158" t="n">
        <v>353.33</v>
      </c>
      <c r="F158" t="inlineStr">
        <is>
          <t>UPI</t>
        </is>
      </c>
      <c r="G158" t="inlineStr">
        <is>
          <t>PAYRGA3VNYCKA</t>
        </is>
      </c>
      <c r="H158" t="inlineStr">
        <is>
          <t>Success</t>
        </is>
      </c>
      <c r="I158" t="inlineStr">
        <is>
          <t>BNKR7MS8WN7HHUE</t>
        </is>
      </c>
      <c r="J158" s="8" t="n">
        <v>45705</v>
      </c>
    </row>
    <row r="159">
      <c r="A159" t="inlineStr">
        <is>
          <t>PAY0003602</t>
        </is>
      </c>
      <c r="B159" t="inlineStr">
        <is>
          <t>INV0015016</t>
        </is>
      </c>
      <c r="C159" t="inlineStr">
        <is>
          <t>MER00709</t>
        </is>
      </c>
      <c r="D159" s="8" t="n">
        <v>45732</v>
      </c>
      <c r="E159" t="n">
        <v>371.23</v>
      </c>
      <c r="F159" t="inlineStr">
        <is>
          <t>COD</t>
        </is>
      </c>
      <c r="G159" t="inlineStr">
        <is>
          <t>PAY6HJRH6P6ED</t>
        </is>
      </c>
      <c r="H159" t="inlineStr">
        <is>
          <t>Success</t>
        </is>
      </c>
      <c r="I159" t="inlineStr">
        <is>
          <t>BNKLH94R4R9PCUL</t>
        </is>
      </c>
      <c r="J159" s="8" t="n">
        <v>45734</v>
      </c>
    </row>
    <row r="160">
      <c r="A160" t="inlineStr">
        <is>
          <t>PAY0003603</t>
        </is>
      </c>
      <c r="B160" t="inlineStr">
        <is>
          <t>INV0015017</t>
        </is>
      </c>
      <c r="C160" t="inlineStr">
        <is>
          <t>MER00709</t>
        </is>
      </c>
      <c r="D160" s="8" t="n">
        <v>45763</v>
      </c>
      <c r="E160" t="n">
        <v>19.29</v>
      </c>
      <c r="F160" t="inlineStr">
        <is>
          <t>UPI</t>
        </is>
      </c>
      <c r="G160" t="inlineStr">
        <is>
          <t>PAYY6JHPZ85Q5</t>
        </is>
      </c>
      <c r="H160" t="inlineStr">
        <is>
          <t>Success</t>
        </is>
      </c>
      <c r="I160" t="inlineStr">
        <is>
          <t>BNK8VG8NAQFJHYU</t>
        </is>
      </c>
      <c r="J160" s="8" t="n">
        <v>45764</v>
      </c>
    </row>
    <row r="161">
      <c r="A161" t="inlineStr">
        <is>
          <t>PAY0003604</t>
        </is>
      </c>
      <c r="B161" t="inlineStr">
        <is>
          <t>INV0015018</t>
        </is>
      </c>
      <c r="C161" t="inlineStr">
        <is>
          <t>MER00709</t>
        </is>
      </c>
      <c r="D161" s="8" t="n">
        <v>45794</v>
      </c>
      <c r="E161" t="n">
        <v>270.39</v>
      </c>
      <c r="F161" t="inlineStr">
        <is>
          <t>UPI</t>
        </is>
      </c>
      <c r="G161" t="inlineStr">
        <is>
          <t>PAY84X4HK77SG</t>
        </is>
      </c>
      <c r="H161" t="inlineStr">
        <is>
          <t>Success</t>
        </is>
      </c>
      <c r="I161" t="inlineStr">
        <is>
          <t>BNK9MHY7P843NQD</t>
        </is>
      </c>
      <c r="J161" s="8" t="n">
        <v>45797</v>
      </c>
    </row>
    <row r="162">
      <c r="A162" t="inlineStr">
        <is>
          <t>PAY0003605</t>
        </is>
      </c>
      <c r="B162" t="inlineStr">
        <is>
          <t>INV0015019</t>
        </is>
      </c>
      <c r="C162" t="inlineStr">
        <is>
          <t>MER00709</t>
        </is>
      </c>
      <c r="D162" s="8" t="n">
        <v>45826</v>
      </c>
      <c r="E162" t="n">
        <v>39.88</v>
      </c>
      <c r="F162" t="inlineStr">
        <is>
          <t>UPI</t>
        </is>
      </c>
      <c r="G162" t="inlineStr">
        <is>
          <t>PAYYRFJFHT5NF</t>
        </is>
      </c>
      <c r="H162" t="inlineStr">
        <is>
          <t>Success</t>
        </is>
      </c>
      <c r="I162" t="inlineStr">
        <is>
          <t>BNKFYLVXYQ25VWY</t>
        </is>
      </c>
      <c r="J162" s="8" t="n">
        <v>45828</v>
      </c>
    </row>
    <row r="163">
      <c r="A163" t="inlineStr">
        <is>
          <t>PAY0003606</t>
        </is>
      </c>
      <c r="B163" t="inlineStr">
        <is>
          <t>INV0015020</t>
        </is>
      </c>
      <c r="C163" t="inlineStr">
        <is>
          <t>MER00709</t>
        </is>
      </c>
      <c r="D163" s="8" t="n">
        <v>45851</v>
      </c>
      <c r="E163" t="n">
        <v>154.82</v>
      </c>
      <c r="F163" t="inlineStr">
        <is>
          <t>UPI</t>
        </is>
      </c>
      <c r="G163" t="inlineStr">
        <is>
          <t>PAYZU9L82VBPH</t>
        </is>
      </c>
      <c r="H163" t="inlineStr">
        <is>
          <t>Success</t>
        </is>
      </c>
      <c r="I163" t="inlineStr">
        <is>
          <t>BNKR8U4S6C4979A</t>
        </is>
      </c>
      <c r="J163" s="8" t="n">
        <v>45854</v>
      </c>
    </row>
    <row r="164">
      <c r="A164" t="inlineStr">
        <is>
          <t>PAY0003607</t>
        </is>
      </c>
      <c r="B164" t="inlineStr">
        <is>
          <t>INV0015021</t>
        </is>
      </c>
      <c r="C164" t="inlineStr">
        <is>
          <t>MER00709</t>
        </is>
      </c>
      <c r="D164" s="8" t="n">
        <v>45913</v>
      </c>
      <c r="E164" t="n">
        <v>228.79</v>
      </c>
      <c r="F164" t="inlineStr">
        <is>
          <t>NetBanking</t>
        </is>
      </c>
      <c r="G164" t="inlineStr">
        <is>
          <t>PAYLH3QKJ6CHK</t>
        </is>
      </c>
      <c r="H164" t="inlineStr">
        <is>
          <t>Success</t>
        </is>
      </c>
      <c r="I164" t="inlineStr">
        <is>
          <t>BNKLRF5HMBMSU6E</t>
        </is>
      </c>
      <c r="J164" s="8" t="n">
        <v>45915</v>
      </c>
    </row>
    <row r="165">
      <c r="A165" t="inlineStr">
        <is>
          <t>PAY0003608</t>
        </is>
      </c>
      <c r="B165" t="inlineStr">
        <is>
          <t>INV0015022</t>
        </is>
      </c>
      <c r="C165" t="inlineStr">
        <is>
          <t>MER00709</t>
        </is>
      </c>
      <c r="D165" s="8" t="n">
        <v>45944</v>
      </c>
      <c r="E165" t="n">
        <v>479.34</v>
      </c>
      <c r="F165" t="inlineStr">
        <is>
          <t>Wallet</t>
        </is>
      </c>
      <c r="G165" t="inlineStr">
        <is>
          <t>PAYWBBBPU5WMY</t>
        </is>
      </c>
      <c r="H165" t="inlineStr">
        <is>
          <t>Success</t>
        </is>
      </c>
      <c r="I165" t="inlineStr">
        <is>
          <t>BNKNXVHMVHN726M</t>
        </is>
      </c>
      <c r="J165" s="8" t="n">
        <v>45946</v>
      </c>
    </row>
    <row r="166">
      <c r="A166" t="inlineStr">
        <is>
          <t>PAY0003609</t>
        </is>
      </c>
      <c r="B166" t="inlineStr">
        <is>
          <t>INV0015023</t>
        </is>
      </c>
      <c r="C166" t="inlineStr">
        <is>
          <t>MER00709</t>
        </is>
      </c>
      <c r="D166" s="8" t="n">
        <v>45978</v>
      </c>
      <c r="E166" t="n">
        <v>556.1</v>
      </c>
      <c r="F166" t="inlineStr">
        <is>
          <t>Card</t>
        </is>
      </c>
      <c r="G166" t="inlineStr">
        <is>
          <t>PAY7SYHVWDMAH</t>
        </is>
      </c>
      <c r="H166" t="inlineStr">
        <is>
          <t>Success</t>
        </is>
      </c>
      <c r="I166" t="inlineStr">
        <is>
          <t>BNKP37MBAEY78ST</t>
        </is>
      </c>
      <c r="J166" s="8" t="n">
        <v>45979</v>
      </c>
    </row>
    <row r="167">
      <c r="A167" t="inlineStr">
        <is>
          <t>PAY0003610</t>
        </is>
      </c>
      <c r="B167" t="inlineStr">
        <is>
          <t>INV0015024</t>
        </is>
      </c>
      <c r="C167" t="inlineStr">
        <is>
          <t>MER00709</t>
        </is>
      </c>
      <c r="D167" s="8" t="n">
        <v>46009</v>
      </c>
      <c r="E167" t="n">
        <v>210.28</v>
      </c>
      <c r="F167" t="inlineStr">
        <is>
          <t>Wallet</t>
        </is>
      </c>
      <c r="G167" t="inlineStr">
        <is>
          <t>PAYN4Q5R4BABH</t>
        </is>
      </c>
      <c r="H167" t="inlineStr">
        <is>
          <t>Success</t>
        </is>
      </c>
      <c r="I167" t="inlineStr">
        <is>
          <t>BNK8NTRZLB72V7X</t>
        </is>
      </c>
      <c r="J167" s="8" t="n">
        <v>46010</v>
      </c>
    </row>
    <row r="168">
      <c r="A168" t="inlineStr">
        <is>
          <t>PAY0003611</t>
        </is>
      </c>
      <c r="B168" t="inlineStr">
        <is>
          <t>INV0015025</t>
        </is>
      </c>
      <c r="C168" t="inlineStr">
        <is>
          <t>MER00709</t>
        </is>
      </c>
      <c r="D168" s="8" t="n">
        <v>46037</v>
      </c>
      <c r="E168" t="n">
        <v>154.44</v>
      </c>
      <c r="F168" t="inlineStr">
        <is>
          <t>UPI</t>
        </is>
      </c>
      <c r="G168" t="inlineStr">
        <is>
          <t>PAY9RGFTCCQCM</t>
        </is>
      </c>
      <c r="H168" t="inlineStr">
        <is>
          <t>Success</t>
        </is>
      </c>
      <c r="I168" t="inlineStr">
        <is>
          <t>BNKXHEFH8WUQAYF</t>
        </is>
      </c>
      <c r="J168" s="8" t="n">
        <v>46040</v>
      </c>
    </row>
    <row r="169">
      <c r="A169" t="inlineStr">
        <is>
          <t>PAY0003612</t>
        </is>
      </c>
      <c r="B169" t="inlineStr">
        <is>
          <t>INV0015026</t>
        </is>
      </c>
      <c r="C169" t="inlineStr">
        <is>
          <t>MER00709</t>
        </is>
      </c>
      <c r="D169" s="8" t="n">
        <v>46066</v>
      </c>
      <c r="E169" t="n">
        <v>238.34</v>
      </c>
      <c r="F169" t="inlineStr">
        <is>
          <t>UPI</t>
        </is>
      </c>
      <c r="G169" t="inlineStr">
        <is>
          <t>PAYAU3PTRHQ9E</t>
        </is>
      </c>
      <c r="H169" t="inlineStr">
        <is>
          <t>Success</t>
        </is>
      </c>
      <c r="I169" t="inlineStr">
        <is>
          <t>BNKRVGBFMNU54N7</t>
        </is>
      </c>
      <c r="J169" s="8" t="n">
        <v>46067</v>
      </c>
    </row>
    <row r="170">
      <c r="A170" t="inlineStr">
        <is>
          <t>PAY0003613</t>
        </is>
      </c>
      <c r="B170" t="inlineStr">
        <is>
          <t>INV0015027</t>
        </is>
      </c>
      <c r="C170" t="inlineStr">
        <is>
          <t>MER00709</t>
        </is>
      </c>
      <c r="D170" s="8" t="n">
        <v>46100</v>
      </c>
      <c r="E170" t="n">
        <v>252.01</v>
      </c>
      <c r="F170" t="inlineStr">
        <is>
          <t>Card</t>
        </is>
      </c>
      <c r="G170" t="inlineStr">
        <is>
          <t>PAYDAKFEF7MXM</t>
        </is>
      </c>
      <c r="H170" t="inlineStr">
        <is>
          <t>Success</t>
        </is>
      </c>
      <c r="I170" t="inlineStr">
        <is>
          <t>BNKUL5NG43PCDHF</t>
        </is>
      </c>
      <c r="J170" s="8" t="n">
        <v>46101</v>
      </c>
    </row>
    <row r="171">
      <c r="A171" t="inlineStr">
        <is>
          <t>PAY0003614</t>
        </is>
      </c>
      <c r="B171" t="inlineStr">
        <is>
          <t>INV0015028</t>
        </is>
      </c>
      <c r="C171" t="inlineStr">
        <is>
          <t>MER00709</t>
        </is>
      </c>
      <c r="D171" s="8" t="n">
        <v>46128</v>
      </c>
      <c r="E171" t="n">
        <v>38.02</v>
      </c>
      <c r="F171" t="inlineStr">
        <is>
          <t>UPI</t>
        </is>
      </c>
      <c r="G171" t="inlineStr">
        <is>
          <t>PAYNNLSX6VNWT</t>
        </is>
      </c>
      <c r="H171" t="inlineStr">
        <is>
          <t>Success</t>
        </is>
      </c>
      <c r="I171" t="inlineStr">
        <is>
          <t>BNKG6X4PPLJXSJU</t>
        </is>
      </c>
      <c r="J171" s="8" t="n">
        <v>46129</v>
      </c>
    </row>
    <row r="172">
      <c r="A172" t="inlineStr">
        <is>
          <t>PAY0003615</t>
        </is>
      </c>
      <c r="B172" t="inlineStr">
        <is>
          <t>INV0015029</t>
        </is>
      </c>
      <c r="C172" t="inlineStr">
        <is>
          <t>MER00709</t>
        </is>
      </c>
      <c r="D172" s="8" t="n">
        <v>46157</v>
      </c>
      <c r="E172" t="n">
        <v>208.8</v>
      </c>
      <c r="F172" t="inlineStr">
        <is>
          <t>UPI</t>
        </is>
      </c>
      <c r="G172" t="inlineStr">
        <is>
          <t>PAYXYJUXP9FA7</t>
        </is>
      </c>
      <c r="H172" t="inlineStr">
        <is>
          <t>Success</t>
        </is>
      </c>
      <c r="I172" t="inlineStr">
        <is>
          <t>BNKRRSBLN2ESADG</t>
        </is>
      </c>
      <c r="J172" s="8" t="n">
        <v>46160</v>
      </c>
    </row>
    <row r="173">
      <c r="A173" t="inlineStr">
        <is>
          <t>PAY0003616</t>
        </is>
      </c>
      <c r="B173" t="inlineStr">
        <is>
          <t>INV0015030</t>
        </is>
      </c>
      <c r="C173" t="inlineStr">
        <is>
          <t>MER00709</t>
        </is>
      </c>
      <c r="D173" s="8" t="n">
        <v>46190</v>
      </c>
      <c r="E173" t="n">
        <v>164.13</v>
      </c>
      <c r="F173" t="inlineStr">
        <is>
          <t>Card</t>
        </is>
      </c>
      <c r="G173" t="inlineStr">
        <is>
          <t>PAY56G4GUKPAX</t>
        </is>
      </c>
      <c r="H173" t="inlineStr">
        <is>
          <t>Success</t>
        </is>
      </c>
      <c r="I173" t="inlineStr">
        <is>
          <t>BNKZVFJ73W9FWW5</t>
        </is>
      </c>
      <c r="J173" s="8" t="n">
        <v>46193</v>
      </c>
    </row>
    <row r="174">
      <c r="A174" t="inlineStr">
        <is>
          <t>PAY0003617</t>
        </is>
      </c>
      <c r="B174" t="inlineStr">
        <is>
          <t>INV0015032</t>
        </is>
      </c>
      <c r="C174" t="inlineStr">
        <is>
          <t>MER00709</t>
        </is>
      </c>
      <c r="D174" s="8" t="n">
        <v>46253</v>
      </c>
      <c r="E174" t="n">
        <v>322.29</v>
      </c>
      <c r="F174" t="inlineStr">
        <is>
          <t>NetBanking</t>
        </is>
      </c>
      <c r="G174" t="inlineStr">
        <is>
          <t>PAYW58MHCS8G3</t>
        </is>
      </c>
      <c r="H174" t="inlineStr">
        <is>
          <t>Success</t>
        </is>
      </c>
      <c r="I174" t="inlineStr">
        <is>
          <t>BNKJ4S9H9YQ3ME9</t>
        </is>
      </c>
      <c r="J174" s="8" t="n">
        <v>46254</v>
      </c>
    </row>
    <row r="175">
      <c r="A175" t="inlineStr">
        <is>
          <t>PAY0003640</t>
        </is>
      </c>
      <c r="B175" t="inlineStr">
        <is>
          <t>INV0015155</t>
        </is>
      </c>
      <c r="C175" t="inlineStr">
        <is>
          <t>MER00716</t>
        </is>
      </c>
      <c r="D175" s="8" t="n">
        <v>45578</v>
      </c>
      <c r="E175" t="n">
        <v>34.48</v>
      </c>
      <c r="F175" t="inlineStr">
        <is>
          <t>UPI</t>
        </is>
      </c>
      <c r="G175" t="inlineStr">
        <is>
          <t>PAYZJLLBFDFK7</t>
        </is>
      </c>
      <c r="H175" t="inlineStr">
        <is>
          <t>Success</t>
        </is>
      </c>
      <c r="I175" t="inlineStr">
        <is>
          <t>BNKPDQD6G3Q2H43</t>
        </is>
      </c>
      <c r="J175" s="8" t="n">
        <v>45581</v>
      </c>
    </row>
    <row r="176">
      <c r="A176" t="inlineStr">
        <is>
          <t>PAY0003641</t>
        </is>
      </c>
      <c r="B176" t="inlineStr">
        <is>
          <t>INV0015156</t>
        </is>
      </c>
      <c r="C176" t="inlineStr">
        <is>
          <t>MER00716</t>
        </is>
      </c>
      <c r="D176" s="8" t="n">
        <v>45606</v>
      </c>
      <c r="E176" t="n">
        <v>122.26</v>
      </c>
      <c r="F176" t="inlineStr">
        <is>
          <t>UPI</t>
        </is>
      </c>
      <c r="G176" t="inlineStr">
        <is>
          <t>PAY3RZMAMWJPQ</t>
        </is>
      </c>
      <c r="H176" t="inlineStr">
        <is>
          <t>Success</t>
        </is>
      </c>
      <c r="I176" t="inlineStr">
        <is>
          <t>BNK9XAD4TBS6TQV</t>
        </is>
      </c>
      <c r="J176" s="8" t="n">
        <v>45607</v>
      </c>
    </row>
    <row r="177">
      <c r="A177" t="inlineStr">
        <is>
          <t>PAY0003642</t>
        </is>
      </c>
      <c r="B177" t="inlineStr">
        <is>
          <t>INV0015157</t>
        </is>
      </c>
      <c r="C177" t="inlineStr">
        <is>
          <t>MER00716</t>
        </is>
      </c>
      <c r="D177" s="8" t="n">
        <v>45640</v>
      </c>
      <c r="E177" t="n">
        <v>103.33</v>
      </c>
      <c r="F177" t="inlineStr">
        <is>
          <t>Card</t>
        </is>
      </c>
      <c r="G177" t="inlineStr">
        <is>
          <t>PAYSE6HQ39TXC</t>
        </is>
      </c>
      <c r="H177" t="inlineStr">
        <is>
          <t>Success</t>
        </is>
      </c>
      <c r="I177" t="inlineStr">
        <is>
          <t>BNKZJS9SY5G2DG8</t>
        </is>
      </c>
      <c r="J177" s="8" t="n">
        <v>45642</v>
      </c>
    </row>
    <row r="178">
      <c r="A178" t="inlineStr">
        <is>
          <t>PAY0003643</t>
        </is>
      </c>
      <c r="B178" t="inlineStr">
        <is>
          <t>INV0015158</t>
        </is>
      </c>
      <c r="C178" t="inlineStr">
        <is>
          <t>MER00716</t>
        </is>
      </c>
      <c r="D178" s="8" t="n">
        <v>45675</v>
      </c>
      <c r="E178" t="n">
        <v>181.31</v>
      </c>
      <c r="F178" t="inlineStr">
        <is>
          <t>NetBanking</t>
        </is>
      </c>
      <c r="G178" t="inlineStr">
        <is>
          <t>PAYBMTYVJLKGG</t>
        </is>
      </c>
      <c r="H178" t="inlineStr">
        <is>
          <t>Success</t>
        </is>
      </c>
      <c r="I178" t="inlineStr">
        <is>
          <t>BNK5PSYG2JZDVXY</t>
        </is>
      </c>
      <c r="J178" s="8" t="n">
        <v>45676</v>
      </c>
    </row>
    <row r="179">
      <c r="A179" t="inlineStr">
        <is>
          <t>PAY0003644</t>
        </is>
      </c>
      <c r="B179" t="inlineStr">
        <is>
          <t>INV0015159</t>
        </is>
      </c>
      <c r="C179" t="inlineStr">
        <is>
          <t>MER00716</t>
        </is>
      </c>
      <c r="D179" s="8" t="n">
        <v>45704</v>
      </c>
      <c r="E179" t="n">
        <v>144.2</v>
      </c>
      <c r="F179" t="inlineStr">
        <is>
          <t>Wallet</t>
        </is>
      </c>
      <c r="G179" t="inlineStr">
        <is>
          <t>PAYJPET3KHCMB</t>
        </is>
      </c>
      <c r="H179" t="inlineStr">
        <is>
          <t>Success</t>
        </is>
      </c>
      <c r="I179" t="inlineStr">
        <is>
          <t>BNKD4GRQ7XAHY3X</t>
        </is>
      </c>
      <c r="J179" s="8" t="n">
        <v>45705</v>
      </c>
    </row>
    <row r="180">
      <c r="A180" t="inlineStr">
        <is>
          <t>PAY0003645</t>
        </is>
      </c>
      <c r="B180" t="inlineStr">
        <is>
          <t>INV0015160</t>
        </is>
      </c>
      <c r="C180" t="inlineStr">
        <is>
          <t>MER00716</t>
        </is>
      </c>
      <c r="D180" s="8" t="n">
        <v>45735</v>
      </c>
      <c r="E180" t="n">
        <v>192.07</v>
      </c>
      <c r="F180" t="inlineStr">
        <is>
          <t>Card</t>
        </is>
      </c>
      <c r="G180" t="inlineStr">
        <is>
          <t>PAY6CWW6JN5YE</t>
        </is>
      </c>
      <c r="H180" t="inlineStr">
        <is>
          <t>Success</t>
        </is>
      </c>
      <c r="I180" t="inlineStr">
        <is>
          <t>BNKLJ38B87XFPCR</t>
        </is>
      </c>
      <c r="J180" s="8" t="n">
        <v>45736</v>
      </c>
    </row>
    <row r="181">
      <c r="A181" t="inlineStr">
        <is>
          <t>PAY0003646</t>
        </is>
      </c>
      <c r="B181" t="inlineStr">
        <is>
          <t>INV0015161</t>
        </is>
      </c>
      <c r="C181" t="inlineStr">
        <is>
          <t>MER00716</t>
        </is>
      </c>
      <c r="D181" s="8" t="n">
        <v>45764</v>
      </c>
      <c r="E181" t="n">
        <v>280</v>
      </c>
      <c r="F181" t="inlineStr">
        <is>
          <t>UPI</t>
        </is>
      </c>
      <c r="G181" t="inlineStr">
        <is>
          <t>PAY8F8VUHWPQA</t>
        </is>
      </c>
      <c r="H181" t="inlineStr">
        <is>
          <t>Success</t>
        </is>
      </c>
      <c r="I181" t="inlineStr">
        <is>
          <t>BNKHTATL4NNA4LU</t>
        </is>
      </c>
      <c r="J181" s="8" t="n">
        <v>45767</v>
      </c>
    </row>
    <row r="182">
      <c r="A182" t="inlineStr">
        <is>
          <t>PAY0003647</t>
        </is>
      </c>
      <c r="B182" t="inlineStr">
        <is>
          <t>INV0015162</t>
        </is>
      </c>
      <c r="C182" t="inlineStr">
        <is>
          <t>MER00716</t>
        </is>
      </c>
      <c r="D182" s="8" t="n">
        <v>45790</v>
      </c>
      <c r="E182" t="n">
        <v>48.76</v>
      </c>
      <c r="F182" t="inlineStr">
        <is>
          <t>Card</t>
        </is>
      </c>
      <c r="G182" t="inlineStr">
        <is>
          <t>PAYZL6ZCPWFEH</t>
        </is>
      </c>
      <c r="H182" t="inlineStr">
        <is>
          <t>Success</t>
        </is>
      </c>
      <c r="I182" t="inlineStr">
        <is>
          <t>BNKA7XJ4Z7G8F6V</t>
        </is>
      </c>
      <c r="J182" s="8" t="n">
        <v>45793</v>
      </c>
    </row>
    <row r="183">
      <c r="A183" t="inlineStr">
        <is>
          <t>PAY0003648</t>
        </is>
      </c>
      <c r="B183" t="inlineStr">
        <is>
          <t>INV0015163</t>
        </is>
      </c>
      <c r="C183" t="inlineStr">
        <is>
          <t>MER00716</t>
        </is>
      </c>
      <c r="D183" s="8" t="n">
        <v>45847</v>
      </c>
      <c r="E183" t="n">
        <v>394.56</v>
      </c>
      <c r="F183" t="inlineStr">
        <is>
          <t>COD</t>
        </is>
      </c>
      <c r="G183" t="inlineStr">
        <is>
          <t>PAY7EGFHS3XC2</t>
        </is>
      </c>
      <c r="H183" t="inlineStr">
        <is>
          <t>Success</t>
        </is>
      </c>
      <c r="I183" t="inlineStr">
        <is>
          <t>BNKM3WW8QSLSJH5</t>
        </is>
      </c>
      <c r="J183" s="8" t="n">
        <v>45850</v>
      </c>
    </row>
    <row r="184">
      <c r="A184" t="inlineStr">
        <is>
          <t>PAY0003649</t>
        </is>
      </c>
      <c r="B184" t="inlineStr">
        <is>
          <t>INV0015164</t>
        </is>
      </c>
      <c r="C184" t="inlineStr">
        <is>
          <t>MER00716</t>
        </is>
      </c>
      <c r="D184" s="8" t="n">
        <v>45882</v>
      </c>
      <c r="E184" t="n">
        <v>142.58</v>
      </c>
      <c r="F184" t="inlineStr">
        <is>
          <t>UPI</t>
        </is>
      </c>
      <c r="G184" t="inlineStr">
        <is>
          <t>PAY29RBBQPGJE</t>
        </is>
      </c>
      <c r="H184" t="inlineStr">
        <is>
          <t>Success</t>
        </is>
      </c>
      <c r="I184" t="inlineStr">
        <is>
          <t>BNKKKW3WQRVWPYS</t>
        </is>
      </c>
      <c r="J184" s="8" t="n">
        <v>45885</v>
      </c>
    </row>
    <row r="185">
      <c r="A185" t="inlineStr">
        <is>
          <t>PAY0003650</t>
        </is>
      </c>
      <c r="B185" t="inlineStr">
        <is>
          <t>INV0015165</t>
        </is>
      </c>
      <c r="C185" t="inlineStr">
        <is>
          <t>MER00716</t>
        </is>
      </c>
      <c r="D185" s="8" t="n">
        <v>45919</v>
      </c>
      <c r="E185" t="n">
        <v>62.62</v>
      </c>
      <c r="F185" t="inlineStr">
        <is>
          <t>Card</t>
        </is>
      </c>
      <c r="G185" t="inlineStr">
        <is>
          <t>PAYTCXZPRK8U4</t>
        </is>
      </c>
      <c r="H185" t="inlineStr">
        <is>
          <t>Success</t>
        </is>
      </c>
      <c r="I185" t="inlineStr">
        <is>
          <t>BNK5Z24YP2H5D4F</t>
        </is>
      </c>
      <c r="J185" s="8" t="n">
        <v>45921</v>
      </c>
    </row>
    <row r="186">
      <c r="A186" t="inlineStr">
        <is>
          <t>PAY0003651</t>
        </is>
      </c>
      <c r="B186" t="inlineStr">
        <is>
          <t>INV0015166</t>
        </is>
      </c>
      <c r="C186" t="inlineStr">
        <is>
          <t>MER00716</t>
        </is>
      </c>
      <c r="D186" s="8" t="n">
        <v>45947</v>
      </c>
      <c r="E186" t="n">
        <v>221.5</v>
      </c>
      <c r="F186" t="inlineStr">
        <is>
          <t>UPI</t>
        </is>
      </c>
      <c r="G186" t="inlineStr">
        <is>
          <t>PAYJ7BNAV3PTB</t>
        </is>
      </c>
      <c r="H186" t="inlineStr">
        <is>
          <t>Success</t>
        </is>
      </c>
      <c r="I186" t="inlineStr">
        <is>
          <t>BNKW6EMPQAAK79J</t>
        </is>
      </c>
      <c r="J186" s="8" t="n">
        <v>45949</v>
      </c>
    </row>
    <row r="187">
      <c r="A187" t="inlineStr">
        <is>
          <t>PAY0003652</t>
        </is>
      </c>
      <c r="B187" t="inlineStr">
        <is>
          <t>INV0015167</t>
        </is>
      </c>
      <c r="C187" t="inlineStr">
        <is>
          <t>MER00716</t>
        </is>
      </c>
      <c r="D187" s="8" t="n">
        <v>45978</v>
      </c>
      <c r="E187" t="n">
        <v>240.25</v>
      </c>
      <c r="F187" t="inlineStr">
        <is>
          <t>UPI</t>
        </is>
      </c>
      <c r="G187" t="inlineStr">
        <is>
          <t>PAYTECK7F29SU</t>
        </is>
      </c>
      <c r="H187" t="inlineStr">
        <is>
          <t>Success</t>
        </is>
      </c>
      <c r="I187" t="inlineStr">
        <is>
          <t>BNK2ACMFQWX3RDA</t>
        </is>
      </c>
      <c r="J187" s="8" t="n">
        <v>45980</v>
      </c>
    </row>
    <row r="188">
      <c r="A188" t="inlineStr">
        <is>
          <t>PAY0003653</t>
        </is>
      </c>
      <c r="B188" t="inlineStr">
        <is>
          <t>INV0015168</t>
        </is>
      </c>
      <c r="C188" t="inlineStr">
        <is>
          <t>MER00716</t>
        </is>
      </c>
      <c r="D188" s="8" t="n">
        <v>46003</v>
      </c>
      <c r="E188" t="n">
        <v>415.02</v>
      </c>
      <c r="F188" t="inlineStr">
        <is>
          <t>UPI</t>
        </is>
      </c>
      <c r="G188" t="inlineStr">
        <is>
          <t>PAYC2JJFQX2ZE</t>
        </is>
      </c>
      <c r="H188" t="inlineStr">
        <is>
          <t>Success</t>
        </is>
      </c>
      <c r="I188" t="inlineStr">
        <is>
          <t>BNKUWWY7DDGN96V</t>
        </is>
      </c>
      <c r="J188" s="8" t="n">
        <v>46006</v>
      </c>
    </row>
    <row r="189">
      <c r="A189" t="inlineStr">
        <is>
          <t>PAY0003654</t>
        </is>
      </c>
      <c r="B189" t="inlineStr">
        <is>
          <t>INV0015169</t>
        </is>
      </c>
      <c r="C189" t="inlineStr">
        <is>
          <t>MER00716</t>
        </is>
      </c>
      <c r="D189" s="8" t="n">
        <v>46034</v>
      </c>
      <c r="E189" t="n">
        <v>98.92</v>
      </c>
      <c r="F189" t="inlineStr">
        <is>
          <t>UPI</t>
        </is>
      </c>
      <c r="G189" t="inlineStr">
        <is>
          <t>PAY2NB32UGYS6</t>
        </is>
      </c>
      <c r="H189" t="inlineStr">
        <is>
          <t>Success</t>
        </is>
      </c>
      <c r="I189" t="inlineStr">
        <is>
          <t>BNKDZYZP9HM4LPY</t>
        </is>
      </c>
      <c r="J189" s="8" t="n">
        <v>46036</v>
      </c>
    </row>
    <row r="190">
      <c r="A190" t="inlineStr">
        <is>
          <t>PAY0003655</t>
        </is>
      </c>
      <c r="B190" t="inlineStr">
        <is>
          <t>INV0015170</t>
        </is>
      </c>
      <c r="C190" t="inlineStr">
        <is>
          <t>MER00716</t>
        </is>
      </c>
      <c r="D190" s="8" t="n">
        <v>46065</v>
      </c>
      <c r="E190" t="n">
        <v>355.33</v>
      </c>
      <c r="F190" t="inlineStr">
        <is>
          <t>UPI</t>
        </is>
      </c>
      <c r="G190" t="inlineStr">
        <is>
          <t>PAY6667JVM5P8</t>
        </is>
      </c>
      <c r="H190" t="inlineStr">
        <is>
          <t>Success</t>
        </is>
      </c>
      <c r="I190" t="inlineStr">
        <is>
          <t>BNK564RN4JSBG5J</t>
        </is>
      </c>
      <c r="J190" s="8" t="n">
        <v>46066</v>
      </c>
    </row>
    <row r="191">
      <c r="A191" t="inlineStr">
        <is>
          <t>PAY0003656</t>
        </is>
      </c>
      <c r="B191" t="inlineStr">
        <is>
          <t>INV0015171</t>
        </is>
      </c>
      <c r="C191" t="inlineStr">
        <is>
          <t>MER00716</t>
        </is>
      </c>
      <c r="D191" s="8" t="n">
        <v>46099</v>
      </c>
      <c r="E191" t="n">
        <v>12.8</v>
      </c>
      <c r="F191" t="inlineStr">
        <is>
          <t>Card</t>
        </is>
      </c>
      <c r="G191" t="inlineStr">
        <is>
          <t>PAYXU7CGTCPXP</t>
        </is>
      </c>
      <c r="H191" t="inlineStr">
        <is>
          <t>Success</t>
        </is>
      </c>
      <c r="I191" t="inlineStr">
        <is>
          <t>BNKX7ZKS9QJ8G4Q</t>
        </is>
      </c>
      <c r="J191" s="8" t="n">
        <v>46101</v>
      </c>
    </row>
    <row r="192">
      <c r="A192" t="inlineStr">
        <is>
          <t>PAY0003657</t>
        </is>
      </c>
      <c r="B192" t="inlineStr">
        <is>
          <t>INV0015172</t>
        </is>
      </c>
      <c r="C192" t="inlineStr">
        <is>
          <t>MER00716</t>
        </is>
      </c>
      <c r="D192" s="8" t="n">
        <v>46129</v>
      </c>
      <c r="E192" t="n">
        <v>149.29</v>
      </c>
      <c r="F192" t="inlineStr">
        <is>
          <t>UPI</t>
        </is>
      </c>
      <c r="G192" t="inlineStr">
        <is>
          <t>PAY2SUW7Q2FBT</t>
        </is>
      </c>
      <c r="H192" t="inlineStr">
        <is>
          <t>Success</t>
        </is>
      </c>
      <c r="I192" t="inlineStr">
        <is>
          <t>BNKFWAGKS2ER65T</t>
        </is>
      </c>
      <c r="J192" s="8" t="n">
        <v>46132</v>
      </c>
    </row>
    <row r="193">
      <c r="A193" t="inlineStr">
        <is>
          <t>PAY0003658</t>
        </is>
      </c>
      <c r="B193" t="inlineStr">
        <is>
          <t>INV0015173</t>
        </is>
      </c>
      <c r="C193" t="inlineStr">
        <is>
          <t>MER00716</t>
        </is>
      </c>
      <c r="D193" s="8" t="n">
        <v>46157</v>
      </c>
      <c r="E193" t="n">
        <v>371.84</v>
      </c>
      <c r="F193" t="inlineStr">
        <is>
          <t>UPI</t>
        </is>
      </c>
      <c r="G193" t="inlineStr">
        <is>
          <t>PAY5CU8HBGR6D</t>
        </is>
      </c>
      <c r="H193" t="inlineStr">
        <is>
          <t>Success</t>
        </is>
      </c>
      <c r="I193" t="inlineStr">
        <is>
          <t>BNKCDB2JNWH5TFF</t>
        </is>
      </c>
      <c r="J193" s="8" t="n">
        <v>46159</v>
      </c>
    </row>
    <row r="194">
      <c r="A194" t="inlineStr">
        <is>
          <t>PAY0003659</t>
        </is>
      </c>
      <c r="B194" t="inlineStr">
        <is>
          <t>INV0015174</t>
        </is>
      </c>
      <c r="C194" t="inlineStr">
        <is>
          <t>MER00716</t>
        </is>
      </c>
      <c r="D194" s="8" t="n">
        <v>46185</v>
      </c>
      <c r="E194" t="n">
        <v>363.33</v>
      </c>
      <c r="F194" t="inlineStr">
        <is>
          <t>UPI</t>
        </is>
      </c>
      <c r="G194" t="inlineStr">
        <is>
          <t>PAY5HVUYRZC8Y</t>
        </is>
      </c>
      <c r="H194" t="inlineStr">
        <is>
          <t>Success</t>
        </is>
      </c>
      <c r="I194" t="inlineStr">
        <is>
          <t>BNK37CKMMMD97AA</t>
        </is>
      </c>
      <c r="J194" s="8" t="n">
        <v>46187</v>
      </c>
    </row>
    <row r="195">
      <c r="A195" t="inlineStr">
        <is>
          <t>PAY0003660</t>
        </is>
      </c>
      <c r="B195" t="inlineStr">
        <is>
          <t>INV0015175</t>
        </is>
      </c>
      <c r="C195" t="inlineStr">
        <is>
          <t>MER00716</t>
        </is>
      </c>
      <c r="D195" s="8" t="n">
        <v>46220</v>
      </c>
      <c r="E195" t="n">
        <v>375.89</v>
      </c>
      <c r="F195" t="inlineStr">
        <is>
          <t>Card</t>
        </is>
      </c>
      <c r="G195" t="inlineStr">
        <is>
          <t>PAY8JKVFKAGKW</t>
        </is>
      </c>
      <c r="H195" t="inlineStr">
        <is>
          <t>Success</t>
        </is>
      </c>
      <c r="I195" t="inlineStr">
        <is>
          <t>BNKMUGVJ5WP23H9</t>
        </is>
      </c>
      <c r="J195" s="8" t="n">
        <v>46223</v>
      </c>
    </row>
    <row r="196">
      <c r="A196" t="inlineStr">
        <is>
          <t>PAY0003661</t>
        </is>
      </c>
      <c r="B196" t="inlineStr">
        <is>
          <t>INV0015176</t>
        </is>
      </c>
      <c r="C196" t="inlineStr">
        <is>
          <t>MER00716</t>
        </is>
      </c>
      <c r="D196" s="8" t="n">
        <v>46254</v>
      </c>
      <c r="E196" t="n">
        <v>109.65</v>
      </c>
      <c r="F196" t="inlineStr">
        <is>
          <t>COD</t>
        </is>
      </c>
      <c r="G196" t="inlineStr">
        <is>
          <t>PAYL7ESKS429A</t>
        </is>
      </c>
      <c r="H196" t="inlineStr">
        <is>
          <t>Success</t>
        </is>
      </c>
      <c r="I196" t="inlineStr">
        <is>
          <t>BNK2UGQ5EDDATVU</t>
        </is>
      </c>
      <c r="J196" s="8" t="n">
        <v>46255</v>
      </c>
    </row>
    <row r="197">
      <c r="A197" t="inlineStr">
        <is>
          <t>PAY0004390</t>
        </is>
      </c>
      <c r="B197" t="inlineStr">
        <is>
          <t>INV0018121</t>
        </is>
      </c>
      <c r="C197" t="inlineStr">
        <is>
          <t>MER00856</t>
        </is>
      </c>
      <c r="D197" s="8" t="n">
        <v>45592</v>
      </c>
      <c r="E197" t="n">
        <v>221.17</v>
      </c>
      <c r="F197" t="inlineStr">
        <is>
          <t>Wallet</t>
        </is>
      </c>
      <c r="G197" t="inlineStr">
        <is>
          <t>PAY7KXT2F35UH</t>
        </is>
      </c>
      <c r="H197" t="inlineStr">
        <is>
          <t>Success</t>
        </is>
      </c>
      <c r="I197" t="inlineStr">
        <is>
          <t>BNKZQC2YYXFKRQF</t>
        </is>
      </c>
      <c r="J197" s="8" t="n">
        <v>45593</v>
      </c>
    </row>
    <row r="198">
      <c r="A198" t="inlineStr">
        <is>
          <t>PAY0004391</t>
        </is>
      </c>
      <c r="B198" t="inlineStr">
        <is>
          <t>INV0018122</t>
        </is>
      </c>
      <c r="C198" t="inlineStr">
        <is>
          <t>MER00856</t>
        </is>
      </c>
      <c r="D198" s="8" t="n">
        <v>45628</v>
      </c>
      <c r="E198" t="n">
        <v>243.28</v>
      </c>
      <c r="F198" t="inlineStr">
        <is>
          <t>UPI</t>
        </is>
      </c>
      <c r="G198" t="inlineStr">
        <is>
          <t>PAYWC7ZH9LY7R</t>
        </is>
      </c>
      <c r="H198" t="inlineStr">
        <is>
          <t>Success</t>
        </is>
      </c>
      <c r="I198" t="inlineStr">
        <is>
          <t>BNKF27VPTFDCC27</t>
        </is>
      </c>
      <c r="J198" s="8" t="n">
        <v>45629</v>
      </c>
    </row>
    <row r="199">
      <c r="A199" t="inlineStr">
        <is>
          <t>PAY0004392</t>
        </is>
      </c>
      <c r="B199" t="inlineStr">
        <is>
          <t>INV0018123</t>
        </is>
      </c>
      <c r="C199" t="inlineStr">
        <is>
          <t>MER00856</t>
        </is>
      </c>
      <c r="D199" s="8" t="n">
        <v>45662</v>
      </c>
      <c r="E199" t="n">
        <v>155.16</v>
      </c>
      <c r="F199" t="inlineStr">
        <is>
          <t>UPI</t>
        </is>
      </c>
      <c r="G199" t="inlineStr">
        <is>
          <t>PAYCR6WXTFJVE</t>
        </is>
      </c>
      <c r="H199" t="inlineStr">
        <is>
          <t>Success</t>
        </is>
      </c>
      <c r="I199" t="inlineStr">
        <is>
          <t>BNKVET2AF7RNTYS</t>
        </is>
      </c>
      <c r="J199" s="8" t="n">
        <v>45663</v>
      </c>
    </row>
    <row r="200">
      <c r="A200" t="inlineStr">
        <is>
          <t>PAY0004393</t>
        </is>
      </c>
      <c r="B200" t="inlineStr">
        <is>
          <t>INV0018124</t>
        </is>
      </c>
      <c r="C200" t="inlineStr">
        <is>
          <t>MER00856</t>
        </is>
      </c>
      <c r="D200" s="8" t="n">
        <v>45686</v>
      </c>
      <c r="E200" t="n">
        <v>86.62</v>
      </c>
      <c r="F200" t="inlineStr">
        <is>
          <t>UPI</t>
        </is>
      </c>
      <c r="G200" t="inlineStr">
        <is>
          <t>PAYQZSTSEQNRZ</t>
        </is>
      </c>
      <c r="H200" t="inlineStr">
        <is>
          <t>Success</t>
        </is>
      </c>
      <c r="I200" t="inlineStr">
        <is>
          <t>BNK59MHNQZG4LWH</t>
        </is>
      </c>
      <c r="J200" s="8" t="n">
        <v>45688</v>
      </c>
    </row>
    <row r="201">
      <c r="A201" t="inlineStr">
        <is>
          <t>PAY0004394</t>
        </is>
      </c>
      <c r="B201" t="inlineStr">
        <is>
          <t>INV0018125</t>
        </is>
      </c>
      <c r="C201" t="inlineStr">
        <is>
          <t>MER00856</t>
        </is>
      </c>
      <c r="D201" s="8" t="n">
        <v>45712</v>
      </c>
      <c r="E201" t="n">
        <v>102.21</v>
      </c>
      <c r="F201" t="inlineStr">
        <is>
          <t>NetBanking</t>
        </is>
      </c>
      <c r="G201" t="inlineStr">
        <is>
          <t>PAYD2QJEKYFBB</t>
        </is>
      </c>
      <c r="H201" t="inlineStr">
        <is>
          <t>Success</t>
        </is>
      </c>
      <c r="I201" t="inlineStr">
        <is>
          <t>BNK295AG79WN7NF</t>
        </is>
      </c>
      <c r="J201" s="8" t="n">
        <v>45713</v>
      </c>
    </row>
    <row r="202">
      <c r="A202" t="inlineStr">
        <is>
          <t>PAY0004395</t>
        </is>
      </c>
      <c r="B202" t="inlineStr">
        <is>
          <t>INV0018126</t>
        </is>
      </c>
      <c r="C202" t="inlineStr">
        <is>
          <t>MER00856</t>
        </is>
      </c>
      <c r="D202" s="8" t="n">
        <v>45747</v>
      </c>
      <c r="E202" t="n">
        <v>248.91</v>
      </c>
      <c r="F202" t="inlineStr">
        <is>
          <t>UPI</t>
        </is>
      </c>
      <c r="G202" t="inlineStr">
        <is>
          <t>PAY5XM7KTJUE8</t>
        </is>
      </c>
      <c r="H202" t="inlineStr">
        <is>
          <t>Success</t>
        </is>
      </c>
      <c r="I202" t="inlineStr">
        <is>
          <t>BNK6N3A7ZQ27CQG</t>
        </is>
      </c>
      <c r="J202" s="8" t="n">
        <v>45748</v>
      </c>
    </row>
    <row r="203">
      <c r="A203" t="inlineStr">
        <is>
          <t>PAY0004396</t>
        </is>
      </c>
      <c r="B203" t="inlineStr">
        <is>
          <t>INV0018127</t>
        </is>
      </c>
      <c r="C203" t="inlineStr">
        <is>
          <t>MER00856</t>
        </is>
      </c>
      <c r="D203" s="8" t="n">
        <v>45805</v>
      </c>
      <c r="E203" t="n">
        <v>100.64</v>
      </c>
      <c r="F203" t="inlineStr">
        <is>
          <t>UPI</t>
        </is>
      </c>
      <c r="G203" t="inlineStr">
        <is>
          <t>PAY36E4ZJ5AYL</t>
        </is>
      </c>
      <c r="H203" t="inlineStr">
        <is>
          <t>Success</t>
        </is>
      </c>
      <c r="I203" t="inlineStr">
        <is>
          <t>BNKZ6XN8VG2YP4L</t>
        </is>
      </c>
      <c r="J203" s="8" t="n">
        <v>45806</v>
      </c>
    </row>
    <row r="204">
      <c r="A204" t="inlineStr">
        <is>
          <t>PAY0004397</t>
        </is>
      </c>
      <c r="B204" t="inlineStr">
        <is>
          <t>INV0018129</t>
        </is>
      </c>
      <c r="C204" t="inlineStr">
        <is>
          <t>MER00856</t>
        </is>
      </c>
      <c r="D204" s="8" t="n">
        <v>45864</v>
      </c>
      <c r="E204" t="n">
        <v>277.56</v>
      </c>
      <c r="F204" t="inlineStr">
        <is>
          <t>UPI</t>
        </is>
      </c>
      <c r="G204" t="inlineStr">
        <is>
          <t>PAYCP6HLDN4GR</t>
        </is>
      </c>
      <c r="H204" t="inlineStr">
        <is>
          <t>Success</t>
        </is>
      </c>
      <c r="I204" t="inlineStr">
        <is>
          <t>BNKF4Z2BWU4L6U4</t>
        </is>
      </c>
      <c r="J204" s="8" t="n">
        <v>45867</v>
      </c>
    </row>
    <row r="205">
      <c r="A205" t="inlineStr">
        <is>
          <t>PAY0004398</t>
        </is>
      </c>
      <c r="B205" t="inlineStr">
        <is>
          <t>INV0018130</t>
        </is>
      </c>
      <c r="C205" t="inlineStr">
        <is>
          <t>MER00856</t>
        </is>
      </c>
      <c r="D205" s="8" t="n">
        <v>45906</v>
      </c>
      <c r="E205" t="n">
        <v>143.78</v>
      </c>
      <c r="F205" t="inlineStr">
        <is>
          <t>UPI</t>
        </is>
      </c>
      <c r="G205" t="inlineStr">
        <is>
          <t>PAYZH4YGZP9GX</t>
        </is>
      </c>
      <c r="H205" t="inlineStr">
        <is>
          <t>Success</t>
        </is>
      </c>
      <c r="I205" t="inlineStr">
        <is>
          <t>BNKK3Z6PGK4HDXR</t>
        </is>
      </c>
      <c r="J205" s="8" t="n">
        <v>45908</v>
      </c>
    </row>
    <row r="206">
      <c r="A206" t="inlineStr">
        <is>
          <t>PAY0004399</t>
        </is>
      </c>
      <c r="B206" t="inlineStr">
        <is>
          <t>INV0018131</t>
        </is>
      </c>
      <c r="C206" t="inlineStr">
        <is>
          <t>MER00856</t>
        </is>
      </c>
      <c r="D206" s="8" t="n">
        <v>45927</v>
      </c>
      <c r="E206" t="n">
        <v>126.92</v>
      </c>
      <c r="F206" t="inlineStr">
        <is>
          <t>Card</t>
        </is>
      </c>
      <c r="G206" t="inlineStr">
        <is>
          <t>PAY3SRXPW2E6U</t>
        </is>
      </c>
      <c r="H206" t="inlineStr">
        <is>
          <t>Success</t>
        </is>
      </c>
      <c r="I206" t="inlineStr">
        <is>
          <t>BNK277MWHVD8PCU</t>
        </is>
      </c>
      <c r="J206" s="8" t="n">
        <v>45930</v>
      </c>
    </row>
    <row r="207">
      <c r="A207" t="inlineStr">
        <is>
          <t>PAY0004400</t>
        </is>
      </c>
      <c r="B207" t="inlineStr">
        <is>
          <t>INV0018132</t>
        </is>
      </c>
      <c r="C207" t="inlineStr">
        <is>
          <t>MER00856</t>
        </is>
      </c>
      <c r="D207" s="8" t="n">
        <v>45992</v>
      </c>
      <c r="E207" t="n">
        <v>250.22</v>
      </c>
      <c r="F207" t="inlineStr">
        <is>
          <t>UPI</t>
        </is>
      </c>
      <c r="G207" t="inlineStr">
        <is>
          <t>PAYKB5MNEBSFH</t>
        </is>
      </c>
      <c r="H207" t="inlineStr">
        <is>
          <t>Success</t>
        </is>
      </c>
      <c r="I207" t="inlineStr">
        <is>
          <t>BNKAKHUP8ZDA77D</t>
        </is>
      </c>
      <c r="J207" s="8" t="n">
        <v>45994</v>
      </c>
    </row>
    <row r="208">
      <c r="A208" t="inlineStr">
        <is>
          <t>PAY0004401</t>
        </is>
      </c>
      <c r="B208" t="inlineStr">
        <is>
          <t>INV0018133</t>
        </is>
      </c>
      <c r="C208" t="inlineStr">
        <is>
          <t>MER00856</t>
        </is>
      </c>
      <c r="D208" s="8" t="n">
        <v>46020</v>
      </c>
      <c r="E208" t="n">
        <v>287.9</v>
      </c>
      <c r="F208" t="inlineStr">
        <is>
          <t>UPI</t>
        </is>
      </c>
      <c r="G208" t="inlineStr">
        <is>
          <t>PAYDYXMNEZ9QL</t>
        </is>
      </c>
      <c r="H208" t="inlineStr">
        <is>
          <t>Success</t>
        </is>
      </c>
      <c r="I208" t="inlineStr">
        <is>
          <t>BNKGA98ETA93J9Y</t>
        </is>
      </c>
      <c r="J208" s="8" t="n">
        <v>46021</v>
      </c>
    </row>
    <row r="209">
      <c r="A209" t="inlineStr">
        <is>
          <t>PAY0004402</t>
        </is>
      </c>
      <c r="B209" t="inlineStr">
        <is>
          <t>INV0018134</t>
        </is>
      </c>
      <c r="C209" t="inlineStr">
        <is>
          <t>MER00856</t>
        </is>
      </c>
      <c r="D209" s="8" t="n">
        <v>46052</v>
      </c>
      <c r="E209" t="n">
        <v>283.88</v>
      </c>
      <c r="F209" t="inlineStr">
        <is>
          <t>NetBanking</t>
        </is>
      </c>
      <c r="G209" t="inlineStr">
        <is>
          <t>PAYTPXQMTKCWN</t>
        </is>
      </c>
      <c r="H209" t="inlineStr">
        <is>
          <t>Success</t>
        </is>
      </c>
      <c r="I209" t="inlineStr">
        <is>
          <t>BNKP8ZN3SRS2J9N</t>
        </is>
      </c>
      <c r="J209" s="8" t="n">
        <v>46054</v>
      </c>
    </row>
    <row r="210">
      <c r="A210" t="inlineStr">
        <is>
          <t>PAY0004403</t>
        </is>
      </c>
      <c r="B210" t="inlineStr">
        <is>
          <t>INV0018135</t>
        </is>
      </c>
      <c r="C210" t="inlineStr">
        <is>
          <t>MER00856</t>
        </is>
      </c>
      <c r="D210" s="8" t="n">
        <v>46082</v>
      </c>
      <c r="E210" t="n">
        <v>190.36</v>
      </c>
      <c r="F210" t="inlineStr">
        <is>
          <t>Card</t>
        </is>
      </c>
      <c r="G210" t="inlineStr">
        <is>
          <t>PAYHQ6U6D9YUS</t>
        </is>
      </c>
      <c r="H210" t="inlineStr">
        <is>
          <t>Failed</t>
        </is>
      </c>
      <c r="I210" t="inlineStr">
        <is>
          <t>BNKH4KYR35GZ2NW</t>
        </is>
      </c>
      <c r="J210" s="8" t="n"/>
    </row>
    <row r="211">
      <c r="A211" t="inlineStr">
        <is>
          <t>PAY0004404</t>
        </is>
      </c>
      <c r="B211" t="inlineStr">
        <is>
          <t>INV0018136</t>
        </is>
      </c>
      <c r="C211" t="inlineStr">
        <is>
          <t>MER00856</t>
        </is>
      </c>
      <c r="D211" s="8" t="n">
        <v>46110</v>
      </c>
      <c r="E211" t="n">
        <v>167.93</v>
      </c>
      <c r="F211" t="inlineStr">
        <is>
          <t>Card</t>
        </is>
      </c>
      <c r="G211" t="inlineStr">
        <is>
          <t>PAYUSKHQEWFV5</t>
        </is>
      </c>
      <c r="H211" t="inlineStr">
        <is>
          <t>Success</t>
        </is>
      </c>
      <c r="I211" t="inlineStr">
        <is>
          <t>BNKQZG7LAWWHRVV</t>
        </is>
      </c>
      <c r="J211" s="8" t="n">
        <v>46111</v>
      </c>
    </row>
    <row r="212">
      <c r="A212" t="inlineStr">
        <is>
          <t>PAY0004405</t>
        </is>
      </c>
      <c r="B212" t="inlineStr">
        <is>
          <t>INV0018137</t>
        </is>
      </c>
      <c r="C212" t="inlineStr">
        <is>
          <t>MER00856</t>
        </is>
      </c>
      <c r="D212" s="8" t="n">
        <v>46144</v>
      </c>
      <c r="E212" t="n">
        <v>105.43</v>
      </c>
      <c r="F212" t="inlineStr">
        <is>
          <t>UPI</t>
        </is>
      </c>
      <c r="G212" t="inlineStr">
        <is>
          <t>PAYU6GP5KRHTW</t>
        </is>
      </c>
      <c r="H212" t="inlineStr">
        <is>
          <t>Success</t>
        </is>
      </c>
      <c r="I212" t="inlineStr">
        <is>
          <t>BNKK32SFKE6TAQ6</t>
        </is>
      </c>
      <c r="J212" s="8" t="n">
        <v>46146</v>
      </c>
    </row>
    <row r="213">
      <c r="A213" t="inlineStr">
        <is>
          <t>PAY0004406</t>
        </is>
      </c>
      <c r="B213" t="inlineStr">
        <is>
          <t>INV0018138</t>
        </is>
      </c>
      <c r="C213" t="inlineStr">
        <is>
          <t>MER00856</t>
        </is>
      </c>
      <c r="D213" s="8" t="n">
        <v>46173</v>
      </c>
      <c r="E213" t="n">
        <v>90.48999999999999</v>
      </c>
      <c r="F213" t="inlineStr">
        <is>
          <t>UPI</t>
        </is>
      </c>
      <c r="G213" t="inlineStr">
        <is>
          <t>PAY9MTSAVML6N</t>
        </is>
      </c>
      <c r="H213" t="inlineStr">
        <is>
          <t>Success</t>
        </is>
      </c>
      <c r="I213" t="inlineStr">
        <is>
          <t>BNKLMZYCP3MAGCH</t>
        </is>
      </c>
      <c r="J213" s="8" t="n">
        <v>46174</v>
      </c>
    </row>
    <row r="214">
      <c r="A214" t="inlineStr">
        <is>
          <t>PAY0004407</t>
        </is>
      </c>
      <c r="B214" t="inlineStr">
        <is>
          <t>INV0018140</t>
        </is>
      </c>
      <c r="C214" t="inlineStr">
        <is>
          <t>MER00856</t>
        </is>
      </c>
      <c r="D214" s="8" t="n">
        <v>46235</v>
      </c>
      <c r="E214" t="n">
        <v>125.25</v>
      </c>
      <c r="F214" t="inlineStr">
        <is>
          <t>UPI</t>
        </is>
      </c>
      <c r="G214" t="inlineStr">
        <is>
          <t>PAYBHHM474TVE</t>
        </is>
      </c>
      <c r="H214" t="inlineStr">
        <is>
          <t>Success</t>
        </is>
      </c>
      <c r="I214" t="inlineStr">
        <is>
          <t>BNKDRNE3E252GJ6</t>
        </is>
      </c>
      <c r="J214" s="8" t="n">
        <v>46238</v>
      </c>
    </row>
    <row r="215">
      <c r="A215" t="inlineStr">
        <is>
          <t>PAY0004408</t>
        </is>
      </c>
      <c r="B215" t="inlineStr">
        <is>
          <t>INV0018141</t>
        </is>
      </c>
      <c r="C215" t="inlineStr">
        <is>
          <t>MER00856</t>
        </is>
      </c>
      <c r="D215" s="8" t="n">
        <v>46263</v>
      </c>
      <c r="E215" t="n">
        <v>185.17</v>
      </c>
      <c r="F215" t="inlineStr">
        <is>
          <t>Card</t>
        </is>
      </c>
      <c r="G215" t="inlineStr">
        <is>
          <t>PAYXHYX49Z8HC</t>
        </is>
      </c>
      <c r="H215" t="inlineStr">
        <is>
          <t>Success</t>
        </is>
      </c>
      <c r="I215" t="inlineStr">
        <is>
          <t>BNKT4926YA6UJML</t>
        </is>
      </c>
      <c r="J215" s="8" t="n">
        <v>46266</v>
      </c>
    </row>
    <row r="216">
      <c r="A216" t="inlineStr">
        <is>
          <t>PAY0004433</t>
        </is>
      </c>
      <c r="B216" t="inlineStr">
        <is>
          <t>INV0018395</t>
        </is>
      </c>
      <c r="C216" t="inlineStr">
        <is>
          <t>MER00870</t>
        </is>
      </c>
      <c r="D216" s="8" t="n">
        <v>45593</v>
      </c>
      <c r="E216" t="n">
        <v>246.95</v>
      </c>
      <c r="F216" t="inlineStr">
        <is>
          <t>UPI</t>
        </is>
      </c>
      <c r="G216" t="inlineStr">
        <is>
          <t>PAY43H5LPK56D</t>
        </is>
      </c>
      <c r="H216" t="inlineStr">
        <is>
          <t>Success</t>
        </is>
      </c>
      <c r="I216" t="inlineStr">
        <is>
          <t>BNKLMMUDEFE3X5F</t>
        </is>
      </c>
      <c r="J216" s="8" t="n">
        <v>45595</v>
      </c>
    </row>
    <row r="217">
      <c r="A217" t="inlineStr">
        <is>
          <t>PAY0004434</t>
        </is>
      </c>
      <c r="B217" t="inlineStr">
        <is>
          <t>INV0018396</t>
        </is>
      </c>
      <c r="C217" t="inlineStr">
        <is>
          <t>MER00870</t>
        </is>
      </c>
      <c r="D217" s="8" t="n">
        <v>45628</v>
      </c>
      <c r="E217" t="n">
        <v>209.95</v>
      </c>
      <c r="F217" t="inlineStr">
        <is>
          <t>UPI</t>
        </is>
      </c>
      <c r="G217" t="inlineStr">
        <is>
          <t>PAY9KNLA67CAF</t>
        </is>
      </c>
      <c r="H217" t="inlineStr">
        <is>
          <t>Success</t>
        </is>
      </c>
      <c r="I217" t="inlineStr">
        <is>
          <t>BNKFK26RUQ3LWLE</t>
        </is>
      </c>
      <c r="J217" s="8" t="n">
        <v>45631</v>
      </c>
    </row>
    <row r="218">
      <c r="A218" t="inlineStr">
        <is>
          <t>PAY0004435</t>
        </is>
      </c>
      <c r="B218" t="inlineStr">
        <is>
          <t>INV0018397</t>
        </is>
      </c>
      <c r="C218" t="inlineStr">
        <is>
          <t>MER00870</t>
        </is>
      </c>
      <c r="D218" s="8" t="n">
        <v>45660</v>
      </c>
      <c r="E218" t="n">
        <v>94.88</v>
      </c>
      <c r="F218" t="inlineStr">
        <is>
          <t>UPI</t>
        </is>
      </c>
      <c r="G218" t="inlineStr">
        <is>
          <t>PAYKGHJHVUK8N</t>
        </is>
      </c>
      <c r="H218" t="inlineStr">
        <is>
          <t>Success</t>
        </is>
      </c>
      <c r="I218" t="inlineStr">
        <is>
          <t>BNKQ2VBRW4SED5P</t>
        </is>
      </c>
      <c r="J218" s="8" t="n">
        <v>45661</v>
      </c>
    </row>
    <row r="219">
      <c r="A219" t="inlineStr">
        <is>
          <t>PAY0004436</t>
        </is>
      </c>
      <c r="B219" t="inlineStr">
        <is>
          <t>INV0018398</t>
        </is>
      </c>
      <c r="C219" t="inlineStr">
        <is>
          <t>MER00870</t>
        </is>
      </c>
      <c r="D219" s="8" t="n">
        <v>45684</v>
      </c>
      <c r="E219" t="n">
        <v>69.23</v>
      </c>
      <c r="F219" t="inlineStr">
        <is>
          <t>COD</t>
        </is>
      </c>
      <c r="G219" t="inlineStr">
        <is>
          <t>PAYD8ZSDF3EK4</t>
        </is>
      </c>
      <c r="H219" t="inlineStr">
        <is>
          <t>Success</t>
        </is>
      </c>
      <c r="I219" t="inlineStr">
        <is>
          <t>BNKCJ5WWL4Y2XGC</t>
        </is>
      </c>
      <c r="J219" s="8" t="n">
        <v>45686</v>
      </c>
    </row>
    <row r="220">
      <c r="A220" t="inlineStr">
        <is>
          <t>PAY0004437</t>
        </is>
      </c>
      <c r="B220" t="inlineStr">
        <is>
          <t>INV0018399</t>
        </is>
      </c>
      <c r="C220" t="inlineStr">
        <is>
          <t>MER00870</t>
        </is>
      </c>
      <c r="D220" s="8" t="n">
        <v>45721</v>
      </c>
      <c r="E220" t="n">
        <v>545.9400000000001</v>
      </c>
      <c r="F220" t="inlineStr">
        <is>
          <t>UPI</t>
        </is>
      </c>
      <c r="G220" t="inlineStr">
        <is>
          <t>PAYR8LE8AATRD</t>
        </is>
      </c>
      <c r="H220" t="inlineStr">
        <is>
          <t>Success</t>
        </is>
      </c>
      <c r="I220" t="inlineStr">
        <is>
          <t>BNK9P7ALN9EM7XJ</t>
        </is>
      </c>
      <c r="J220" s="8" t="n">
        <v>45722</v>
      </c>
    </row>
    <row r="221">
      <c r="A221" t="inlineStr">
        <is>
          <t>PAY0004438</t>
        </is>
      </c>
      <c r="B221" t="inlineStr">
        <is>
          <t>INV0018400</t>
        </is>
      </c>
      <c r="C221" t="inlineStr">
        <is>
          <t>MER00870</t>
        </is>
      </c>
      <c r="D221" s="8" t="n">
        <v>45743</v>
      </c>
      <c r="E221" t="n">
        <v>214.19</v>
      </c>
      <c r="F221" t="inlineStr">
        <is>
          <t>UPI</t>
        </is>
      </c>
      <c r="G221" t="inlineStr">
        <is>
          <t>PAYWG8LTR2NLX</t>
        </is>
      </c>
      <c r="H221" t="inlineStr">
        <is>
          <t>Success</t>
        </is>
      </c>
      <c r="I221" t="inlineStr">
        <is>
          <t>BNKV4VP99R36GHG</t>
        </is>
      </c>
      <c r="J221" s="8" t="n">
        <v>45746</v>
      </c>
    </row>
    <row r="222">
      <c r="A222" t="inlineStr">
        <is>
          <t>PAY0004439</t>
        </is>
      </c>
      <c r="B222" t="inlineStr">
        <is>
          <t>INV0018401</t>
        </is>
      </c>
      <c r="C222" t="inlineStr">
        <is>
          <t>MER00870</t>
        </is>
      </c>
      <c r="D222" s="8" t="n">
        <v>45776</v>
      </c>
      <c r="E222" t="n">
        <v>142.12</v>
      </c>
      <c r="F222" t="inlineStr">
        <is>
          <t>UPI</t>
        </is>
      </c>
      <c r="G222" t="inlineStr">
        <is>
          <t>PAYATMZ4MK5TV</t>
        </is>
      </c>
      <c r="H222" t="inlineStr">
        <is>
          <t>Failed</t>
        </is>
      </c>
      <c r="I222" t="inlineStr">
        <is>
          <t>BNK23HZ7W7YCTXL</t>
        </is>
      </c>
      <c r="J222" s="8" t="n"/>
    </row>
    <row r="223">
      <c r="A223" t="inlineStr">
        <is>
          <t>PAY0004440</t>
        </is>
      </c>
      <c r="B223" t="inlineStr">
        <is>
          <t>INV0018402</t>
        </is>
      </c>
      <c r="C223" t="inlineStr">
        <is>
          <t>MER00870</t>
        </is>
      </c>
      <c r="D223" s="8" t="n">
        <v>45837</v>
      </c>
      <c r="E223" t="n">
        <v>252</v>
      </c>
      <c r="F223" t="inlineStr">
        <is>
          <t>Card</t>
        </is>
      </c>
      <c r="G223" t="inlineStr">
        <is>
          <t>PAYWBJHZRCM2R</t>
        </is>
      </c>
      <c r="H223" t="inlineStr">
        <is>
          <t>Success</t>
        </is>
      </c>
      <c r="I223" t="inlineStr">
        <is>
          <t>BNKHCSXWG9RDQFZ</t>
        </is>
      </c>
      <c r="J223" s="8" t="n">
        <v>45840</v>
      </c>
    </row>
    <row r="224">
      <c r="A224" t="inlineStr">
        <is>
          <t>PAY0004441</t>
        </is>
      </c>
      <c r="B224" t="inlineStr">
        <is>
          <t>INV0018403</t>
        </is>
      </c>
      <c r="C224" t="inlineStr">
        <is>
          <t>MER00870</t>
        </is>
      </c>
      <c r="D224" s="8" t="n">
        <v>45869</v>
      </c>
      <c r="E224" t="n">
        <v>282</v>
      </c>
      <c r="F224" t="inlineStr">
        <is>
          <t>NetBanking</t>
        </is>
      </c>
      <c r="G224" t="inlineStr">
        <is>
          <t>PAY7DQXR92FEB</t>
        </is>
      </c>
      <c r="H224" t="inlineStr">
        <is>
          <t>Success</t>
        </is>
      </c>
      <c r="I224" t="inlineStr">
        <is>
          <t>BNK5TGPM8FUQ6KP</t>
        </is>
      </c>
      <c r="J224" s="8" t="n">
        <v>45870</v>
      </c>
    </row>
    <row r="225">
      <c r="A225" t="inlineStr">
        <is>
          <t>PAY0004442</t>
        </is>
      </c>
      <c r="B225" t="inlineStr">
        <is>
          <t>INV0018404</t>
        </is>
      </c>
      <c r="C225" t="inlineStr">
        <is>
          <t>MER00870</t>
        </is>
      </c>
      <c r="D225" s="8" t="n">
        <v>45898</v>
      </c>
      <c r="E225" t="n">
        <v>41.28</v>
      </c>
      <c r="F225" t="inlineStr">
        <is>
          <t>NetBanking</t>
        </is>
      </c>
      <c r="G225" t="inlineStr">
        <is>
          <t>PAY7XRABGANJ8</t>
        </is>
      </c>
      <c r="H225" t="inlineStr">
        <is>
          <t>Success</t>
        </is>
      </c>
      <c r="I225" t="inlineStr">
        <is>
          <t>BNKP4JPJR7CNHQH</t>
        </is>
      </c>
      <c r="J225" s="8" t="n">
        <v>45901</v>
      </c>
    </row>
    <row r="226">
      <c r="A226" t="inlineStr">
        <is>
          <t>PAY0004443</t>
        </is>
      </c>
      <c r="B226" t="inlineStr">
        <is>
          <t>INV0018405</t>
        </is>
      </c>
      <c r="C226" t="inlineStr">
        <is>
          <t>MER00870</t>
        </is>
      </c>
      <c r="D226" s="8" t="n">
        <v>45933</v>
      </c>
      <c r="E226" t="n">
        <v>264.28</v>
      </c>
      <c r="F226" t="inlineStr">
        <is>
          <t>COD</t>
        </is>
      </c>
      <c r="G226" t="inlineStr">
        <is>
          <t>PAYD372VDQQKJ</t>
        </is>
      </c>
      <c r="H226" t="inlineStr">
        <is>
          <t>Success</t>
        </is>
      </c>
      <c r="I226" t="inlineStr">
        <is>
          <t>BNKSQW87F4MB3GE</t>
        </is>
      </c>
      <c r="J226" s="8" t="n">
        <v>45936</v>
      </c>
    </row>
    <row r="227">
      <c r="A227" t="inlineStr">
        <is>
          <t>PAY0004444</t>
        </is>
      </c>
      <c r="B227" t="inlineStr">
        <is>
          <t>INV0018406</t>
        </is>
      </c>
      <c r="C227" t="inlineStr">
        <is>
          <t>MER00870</t>
        </is>
      </c>
      <c r="D227" s="8" t="n">
        <v>45957</v>
      </c>
      <c r="E227" t="n">
        <v>111.14</v>
      </c>
      <c r="F227" t="inlineStr">
        <is>
          <t>Wallet</t>
        </is>
      </c>
      <c r="G227" t="inlineStr">
        <is>
          <t>PAY23E459BQGU</t>
        </is>
      </c>
      <c r="H227" t="inlineStr">
        <is>
          <t>Success</t>
        </is>
      </c>
      <c r="I227" t="inlineStr">
        <is>
          <t>BNKKE6BE3Q2QV4J</t>
        </is>
      </c>
      <c r="J227" s="8" t="n">
        <v>45958</v>
      </c>
    </row>
    <row r="228">
      <c r="A228" t="inlineStr">
        <is>
          <t>PAY0004445</t>
        </is>
      </c>
      <c r="B228" t="inlineStr">
        <is>
          <t>INV0018407</t>
        </is>
      </c>
      <c r="C228" t="inlineStr">
        <is>
          <t>MER00870</t>
        </is>
      </c>
      <c r="D228" s="8" t="n">
        <v>45990</v>
      </c>
      <c r="E228" t="n">
        <v>95.3</v>
      </c>
      <c r="F228" t="inlineStr">
        <is>
          <t>NetBanking</t>
        </is>
      </c>
      <c r="G228" t="inlineStr">
        <is>
          <t>PAY65PLRXLT6M</t>
        </is>
      </c>
      <c r="H228" t="inlineStr">
        <is>
          <t>Success</t>
        </is>
      </c>
      <c r="I228" t="inlineStr">
        <is>
          <t>BNKM8X4AF6XSME8</t>
        </is>
      </c>
      <c r="J228" s="8" t="n">
        <v>45992</v>
      </c>
    </row>
    <row r="229">
      <c r="A229" t="inlineStr">
        <is>
          <t>PAY0004446</t>
        </is>
      </c>
      <c r="B229" t="inlineStr">
        <is>
          <t>INV0018409</t>
        </is>
      </c>
      <c r="C229" t="inlineStr">
        <is>
          <t>MER00870</t>
        </is>
      </c>
      <c r="D229" s="8" t="n">
        <v>46057</v>
      </c>
      <c r="E229" t="n">
        <v>95.16</v>
      </c>
      <c r="F229" t="inlineStr">
        <is>
          <t>UPI</t>
        </is>
      </c>
      <c r="G229" t="inlineStr">
        <is>
          <t>PAYB5H29TZT73</t>
        </is>
      </c>
      <c r="H229" t="inlineStr">
        <is>
          <t>Success</t>
        </is>
      </c>
      <c r="I229" t="inlineStr">
        <is>
          <t>BNKRHU3ZZLXQHCW</t>
        </is>
      </c>
      <c r="J229" s="8" t="n">
        <v>46058</v>
      </c>
    </row>
    <row r="230">
      <c r="A230" t="inlineStr">
        <is>
          <t>PAY0004447</t>
        </is>
      </c>
      <c r="B230" t="inlineStr">
        <is>
          <t>INV0018410</t>
        </is>
      </c>
      <c r="C230" t="inlineStr">
        <is>
          <t>MER00870</t>
        </is>
      </c>
      <c r="D230" s="8" t="n">
        <v>46088</v>
      </c>
      <c r="E230" t="n">
        <v>166.82</v>
      </c>
      <c r="F230" t="inlineStr">
        <is>
          <t>Card</t>
        </is>
      </c>
      <c r="G230" t="inlineStr">
        <is>
          <t>PAY867L4SYFPM</t>
        </is>
      </c>
      <c r="H230" t="inlineStr">
        <is>
          <t>Success</t>
        </is>
      </c>
      <c r="I230" t="inlineStr">
        <is>
          <t>BNKFWBBKFH6MCPX</t>
        </is>
      </c>
      <c r="J230" s="8" t="n">
        <v>46090</v>
      </c>
    </row>
    <row r="231">
      <c r="A231" t="inlineStr">
        <is>
          <t>PAY0004448</t>
        </is>
      </c>
      <c r="B231" t="inlineStr">
        <is>
          <t>INV0018411</t>
        </is>
      </c>
      <c r="C231" t="inlineStr">
        <is>
          <t>MER00870</t>
        </is>
      </c>
      <c r="D231" s="8" t="n">
        <v>46144</v>
      </c>
      <c r="E231" t="n">
        <v>211.76</v>
      </c>
      <c r="F231" t="inlineStr">
        <is>
          <t>Wallet</t>
        </is>
      </c>
      <c r="G231" t="inlineStr">
        <is>
          <t>PAYFHY568EUHT</t>
        </is>
      </c>
      <c r="H231" t="inlineStr">
        <is>
          <t>Success</t>
        </is>
      </c>
      <c r="I231" t="inlineStr">
        <is>
          <t>BNKSE4HHQDS8BD9</t>
        </is>
      </c>
      <c r="J231" s="8" t="n">
        <v>46147</v>
      </c>
    </row>
    <row r="232">
      <c r="A232" t="inlineStr">
        <is>
          <t>PAY0004449</t>
        </is>
      </c>
      <c r="B232" t="inlineStr">
        <is>
          <t>INV0018412</t>
        </is>
      </c>
      <c r="C232" t="inlineStr">
        <is>
          <t>MER00870</t>
        </is>
      </c>
      <c r="D232" s="8" t="n">
        <v>46164</v>
      </c>
      <c r="E232" t="n">
        <v>302.3</v>
      </c>
      <c r="F232" t="inlineStr">
        <is>
          <t>Wallet</t>
        </is>
      </c>
      <c r="G232" t="inlineStr">
        <is>
          <t>PAYGZBG9FHJL8</t>
        </is>
      </c>
      <c r="H232" t="inlineStr">
        <is>
          <t>Success</t>
        </is>
      </c>
      <c r="I232" t="inlineStr">
        <is>
          <t>BNKRZBYE683KT94</t>
        </is>
      </c>
      <c r="J232" s="8" t="n">
        <v>46167</v>
      </c>
    </row>
    <row r="233">
      <c r="A233" t="inlineStr">
        <is>
          <t>PAY0004450</t>
        </is>
      </c>
      <c r="B233" t="inlineStr">
        <is>
          <t>INV0018413</t>
        </is>
      </c>
      <c r="C233" t="inlineStr">
        <is>
          <t>MER00870</t>
        </is>
      </c>
      <c r="D233" s="8" t="n">
        <v>46205</v>
      </c>
      <c r="E233" t="n">
        <v>510.85</v>
      </c>
      <c r="F233" t="inlineStr">
        <is>
          <t>Card</t>
        </is>
      </c>
      <c r="G233" t="inlineStr">
        <is>
          <t>PAYL5CE5FURK8</t>
        </is>
      </c>
      <c r="H233" t="inlineStr">
        <is>
          <t>Success</t>
        </is>
      </c>
      <c r="I233" t="inlineStr">
        <is>
          <t>BNKHGTB3HTVBT5K</t>
        </is>
      </c>
      <c r="J233" s="8" t="n">
        <v>46206</v>
      </c>
    </row>
    <row r="234">
      <c r="A234" t="inlineStr">
        <is>
          <t>PAY0004451</t>
        </is>
      </c>
      <c r="B234" t="inlineStr">
        <is>
          <t>INV0018414</t>
        </is>
      </c>
      <c r="C234" t="inlineStr">
        <is>
          <t>MER00870</t>
        </is>
      </c>
      <c r="D234" s="8" t="n">
        <v>46236</v>
      </c>
      <c r="E234" t="n">
        <v>189.2</v>
      </c>
      <c r="F234" t="inlineStr">
        <is>
          <t>Card</t>
        </is>
      </c>
      <c r="G234" t="inlineStr">
        <is>
          <t>PAYQTTEUVETDP</t>
        </is>
      </c>
      <c r="H234" t="inlineStr">
        <is>
          <t>Success</t>
        </is>
      </c>
      <c r="I234" t="inlineStr">
        <is>
          <t>BNK54LKJ79LG9HH</t>
        </is>
      </c>
      <c r="J234" s="8" t="n">
        <v>46237</v>
      </c>
    </row>
    <row r="235">
      <c r="A235" t="inlineStr">
        <is>
          <t>PAY0004452</t>
        </is>
      </c>
      <c r="B235" t="inlineStr">
        <is>
          <t>INV0018415</t>
        </is>
      </c>
      <c r="C235" t="inlineStr">
        <is>
          <t>MER00870</t>
        </is>
      </c>
      <c r="D235" s="8" t="n">
        <v>46266</v>
      </c>
      <c r="E235" t="n">
        <v>337.81</v>
      </c>
      <c r="F235" t="inlineStr">
        <is>
          <t>UPI</t>
        </is>
      </c>
      <c r="G235" t="inlineStr">
        <is>
          <t>PAYKMB6W6BXJL</t>
        </is>
      </c>
      <c r="H235" t="inlineStr">
        <is>
          <t>Success</t>
        </is>
      </c>
      <c r="I235" t="inlineStr">
        <is>
          <t>BNK53PA5QQLRJAV</t>
        </is>
      </c>
      <c r="J235" s="8" t="n">
        <v>46269</v>
      </c>
    </row>
    <row r="236">
      <c r="A236" t="inlineStr">
        <is>
          <t>PAY0004889</t>
        </is>
      </c>
      <c r="B236" t="inlineStr">
        <is>
          <t>INV0000961</t>
        </is>
      </c>
      <c r="C236" t="inlineStr">
        <is>
          <t>MER00048</t>
        </is>
      </c>
      <c r="D236" s="8" t="n">
        <v>45701</v>
      </c>
      <c r="E236" t="n">
        <v>76.47</v>
      </c>
      <c r="F236" t="inlineStr">
        <is>
          <t>UPI</t>
        </is>
      </c>
      <c r="G236" t="inlineStr">
        <is>
          <t>PAYD5KK86MCMS</t>
        </is>
      </c>
      <c r="H236" t="inlineStr">
        <is>
          <t>Success</t>
        </is>
      </c>
      <c r="I236" t="inlineStr">
        <is>
          <t>BNKJP4F9WENUZD8</t>
        </is>
      </c>
      <c r="J236" s="8" t="n">
        <v>45702</v>
      </c>
    </row>
    <row r="237">
      <c r="A237" t="inlineStr">
        <is>
          <t>PAY0004910</t>
        </is>
      </c>
      <c r="B237" t="inlineStr">
        <is>
          <t>INV0001613</t>
        </is>
      </c>
      <c r="C237" t="inlineStr">
        <is>
          <t>MER00077</t>
        </is>
      </c>
      <c r="D237" s="8" t="n">
        <v>45643</v>
      </c>
      <c r="E237" t="n">
        <v>134.86</v>
      </c>
      <c r="F237" t="inlineStr">
        <is>
          <t>UPI</t>
        </is>
      </c>
      <c r="G237" t="inlineStr">
        <is>
          <t>PAYJQSKQ628HA</t>
        </is>
      </c>
      <c r="H237" t="inlineStr">
        <is>
          <t>Success</t>
        </is>
      </c>
      <c r="I237" t="inlineStr">
        <is>
          <t>BNKEA38MSJNL68C</t>
        </is>
      </c>
      <c r="J237" s="8" t="n">
        <v>45644</v>
      </c>
    </row>
    <row r="238">
      <c r="A238" t="inlineStr">
        <is>
          <t>PAY0004911</t>
        </is>
      </c>
      <c r="B238" t="inlineStr">
        <is>
          <t>INV0001624</t>
        </is>
      </c>
      <c r="C238" t="inlineStr">
        <is>
          <t>MER00077</t>
        </is>
      </c>
      <c r="D238" s="8" t="n">
        <v>45984</v>
      </c>
      <c r="E238" t="n">
        <v>165.86</v>
      </c>
      <c r="F238" t="inlineStr">
        <is>
          <t>UPI</t>
        </is>
      </c>
      <c r="G238" t="inlineStr">
        <is>
          <t>PAY3AR7QSBPSF</t>
        </is>
      </c>
      <c r="H238" t="inlineStr">
        <is>
          <t>Success</t>
        </is>
      </c>
      <c r="I238" t="inlineStr">
        <is>
          <t>BNKBFGUCG57ZGLW</t>
        </is>
      </c>
      <c r="J238" s="8" t="n">
        <v>45987</v>
      </c>
    </row>
    <row r="239">
      <c r="A239" t="inlineStr">
        <is>
          <t>PAY0005007</t>
        </is>
      </c>
      <c r="B239" t="inlineStr">
        <is>
          <t>INV0011208</t>
        </is>
      </c>
      <c r="C239" t="inlineStr">
        <is>
          <t>MER00530</t>
        </is>
      </c>
      <c r="D239" s="8" t="n">
        <v>45611</v>
      </c>
      <c r="E239" t="n">
        <v>112.38</v>
      </c>
      <c r="F239" t="inlineStr">
        <is>
          <t>Wallet</t>
        </is>
      </c>
      <c r="G239" t="inlineStr">
        <is>
          <t>PAY6LZ5UN2CMR</t>
        </is>
      </c>
      <c r="H239" t="inlineStr">
        <is>
          <t>Success</t>
        </is>
      </c>
      <c r="I239" t="inlineStr">
        <is>
          <t>BNKGWFRVY7S4HTU</t>
        </is>
      </c>
      <c r="J239" s="8" t="n">
        <v>45614</v>
      </c>
    </row>
    <row r="240">
      <c r="A240" t="inlineStr">
        <is>
          <t>PAY0005043</t>
        </is>
      </c>
      <c r="B240" t="inlineStr">
        <is>
          <t>INV0015031</t>
        </is>
      </c>
      <c r="C240" t="inlineStr">
        <is>
          <t>MER00709</t>
        </is>
      </c>
      <c r="D240" s="8" t="n">
        <v>46219</v>
      </c>
      <c r="E240" t="n">
        <v>39.53</v>
      </c>
      <c r="F240" t="inlineStr">
        <is>
          <t>Wallet</t>
        </is>
      </c>
      <c r="G240" t="inlineStr">
        <is>
          <t>PAYTT52VDCJ3B</t>
        </is>
      </c>
      <c r="H240" t="inlineStr">
        <is>
          <t>Success</t>
        </is>
      </c>
      <c r="I240" t="inlineStr">
        <is>
          <t>BNKFY629H3KUYVY</t>
        </is>
      </c>
      <c r="J240" s="8" t="n">
        <v>46220</v>
      </c>
    </row>
    <row r="241">
      <c r="A241" t="inlineStr">
        <is>
          <t>PAY0005083</t>
        </is>
      </c>
      <c r="B241" t="inlineStr">
        <is>
          <t>INV0018120</t>
        </is>
      </c>
      <c r="C241" t="inlineStr">
        <is>
          <t>MER00856</t>
        </is>
      </c>
      <c r="D241" s="8" t="n">
        <v>45566</v>
      </c>
      <c r="E241" t="n">
        <v>33.94</v>
      </c>
      <c r="F241" t="inlineStr">
        <is>
          <t>UPI</t>
        </is>
      </c>
      <c r="G241" t="inlineStr">
        <is>
          <t>PAYDSZSJL6UHM</t>
        </is>
      </c>
      <c r="H241" t="inlineStr">
        <is>
          <t>Success</t>
        </is>
      </c>
      <c r="I241" t="inlineStr">
        <is>
          <t>BNK9D274FY4D5XY</t>
        </is>
      </c>
      <c r="J241" s="8" t="n">
        <v>45567</v>
      </c>
    </row>
    <row r="242">
      <c r="A242" t="inlineStr">
        <is>
          <t>PAY0005084</t>
        </is>
      </c>
      <c r="B242" t="inlineStr">
        <is>
          <t>INV0018139</t>
        </is>
      </c>
      <c r="C242" t="inlineStr">
        <is>
          <t>MER00856</t>
        </is>
      </c>
      <c r="D242" s="8" t="n">
        <v>46202</v>
      </c>
      <c r="E242" t="n">
        <v>73.06</v>
      </c>
      <c r="F242" t="inlineStr">
        <is>
          <t>UPI</t>
        </is>
      </c>
      <c r="G242" t="inlineStr">
        <is>
          <t>PAYQSQAQV8KFG</t>
        </is>
      </c>
      <c r="H242" t="inlineStr">
        <is>
          <t>Success</t>
        </is>
      </c>
      <c r="I242" t="inlineStr">
        <is>
          <t>BNKW7L8PKGAS6SA</t>
        </is>
      </c>
      <c r="J242" s="8" t="n">
        <v>46204</v>
      </c>
    </row>
    <row r="243">
      <c r="A243" t="inlineStr">
        <is>
          <t>PAY0005086</t>
        </is>
      </c>
      <c r="B243" t="inlineStr">
        <is>
          <t>INV0018408</t>
        </is>
      </c>
      <c r="C243" t="inlineStr">
        <is>
          <t>MER00870</t>
        </is>
      </c>
      <c r="D243" s="8" t="n">
        <v>46023</v>
      </c>
      <c r="E243" t="n">
        <v>184.06</v>
      </c>
      <c r="F243" t="inlineStr">
        <is>
          <t>Card</t>
        </is>
      </c>
      <c r="G243" t="inlineStr">
        <is>
          <t>PAY4XV9J7FMEW</t>
        </is>
      </c>
      <c r="H243" t="inlineStr">
        <is>
          <t>Success</t>
        </is>
      </c>
      <c r="I243" t="inlineStr">
        <is>
          <t>BNKL77H7FMS656H</t>
        </is>
      </c>
      <c r="J243" s="8" t="n">
        <v>46025</v>
      </c>
    </row>
    <row r="244">
      <c r="A244" t="inlineStr">
        <is>
          <t>PAY0005106</t>
        </is>
      </c>
      <c r="B244" t="inlineStr">
        <is>
          <t>INV0000961</t>
        </is>
      </c>
      <c r="C244" t="inlineStr">
        <is>
          <t>MER00048</t>
        </is>
      </c>
      <c r="D244" s="8" t="n">
        <v>45716</v>
      </c>
      <c r="E244" t="n">
        <v>97.76000000000001</v>
      </c>
      <c r="F244" t="inlineStr">
        <is>
          <t>Card</t>
        </is>
      </c>
      <c r="G244" t="inlineStr">
        <is>
          <t>PAYP2UJ2STACQ</t>
        </is>
      </c>
      <c r="H244" t="inlineStr">
        <is>
          <t>Success</t>
        </is>
      </c>
      <c r="I244" t="inlineStr">
        <is>
          <t>BNKG8TP5UPZG4VL</t>
        </is>
      </c>
      <c r="J244" s="8" t="n">
        <v>45717</v>
      </c>
    </row>
    <row r="245">
      <c r="A245" t="inlineStr">
        <is>
          <t>PAY0005126</t>
        </is>
      </c>
      <c r="B245" t="inlineStr">
        <is>
          <t>INV0001613</t>
        </is>
      </c>
      <c r="C245" t="inlineStr">
        <is>
          <t>MER00077</t>
        </is>
      </c>
      <c r="D245" s="8" t="n">
        <v>45661</v>
      </c>
      <c r="E245" t="n">
        <v>141.04</v>
      </c>
      <c r="F245" t="inlineStr">
        <is>
          <t>UPI</t>
        </is>
      </c>
      <c r="G245" t="inlineStr">
        <is>
          <t>PAYH8LK7Y6EF5</t>
        </is>
      </c>
      <c r="H245" t="inlineStr">
        <is>
          <t>Success</t>
        </is>
      </c>
      <c r="I245" t="inlineStr">
        <is>
          <t>BNKE5FXP6JFVGNT</t>
        </is>
      </c>
      <c r="J245" s="8" t="n">
        <v>45662</v>
      </c>
    </row>
    <row r="246">
      <c r="A246" t="inlineStr">
        <is>
          <t>PAY0005127</t>
        </is>
      </c>
      <c r="B246" t="inlineStr">
        <is>
          <t>INV0001624</t>
        </is>
      </c>
      <c r="C246" t="inlineStr">
        <is>
          <t>MER00077</t>
        </is>
      </c>
      <c r="D246" s="8" t="n">
        <v>45993</v>
      </c>
      <c r="E246" t="n">
        <v>218.27</v>
      </c>
      <c r="F246" t="inlineStr">
        <is>
          <t>UPI</t>
        </is>
      </c>
      <c r="G246" t="inlineStr">
        <is>
          <t>PAY2XLK34BF8V</t>
        </is>
      </c>
      <c r="H246" t="inlineStr">
        <is>
          <t>Success</t>
        </is>
      </c>
      <c r="I246" t="inlineStr">
        <is>
          <t>BNKRFSV869Y2YTZ</t>
        </is>
      </c>
      <c r="J246" s="8" t="n">
        <v>45996</v>
      </c>
    </row>
    <row r="247">
      <c r="A247" t="inlineStr">
        <is>
          <t>PAY0005217</t>
        </is>
      </c>
      <c r="B247" t="inlineStr">
        <is>
          <t>INV0011208</t>
        </is>
      </c>
      <c r="C247" t="inlineStr">
        <is>
          <t>MER00530</t>
        </is>
      </c>
      <c r="D247" s="8" t="n">
        <v>45628</v>
      </c>
      <c r="E247" t="n">
        <v>177.51</v>
      </c>
      <c r="F247" t="inlineStr">
        <is>
          <t>UPI</t>
        </is>
      </c>
      <c r="G247" t="inlineStr">
        <is>
          <t>PAY7WX57SUJ9Z</t>
        </is>
      </c>
      <c r="H247" t="inlineStr">
        <is>
          <t>Success</t>
        </is>
      </c>
      <c r="I247" t="inlineStr">
        <is>
          <t>BNKJU3MP6SPCRH9</t>
        </is>
      </c>
      <c r="J247" s="8" t="n">
        <v>45631</v>
      </c>
    </row>
    <row r="248">
      <c r="A248" t="inlineStr">
        <is>
          <t>PAY0005252</t>
        </is>
      </c>
      <c r="B248" t="inlineStr">
        <is>
          <t>INV0015031</t>
        </is>
      </c>
      <c r="C248" t="inlineStr">
        <is>
          <t>MER00709</t>
        </is>
      </c>
      <c r="D248" s="8" t="n">
        <v>46233</v>
      </c>
      <c r="E248" t="n">
        <v>55.84</v>
      </c>
      <c r="F248" t="inlineStr">
        <is>
          <t>UPI</t>
        </is>
      </c>
      <c r="G248" t="inlineStr">
        <is>
          <t>PAY695YSVCBZ6</t>
        </is>
      </c>
      <c r="H248" t="inlineStr">
        <is>
          <t>Success</t>
        </is>
      </c>
      <c r="I248" t="inlineStr">
        <is>
          <t>BNK9A37HHTMEUKC</t>
        </is>
      </c>
      <c r="J248" s="8" t="n">
        <v>46235</v>
      </c>
    </row>
    <row r="249">
      <c r="A249" t="inlineStr">
        <is>
          <t>PAY0005288</t>
        </is>
      </c>
      <c r="B249" t="inlineStr">
        <is>
          <t>INV0018139</t>
        </is>
      </c>
      <c r="C249" t="inlineStr">
        <is>
          <t>MER00856</t>
        </is>
      </c>
      <c r="D249" s="8" t="n">
        <v>46218</v>
      </c>
      <c r="E249" t="n">
        <v>87.45999999999999</v>
      </c>
      <c r="F249" t="inlineStr">
        <is>
          <t>UPI</t>
        </is>
      </c>
      <c r="G249" t="inlineStr">
        <is>
          <t>PAYG8RH7TH8HW</t>
        </is>
      </c>
      <c r="H249" t="inlineStr">
        <is>
          <t>Success</t>
        </is>
      </c>
      <c r="I249" t="inlineStr">
        <is>
          <t>BNK7A86DUKRJZBG</t>
        </is>
      </c>
      <c r="J249" s="8" t="n">
        <v>46221</v>
      </c>
    </row>
    <row r="250">
      <c r="A250" t="inlineStr">
        <is>
          <t>PAY0005290</t>
        </is>
      </c>
      <c r="B250" t="inlineStr">
        <is>
          <t>INV0018408</t>
        </is>
      </c>
      <c r="C250" t="inlineStr">
        <is>
          <t>MER00870</t>
        </is>
      </c>
      <c r="D250" s="8" t="n">
        <v>46040</v>
      </c>
      <c r="E250" t="n">
        <v>169.62</v>
      </c>
      <c r="F250" t="inlineStr">
        <is>
          <t>UPI</t>
        </is>
      </c>
      <c r="G250" t="inlineStr">
        <is>
          <t>PAY7649S332AD</t>
        </is>
      </c>
      <c r="H250" t="inlineStr">
        <is>
          <t>Success</t>
        </is>
      </c>
      <c r="I250" t="inlineStr">
        <is>
          <t>BNKHPC93D5TG7JP</t>
        </is>
      </c>
      <c r="J250" s="8" t="n">
        <v>46043</v>
      </c>
    </row>
    <row r="251">
      <c r="A251" t="inlineStr">
        <is>
          <t>PAY0005809</t>
        </is>
      </c>
      <c r="B251" t="inlineStr">
        <is>
          <t>INV0001540</t>
        </is>
      </c>
      <c r="C251" t="inlineStr">
        <is>
          <t>MER00074</t>
        </is>
      </c>
      <c r="D251" s="8" t="n">
        <v>45621</v>
      </c>
      <c r="E251" t="n">
        <v>928.8099999999999</v>
      </c>
      <c r="F251" t="inlineStr">
        <is>
          <t>UPI</t>
        </is>
      </c>
      <c r="G251" t="inlineStr">
        <is>
          <t>PAYBCQ5SQVLYG</t>
        </is>
      </c>
      <c r="H251" t="inlineStr">
        <is>
          <t>Success</t>
        </is>
      </c>
      <c r="I251" t="inlineStr">
        <is>
          <t>BNKQNCVUVYLVHSY</t>
        </is>
      </c>
      <c r="J251" s="8" t="n">
        <v>45624</v>
      </c>
    </row>
    <row r="252">
      <c r="A252" t="inlineStr">
        <is>
          <t>PAY0005810</t>
        </is>
      </c>
      <c r="B252" t="inlineStr">
        <is>
          <t>INV0001541</t>
        </is>
      </c>
      <c r="C252" t="inlineStr">
        <is>
          <t>MER00074</t>
        </is>
      </c>
      <c r="D252" s="8" t="n">
        <v>45643</v>
      </c>
      <c r="E252" t="n">
        <v>827.9400000000001</v>
      </c>
      <c r="F252" t="inlineStr">
        <is>
          <t>UPI</t>
        </is>
      </c>
      <c r="G252" t="inlineStr">
        <is>
          <t>PAYRWV792PTDQ</t>
        </is>
      </c>
      <c r="H252" t="inlineStr">
        <is>
          <t>Success</t>
        </is>
      </c>
      <c r="I252" t="inlineStr">
        <is>
          <t>BNK2JAEZH5UDXME</t>
        </is>
      </c>
      <c r="J252" s="8" t="n">
        <v>45646</v>
      </c>
    </row>
    <row r="253">
      <c r="A253" t="inlineStr">
        <is>
          <t>PAY0005811</t>
        </is>
      </c>
      <c r="B253" t="inlineStr">
        <is>
          <t>INV0001542</t>
        </is>
      </c>
      <c r="C253" t="inlineStr">
        <is>
          <t>MER00074</t>
        </is>
      </c>
      <c r="D253" s="8" t="n">
        <v>45684</v>
      </c>
      <c r="E253" t="n">
        <v>1705.74</v>
      </c>
      <c r="F253" t="inlineStr">
        <is>
          <t>UPI</t>
        </is>
      </c>
      <c r="G253" t="inlineStr">
        <is>
          <t>PAYTAXWWB6JLE</t>
        </is>
      </c>
      <c r="H253" t="inlineStr">
        <is>
          <t>Success</t>
        </is>
      </c>
      <c r="I253" t="inlineStr">
        <is>
          <t>BNKRL47N2AUH22B</t>
        </is>
      </c>
      <c r="J253" s="8" t="n">
        <v>45685</v>
      </c>
    </row>
    <row r="254">
      <c r="A254" t="inlineStr">
        <is>
          <t>PAY0005812</t>
        </is>
      </c>
      <c r="B254" t="inlineStr">
        <is>
          <t>INV0001543</t>
        </is>
      </c>
      <c r="C254" t="inlineStr">
        <is>
          <t>MER00074</t>
        </is>
      </c>
      <c r="D254" s="8" t="n">
        <v>45706</v>
      </c>
      <c r="E254" t="n">
        <v>1447.45</v>
      </c>
      <c r="F254" t="inlineStr">
        <is>
          <t>Card</t>
        </is>
      </c>
      <c r="G254" t="inlineStr">
        <is>
          <t>PAY9JSQCJ2HZU</t>
        </is>
      </c>
      <c r="H254" t="inlineStr">
        <is>
          <t>Success</t>
        </is>
      </c>
      <c r="I254" t="inlineStr">
        <is>
          <t>BNKZYZST995MSUL</t>
        </is>
      </c>
      <c r="J254" s="8" t="n">
        <v>45708</v>
      </c>
    </row>
    <row r="255">
      <c r="A255" t="inlineStr">
        <is>
          <t>PAY0005813</t>
        </is>
      </c>
      <c r="B255" t="inlineStr">
        <is>
          <t>INV0001544</t>
        </is>
      </c>
      <c r="C255" t="inlineStr">
        <is>
          <t>MER00074</t>
        </is>
      </c>
      <c r="D255" s="8" t="n">
        <v>45736</v>
      </c>
      <c r="E255" t="n">
        <v>819.3099999999999</v>
      </c>
      <c r="F255" t="inlineStr">
        <is>
          <t>UPI</t>
        </is>
      </c>
      <c r="G255" t="inlineStr">
        <is>
          <t>PAYKHP9ATH7JN</t>
        </is>
      </c>
      <c r="H255" t="inlineStr">
        <is>
          <t>Success</t>
        </is>
      </c>
      <c r="I255" t="inlineStr">
        <is>
          <t>BNKFWGDZUEW3C8H</t>
        </is>
      </c>
      <c r="J255" s="8" t="n">
        <v>45739</v>
      </c>
    </row>
    <row r="256">
      <c r="A256" t="inlineStr">
        <is>
          <t>PAY0005814</t>
        </is>
      </c>
      <c r="B256" t="inlineStr">
        <is>
          <t>INV0001546</t>
        </is>
      </c>
      <c r="C256" t="inlineStr">
        <is>
          <t>MER00074</t>
        </is>
      </c>
      <c r="D256" s="8" t="n">
        <v>45794</v>
      </c>
      <c r="E256" t="n">
        <v>552.72</v>
      </c>
      <c r="F256" t="inlineStr">
        <is>
          <t>UPI</t>
        </is>
      </c>
      <c r="G256" t="inlineStr">
        <is>
          <t>PAYW4W9BYXLBS</t>
        </is>
      </c>
      <c r="H256" t="inlineStr">
        <is>
          <t>Success</t>
        </is>
      </c>
      <c r="I256" t="inlineStr">
        <is>
          <t>BNKUC7VUSZTL98Q</t>
        </is>
      </c>
      <c r="J256" s="8" t="n">
        <v>45796</v>
      </c>
    </row>
    <row r="257">
      <c r="A257" t="inlineStr">
        <is>
          <t>PAY0005815</t>
        </is>
      </c>
      <c r="B257" t="inlineStr">
        <is>
          <t>INV0001547</t>
        </is>
      </c>
      <c r="C257" t="inlineStr">
        <is>
          <t>MER00074</t>
        </is>
      </c>
      <c r="D257" s="8" t="n">
        <v>45832</v>
      </c>
      <c r="E257" t="n">
        <v>1100.55</v>
      </c>
      <c r="F257" t="inlineStr">
        <is>
          <t>Card</t>
        </is>
      </c>
      <c r="G257" t="inlineStr">
        <is>
          <t>PAYYWX36LXL8K</t>
        </is>
      </c>
      <c r="H257" t="inlineStr">
        <is>
          <t>Success</t>
        </is>
      </c>
      <c r="I257" t="inlineStr">
        <is>
          <t>BNKUAYFSRNAJWRB</t>
        </is>
      </c>
      <c r="J257" s="8" t="n">
        <v>45834</v>
      </c>
    </row>
    <row r="258">
      <c r="A258" t="inlineStr">
        <is>
          <t>PAY0005816</t>
        </is>
      </c>
      <c r="B258" t="inlineStr">
        <is>
          <t>INV0001550</t>
        </is>
      </c>
      <c r="C258" t="inlineStr">
        <is>
          <t>MER00074</t>
        </is>
      </c>
      <c r="D258" s="8" t="n">
        <v>45921</v>
      </c>
      <c r="E258" t="n">
        <v>1699.74</v>
      </c>
      <c r="F258" t="inlineStr">
        <is>
          <t>UPI</t>
        </is>
      </c>
      <c r="G258" t="inlineStr">
        <is>
          <t>PAY6VT3JVYS5W</t>
        </is>
      </c>
      <c r="H258" t="inlineStr">
        <is>
          <t>Failed</t>
        </is>
      </c>
      <c r="I258" t="inlineStr">
        <is>
          <t>BNKY38JF98QPDJV</t>
        </is>
      </c>
      <c r="J258" s="8" t="n"/>
    </row>
    <row r="259">
      <c r="A259" t="inlineStr">
        <is>
          <t>PAY0005817</t>
        </is>
      </c>
      <c r="B259" t="inlineStr">
        <is>
          <t>INV0001551</t>
        </is>
      </c>
      <c r="C259" t="inlineStr">
        <is>
          <t>MER00074</t>
        </is>
      </c>
      <c r="D259" s="8" t="n">
        <v>45940</v>
      </c>
      <c r="E259" t="n">
        <v>1764.25</v>
      </c>
      <c r="F259" t="inlineStr">
        <is>
          <t>UPI</t>
        </is>
      </c>
      <c r="G259" t="inlineStr">
        <is>
          <t>PAYVKSJGMGC4X</t>
        </is>
      </c>
      <c r="H259" t="inlineStr">
        <is>
          <t>Success</t>
        </is>
      </c>
      <c r="I259" t="inlineStr">
        <is>
          <t>BNKJC7B9LE4AE4H</t>
        </is>
      </c>
      <c r="J259" s="8" t="n">
        <v>45941</v>
      </c>
    </row>
    <row r="260">
      <c r="A260" t="inlineStr">
        <is>
          <t>PAY0005818</t>
        </is>
      </c>
      <c r="B260" t="inlineStr">
        <is>
          <t>INV0001552</t>
        </is>
      </c>
      <c r="C260" t="inlineStr">
        <is>
          <t>MER00074</t>
        </is>
      </c>
      <c r="D260" s="8" t="n">
        <v>45988</v>
      </c>
      <c r="E260" t="n">
        <v>1022</v>
      </c>
      <c r="F260" t="inlineStr">
        <is>
          <t>Wallet</t>
        </is>
      </c>
      <c r="G260" t="inlineStr">
        <is>
          <t>PAYKMHS4EDBZS</t>
        </is>
      </c>
      <c r="H260" t="inlineStr">
        <is>
          <t>Success</t>
        </is>
      </c>
      <c r="I260" t="inlineStr">
        <is>
          <t>BNKCY38A8WTYCBR</t>
        </is>
      </c>
      <c r="J260" s="8" t="n">
        <v>45989</v>
      </c>
    </row>
    <row r="261">
      <c r="A261" t="inlineStr">
        <is>
          <t>PAY0005819</t>
        </is>
      </c>
      <c r="B261" t="inlineStr">
        <is>
          <t>INV0001553</t>
        </is>
      </c>
      <c r="C261" t="inlineStr">
        <is>
          <t>MER00074</t>
        </is>
      </c>
      <c r="D261" s="8" t="n">
        <v>46007</v>
      </c>
      <c r="E261" t="n">
        <v>2817.5</v>
      </c>
      <c r="F261" t="inlineStr">
        <is>
          <t>Card</t>
        </is>
      </c>
      <c r="G261" t="inlineStr">
        <is>
          <t>PAYY2CRAAYJ7C</t>
        </is>
      </c>
      <c r="H261" t="inlineStr">
        <is>
          <t>Success</t>
        </is>
      </c>
      <c r="I261" t="inlineStr">
        <is>
          <t>BNKJMJPXLLVW79M</t>
        </is>
      </c>
      <c r="J261" s="8" t="n">
        <v>46008</v>
      </c>
    </row>
    <row r="262">
      <c r="A262" t="inlineStr">
        <is>
          <t>PAY0005820</t>
        </is>
      </c>
      <c r="B262" t="inlineStr">
        <is>
          <t>INV0001554</t>
        </is>
      </c>
      <c r="C262" t="inlineStr">
        <is>
          <t>MER00074</t>
        </is>
      </c>
      <c r="D262" s="8" t="n">
        <v>46037</v>
      </c>
      <c r="E262" t="n">
        <v>2890.03</v>
      </c>
      <c r="F262" t="inlineStr">
        <is>
          <t>UPI</t>
        </is>
      </c>
      <c r="G262" t="inlineStr">
        <is>
          <t>PAYZVK7L2SF6Q</t>
        </is>
      </c>
      <c r="H262" t="inlineStr">
        <is>
          <t>Success</t>
        </is>
      </c>
      <c r="I262" t="inlineStr">
        <is>
          <t>BNKQCZS7Z2AVB32</t>
        </is>
      </c>
      <c r="J262" s="8" t="n">
        <v>46039</v>
      </c>
    </row>
    <row r="263">
      <c r="A263" t="inlineStr">
        <is>
          <t>PAY0005821</t>
        </is>
      </c>
      <c r="B263" t="inlineStr">
        <is>
          <t>INV0001555</t>
        </is>
      </c>
      <c r="C263" t="inlineStr">
        <is>
          <t>MER00074</t>
        </is>
      </c>
      <c r="D263" s="8" t="n">
        <v>46083</v>
      </c>
      <c r="E263" t="n">
        <v>1414.81</v>
      </c>
      <c r="F263" t="inlineStr">
        <is>
          <t>UPI</t>
        </is>
      </c>
      <c r="G263" t="inlineStr">
        <is>
          <t>PAYRN3ABXS8XR</t>
        </is>
      </c>
      <c r="H263" t="inlineStr">
        <is>
          <t>Success</t>
        </is>
      </c>
      <c r="I263" t="inlineStr">
        <is>
          <t>BNK5GCB5HZSKCK7</t>
        </is>
      </c>
      <c r="J263" s="8" t="n">
        <v>46085</v>
      </c>
    </row>
    <row r="264">
      <c r="A264" t="inlineStr">
        <is>
          <t>PAY0005822</t>
        </is>
      </c>
      <c r="B264" t="inlineStr">
        <is>
          <t>INV0001556</t>
        </is>
      </c>
      <c r="C264" t="inlineStr">
        <is>
          <t>MER00074</t>
        </is>
      </c>
      <c r="D264" s="8" t="n">
        <v>46105</v>
      </c>
      <c r="E264" t="n">
        <v>3349.1</v>
      </c>
      <c r="F264" t="inlineStr">
        <is>
          <t>UPI</t>
        </is>
      </c>
      <c r="G264" t="inlineStr">
        <is>
          <t>PAY3THRUGWSYG</t>
        </is>
      </c>
      <c r="H264" t="inlineStr">
        <is>
          <t>Success</t>
        </is>
      </c>
      <c r="I264" t="inlineStr">
        <is>
          <t>BNKEWAA92STS7UD</t>
        </is>
      </c>
      <c r="J264" s="8" t="n">
        <v>46108</v>
      </c>
    </row>
    <row r="265">
      <c r="A265" t="inlineStr">
        <is>
          <t>PAY0005823</t>
        </is>
      </c>
      <c r="B265" t="inlineStr">
        <is>
          <t>INV0001558</t>
        </is>
      </c>
      <c r="C265" t="inlineStr">
        <is>
          <t>MER00074</t>
        </is>
      </c>
      <c r="D265" s="8" t="n">
        <v>46170</v>
      </c>
      <c r="E265" t="n">
        <v>1990.15</v>
      </c>
      <c r="F265" t="inlineStr">
        <is>
          <t>UPI</t>
        </is>
      </c>
      <c r="G265" t="inlineStr">
        <is>
          <t>PAYD9KL6A54J7</t>
        </is>
      </c>
      <c r="H265" t="inlineStr">
        <is>
          <t>Success</t>
        </is>
      </c>
      <c r="I265" t="inlineStr">
        <is>
          <t>BNKKWQCHQZA5VEC</t>
        </is>
      </c>
      <c r="J265" s="8" t="n">
        <v>46173</v>
      </c>
    </row>
    <row r="266">
      <c r="A266" t="inlineStr">
        <is>
          <t>PAY0005824</t>
        </is>
      </c>
      <c r="B266" t="inlineStr">
        <is>
          <t>INV0001559</t>
        </is>
      </c>
      <c r="C266" t="inlineStr">
        <is>
          <t>MER00074</t>
        </is>
      </c>
      <c r="D266" s="8" t="n">
        <v>46202</v>
      </c>
      <c r="E266" t="n">
        <v>2655.76</v>
      </c>
      <c r="F266" t="inlineStr">
        <is>
          <t>Card</t>
        </is>
      </c>
      <c r="G266" t="inlineStr">
        <is>
          <t>PAY9Z3QBE7L3F</t>
        </is>
      </c>
      <c r="H266" t="inlineStr">
        <is>
          <t>Success</t>
        </is>
      </c>
      <c r="I266" t="inlineStr">
        <is>
          <t>BNKRL7STLMK7PQB</t>
        </is>
      </c>
      <c r="J266" s="8" t="n">
        <v>46205</v>
      </c>
    </row>
    <row r="267">
      <c r="A267" t="inlineStr">
        <is>
          <t>PAY0005825</t>
        </is>
      </c>
      <c r="B267" t="inlineStr">
        <is>
          <t>INV0001560</t>
        </is>
      </c>
      <c r="C267" t="inlineStr">
        <is>
          <t>MER00074</t>
        </is>
      </c>
      <c r="D267" s="8" t="n">
        <v>46214</v>
      </c>
      <c r="E267" t="n">
        <v>1147.68</v>
      </c>
      <c r="F267" t="inlineStr">
        <is>
          <t>UPI</t>
        </is>
      </c>
      <c r="G267" t="inlineStr">
        <is>
          <t>PAYM7KSRGQQEG</t>
        </is>
      </c>
      <c r="H267" t="inlineStr">
        <is>
          <t>Success</t>
        </is>
      </c>
      <c r="I267" t="inlineStr">
        <is>
          <t>BNKSU67C7Z9MSYY</t>
        </is>
      </c>
      <c r="J267" s="8" t="n">
        <v>46215</v>
      </c>
    </row>
    <row r="268">
      <c r="A268" t="inlineStr">
        <is>
          <t>PAY0007676</t>
        </is>
      </c>
      <c r="B268" t="inlineStr">
        <is>
          <t>INV0008006</t>
        </is>
      </c>
      <c r="C268" t="inlineStr">
        <is>
          <t>MER00381</t>
        </is>
      </c>
      <c r="D268" s="8" t="n">
        <v>45556</v>
      </c>
      <c r="E268" t="n">
        <v>97.03</v>
      </c>
      <c r="F268" t="inlineStr">
        <is>
          <t>NetBanking</t>
        </is>
      </c>
      <c r="G268" t="inlineStr">
        <is>
          <t>PAYX6BNTZNDSL</t>
        </is>
      </c>
      <c r="H268" t="inlineStr">
        <is>
          <t>Success</t>
        </is>
      </c>
      <c r="I268" t="inlineStr">
        <is>
          <t>BNK8VN6EMLVZEBN</t>
        </is>
      </c>
      <c r="J268" s="8" t="n">
        <v>45558</v>
      </c>
    </row>
    <row r="269">
      <c r="A269" t="inlineStr">
        <is>
          <t>PAY0007677</t>
        </is>
      </c>
      <c r="B269" t="inlineStr">
        <is>
          <t>INV0008007</t>
        </is>
      </c>
      <c r="C269" t="inlineStr">
        <is>
          <t>MER00381</t>
        </is>
      </c>
      <c r="D269" s="8" t="n">
        <v>45574</v>
      </c>
      <c r="E269" t="n">
        <v>61.64</v>
      </c>
      <c r="F269" t="inlineStr">
        <is>
          <t>UPI</t>
        </is>
      </c>
      <c r="G269" t="inlineStr">
        <is>
          <t>PAYWZ857ZBERZ</t>
        </is>
      </c>
      <c r="H269" t="inlineStr">
        <is>
          <t>Success</t>
        </is>
      </c>
      <c r="I269" t="inlineStr">
        <is>
          <t>BNKXKT9SXCA26GF</t>
        </is>
      </c>
      <c r="J269" s="8" t="n">
        <v>45577</v>
      </c>
    </row>
    <row r="270">
      <c r="A270" t="inlineStr">
        <is>
          <t>PAY0007678</t>
        </is>
      </c>
      <c r="B270" t="inlineStr">
        <is>
          <t>INV0008008</t>
        </is>
      </c>
      <c r="C270" t="inlineStr">
        <is>
          <t>MER00381</t>
        </is>
      </c>
      <c r="D270" s="8" t="n">
        <v>45613</v>
      </c>
      <c r="E270" t="n">
        <v>314.92</v>
      </c>
      <c r="F270" t="inlineStr">
        <is>
          <t>Wallet</t>
        </is>
      </c>
      <c r="G270" t="inlineStr">
        <is>
          <t>PAYDAFHQKWRM6</t>
        </is>
      </c>
      <c r="H270" t="inlineStr">
        <is>
          <t>Success</t>
        </is>
      </c>
      <c r="I270" t="inlineStr">
        <is>
          <t>BNKVLQ63TPBDDJ5</t>
        </is>
      </c>
      <c r="J270" s="8" t="n">
        <v>45615</v>
      </c>
    </row>
    <row r="271">
      <c r="A271" t="inlineStr">
        <is>
          <t>PAY0007679</t>
        </is>
      </c>
      <c r="B271" t="inlineStr">
        <is>
          <t>INV0008010</t>
        </is>
      </c>
      <c r="C271" t="inlineStr">
        <is>
          <t>MER00381</t>
        </is>
      </c>
      <c r="D271" s="8" t="n">
        <v>45686</v>
      </c>
      <c r="E271" t="n">
        <v>192.51</v>
      </c>
      <c r="F271" t="inlineStr">
        <is>
          <t>NetBanking</t>
        </is>
      </c>
      <c r="G271" t="inlineStr">
        <is>
          <t>PAYUH5SKN833P</t>
        </is>
      </c>
      <c r="H271" t="inlineStr">
        <is>
          <t>Success</t>
        </is>
      </c>
      <c r="I271" t="inlineStr">
        <is>
          <t>BNKYFL4R9AX68M4</t>
        </is>
      </c>
      <c r="J271" s="8" t="n">
        <v>45688</v>
      </c>
    </row>
    <row r="272">
      <c r="A272" t="inlineStr">
        <is>
          <t>PAY0007680</t>
        </is>
      </c>
      <c r="B272" t="inlineStr">
        <is>
          <t>INV0008012</t>
        </is>
      </c>
      <c r="C272" t="inlineStr">
        <is>
          <t>MER00381</t>
        </is>
      </c>
      <c r="D272" s="8" t="n">
        <v>45730</v>
      </c>
      <c r="E272" t="n">
        <v>225.33</v>
      </c>
      <c r="F272" t="inlineStr">
        <is>
          <t>UPI</t>
        </is>
      </c>
      <c r="G272" t="inlineStr">
        <is>
          <t>PAY8XPVQM32PV</t>
        </is>
      </c>
      <c r="H272" t="inlineStr">
        <is>
          <t>Success</t>
        </is>
      </c>
      <c r="I272" t="inlineStr">
        <is>
          <t>BNKMSJDXDVU77V9</t>
        </is>
      </c>
      <c r="J272" s="8" t="n">
        <v>45733</v>
      </c>
    </row>
    <row r="273">
      <c r="A273" t="inlineStr">
        <is>
          <t>PAY0007681</t>
        </is>
      </c>
      <c r="B273" t="inlineStr">
        <is>
          <t>INV0008013</t>
        </is>
      </c>
      <c r="C273" t="inlineStr">
        <is>
          <t>MER00381</t>
        </is>
      </c>
      <c r="D273" s="8" t="n">
        <v>45756</v>
      </c>
      <c r="E273" t="n">
        <v>196.09</v>
      </c>
      <c r="F273" t="inlineStr">
        <is>
          <t>UPI</t>
        </is>
      </c>
      <c r="G273" t="inlineStr">
        <is>
          <t>PAYSY4W8J3B9J</t>
        </is>
      </c>
      <c r="H273" t="inlineStr">
        <is>
          <t>Success</t>
        </is>
      </c>
      <c r="I273" t="inlineStr">
        <is>
          <t>BNKJE6CBCGDXDE2</t>
        </is>
      </c>
      <c r="J273" s="8" t="n">
        <v>45758</v>
      </c>
    </row>
    <row r="274">
      <c r="A274" t="inlineStr">
        <is>
          <t>PAY0007682</t>
        </is>
      </c>
      <c r="B274" t="inlineStr">
        <is>
          <t>INV0008014</t>
        </is>
      </c>
      <c r="C274" t="inlineStr">
        <is>
          <t>MER00381</t>
        </is>
      </c>
      <c r="D274" s="8" t="n">
        <v>45803</v>
      </c>
      <c r="E274" t="n">
        <v>174.35</v>
      </c>
      <c r="F274" t="inlineStr">
        <is>
          <t>UPI</t>
        </is>
      </c>
      <c r="G274" t="inlineStr">
        <is>
          <t>PAY2SXKKLCPTT</t>
        </is>
      </c>
      <c r="H274" t="inlineStr">
        <is>
          <t>Success</t>
        </is>
      </c>
      <c r="I274" t="inlineStr">
        <is>
          <t>BNKALCGMNCYXZHL</t>
        </is>
      </c>
      <c r="J274" s="8" t="n">
        <v>45805</v>
      </c>
    </row>
    <row r="275">
      <c r="A275" t="inlineStr">
        <is>
          <t>PAY0007683</t>
        </is>
      </c>
      <c r="B275" t="inlineStr">
        <is>
          <t>INV0008015</t>
        </is>
      </c>
      <c r="C275" t="inlineStr">
        <is>
          <t>MER00381</t>
        </is>
      </c>
      <c r="D275" s="8" t="n">
        <v>45834</v>
      </c>
      <c r="E275" t="n">
        <v>210.35</v>
      </c>
      <c r="F275" t="inlineStr">
        <is>
          <t>UPI</t>
        </is>
      </c>
      <c r="G275" t="inlineStr">
        <is>
          <t>PAYRRS3LW8X6U</t>
        </is>
      </c>
      <c r="H275" t="inlineStr">
        <is>
          <t>Failed</t>
        </is>
      </c>
      <c r="I275" t="inlineStr">
        <is>
          <t>BNKVFUAL9QKQVVN</t>
        </is>
      </c>
      <c r="J275" s="8" t="n"/>
    </row>
    <row r="276">
      <c r="A276" t="inlineStr">
        <is>
          <t>PAY0007684</t>
        </is>
      </c>
      <c r="B276" t="inlineStr">
        <is>
          <t>INV0008016</t>
        </is>
      </c>
      <c r="C276" t="inlineStr">
        <is>
          <t>MER00381</t>
        </is>
      </c>
      <c r="D276" s="8" t="n">
        <v>45866</v>
      </c>
      <c r="E276" t="n">
        <v>97.17</v>
      </c>
      <c r="F276" t="inlineStr">
        <is>
          <t>Card</t>
        </is>
      </c>
      <c r="G276" t="inlineStr">
        <is>
          <t>PAYYCUTPF563W</t>
        </is>
      </c>
      <c r="H276" t="inlineStr">
        <is>
          <t>Success</t>
        </is>
      </c>
      <c r="I276" t="inlineStr">
        <is>
          <t>BNKLMQFFJXUXCTJ</t>
        </is>
      </c>
      <c r="J276" s="8" t="n">
        <v>45868</v>
      </c>
    </row>
    <row r="277">
      <c r="A277" t="inlineStr">
        <is>
          <t>PAY0007685</t>
        </is>
      </c>
      <c r="B277" t="inlineStr">
        <is>
          <t>INV0008017</t>
        </is>
      </c>
      <c r="C277" t="inlineStr">
        <is>
          <t>MER00381</t>
        </is>
      </c>
      <c r="D277" s="8" t="n">
        <v>45884</v>
      </c>
      <c r="E277" t="n">
        <v>195.92</v>
      </c>
      <c r="F277" t="inlineStr">
        <is>
          <t>UPI</t>
        </is>
      </c>
      <c r="G277" t="inlineStr">
        <is>
          <t>PAYUDHKCGVCLF</t>
        </is>
      </c>
      <c r="H277" t="inlineStr">
        <is>
          <t>Success</t>
        </is>
      </c>
      <c r="I277" t="inlineStr">
        <is>
          <t>BNKFQXKWD8AH7HC</t>
        </is>
      </c>
      <c r="J277" s="8" t="n">
        <v>45885</v>
      </c>
    </row>
    <row r="278">
      <c r="A278" t="inlineStr">
        <is>
          <t>PAY0007686</t>
        </is>
      </c>
      <c r="B278" t="inlineStr">
        <is>
          <t>INV0008018</t>
        </is>
      </c>
      <c r="C278" t="inlineStr">
        <is>
          <t>MER00381</t>
        </is>
      </c>
      <c r="D278" s="8" t="n">
        <v>45928</v>
      </c>
      <c r="E278" t="n">
        <v>153.69</v>
      </c>
      <c r="F278" t="inlineStr">
        <is>
          <t>UPI</t>
        </is>
      </c>
      <c r="G278" t="inlineStr">
        <is>
          <t>PAYJUUCKXWGSL</t>
        </is>
      </c>
      <c r="H278" t="inlineStr">
        <is>
          <t>Success</t>
        </is>
      </c>
      <c r="I278" t="inlineStr">
        <is>
          <t>BNKSEH56FVWJ4KK</t>
        </is>
      </c>
      <c r="J278" s="8" t="n">
        <v>45930</v>
      </c>
    </row>
    <row r="279">
      <c r="A279" t="inlineStr">
        <is>
          <t>PAY0007687</t>
        </is>
      </c>
      <c r="B279" t="inlineStr">
        <is>
          <t>INV0008019</t>
        </is>
      </c>
      <c r="C279" t="inlineStr">
        <is>
          <t>MER00381</t>
        </is>
      </c>
      <c r="D279" s="8" t="n">
        <v>45961</v>
      </c>
      <c r="E279" t="n">
        <v>148.34</v>
      </c>
      <c r="F279" t="inlineStr">
        <is>
          <t>UPI</t>
        </is>
      </c>
      <c r="G279" t="inlineStr">
        <is>
          <t>PAYCLQF64QRKM</t>
        </is>
      </c>
      <c r="H279" t="inlineStr">
        <is>
          <t>Success</t>
        </is>
      </c>
      <c r="I279" t="inlineStr">
        <is>
          <t>BNK8LJX4L3Q65J9</t>
        </is>
      </c>
      <c r="J279" s="8" t="n">
        <v>45962</v>
      </c>
    </row>
    <row r="280">
      <c r="A280" t="inlineStr">
        <is>
          <t>PAY0007688</t>
        </is>
      </c>
      <c r="B280" t="inlineStr">
        <is>
          <t>INV0008020</t>
        </is>
      </c>
      <c r="C280" t="inlineStr">
        <is>
          <t>MER00381</t>
        </is>
      </c>
      <c r="D280" s="8" t="n">
        <v>45986</v>
      </c>
      <c r="E280" t="n">
        <v>392.57</v>
      </c>
      <c r="F280" t="inlineStr">
        <is>
          <t>UPI</t>
        </is>
      </c>
      <c r="G280" t="inlineStr">
        <is>
          <t>PAYQ8A9NLJRPE</t>
        </is>
      </c>
      <c r="H280" t="inlineStr">
        <is>
          <t>Success</t>
        </is>
      </c>
      <c r="I280" t="inlineStr">
        <is>
          <t>BNKEVH4E5YNRQMA</t>
        </is>
      </c>
      <c r="J280" s="8" t="n">
        <v>45987</v>
      </c>
    </row>
    <row r="281">
      <c r="A281" t="inlineStr">
        <is>
          <t>PAY0007689</t>
        </is>
      </c>
      <c r="B281" t="inlineStr">
        <is>
          <t>INV0008021</t>
        </is>
      </c>
      <c r="C281" t="inlineStr">
        <is>
          <t>MER00381</t>
        </is>
      </c>
      <c r="D281" s="8" t="n">
        <v>46013</v>
      </c>
      <c r="E281" t="n">
        <v>151.19</v>
      </c>
      <c r="F281" t="inlineStr">
        <is>
          <t>NetBanking</t>
        </is>
      </c>
      <c r="G281" t="inlineStr">
        <is>
          <t>PAY98M6DKGUTZ</t>
        </is>
      </c>
      <c r="H281" t="inlineStr">
        <is>
          <t>Success</t>
        </is>
      </c>
      <c r="I281" t="inlineStr">
        <is>
          <t>BNKM2VTJRAU6F2B</t>
        </is>
      </c>
      <c r="J281" s="8" t="n">
        <v>46014</v>
      </c>
    </row>
    <row r="282">
      <c r="A282" t="inlineStr">
        <is>
          <t>PAY0007690</t>
        </is>
      </c>
      <c r="B282" t="inlineStr">
        <is>
          <t>INV0008024</t>
        </is>
      </c>
      <c r="C282" t="inlineStr">
        <is>
          <t>MER00381</t>
        </is>
      </c>
      <c r="D282" s="8" t="n">
        <v>46105</v>
      </c>
      <c r="E282" t="n">
        <v>176.36</v>
      </c>
      <c r="F282" t="inlineStr">
        <is>
          <t>UPI</t>
        </is>
      </c>
      <c r="G282" t="inlineStr">
        <is>
          <t>PAYFDTY4Z3UMN</t>
        </is>
      </c>
      <c r="H282" t="inlineStr">
        <is>
          <t>Success</t>
        </is>
      </c>
      <c r="I282" t="inlineStr">
        <is>
          <t>BNK7QMVM29TK58U</t>
        </is>
      </c>
      <c r="J282" s="8" t="n">
        <v>46106</v>
      </c>
    </row>
    <row r="283">
      <c r="A283" t="inlineStr">
        <is>
          <t>PAY0007691</t>
        </is>
      </c>
      <c r="B283" t="inlineStr">
        <is>
          <t>INV0008025</t>
        </is>
      </c>
      <c r="C283" t="inlineStr">
        <is>
          <t>MER00381</t>
        </is>
      </c>
      <c r="D283" s="8" t="n">
        <v>46119</v>
      </c>
      <c r="E283" t="n">
        <v>241.91</v>
      </c>
      <c r="F283" t="inlineStr">
        <is>
          <t>COD</t>
        </is>
      </c>
      <c r="G283" t="inlineStr">
        <is>
          <t>PAY5N9MLLV5N5</t>
        </is>
      </c>
      <c r="H283" t="inlineStr">
        <is>
          <t>Success</t>
        </is>
      </c>
      <c r="I283" t="inlineStr">
        <is>
          <t>BNKCKLDT9LRE3BK</t>
        </is>
      </c>
      <c r="J283" s="8" t="n">
        <v>46120</v>
      </c>
    </row>
    <row r="284">
      <c r="A284" t="inlineStr">
        <is>
          <t>PAY0007692</t>
        </is>
      </c>
      <c r="B284" t="inlineStr">
        <is>
          <t>INV0008028</t>
        </is>
      </c>
      <c r="C284" t="inlineStr">
        <is>
          <t>MER00381</t>
        </is>
      </c>
      <c r="D284" s="8" t="n">
        <v>46226</v>
      </c>
      <c r="E284" t="n">
        <v>85.09</v>
      </c>
      <c r="F284" t="inlineStr">
        <is>
          <t>UPI</t>
        </is>
      </c>
      <c r="G284" t="inlineStr">
        <is>
          <t>PAYEFZ4MTVUF5</t>
        </is>
      </c>
      <c r="H284" t="inlineStr">
        <is>
          <t>Success</t>
        </is>
      </c>
      <c r="I284" t="inlineStr">
        <is>
          <t>BNKJW5KWBQ2DZBV</t>
        </is>
      </c>
      <c r="J284" s="8" t="n">
        <v>46229</v>
      </c>
    </row>
    <row r="285">
      <c r="A285" t="inlineStr">
        <is>
          <t>PAY0007693</t>
        </is>
      </c>
      <c r="B285" t="inlineStr">
        <is>
          <t>INV0008029</t>
        </is>
      </c>
      <c r="C285" t="inlineStr">
        <is>
          <t>MER00381</t>
        </is>
      </c>
      <c r="D285" s="8" t="n">
        <v>46254</v>
      </c>
      <c r="E285" t="n">
        <v>135.29</v>
      </c>
      <c r="F285" t="inlineStr">
        <is>
          <t>UPI</t>
        </is>
      </c>
      <c r="G285" t="inlineStr">
        <is>
          <t>PAYNCFSUNUZXU</t>
        </is>
      </c>
      <c r="H285" t="inlineStr">
        <is>
          <t>Success</t>
        </is>
      </c>
      <c r="I285" t="inlineStr">
        <is>
          <t>BNKJZLKFE93RMWM</t>
        </is>
      </c>
      <c r="J285" s="8" t="n">
        <v>46257</v>
      </c>
    </row>
    <row r="286">
      <c r="A286" t="inlineStr">
        <is>
          <t>PAY0008187</t>
        </is>
      </c>
      <c r="B286" t="inlineStr">
        <is>
          <t>INV0009635</t>
        </is>
      </c>
      <c r="C286" t="inlineStr">
        <is>
          <t>MER00457</t>
        </is>
      </c>
      <c r="D286" s="8" t="n">
        <v>45555</v>
      </c>
      <c r="E286" t="n">
        <v>766.4299999999999</v>
      </c>
      <c r="F286" t="inlineStr">
        <is>
          <t>Wallet</t>
        </is>
      </c>
      <c r="G286" t="inlineStr">
        <is>
          <t>PAY6BW7EDN6PP</t>
        </is>
      </c>
      <c r="H286" t="inlineStr">
        <is>
          <t>Success</t>
        </is>
      </c>
      <c r="I286" t="inlineStr">
        <is>
          <t>BNKAR4KBAWMMPL5</t>
        </is>
      </c>
      <c r="J286" s="8" t="n">
        <v>45557</v>
      </c>
    </row>
    <row r="287">
      <c r="A287" t="inlineStr">
        <is>
          <t>PAY0008188</t>
        </is>
      </c>
      <c r="B287" t="inlineStr">
        <is>
          <t>INV0009637</t>
        </is>
      </c>
      <c r="C287" t="inlineStr">
        <is>
          <t>MER00457</t>
        </is>
      </c>
      <c r="D287" s="8" t="n">
        <v>45618</v>
      </c>
      <c r="E287" t="n">
        <v>1689.49</v>
      </c>
      <c r="F287" t="inlineStr">
        <is>
          <t>UPI</t>
        </is>
      </c>
      <c r="G287" t="inlineStr">
        <is>
          <t>PAYAQYF5G5ZBC</t>
        </is>
      </c>
      <c r="H287" t="inlineStr">
        <is>
          <t>Success</t>
        </is>
      </c>
      <c r="I287" t="inlineStr">
        <is>
          <t>BNK8JA9MKN8V96T</t>
        </is>
      </c>
      <c r="J287" s="8" t="n">
        <v>45619</v>
      </c>
    </row>
    <row r="288">
      <c r="A288" t="inlineStr">
        <is>
          <t>PAY0008189</t>
        </is>
      </c>
      <c r="B288" t="inlineStr">
        <is>
          <t>INV0009638</t>
        </is>
      </c>
      <c r="C288" t="inlineStr">
        <is>
          <t>MER00457</t>
        </is>
      </c>
      <c r="D288" s="8" t="n">
        <v>45640</v>
      </c>
      <c r="E288" t="n">
        <v>1586.39</v>
      </c>
      <c r="F288" t="inlineStr">
        <is>
          <t>NetBanking</t>
        </is>
      </c>
      <c r="G288" t="inlineStr">
        <is>
          <t>PAYSW6XAWYL3P</t>
        </is>
      </c>
      <c r="H288" t="inlineStr">
        <is>
          <t>Success</t>
        </is>
      </c>
      <c r="I288" t="inlineStr">
        <is>
          <t>BNK58UVXNDUG96U</t>
        </is>
      </c>
      <c r="J288" s="8" t="n">
        <v>45643</v>
      </c>
    </row>
    <row r="289">
      <c r="A289" t="inlineStr">
        <is>
          <t>PAY0008190</t>
        </is>
      </c>
      <c r="B289" t="inlineStr">
        <is>
          <t>INV0009640</t>
        </is>
      </c>
      <c r="C289" t="inlineStr">
        <is>
          <t>MER00457</t>
        </is>
      </c>
      <c r="D289" s="8" t="n">
        <v>45705</v>
      </c>
      <c r="E289" t="n">
        <v>1390.11</v>
      </c>
      <c r="F289" t="inlineStr">
        <is>
          <t>Card</t>
        </is>
      </c>
      <c r="G289" t="inlineStr">
        <is>
          <t>PAY2WEXWNX786</t>
        </is>
      </c>
      <c r="H289" t="inlineStr">
        <is>
          <t>Success</t>
        </is>
      </c>
      <c r="I289" t="inlineStr">
        <is>
          <t>BNKMUSKMV9M6UMH</t>
        </is>
      </c>
      <c r="J289" s="8" t="n">
        <v>45706</v>
      </c>
    </row>
    <row r="290">
      <c r="A290" t="inlineStr">
        <is>
          <t>PAY0008191</t>
        </is>
      </c>
      <c r="B290" t="inlineStr">
        <is>
          <t>INV0009641</t>
        </is>
      </c>
      <c r="C290" t="inlineStr">
        <is>
          <t>MER00457</t>
        </is>
      </c>
      <c r="D290" s="8" t="n">
        <v>45734</v>
      </c>
      <c r="E290" t="n">
        <v>1007.35</v>
      </c>
      <c r="F290" t="inlineStr">
        <is>
          <t>UPI</t>
        </is>
      </c>
      <c r="G290" t="inlineStr">
        <is>
          <t>PAYBPC3V7HR8Y</t>
        </is>
      </c>
      <c r="H290" t="inlineStr">
        <is>
          <t>Success</t>
        </is>
      </c>
      <c r="I290" t="inlineStr">
        <is>
          <t>BNK852AAKFVX24V</t>
        </is>
      </c>
      <c r="J290" s="8" t="n">
        <v>45735</v>
      </c>
    </row>
    <row r="291">
      <c r="A291" t="inlineStr">
        <is>
          <t>PAY0008192</t>
        </is>
      </c>
      <c r="B291" t="inlineStr">
        <is>
          <t>INV0009642</t>
        </is>
      </c>
      <c r="C291" t="inlineStr">
        <is>
          <t>MER00457</t>
        </is>
      </c>
      <c r="D291" s="8" t="n">
        <v>45777</v>
      </c>
      <c r="E291" t="n">
        <v>1258.87</v>
      </c>
      <c r="F291" t="inlineStr">
        <is>
          <t>NetBanking</t>
        </is>
      </c>
      <c r="G291" t="inlineStr">
        <is>
          <t>PAYV2BNQTLWL6</t>
        </is>
      </c>
      <c r="H291" t="inlineStr">
        <is>
          <t>Success</t>
        </is>
      </c>
      <c r="I291" t="inlineStr">
        <is>
          <t>BNKRDFKLCMGXPE9</t>
        </is>
      </c>
      <c r="J291" s="8" t="n">
        <v>45779</v>
      </c>
    </row>
    <row r="292">
      <c r="A292" t="inlineStr">
        <is>
          <t>PAY0008193</t>
        </is>
      </c>
      <c r="B292" t="inlineStr">
        <is>
          <t>INV0009643</t>
        </is>
      </c>
      <c r="C292" t="inlineStr">
        <is>
          <t>MER00457</t>
        </is>
      </c>
      <c r="D292" s="8" t="n">
        <v>45784</v>
      </c>
      <c r="E292" t="n">
        <v>232.15</v>
      </c>
      <c r="F292" t="inlineStr">
        <is>
          <t>UPI</t>
        </is>
      </c>
      <c r="G292" t="inlineStr">
        <is>
          <t>PAYU2XMY4TTZ7</t>
        </is>
      </c>
      <c r="H292" t="inlineStr">
        <is>
          <t>Success</t>
        </is>
      </c>
      <c r="I292" t="inlineStr">
        <is>
          <t>BNKA7GC9FJL7ZH8</t>
        </is>
      </c>
      <c r="J292" s="8" t="n">
        <v>45787</v>
      </c>
    </row>
    <row r="293">
      <c r="A293" t="inlineStr">
        <is>
          <t>PAY0008194</t>
        </is>
      </c>
      <c r="B293" t="inlineStr">
        <is>
          <t>INV0009644</t>
        </is>
      </c>
      <c r="C293" t="inlineStr">
        <is>
          <t>MER00457</t>
        </is>
      </c>
      <c r="D293" s="8" t="n">
        <v>45820</v>
      </c>
      <c r="E293" t="n">
        <v>1069.19</v>
      </c>
      <c r="F293" t="inlineStr">
        <is>
          <t>Card</t>
        </is>
      </c>
      <c r="G293" t="inlineStr">
        <is>
          <t>PAYATZRYH55KS</t>
        </is>
      </c>
      <c r="H293" t="inlineStr">
        <is>
          <t>Success</t>
        </is>
      </c>
      <c r="I293" t="inlineStr">
        <is>
          <t>BNK2PK6R7P398TB</t>
        </is>
      </c>
      <c r="J293" s="8" t="n">
        <v>45822</v>
      </c>
    </row>
    <row r="294">
      <c r="A294" t="inlineStr">
        <is>
          <t>PAY0008195</t>
        </is>
      </c>
      <c r="B294" t="inlineStr">
        <is>
          <t>INV0009645</t>
        </is>
      </c>
      <c r="C294" t="inlineStr">
        <is>
          <t>MER00457</t>
        </is>
      </c>
      <c r="D294" s="8" t="n">
        <v>45859</v>
      </c>
      <c r="E294" t="n">
        <v>602.8099999999999</v>
      </c>
      <c r="F294" t="inlineStr">
        <is>
          <t>Card</t>
        </is>
      </c>
      <c r="G294" t="inlineStr">
        <is>
          <t>PAYA5GQ2AAX75</t>
        </is>
      </c>
      <c r="H294" t="inlineStr">
        <is>
          <t>Success</t>
        </is>
      </c>
      <c r="I294" t="inlineStr">
        <is>
          <t>BNK2MAKMY226HUT</t>
        </is>
      </c>
      <c r="J294" s="8" t="n">
        <v>45860</v>
      </c>
    </row>
    <row r="295">
      <c r="A295" t="inlineStr">
        <is>
          <t>PAY0008196</t>
        </is>
      </c>
      <c r="B295" t="inlineStr">
        <is>
          <t>INV0009646</t>
        </is>
      </c>
      <c r="C295" t="inlineStr">
        <is>
          <t>MER00457</t>
        </is>
      </c>
      <c r="D295" s="8" t="n">
        <v>45895</v>
      </c>
      <c r="E295" t="n">
        <v>543.73</v>
      </c>
      <c r="F295" t="inlineStr">
        <is>
          <t>Card</t>
        </is>
      </c>
      <c r="G295" t="inlineStr">
        <is>
          <t>PAYXLX59BXWZY</t>
        </is>
      </c>
      <c r="H295" t="inlineStr">
        <is>
          <t>Success</t>
        </is>
      </c>
      <c r="I295" t="inlineStr">
        <is>
          <t>BNKKAQ36E229UMA</t>
        </is>
      </c>
      <c r="J295" s="8" t="n">
        <v>45896</v>
      </c>
    </row>
    <row r="296">
      <c r="A296" t="inlineStr">
        <is>
          <t>PAY0008197</t>
        </is>
      </c>
      <c r="B296" t="inlineStr">
        <is>
          <t>INV0009647</t>
        </is>
      </c>
      <c r="C296" t="inlineStr">
        <is>
          <t>MER00457</t>
        </is>
      </c>
      <c r="D296" s="8" t="n">
        <v>45921</v>
      </c>
      <c r="E296" t="n">
        <v>985.59</v>
      </c>
      <c r="F296" t="inlineStr">
        <is>
          <t>UPI</t>
        </is>
      </c>
      <c r="G296" t="inlineStr">
        <is>
          <t>PAYJ4FFJMVZE3</t>
        </is>
      </c>
      <c r="H296" t="inlineStr">
        <is>
          <t>Success</t>
        </is>
      </c>
      <c r="I296" t="inlineStr">
        <is>
          <t>BNKDJA3KGWRSX32</t>
        </is>
      </c>
      <c r="J296" s="8" t="n">
        <v>45924</v>
      </c>
    </row>
    <row r="297">
      <c r="A297" t="inlineStr">
        <is>
          <t>PAY0008198</t>
        </is>
      </c>
      <c r="B297" t="inlineStr">
        <is>
          <t>INV0009648</t>
        </is>
      </c>
      <c r="C297" t="inlineStr">
        <is>
          <t>MER00457</t>
        </is>
      </c>
      <c r="D297" s="8" t="n">
        <v>45951</v>
      </c>
      <c r="E297" t="n">
        <v>1429.29</v>
      </c>
      <c r="F297" t="inlineStr">
        <is>
          <t>UPI</t>
        </is>
      </c>
      <c r="G297" t="inlineStr">
        <is>
          <t>PAYAM57MF2P2K</t>
        </is>
      </c>
      <c r="H297" t="inlineStr">
        <is>
          <t>Success</t>
        </is>
      </c>
      <c r="I297" t="inlineStr">
        <is>
          <t>BNKYGJTSG8X6HDA</t>
        </is>
      </c>
      <c r="J297" s="8" t="n">
        <v>45954</v>
      </c>
    </row>
    <row r="298">
      <c r="A298" t="inlineStr">
        <is>
          <t>PAY0008199</t>
        </is>
      </c>
      <c r="B298" t="inlineStr">
        <is>
          <t>INV0009649</t>
        </is>
      </c>
      <c r="C298" t="inlineStr">
        <is>
          <t>MER00457</t>
        </is>
      </c>
      <c r="D298" s="8" t="n">
        <v>45989</v>
      </c>
      <c r="E298" t="n">
        <v>1941.43</v>
      </c>
      <c r="F298" t="inlineStr">
        <is>
          <t>UPI</t>
        </is>
      </c>
      <c r="G298" t="inlineStr">
        <is>
          <t>PAYBFBU737NYV</t>
        </is>
      </c>
      <c r="H298" t="inlineStr">
        <is>
          <t>Success</t>
        </is>
      </c>
      <c r="I298" t="inlineStr">
        <is>
          <t>BNK78CTNT8P7P42</t>
        </is>
      </c>
      <c r="J298" s="8" t="n">
        <v>45990</v>
      </c>
    </row>
    <row r="299">
      <c r="A299" t="inlineStr">
        <is>
          <t>PAY0008200</t>
        </is>
      </c>
      <c r="B299" t="inlineStr">
        <is>
          <t>INV0009650</t>
        </is>
      </c>
      <c r="C299" t="inlineStr">
        <is>
          <t>MER00457</t>
        </is>
      </c>
      <c r="D299" s="8" t="n">
        <v>46023</v>
      </c>
      <c r="E299" t="n">
        <v>479.59</v>
      </c>
      <c r="F299" t="inlineStr">
        <is>
          <t>Card</t>
        </is>
      </c>
      <c r="G299" t="inlineStr">
        <is>
          <t>PAYBV2XC9WC7W</t>
        </is>
      </c>
      <c r="H299" t="inlineStr">
        <is>
          <t>Success</t>
        </is>
      </c>
      <c r="I299" t="inlineStr">
        <is>
          <t>BNKK35NLR6TYK84</t>
        </is>
      </c>
      <c r="J299" s="8" t="n">
        <v>46025</v>
      </c>
    </row>
    <row r="300">
      <c r="A300" t="inlineStr">
        <is>
          <t>PAY0008201</t>
        </is>
      </c>
      <c r="B300" t="inlineStr">
        <is>
          <t>INV0009654</t>
        </is>
      </c>
      <c r="C300" t="inlineStr">
        <is>
          <t>MER00457</t>
        </is>
      </c>
      <c r="D300" s="8" t="n">
        <v>46131</v>
      </c>
      <c r="E300" t="n">
        <v>2277.13</v>
      </c>
      <c r="F300" t="inlineStr">
        <is>
          <t>UPI</t>
        </is>
      </c>
      <c r="G300" t="inlineStr">
        <is>
          <t>PAYZ8Z8W939XQ</t>
        </is>
      </c>
      <c r="H300" t="inlineStr">
        <is>
          <t>Success</t>
        </is>
      </c>
      <c r="I300" t="inlineStr">
        <is>
          <t>BNKJ8N797LXYU4P</t>
        </is>
      </c>
      <c r="J300" s="8" t="n">
        <v>46134</v>
      </c>
    </row>
    <row r="301">
      <c r="A301" t="inlineStr">
        <is>
          <t>PAY0008202</t>
        </is>
      </c>
      <c r="B301" t="inlineStr">
        <is>
          <t>INV0009656</t>
        </is>
      </c>
      <c r="C301" t="inlineStr">
        <is>
          <t>MER00457</t>
        </is>
      </c>
      <c r="D301" s="8" t="n">
        <v>46191</v>
      </c>
      <c r="E301" t="n">
        <v>972.76</v>
      </c>
      <c r="F301" t="inlineStr">
        <is>
          <t>UPI</t>
        </is>
      </c>
      <c r="G301" t="inlineStr">
        <is>
          <t>PAY6Z2VXTXKB9</t>
        </is>
      </c>
      <c r="H301" t="inlineStr">
        <is>
          <t>Success</t>
        </is>
      </c>
      <c r="I301" t="inlineStr">
        <is>
          <t>BNKBZPQLA8SGPJG</t>
        </is>
      </c>
      <c r="J301" s="8" t="n">
        <v>46194</v>
      </c>
    </row>
    <row r="302">
      <c r="A302" t="inlineStr">
        <is>
          <t>PAY0008203</t>
        </is>
      </c>
      <c r="B302" t="inlineStr">
        <is>
          <t>INV0009658</t>
        </is>
      </c>
      <c r="C302" t="inlineStr">
        <is>
          <t>MER00457</t>
        </is>
      </c>
      <c r="D302" s="8" t="n">
        <v>46258</v>
      </c>
      <c r="E302" t="n">
        <v>2045.21</v>
      </c>
      <c r="F302" t="inlineStr">
        <is>
          <t>NetBanking</t>
        </is>
      </c>
      <c r="G302" t="inlineStr">
        <is>
          <t>PAY9QHCNZ5K6L</t>
        </is>
      </c>
      <c r="H302" t="inlineStr">
        <is>
          <t>Success</t>
        </is>
      </c>
      <c r="I302" t="inlineStr">
        <is>
          <t>BNK5JXS452Z2T8F</t>
        </is>
      </c>
      <c r="J302" s="8" t="n">
        <v>46259</v>
      </c>
    </row>
    <row r="303">
      <c r="A303" t="inlineStr">
        <is>
          <t>PAY0008316</t>
        </is>
      </c>
      <c r="B303" t="inlineStr">
        <is>
          <t>INV0010246</t>
        </is>
      </c>
      <c r="C303" t="inlineStr">
        <is>
          <t>MER00484</t>
        </is>
      </c>
      <c r="D303" s="8" t="n">
        <v>45564</v>
      </c>
      <c r="E303" t="n">
        <v>206.1</v>
      </c>
      <c r="F303" t="inlineStr">
        <is>
          <t>COD</t>
        </is>
      </c>
      <c r="G303" t="inlineStr">
        <is>
          <t>PAY3RC9HZKF47</t>
        </is>
      </c>
      <c r="H303" t="inlineStr">
        <is>
          <t>Success</t>
        </is>
      </c>
      <c r="I303" t="inlineStr">
        <is>
          <t>BNKTPACULRSQAWH</t>
        </is>
      </c>
      <c r="J303" s="8" t="n">
        <v>45566</v>
      </c>
    </row>
    <row r="304">
      <c r="A304" t="inlineStr">
        <is>
          <t>PAY0008317</t>
        </is>
      </c>
      <c r="B304" t="inlineStr">
        <is>
          <t>INV0010247</t>
        </is>
      </c>
      <c r="C304" t="inlineStr">
        <is>
          <t>MER00484</t>
        </is>
      </c>
      <c r="D304" s="8" t="n">
        <v>45601</v>
      </c>
      <c r="E304" t="n">
        <v>990.55</v>
      </c>
      <c r="F304" t="inlineStr">
        <is>
          <t>UPI</t>
        </is>
      </c>
      <c r="G304" t="inlineStr">
        <is>
          <t>PAY92JVDHUEN2</t>
        </is>
      </c>
      <c r="H304" t="inlineStr">
        <is>
          <t>Success</t>
        </is>
      </c>
      <c r="I304" t="inlineStr">
        <is>
          <t>BNKBBKY4AX3SEZ3</t>
        </is>
      </c>
      <c r="J304" s="8" t="n">
        <v>45603</v>
      </c>
    </row>
    <row r="305">
      <c r="A305" t="inlineStr">
        <is>
          <t>PAY0008318</t>
        </is>
      </c>
      <c r="B305" t="inlineStr">
        <is>
          <t>INV0010248</t>
        </is>
      </c>
      <c r="C305" t="inlineStr">
        <is>
          <t>MER00484</t>
        </is>
      </c>
      <c r="D305" s="8" t="n">
        <v>45639</v>
      </c>
      <c r="E305" t="n">
        <v>226.82</v>
      </c>
      <c r="F305" t="inlineStr">
        <is>
          <t>COD</t>
        </is>
      </c>
      <c r="G305" t="inlineStr">
        <is>
          <t>PAYTY4RQLYQ46</t>
        </is>
      </c>
      <c r="H305" t="inlineStr">
        <is>
          <t>Success</t>
        </is>
      </c>
      <c r="I305" t="inlineStr">
        <is>
          <t>BNKFM3V7349WHCN</t>
        </is>
      </c>
      <c r="J305" s="8" t="n">
        <v>45642</v>
      </c>
    </row>
    <row r="306">
      <c r="A306" t="inlineStr">
        <is>
          <t>PAY0008319</t>
        </is>
      </c>
      <c r="B306" t="inlineStr">
        <is>
          <t>INV0010249</t>
        </is>
      </c>
      <c r="C306" t="inlineStr">
        <is>
          <t>MER00484</t>
        </is>
      </c>
      <c r="D306" s="8" t="n">
        <v>45660</v>
      </c>
      <c r="E306" t="n">
        <v>87.76000000000001</v>
      </c>
      <c r="F306" t="inlineStr">
        <is>
          <t>Wallet</t>
        </is>
      </c>
      <c r="G306" t="inlineStr">
        <is>
          <t>PAYAC2R8JZXJ6</t>
        </is>
      </c>
      <c r="H306" t="inlineStr">
        <is>
          <t>Success</t>
        </is>
      </c>
      <c r="I306" t="inlineStr">
        <is>
          <t>BNKRAJX5SG9AY85</t>
        </is>
      </c>
      <c r="J306" s="8" t="n">
        <v>45663</v>
      </c>
    </row>
    <row r="307">
      <c r="A307" t="inlineStr">
        <is>
          <t>PAY0008320</t>
        </is>
      </c>
      <c r="B307" t="inlineStr">
        <is>
          <t>INV0010250</t>
        </is>
      </c>
      <c r="C307" t="inlineStr">
        <is>
          <t>MER00484</t>
        </is>
      </c>
      <c r="D307" s="8" t="n">
        <v>45686</v>
      </c>
      <c r="E307" t="n">
        <v>818.13</v>
      </c>
      <c r="F307" t="inlineStr">
        <is>
          <t>UPI</t>
        </is>
      </c>
      <c r="G307" t="inlineStr">
        <is>
          <t>PAYRAHJXAG5GW</t>
        </is>
      </c>
      <c r="H307" t="inlineStr">
        <is>
          <t>Success</t>
        </is>
      </c>
      <c r="I307" t="inlineStr">
        <is>
          <t>BNK3BCFWKAT2C4L</t>
        </is>
      </c>
      <c r="J307" s="8" t="n">
        <v>45689</v>
      </c>
    </row>
    <row r="308">
      <c r="A308" t="inlineStr">
        <is>
          <t>PAY0008321</t>
        </is>
      </c>
      <c r="B308" t="inlineStr">
        <is>
          <t>INV0010251</t>
        </is>
      </c>
      <c r="C308" t="inlineStr">
        <is>
          <t>MER00484</t>
        </is>
      </c>
      <c r="D308" s="8" t="n">
        <v>45722</v>
      </c>
      <c r="E308" t="n">
        <v>121.46</v>
      </c>
      <c r="F308" t="inlineStr">
        <is>
          <t>Card</t>
        </is>
      </c>
      <c r="G308" t="inlineStr">
        <is>
          <t>PAY8T7JBBT7DA</t>
        </is>
      </c>
      <c r="H308" t="inlineStr">
        <is>
          <t>Success</t>
        </is>
      </c>
      <c r="I308" t="inlineStr">
        <is>
          <t>BNK2N35K37QR87W</t>
        </is>
      </c>
      <c r="J308" s="8" t="n">
        <v>45724</v>
      </c>
    </row>
    <row r="309">
      <c r="A309" t="inlineStr">
        <is>
          <t>PAY0008322</t>
        </is>
      </c>
      <c r="B309" t="inlineStr">
        <is>
          <t>INV0010252</t>
        </is>
      </c>
      <c r="C309" t="inlineStr">
        <is>
          <t>MER00484</t>
        </is>
      </c>
      <c r="D309" s="8" t="n">
        <v>45749</v>
      </c>
      <c r="E309" t="n">
        <v>89.13</v>
      </c>
      <c r="F309" t="inlineStr">
        <is>
          <t>UPI</t>
        </is>
      </c>
      <c r="G309" t="inlineStr">
        <is>
          <t>PAYX22YHJ3VWE</t>
        </is>
      </c>
      <c r="H309" t="inlineStr">
        <is>
          <t>Success</t>
        </is>
      </c>
      <c r="I309" t="inlineStr">
        <is>
          <t>BNKEPZ4JDSZXNL3</t>
        </is>
      </c>
      <c r="J309" s="8" t="n">
        <v>45751</v>
      </c>
    </row>
    <row r="310">
      <c r="A310" t="inlineStr">
        <is>
          <t>PAY0008323</t>
        </is>
      </c>
      <c r="B310" t="inlineStr">
        <is>
          <t>INV0010254</t>
        </is>
      </c>
      <c r="C310" t="inlineStr">
        <is>
          <t>MER00484</t>
        </is>
      </c>
      <c r="D310" s="8" t="n">
        <v>45817</v>
      </c>
      <c r="E310" t="n">
        <v>164.65</v>
      </c>
      <c r="F310" t="inlineStr">
        <is>
          <t>UPI</t>
        </is>
      </c>
      <c r="G310" t="inlineStr">
        <is>
          <t>PAYUC636DJQ4H</t>
        </is>
      </c>
      <c r="H310" t="inlineStr">
        <is>
          <t>Success</t>
        </is>
      </c>
      <c r="I310" t="inlineStr">
        <is>
          <t>BNKYMQQNNBRLPX9</t>
        </is>
      </c>
      <c r="J310" s="8" t="n">
        <v>45818</v>
      </c>
    </row>
    <row r="311">
      <c r="A311" t="inlineStr">
        <is>
          <t>PAY0008324</t>
        </is>
      </c>
      <c r="B311" t="inlineStr">
        <is>
          <t>INV0010255</t>
        </is>
      </c>
      <c r="C311" t="inlineStr">
        <is>
          <t>MER00484</t>
        </is>
      </c>
      <c r="D311" s="8" t="n">
        <v>45835</v>
      </c>
      <c r="E311" t="n">
        <v>476.83</v>
      </c>
      <c r="F311" t="inlineStr">
        <is>
          <t>COD</t>
        </is>
      </c>
      <c r="G311" t="inlineStr">
        <is>
          <t>PAYCJX2ZMCCQG</t>
        </is>
      </c>
      <c r="H311" t="inlineStr">
        <is>
          <t>Success</t>
        </is>
      </c>
      <c r="I311" t="inlineStr">
        <is>
          <t>BNKTNW75VN27B4S</t>
        </is>
      </c>
      <c r="J311" s="8" t="n">
        <v>45837</v>
      </c>
    </row>
    <row r="312">
      <c r="A312" t="inlineStr">
        <is>
          <t>PAY0008325</t>
        </is>
      </c>
      <c r="B312" t="inlineStr">
        <is>
          <t>INV0010256</t>
        </is>
      </c>
      <c r="C312" t="inlineStr">
        <is>
          <t>MER00484</t>
        </is>
      </c>
      <c r="D312" s="8" t="n">
        <v>45880</v>
      </c>
      <c r="E312" t="n">
        <v>512.7</v>
      </c>
      <c r="F312" t="inlineStr">
        <is>
          <t>UPI</t>
        </is>
      </c>
      <c r="G312" t="inlineStr">
        <is>
          <t>PAYYAH87NT28A</t>
        </is>
      </c>
      <c r="H312" t="inlineStr">
        <is>
          <t>Success</t>
        </is>
      </c>
      <c r="I312" t="inlineStr">
        <is>
          <t>BNK6ME9QQJQWZ5N</t>
        </is>
      </c>
      <c r="J312" s="8" t="n">
        <v>45882</v>
      </c>
    </row>
    <row r="313">
      <c r="A313" t="inlineStr">
        <is>
          <t>PAY0008326</t>
        </is>
      </c>
      <c r="B313" t="inlineStr">
        <is>
          <t>INV0010257</t>
        </is>
      </c>
      <c r="C313" t="inlineStr">
        <is>
          <t>MER00484</t>
        </is>
      </c>
      <c r="D313" s="8" t="n">
        <v>45906</v>
      </c>
      <c r="E313" t="n">
        <v>267.07</v>
      </c>
      <c r="F313" t="inlineStr">
        <is>
          <t>COD</t>
        </is>
      </c>
      <c r="G313" t="inlineStr">
        <is>
          <t>PAYEGZQLYVPGZ</t>
        </is>
      </c>
      <c r="H313" t="inlineStr">
        <is>
          <t>Success</t>
        </is>
      </c>
      <c r="I313" t="inlineStr">
        <is>
          <t>BNKZC7BZQ6CCZ83</t>
        </is>
      </c>
      <c r="J313" s="8" t="n">
        <v>45907</v>
      </c>
    </row>
    <row r="314">
      <c r="A314" t="inlineStr">
        <is>
          <t>PAY0008327</t>
        </is>
      </c>
      <c r="B314" t="inlineStr">
        <is>
          <t>INV0010259</t>
        </is>
      </c>
      <c r="C314" t="inlineStr">
        <is>
          <t>MER00484</t>
        </is>
      </c>
      <c r="D314" s="8" t="n">
        <v>45976</v>
      </c>
      <c r="E314" t="n">
        <v>154.51</v>
      </c>
      <c r="F314" t="inlineStr">
        <is>
          <t>NetBanking</t>
        </is>
      </c>
      <c r="G314" t="inlineStr">
        <is>
          <t>PAYAJSMAP9KJD</t>
        </is>
      </c>
      <c r="H314" t="inlineStr">
        <is>
          <t>Success</t>
        </is>
      </c>
      <c r="I314" t="inlineStr">
        <is>
          <t>BNKL6UGA8ZLNYQW</t>
        </is>
      </c>
      <c r="J314" s="8" t="n">
        <v>45977</v>
      </c>
    </row>
    <row r="315">
      <c r="A315" t="inlineStr">
        <is>
          <t>PAY0008328</t>
        </is>
      </c>
      <c r="B315" t="inlineStr">
        <is>
          <t>INV0010260</t>
        </is>
      </c>
      <c r="C315" t="inlineStr">
        <is>
          <t>MER00484</t>
        </is>
      </c>
      <c r="D315" s="8" t="n">
        <v>46001</v>
      </c>
      <c r="E315" t="n">
        <v>712.5</v>
      </c>
      <c r="F315" t="inlineStr">
        <is>
          <t>Card</t>
        </is>
      </c>
      <c r="G315" t="inlineStr">
        <is>
          <t>PAYG2GKLU5WLE</t>
        </is>
      </c>
      <c r="H315" t="inlineStr">
        <is>
          <t>Success</t>
        </is>
      </c>
      <c r="I315" t="inlineStr">
        <is>
          <t>BNKSHRRQVDBJF4R</t>
        </is>
      </c>
      <c r="J315" s="8" t="n">
        <v>46003</v>
      </c>
    </row>
    <row r="316">
      <c r="A316" t="inlineStr">
        <is>
          <t>PAY0008329</t>
        </is>
      </c>
      <c r="B316" t="inlineStr">
        <is>
          <t>INV0010261</t>
        </is>
      </c>
      <c r="C316" t="inlineStr">
        <is>
          <t>MER00484</t>
        </is>
      </c>
      <c r="D316" s="8" t="n">
        <v>46029</v>
      </c>
      <c r="E316" t="n">
        <v>1199.55</v>
      </c>
      <c r="F316" t="inlineStr">
        <is>
          <t>UPI</t>
        </is>
      </c>
      <c r="G316" t="inlineStr">
        <is>
          <t>PAY6FV982TEEF</t>
        </is>
      </c>
      <c r="H316" t="inlineStr">
        <is>
          <t>Success</t>
        </is>
      </c>
      <c r="I316" t="inlineStr">
        <is>
          <t>BNK3RRFC7AUH5JL</t>
        </is>
      </c>
      <c r="J316" s="8" t="n">
        <v>46031</v>
      </c>
    </row>
    <row r="317">
      <c r="A317" t="inlineStr">
        <is>
          <t>PAY0008330</t>
        </is>
      </c>
      <c r="B317" t="inlineStr">
        <is>
          <t>INV0010262</t>
        </is>
      </c>
      <c r="C317" t="inlineStr">
        <is>
          <t>MER00484</t>
        </is>
      </c>
      <c r="D317" s="8" t="n">
        <v>46054</v>
      </c>
      <c r="E317" t="n">
        <v>229.05</v>
      </c>
      <c r="F317" t="inlineStr">
        <is>
          <t>Card</t>
        </is>
      </c>
      <c r="G317" t="inlineStr">
        <is>
          <t>PAYVXTGYEV74D</t>
        </is>
      </c>
      <c r="H317" t="inlineStr">
        <is>
          <t>Success</t>
        </is>
      </c>
      <c r="I317" t="inlineStr">
        <is>
          <t>BNKZQKP5RDLJ6WE</t>
        </is>
      </c>
      <c r="J317" s="8" t="n">
        <v>46055</v>
      </c>
    </row>
    <row r="318">
      <c r="A318" t="inlineStr">
        <is>
          <t>PAY0008331</t>
        </is>
      </c>
      <c r="B318" t="inlineStr">
        <is>
          <t>INV0010263</t>
        </is>
      </c>
      <c r="C318" t="inlineStr">
        <is>
          <t>MER00484</t>
        </is>
      </c>
      <c r="D318" s="8" t="n">
        <v>46092</v>
      </c>
      <c r="E318" t="n">
        <v>358.64</v>
      </c>
      <c r="F318" t="inlineStr">
        <is>
          <t>Card</t>
        </is>
      </c>
      <c r="G318" t="inlineStr">
        <is>
          <t>PAYZF5NLE22TD</t>
        </is>
      </c>
      <c r="H318" t="inlineStr">
        <is>
          <t>Success</t>
        </is>
      </c>
      <c r="I318" t="inlineStr">
        <is>
          <t>BNKB9BXXAMZ74ZF</t>
        </is>
      </c>
      <c r="J318" s="8" t="n">
        <v>46093</v>
      </c>
    </row>
    <row r="319">
      <c r="A319" t="inlineStr">
        <is>
          <t>PAY0008332</t>
        </is>
      </c>
      <c r="B319" t="inlineStr">
        <is>
          <t>INV0010264</t>
        </is>
      </c>
      <c r="C319" t="inlineStr">
        <is>
          <t>MER00484</t>
        </is>
      </c>
      <c r="D319" s="8" t="n">
        <v>46111</v>
      </c>
      <c r="E319" t="n">
        <v>566.54</v>
      </c>
      <c r="F319" t="inlineStr">
        <is>
          <t>UPI</t>
        </is>
      </c>
      <c r="G319" t="inlineStr">
        <is>
          <t>PAYJMDCTCSUCV</t>
        </is>
      </c>
      <c r="H319" t="inlineStr">
        <is>
          <t>Success</t>
        </is>
      </c>
      <c r="I319" t="inlineStr">
        <is>
          <t>BNK9P5XYRD2G539</t>
        </is>
      </c>
      <c r="J319" s="8" t="n">
        <v>46112</v>
      </c>
    </row>
    <row r="320">
      <c r="A320" t="inlineStr">
        <is>
          <t>PAY0008333</t>
        </is>
      </c>
      <c r="B320" t="inlineStr">
        <is>
          <t>INV0010265</t>
        </is>
      </c>
      <c r="C320" t="inlineStr">
        <is>
          <t>MER00484</t>
        </is>
      </c>
      <c r="D320" s="8" t="n">
        <v>46153</v>
      </c>
      <c r="E320" t="n">
        <v>362.04</v>
      </c>
      <c r="F320" t="inlineStr">
        <is>
          <t>UPI</t>
        </is>
      </c>
      <c r="G320" t="inlineStr">
        <is>
          <t>PAYA2QBUGXLLF</t>
        </is>
      </c>
      <c r="H320" t="inlineStr">
        <is>
          <t>Success</t>
        </is>
      </c>
      <c r="I320" t="inlineStr">
        <is>
          <t>BNK8GZTYKL995MT</t>
        </is>
      </c>
      <c r="J320" s="8" t="n">
        <v>46154</v>
      </c>
    </row>
    <row r="321">
      <c r="A321" t="inlineStr">
        <is>
          <t>PAY0008334</t>
        </is>
      </c>
      <c r="B321" t="inlineStr">
        <is>
          <t>INV0010266</t>
        </is>
      </c>
      <c r="C321" t="inlineStr">
        <is>
          <t>MER00484</t>
        </is>
      </c>
      <c r="D321" s="8" t="n">
        <v>46188</v>
      </c>
      <c r="E321" t="n">
        <v>231.32</v>
      </c>
      <c r="F321" t="inlineStr">
        <is>
          <t>UPI</t>
        </is>
      </c>
      <c r="G321" t="inlineStr">
        <is>
          <t>PAY5ZGCDFWG57</t>
        </is>
      </c>
      <c r="H321" t="inlineStr">
        <is>
          <t>Success</t>
        </is>
      </c>
      <c r="I321" t="inlineStr">
        <is>
          <t>BNK77W9JEA2BQW5</t>
        </is>
      </c>
      <c r="J321" s="8" t="n">
        <v>46191</v>
      </c>
    </row>
    <row r="322">
      <c r="A322" t="inlineStr">
        <is>
          <t>PAY0008335</t>
        </is>
      </c>
      <c r="B322" t="inlineStr">
        <is>
          <t>INV0010268</t>
        </is>
      </c>
      <c r="C322" t="inlineStr">
        <is>
          <t>MER00484</t>
        </is>
      </c>
      <c r="D322" s="8" t="n">
        <v>46237</v>
      </c>
      <c r="E322" t="n">
        <v>196.14</v>
      </c>
      <c r="F322" t="inlineStr">
        <is>
          <t>Card</t>
        </is>
      </c>
      <c r="G322" t="inlineStr">
        <is>
          <t>PAYNXWYWDZ4QY</t>
        </is>
      </c>
      <c r="H322" t="inlineStr">
        <is>
          <t>Success</t>
        </is>
      </c>
      <c r="I322" t="inlineStr">
        <is>
          <t>BNKX8D6VRZYHDEX</t>
        </is>
      </c>
      <c r="J322" s="8" t="n">
        <v>46240</v>
      </c>
    </row>
    <row r="323">
      <c r="A323" t="inlineStr">
        <is>
          <t>PAY0008336</t>
        </is>
      </c>
      <c r="B323" t="inlineStr">
        <is>
          <t>INV0010269</t>
        </is>
      </c>
      <c r="C323" t="inlineStr">
        <is>
          <t>MER00484</t>
        </is>
      </c>
      <c r="D323" s="8" t="n">
        <v>46267</v>
      </c>
      <c r="E323" t="n">
        <v>194.97</v>
      </c>
      <c r="F323" t="inlineStr">
        <is>
          <t>UPI</t>
        </is>
      </c>
      <c r="G323" t="inlineStr">
        <is>
          <t>PAY65YKSHDV68</t>
        </is>
      </c>
      <c r="H323" t="inlineStr">
        <is>
          <t>Success</t>
        </is>
      </c>
      <c r="I323" t="inlineStr">
        <is>
          <t>BNKX7A9PYTLRRGM</t>
        </is>
      </c>
      <c r="J323" s="8" t="n">
        <v>46269</v>
      </c>
    </row>
    <row r="324">
      <c r="A324" t="inlineStr">
        <is>
          <t>PAY0008442</t>
        </is>
      </c>
      <c r="B324" t="inlineStr">
        <is>
          <t>INV0010619</t>
        </is>
      </c>
      <c r="C324" t="inlineStr">
        <is>
          <t>MER00502</t>
        </is>
      </c>
      <c r="D324" s="8" t="n">
        <v>45616</v>
      </c>
      <c r="E324" t="n">
        <v>236.51</v>
      </c>
      <c r="F324" t="inlineStr">
        <is>
          <t>COD</t>
        </is>
      </c>
      <c r="G324" t="inlineStr">
        <is>
          <t>PAYQYX3MNGLWP</t>
        </is>
      </c>
      <c r="H324" t="inlineStr">
        <is>
          <t>Success</t>
        </is>
      </c>
      <c r="I324" t="inlineStr">
        <is>
          <t>BNK2A45HV4UQMYY</t>
        </is>
      </c>
      <c r="J324" s="8" t="n">
        <v>45619</v>
      </c>
    </row>
    <row r="325">
      <c r="A325" t="inlineStr">
        <is>
          <t>PAY0008443</t>
        </is>
      </c>
      <c r="B325" t="inlineStr">
        <is>
          <t>INV0010621</t>
        </is>
      </c>
      <c r="C325" t="inlineStr">
        <is>
          <t>MER00502</t>
        </is>
      </c>
      <c r="D325" s="8" t="n">
        <v>45681</v>
      </c>
      <c r="E325" t="n">
        <v>212.21</v>
      </c>
      <c r="F325" t="inlineStr">
        <is>
          <t>UPI</t>
        </is>
      </c>
      <c r="G325" t="inlineStr">
        <is>
          <t>PAY9VK84L84LD</t>
        </is>
      </c>
      <c r="H325" t="inlineStr">
        <is>
          <t>Success</t>
        </is>
      </c>
      <c r="I325" t="inlineStr">
        <is>
          <t>BNKJE288XDSNLYE</t>
        </is>
      </c>
      <c r="J325" s="8" t="n">
        <v>45684</v>
      </c>
    </row>
    <row r="326">
      <c r="A326" t="inlineStr">
        <is>
          <t>PAY0008444</t>
        </is>
      </c>
      <c r="B326" t="inlineStr">
        <is>
          <t>INV0010622</t>
        </is>
      </c>
      <c r="C326" t="inlineStr">
        <is>
          <t>MER00502</t>
        </is>
      </c>
      <c r="D326" s="8" t="n">
        <v>45710</v>
      </c>
      <c r="E326" t="n">
        <v>455.28</v>
      </c>
      <c r="F326" t="inlineStr">
        <is>
          <t>UPI</t>
        </is>
      </c>
      <c r="G326" t="inlineStr">
        <is>
          <t>PAYRJHKWYDJHX</t>
        </is>
      </c>
      <c r="H326" t="inlineStr">
        <is>
          <t>Success</t>
        </is>
      </c>
      <c r="I326" t="inlineStr">
        <is>
          <t>BNKANP4858KLUTL</t>
        </is>
      </c>
      <c r="J326" s="8" t="n">
        <v>45713</v>
      </c>
    </row>
    <row r="327">
      <c r="A327" t="inlineStr">
        <is>
          <t>PAY0008445</t>
        </is>
      </c>
      <c r="B327" t="inlineStr">
        <is>
          <t>INV0010623</t>
        </is>
      </c>
      <c r="C327" t="inlineStr">
        <is>
          <t>MER00502</t>
        </is>
      </c>
      <c r="D327" s="8" t="n">
        <v>45739</v>
      </c>
      <c r="E327" t="n">
        <v>96.45</v>
      </c>
      <c r="F327" t="inlineStr">
        <is>
          <t>UPI</t>
        </is>
      </c>
      <c r="G327" t="inlineStr">
        <is>
          <t>PAYAT8AAZM286</t>
        </is>
      </c>
      <c r="H327" t="inlineStr">
        <is>
          <t>Success</t>
        </is>
      </c>
      <c r="I327" t="inlineStr">
        <is>
          <t>BNKEJMSHYZH2WNK</t>
        </is>
      </c>
      <c r="J327" s="8" t="n">
        <v>45741</v>
      </c>
    </row>
    <row r="328">
      <c r="A328" t="inlineStr">
        <is>
          <t>PAY0008446</t>
        </is>
      </c>
      <c r="B328" t="inlineStr">
        <is>
          <t>INV0010624</t>
        </is>
      </c>
      <c r="C328" t="inlineStr">
        <is>
          <t>MER00502</t>
        </is>
      </c>
      <c r="D328" s="8" t="n">
        <v>45766</v>
      </c>
      <c r="E328" t="n">
        <v>421.45</v>
      </c>
      <c r="F328" t="inlineStr">
        <is>
          <t>UPI</t>
        </is>
      </c>
      <c r="G328" t="inlineStr">
        <is>
          <t>PAYURSX4SFUXM</t>
        </is>
      </c>
      <c r="H328" t="inlineStr">
        <is>
          <t>Success</t>
        </is>
      </c>
      <c r="I328" t="inlineStr">
        <is>
          <t>BNKNHZZ6KY5CMBJ</t>
        </is>
      </c>
      <c r="J328" s="8" t="n">
        <v>45769</v>
      </c>
    </row>
    <row r="329">
      <c r="A329" t="inlineStr">
        <is>
          <t>PAY0008447</t>
        </is>
      </c>
      <c r="B329" t="inlineStr">
        <is>
          <t>INV0010625</t>
        </is>
      </c>
      <c r="C329" t="inlineStr">
        <is>
          <t>MER00502</t>
        </is>
      </c>
      <c r="D329" s="8" t="n">
        <v>45798</v>
      </c>
      <c r="E329" t="n">
        <v>350.2</v>
      </c>
      <c r="F329" t="inlineStr">
        <is>
          <t>NetBanking</t>
        </is>
      </c>
      <c r="G329" t="inlineStr">
        <is>
          <t>PAY2W97GY4MP2</t>
        </is>
      </c>
      <c r="H329" t="inlineStr">
        <is>
          <t>Success</t>
        </is>
      </c>
      <c r="I329" t="inlineStr">
        <is>
          <t>BNKP22BC4F8DSBW</t>
        </is>
      </c>
      <c r="J329" s="8" t="n">
        <v>45799</v>
      </c>
    </row>
    <row r="330">
      <c r="A330" t="inlineStr">
        <is>
          <t>PAY0008448</t>
        </is>
      </c>
      <c r="B330" t="inlineStr">
        <is>
          <t>INV0010626</t>
        </is>
      </c>
      <c r="C330" t="inlineStr">
        <is>
          <t>MER00502</t>
        </is>
      </c>
      <c r="D330" s="8" t="n">
        <v>45834</v>
      </c>
      <c r="E330" t="n">
        <v>241.44</v>
      </c>
      <c r="F330" t="inlineStr">
        <is>
          <t>Card</t>
        </is>
      </c>
      <c r="G330" t="inlineStr">
        <is>
          <t>PAYJE8GR42649</t>
        </is>
      </c>
      <c r="H330" t="inlineStr">
        <is>
          <t>Success</t>
        </is>
      </c>
      <c r="I330" t="inlineStr">
        <is>
          <t>BNKNB7C7W65GFT2</t>
        </is>
      </c>
      <c r="J330" s="8" t="n">
        <v>45837</v>
      </c>
    </row>
    <row r="331">
      <c r="A331" t="inlineStr">
        <is>
          <t>PAY0008449</t>
        </is>
      </c>
      <c r="B331" t="inlineStr">
        <is>
          <t>INV0010627</t>
        </is>
      </c>
      <c r="C331" t="inlineStr">
        <is>
          <t>MER00502</t>
        </is>
      </c>
      <c r="D331" s="8" t="n">
        <v>45863</v>
      </c>
      <c r="E331" t="n">
        <v>321.87</v>
      </c>
      <c r="F331" t="inlineStr">
        <is>
          <t>Card</t>
        </is>
      </c>
      <c r="G331" t="inlineStr">
        <is>
          <t>PAYGP92UCG6CM</t>
        </is>
      </c>
      <c r="H331" t="inlineStr">
        <is>
          <t>Success</t>
        </is>
      </c>
      <c r="I331" t="inlineStr">
        <is>
          <t>BNKB28E3MK5RD5P</t>
        </is>
      </c>
      <c r="J331" s="8" t="n">
        <v>45866</v>
      </c>
    </row>
    <row r="332">
      <c r="A332" t="inlineStr">
        <is>
          <t>PAY0008450</t>
        </is>
      </c>
      <c r="B332" t="inlineStr">
        <is>
          <t>INV0010628</t>
        </is>
      </c>
      <c r="C332" t="inlineStr">
        <is>
          <t>MER00502</t>
        </is>
      </c>
      <c r="D332" s="8" t="n">
        <v>45886</v>
      </c>
      <c r="E332" t="n">
        <v>287.12</v>
      </c>
      <c r="F332" t="inlineStr">
        <is>
          <t>UPI</t>
        </is>
      </c>
      <c r="G332" t="inlineStr">
        <is>
          <t>PAYFQPKTAQTB8</t>
        </is>
      </c>
      <c r="H332" t="inlineStr">
        <is>
          <t>Success</t>
        </is>
      </c>
      <c r="I332" t="inlineStr">
        <is>
          <t>BNKEBR7GGC3UQPJ</t>
        </is>
      </c>
      <c r="J332" s="8" t="n">
        <v>45889</v>
      </c>
    </row>
    <row r="333">
      <c r="A333" t="inlineStr">
        <is>
          <t>PAY0008451</t>
        </is>
      </c>
      <c r="B333" t="inlineStr">
        <is>
          <t>INV0010629</t>
        </is>
      </c>
      <c r="C333" t="inlineStr">
        <is>
          <t>MER00502</t>
        </is>
      </c>
      <c r="D333" s="8" t="n">
        <v>45920</v>
      </c>
      <c r="E333" t="n">
        <v>241.91</v>
      </c>
      <c r="F333" t="inlineStr">
        <is>
          <t>UPI</t>
        </is>
      </c>
      <c r="G333" t="inlineStr">
        <is>
          <t>PAYFHXLYAJCSU</t>
        </is>
      </c>
      <c r="H333" t="inlineStr">
        <is>
          <t>Success</t>
        </is>
      </c>
      <c r="I333" t="inlineStr">
        <is>
          <t>BNKG93Y7T3HEKLD</t>
        </is>
      </c>
      <c r="J333" s="8" t="n">
        <v>45922</v>
      </c>
    </row>
    <row r="334">
      <c r="A334" t="inlineStr">
        <is>
          <t>PAY0008452</t>
        </is>
      </c>
      <c r="B334" t="inlineStr">
        <is>
          <t>INV0010630</t>
        </is>
      </c>
      <c r="C334" t="inlineStr">
        <is>
          <t>MER00502</t>
        </is>
      </c>
      <c r="D334" s="8" t="n">
        <v>45947</v>
      </c>
      <c r="E334" t="n">
        <v>304.42</v>
      </c>
      <c r="F334" t="inlineStr">
        <is>
          <t>UPI</t>
        </is>
      </c>
      <c r="G334" t="inlineStr">
        <is>
          <t>PAYEMQ9JGG46L</t>
        </is>
      </c>
      <c r="H334" t="inlineStr">
        <is>
          <t>Success</t>
        </is>
      </c>
      <c r="I334" t="inlineStr">
        <is>
          <t>BNKCK8WWM4XBBNN</t>
        </is>
      </c>
      <c r="J334" s="8" t="n">
        <v>45948</v>
      </c>
    </row>
    <row r="335">
      <c r="A335" t="inlineStr">
        <is>
          <t>PAY0008453</t>
        </is>
      </c>
      <c r="B335" t="inlineStr">
        <is>
          <t>INV0010631</t>
        </is>
      </c>
      <c r="C335" t="inlineStr">
        <is>
          <t>MER00502</t>
        </is>
      </c>
      <c r="D335" s="8" t="n">
        <v>45984</v>
      </c>
      <c r="E335" t="n">
        <v>330.41</v>
      </c>
      <c r="F335" t="inlineStr">
        <is>
          <t>UPI</t>
        </is>
      </c>
      <c r="G335" t="inlineStr">
        <is>
          <t>PAYTSAUJ5YCST</t>
        </is>
      </c>
      <c r="H335" t="inlineStr">
        <is>
          <t>Success</t>
        </is>
      </c>
      <c r="I335" t="inlineStr">
        <is>
          <t>BNKA4WHSNJTQJGW</t>
        </is>
      </c>
      <c r="J335" s="8" t="n">
        <v>45986</v>
      </c>
    </row>
    <row r="336">
      <c r="A336" t="inlineStr">
        <is>
          <t>PAY0008454</t>
        </is>
      </c>
      <c r="B336" t="inlineStr">
        <is>
          <t>INV0010632</t>
        </is>
      </c>
      <c r="C336" t="inlineStr">
        <is>
          <t>MER00502</t>
        </is>
      </c>
      <c r="D336" s="8" t="n">
        <v>46015</v>
      </c>
      <c r="E336" t="n">
        <v>547.26</v>
      </c>
      <c r="F336" t="inlineStr">
        <is>
          <t>Wallet</t>
        </is>
      </c>
      <c r="G336" t="inlineStr">
        <is>
          <t>PAY5JLC554JS8</t>
        </is>
      </c>
      <c r="H336" t="inlineStr">
        <is>
          <t>Success</t>
        </is>
      </c>
      <c r="I336" t="inlineStr">
        <is>
          <t>BNK3UV4X3KTVPV4</t>
        </is>
      </c>
      <c r="J336" s="8" t="n">
        <v>46018</v>
      </c>
    </row>
    <row r="337">
      <c r="A337" t="inlineStr">
        <is>
          <t>PAY0008455</t>
        </is>
      </c>
      <c r="B337" t="inlineStr">
        <is>
          <t>INV0010633</t>
        </is>
      </c>
      <c r="C337" t="inlineStr">
        <is>
          <t>MER00502</t>
        </is>
      </c>
      <c r="D337" s="8" t="n">
        <v>46032</v>
      </c>
      <c r="E337" t="n">
        <v>226.78</v>
      </c>
      <c r="F337" t="inlineStr">
        <is>
          <t>Card</t>
        </is>
      </c>
      <c r="G337" t="inlineStr">
        <is>
          <t>PAY6WFYN35VSY</t>
        </is>
      </c>
      <c r="H337" t="inlineStr">
        <is>
          <t>Success</t>
        </is>
      </c>
      <c r="I337" t="inlineStr">
        <is>
          <t>BNKJE4LAGPVJ3VY</t>
        </is>
      </c>
      <c r="J337" s="8" t="n">
        <v>46035</v>
      </c>
    </row>
    <row r="338">
      <c r="A338" t="inlineStr">
        <is>
          <t>PAY0008456</t>
        </is>
      </c>
      <c r="B338" t="inlineStr">
        <is>
          <t>INV0010636</t>
        </is>
      </c>
      <c r="C338" t="inlineStr">
        <is>
          <t>MER00502</t>
        </is>
      </c>
      <c r="D338" s="8" t="n">
        <v>46137</v>
      </c>
      <c r="E338" t="n">
        <v>503.74</v>
      </c>
      <c r="F338" t="inlineStr">
        <is>
          <t>Card</t>
        </is>
      </c>
      <c r="G338" t="inlineStr">
        <is>
          <t>PAYKGVEU4EK75</t>
        </is>
      </c>
      <c r="H338" t="inlineStr">
        <is>
          <t>Success</t>
        </is>
      </c>
      <c r="I338" t="inlineStr">
        <is>
          <t>BNKUG7BT46VY7Z9</t>
        </is>
      </c>
      <c r="J338" s="8" t="n">
        <v>46140</v>
      </c>
    </row>
    <row r="339">
      <c r="A339" t="inlineStr">
        <is>
          <t>PAY0008457</t>
        </is>
      </c>
      <c r="B339" t="inlineStr">
        <is>
          <t>INV0010637</t>
        </is>
      </c>
      <c r="C339" t="inlineStr">
        <is>
          <t>MER00502</t>
        </is>
      </c>
      <c r="D339" s="8" t="n">
        <v>46168</v>
      </c>
      <c r="E339" t="n">
        <v>244.64</v>
      </c>
      <c r="F339" t="inlineStr">
        <is>
          <t>Card</t>
        </is>
      </c>
      <c r="G339" t="inlineStr">
        <is>
          <t>PAYBBCMJZJTHE</t>
        </is>
      </c>
      <c r="H339" t="inlineStr">
        <is>
          <t>Success</t>
        </is>
      </c>
      <c r="I339" t="inlineStr">
        <is>
          <t>BNKW5FNP2MFBDGH</t>
        </is>
      </c>
      <c r="J339" s="8" t="n">
        <v>46170</v>
      </c>
    </row>
    <row r="340">
      <c r="A340" t="inlineStr">
        <is>
          <t>PAY0008458</t>
        </is>
      </c>
      <c r="B340" t="inlineStr">
        <is>
          <t>INV0010638</t>
        </is>
      </c>
      <c r="C340" t="inlineStr">
        <is>
          <t>MER00502</t>
        </is>
      </c>
      <c r="D340" s="8" t="n">
        <v>46190</v>
      </c>
      <c r="E340" t="n">
        <v>423.84</v>
      </c>
      <c r="F340" t="inlineStr">
        <is>
          <t>UPI</t>
        </is>
      </c>
      <c r="G340" t="inlineStr">
        <is>
          <t>PAYS4868M6B95</t>
        </is>
      </c>
      <c r="H340" t="inlineStr">
        <is>
          <t>Success</t>
        </is>
      </c>
      <c r="I340" t="inlineStr">
        <is>
          <t>BNKCYZYZ368LZ2X</t>
        </is>
      </c>
      <c r="J340" s="8" t="n">
        <v>46193</v>
      </c>
    </row>
    <row r="341">
      <c r="A341" t="inlineStr">
        <is>
          <t>PAY0008459</t>
        </is>
      </c>
      <c r="B341" t="inlineStr">
        <is>
          <t>INV0010639</t>
        </is>
      </c>
      <c r="C341" t="inlineStr">
        <is>
          <t>MER00502</t>
        </is>
      </c>
      <c r="D341" s="8" t="n">
        <v>46233</v>
      </c>
      <c r="E341" t="n">
        <v>404.15</v>
      </c>
      <c r="F341" t="inlineStr">
        <is>
          <t>UPI</t>
        </is>
      </c>
      <c r="G341" t="inlineStr">
        <is>
          <t>PAY9SJS9YRRQE</t>
        </is>
      </c>
      <c r="H341" t="inlineStr">
        <is>
          <t>Success</t>
        </is>
      </c>
      <c r="I341" t="inlineStr">
        <is>
          <t>BNKRTL6J6AVNQ3Z</t>
        </is>
      </c>
      <c r="J341" s="8" t="n">
        <v>46235</v>
      </c>
    </row>
    <row r="342">
      <c r="A342" t="inlineStr">
        <is>
          <t>PAY0008460</t>
        </is>
      </c>
      <c r="B342" t="inlineStr">
        <is>
          <t>INV0010640</t>
        </is>
      </c>
      <c r="C342" t="inlineStr">
        <is>
          <t>MER00502</t>
        </is>
      </c>
      <c r="D342" s="8" t="n">
        <v>46247</v>
      </c>
      <c r="E342" t="n">
        <v>324.1</v>
      </c>
      <c r="F342" t="inlineStr">
        <is>
          <t>UPI</t>
        </is>
      </c>
      <c r="G342" t="inlineStr">
        <is>
          <t>PAYPYX33JRYHC</t>
        </is>
      </c>
      <c r="H342" t="inlineStr">
        <is>
          <t>Success</t>
        </is>
      </c>
      <c r="I342" t="inlineStr">
        <is>
          <t>BNKMY6RG9K7N3DF</t>
        </is>
      </c>
      <c r="J342" s="8" t="n">
        <v>46248</v>
      </c>
    </row>
    <row r="343">
      <c r="A343" t="inlineStr">
        <is>
          <t>PAY0008636</t>
        </is>
      </c>
      <c r="B343" t="inlineStr">
        <is>
          <t>INV0011059</t>
        </is>
      </c>
      <c r="C343" t="inlineStr">
        <is>
          <t>MER00523</t>
        </is>
      </c>
      <c r="D343" s="8" t="n">
        <v>45598</v>
      </c>
      <c r="E343" t="n">
        <v>270.96</v>
      </c>
      <c r="F343" t="inlineStr">
        <is>
          <t>UPI</t>
        </is>
      </c>
      <c r="G343" t="inlineStr">
        <is>
          <t>PAY3JYSKFX2YU</t>
        </is>
      </c>
      <c r="H343" t="inlineStr">
        <is>
          <t>Success</t>
        </is>
      </c>
      <c r="I343" t="inlineStr">
        <is>
          <t>BNK24NSGJFBE9WX</t>
        </is>
      </c>
      <c r="J343" s="8" t="n">
        <v>45600</v>
      </c>
    </row>
    <row r="344">
      <c r="A344" t="inlineStr">
        <is>
          <t>PAY0008637</t>
        </is>
      </c>
      <c r="B344" t="inlineStr">
        <is>
          <t>INV0011061</t>
        </is>
      </c>
      <c r="C344" t="inlineStr">
        <is>
          <t>MER00523</t>
        </is>
      </c>
      <c r="D344" s="8" t="n">
        <v>45655</v>
      </c>
      <c r="E344" t="n">
        <v>545.74</v>
      </c>
      <c r="F344" t="inlineStr">
        <is>
          <t>UPI</t>
        </is>
      </c>
      <c r="G344" t="inlineStr">
        <is>
          <t>PAYD2P7MLD2AA</t>
        </is>
      </c>
      <c r="H344" t="inlineStr">
        <is>
          <t>Success</t>
        </is>
      </c>
      <c r="I344" t="inlineStr">
        <is>
          <t>BNK3E5BTFFUGTXA</t>
        </is>
      </c>
      <c r="J344" s="8" t="n">
        <v>45656</v>
      </c>
    </row>
    <row r="345">
      <c r="A345" t="inlineStr">
        <is>
          <t>PAY0008638</t>
        </is>
      </c>
      <c r="B345" t="inlineStr">
        <is>
          <t>INV0011062</t>
        </is>
      </c>
      <c r="C345" t="inlineStr">
        <is>
          <t>MER00523</t>
        </is>
      </c>
      <c r="D345" s="8" t="n">
        <v>45693</v>
      </c>
      <c r="E345" t="n">
        <v>587.71</v>
      </c>
      <c r="F345" t="inlineStr">
        <is>
          <t>UPI</t>
        </is>
      </c>
      <c r="G345" t="inlineStr">
        <is>
          <t>PAYVFA5MUKDCC</t>
        </is>
      </c>
      <c r="H345" t="inlineStr">
        <is>
          <t>Success</t>
        </is>
      </c>
      <c r="I345" t="inlineStr">
        <is>
          <t>BNKXD9PRZ8X7RJ9</t>
        </is>
      </c>
      <c r="J345" s="8" t="n">
        <v>45694</v>
      </c>
    </row>
    <row r="346">
      <c r="A346" t="inlineStr">
        <is>
          <t>PAY0008639</t>
        </is>
      </c>
      <c r="B346" t="inlineStr">
        <is>
          <t>INV0011063</t>
        </is>
      </c>
      <c r="C346" t="inlineStr">
        <is>
          <t>MER00523</t>
        </is>
      </c>
      <c r="D346" s="8" t="n">
        <v>45719</v>
      </c>
      <c r="E346" t="n">
        <v>679.13</v>
      </c>
      <c r="F346" t="inlineStr">
        <is>
          <t>UPI</t>
        </is>
      </c>
      <c r="G346" t="inlineStr">
        <is>
          <t>PAYZM3XAC2LSW</t>
        </is>
      </c>
      <c r="H346" t="inlineStr">
        <is>
          <t>Success</t>
        </is>
      </c>
      <c r="I346" t="inlineStr">
        <is>
          <t>BNK2D2FS8QCM3RH</t>
        </is>
      </c>
      <c r="J346" s="8" t="n">
        <v>45721</v>
      </c>
    </row>
    <row r="347">
      <c r="A347" t="inlineStr">
        <is>
          <t>PAY0008640</t>
        </is>
      </c>
      <c r="B347" t="inlineStr">
        <is>
          <t>INV0011064</t>
        </is>
      </c>
      <c r="C347" t="inlineStr">
        <is>
          <t>MER00523</t>
        </is>
      </c>
      <c r="D347" s="8" t="n">
        <v>45756</v>
      </c>
      <c r="E347" t="n">
        <v>615.72</v>
      </c>
      <c r="F347" t="inlineStr">
        <is>
          <t>Card</t>
        </is>
      </c>
      <c r="G347" t="inlineStr">
        <is>
          <t>PAYDYUQFTMCJT</t>
        </is>
      </c>
      <c r="H347" t="inlineStr">
        <is>
          <t>Success</t>
        </is>
      </c>
      <c r="I347" t="inlineStr">
        <is>
          <t>BNKFQPM6TWPBS7J</t>
        </is>
      </c>
      <c r="J347" s="8" t="n">
        <v>45759</v>
      </c>
    </row>
    <row r="348">
      <c r="A348" t="inlineStr">
        <is>
          <t>PAY0008641</t>
        </is>
      </c>
      <c r="B348" t="inlineStr">
        <is>
          <t>INV0011066</t>
        </is>
      </c>
      <c r="C348" t="inlineStr">
        <is>
          <t>MER00523</t>
        </is>
      </c>
      <c r="D348" s="8" t="n">
        <v>45818</v>
      </c>
      <c r="E348" t="n">
        <v>441.43</v>
      </c>
      <c r="F348" t="inlineStr">
        <is>
          <t>Card</t>
        </is>
      </c>
      <c r="G348" t="inlineStr">
        <is>
          <t>PAYUCEQR7HS8N</t>
        </is>
      </c>
      <c r="H348" t="inlineStr">
        <is>
          <t>Success</t>
        </is>
      </c>
      <c r="I348" t="inlineStr">
        <is>
          <t>BNKWPJ4PMYFF9KA</t>
        </is>
      </c>
      <c r="J348" s="8" t="n">
        <v>45820</v>
      </c>
    </row>
    <row r="349">
      <c r="A349" t="inlineStr">
        <is>
          <t>PAY0008642</t>
        </is>
      </c>
      <c r="B349" t="inlineStr">
        <is>
          <t>INV0011067</t>
        </is>
      </c>
      <c r="C349" t="inlineStr">
        <is>
          <t>MER00523</t>
        </is>
      </c>
      <c r="D349" s="8" t="n">
        <v>45842</v>
      </c>
      <c r="E349" t="n">
        <v>342.25</v>
      </c>
      <c r="F349" t="inlineStr">
        <is>
          <t>Card</t>
        </is>
      </c>
      <c r="G349" t="inlineStr">
        <is>
          <t>PAYPV4XSV3P3P</t>
        </is>
      </c>
      <c r="H349" t="inlineStr">
        <is>
          <t>Success</t>
        </is>
      </c>
      <c r="I349" t="inlineStr">
        <is>
          <t>BNKVLHX2J7QBRGQ</t>
        </is>
      </c>
      <c r="J349" s="8" t="n">
        <v>45843</v>
      </c>
    </row>
    <row r="350">
      <c r="A350" t="inlineStr">
        <is>
          <t>PAY0008643</t>
        </is>
      </c>
      <c r="B350" t="inlineStr">
        <is>
          <t>INV0011068</t>
        </is>
      </c>
      <c r="C350" t="inlineStr">
        <is>
          <t>MER00523</t>
        </is>
      </c>
      <c r="D350" s="8" t="n">
        <v>45866</v>
      </c>
      <c r="E350" t="n">
        <v>350.84</v>
      </c>
      <c r="F350" t="inlineStr">
        <is>
          <t>UPI</t>
        </is>
      </c>
      <c r="G350" t="inlineStr">
        <is>
          <t>PAYJ8QGM2WSUE</t>
        </is>
      </c>
      <c r="H350" t="inlineStr">
        <is>
          <t>Success</t>
        </is>
      </c>
      <c r="I350" t="inlineStr">
        <is>
          <t>BNKF795B9CZ4GMA</t>
        </is>
      </c>
      <c r="J350" s="8" t="n">
        <v>45868</v>
      </c>
    </row>
    <row r="351">
      <c r="A351" t="inlineStr">
        <is>
          <t>PAY0008644</t>
        </is>
      </c>
      <c r="B351" t="inlineStr">
        <is>
          <t>INV0011069</t>
        </is>
      </c>
      <c r="C351" t="inlineStr">
        <is>
          <t>MER00523</t>
        </is>
      </c>
      <c r="D351" s="8" t="n">
        <v>45900</v>
      </c>
      <c r="E351" t="n">
        <v>325.77</v>
      </c>
      <c r="F351" t="inlineStr">
        <is>
          <t>Card</t>
        </is>
      </c>
      <c r="G351" t="inlineStr">
        <is>
          <t>PAY497K9AZFCM</t>
        </is>
      </c>
      <c r="H351" t="inlineStr">
        <is>
          <t>Success</t>
        </is>
      </c>
      <c r="I351" t="inlineStr">
        <is>
          <t>BNK597WWUEZ76GN</t>
        </is>
      </c>
      <c r="J351" s="8" t="n">
        <v>45902</v>
      </c>
    </row>
    <row r="352">
      <c r="A352" t="inlineStr">
        <is>
          <t>PAY0008645</t>
        </is>
      </c>
      <c r="B352" t="inlineStr">
        <is>
          <t>INV0011070</t>
        </is>
      </c>
      <c r="C352" t="inlineStr">
        <is>
          <t>MER00523</t>
        </is>
      </c>
      <c r="D352" s="8" t="n">
        <v>45936</v>
      </c>
      <c r="E352" t="n">
        <v>679.55</v>
      </c>
      <c r="F352" t="inlineStr">
        <is>
          <t>Card</t>
        </is>
      </c>
      <c r="G352" t="inlineStr">
        <is>
          <t>PAYJ6AFPUUTEN</t>
        </is>
      </c>
      <c r="H352" t="inlineStr">
        <is>
          <t>Success</t>
        </is>
      </c>
      <c r="I352" t="inlineStr">
        <is>
          <t>BNK4TVKENE69JVY</t>
        </is>
      </c>
      <c r="J352" s="8" t="n">
        <v>45937</v>
      </c>
    </row>
    <row r="353">
      <c r="A353" t="inlineStr">
        <is>
          <t>PAY0008646</t>
        </is>
      </c>
      <c r="B353" t="inlineStr">
        <is>
          <t>INV0011071</t>
        </is>
      </c>
      <c r="C353" t="inlineStr">
        <is>
          <t>MER00523</t>
        </is>
      </c>
      <c r="D353" s="8" t="n">
        <v>45961</v>
      </c>
      <c r="E353" t="n">
        <v>319.8</v>
      </c>
      <c r="F353" t="inlineStr">
        <is>
          <t>Card</t>
        </is>
      </c>
      <c r="G353" t="inlineStr">
        <is>
          <t>PAYNC7BLUQMP2</t>
        </is>
      </c>
      <c r="H353" t="inlineStr">
        <is>
          <t>Success</t>
        </is>
      </c>
      <c r="I353" t="inlineStr">
        <is>
          <t>BNK37RTKM3TJUH8</t>
        </is>
      </c>
      <c r="J353" s="8" t="n">
        <v>45964</v>
      </c>
    </row>
    <row r="354">
      <c r="A354" t="inlineStr">
        <is>
          <t>PAY0008647</t>
        </is>
      </c>
      <c r="B354" t="inlineStr">
        <is>
          <t>INV0011072</t>
        </is>
      </c>
      <c r="C354" t="inlineStr">
        <is>
          <t>MER00523</t>
        </is>
      </c>
      <c r="D354" s="8" t="n">
        <v>45995</v>
      </c>
      <c r="E354" t="n">
        <v>524.66</v>
      </c>
      <c r="F354" t="inlineStr">
        <is>
          <t>UPI</t>
        </is>
      </c>
      <c r="G354" t="inlineStr">
        <is>
          <t>PAYAEQH39YA6S</t>
        </is>
      </c>
      <c r="H354" t="inlineStr">
        <is>
          <t>Success</t>
        </is>
      </c>
      <c r="I354" t="inlineStr">
        <is>
          <t>BNK4GH5NF7KHRSZ</t>
        </is>
      </c>
      <c r="J354" s="8" t="n">
        <v>45998</v>
      </c>
    </row>
    <row r="355">
      <c r="A355" t="inlineStr">
        <is>
          <t>PAY0008648</t>
        </is>
      </c>
      <c r="B355" t="inlineStr">
        <is>
          <t>INV0011073</t>
        </is>
      </c>
      <c r="C355" t="inlineStr">
        <is>
          <t>MER00523</t>
        </is>
      </c>
      <c r="D355" s="8" t="n">
        <v>46032</v>
      </c>
      <c r="E355" t="n">
        <v>721.27</v>
      </c>
      <c r="F355" t="inlineStr">
        <is>
          <t>Card</t>
        </is>
      </c>
      <c r="G355" t="inlineStr">
        <is>
          <t>PAYTQ2VLZ8KXX</t>
        </is>
      </c>
      <c r="H355" t="inlineStr">
        <is>
          <t>Success</t>
        </is>
      </c>
      <c r="I355" t="inlineStr">
        <is>
          <t>BNKYTYTNGNM4AEZ</t>
        </is>
      </c>
      <c r="J355" s="8" t="n">
        <v>46035</v>
      </c>
    </row>
    <row r="356">
      <c r="A356" t="inlineStr">
        <is>
          <t>PAY0008649</t>
        </is>
      </c>
      <c r="B356" t="inlineStr">
        <is>
          <t>INV0011074</t>
        </is>
      </c>
      <c r="C356" t="inlineStr">
        <is>
          <t>MER00523</t>
        </is>
      </c>
      <c r="D356" s="8" t="n">
        <v>46048</v>
      </c>
      <c r="E356" t="n">
        <v>545.95</v>
      </c>
      <c r="F356" t="inlineStr">
        <is>
          <t>Wallet</t>
        </is>
      </c>
      <c r="G356" t="inlineStr">
        <is>
          <t>PAYNLMHKNNSSZ</t>
        </is>
      </c>
      <c r="H356" t="inlineStr">
        <is>
          <t>Failed</t>
        </is>
      </c>
      <c r="I356" t="inlineStr">
        <is>
          <t>BNKQHBH76Y5W68B</t>
        </is>
      </c>
      <c r="J356" s="8" t="n"/>
    </row>
    <row r="357">
      <c r="A357" t="inlineStr">
        <is>
          <t>PAY0008650</t>
        </is>
      </c>
      <c r="B357" t="inlineStr">
        <is>
          <t>INV0011075</t>
        </is>
      </c>
      <c r="C357" t="inlineStr">
        <is>
          <t>MER00523</t>
        </is>
      </c>
      <c r="D357" s="8" t="n">
        <v>46082</v>
      </c>
      <c r="E357" t="n">
        <v>499.68</v>
      </c>
      <c r="F357" t="inlineStr">
        <is>
          <t>Card</t>
        </is>
      </c>
      <c r="G357" t="inlineStr">
        <is>
          <t>PAYSB64QH98A9</t>
        </is>
      </c>
      <c r="H357" t="inlineStr">
        <is>
          <t>Success</t>
        </is>
      </c>
      <c r="I357" t="inlineStr">
        <is>
          <t>BNKWMUHS9JSHXN6</t>
        </is>
      </c>
      <c r="J357" s="8" t="n">
        <v>46085</v>
      </c>
    </row>
    <row r="358">
      <c r="A358" t="inlineStr">
        <is>
          <t>PAY0008651</t>
        </is>
      </c>
      <c r="B358" t="inlineStr">
        <is>
          <t>INV0011076</t>
        </is>
      </c>
      <c r="C358" t="inlineStr">
        <is>
          <t>MER00523</t>
        </is>
      </c>
      <c r="D358" s="8" t="n">
        <v>46108</v>
      </c>
      <c r="E358" t="n">
        <v>618.8200000000001</v>
      </c>
      <c r="F358" t="inlineStr">
        <is>
          <t>Card</t>
        </is>
      </c>
      <c r="G358" t="inlineStr">
        <is>
          <t>PAYWRL7QC7YDY</t>
        </is>
      </c>
      <c r="H358" t="inlineStr">
        <is>
          <t>Success</t>
        </is>
      </c>
      <c r="I358" t="inlineStr">
        <is>
          <t>BNKHBXESXNMGPNC</t>
        </is>
      </c>
      <c r="J358" s="8" t="n">
        <v>46111</v>
      </c>
    </row>
    <row r="359">
      <c r="A359" t="inlineStr">
        <is>
          <t>PAY0008652</t>
        </is>
      </c>
      <c r="B359" t="inlineStr">
        <is>
          <t>INV0011077</t>
        </is>
      </c>
      <c r="C359" t="inlineStr">
        <is>
          <t>MER00523</t>
        </is>
      </c>
      <c r="D359" s="8" t="n">
        <v>46146</v>
      </c>
      <c r="E359" t="n">
        <v>528.99</v>
      </c>
      <c r="F359" t="inlineStr">
        <is>
          <t>UPI</t>
        </is>
      </c>
      <c r="G359" t="inlineStr">
        <is>
          <t>PAYTLX8X94GYW</t>
        </is>
      </c>
      <c r="H359" t="inlineStr">
        <is>
          <t>Success</t>
        </is>
      </c>
      <c r="I359" t="inlineStr">
        <is>
          <t>BNKVU6C9KDVNTAN</t>
        </is>
      </c>
      <c r="J359" s="8" t="n">
        <v>46149</v>
      </c>
    </row>
    <row r="360">
      <c r="A360" t="inlineStr">
        <is>
          <t>PAY0008653</t>
        </is>
      </c>
      <c r="B360" t="inlineStr">
        <is>
          <t>INV0011079</t>
        </is>
      </c>
      <c r="C360" t="inlineStr">
        <is>
          <t>MER00523</t>
        </is>
      </c>
      <c r="D360" s="8" t="n">
        <v>46206</v>
      </c>
      <c r="E360" t="n">
        <v>515.47</v>
      </c>
      <c r="F360" t="inlineStr">
        <is>
          <t>Card</t>
        </is>
      </c>
      <c r="G360" t="inlineStr">
        <is>
          <t>PAYNYEZTBYKWE</t>
        </is>
      </c>
      <c r="H360" t="inlineStr">
        <is>
          <t>Success</t>
        </is>
      </c>
      <c r="I360" t="inlineStr">
        <is>
          <t>BNKMB9HNJSS7DUM</t>
        </is>
      </c>
      <c r="J360" s="8" t="n">
        <v>46208</v>
      </c>
    </row>
    <row r="361">
      <c r="A361" t="inlineStr">
        <is>
          <t>PAY0008654</t>
        </is>
      </c>
      <c r="B361" t="inlineStr">
        <is>
          <t>INV0011080</t>
        </is>
      </c>
      <c r="C361" t="inlineStr">
        <is>
          <t>MER00523</t>
        </is>
      </c>
      <c r="D361" s="8" t="n">
        <v>46245</v>
      </c>
      <c r="E361" t="n">
        <v>557.8099999999999</v>
      </c>
      <c r="F361" t="inlineStr">
        <is>
          <t>UPI</t>
        </is>
      </c>
      <c r="G361" t="inlineStr">
        <is>
          <t>PAYEJ5JWFETRK</t>
        </is>
      </c>
      <c r="H361" t="inlineStr">
        <is>
          <t>Success</t>
        </is>
      </c>
      <c r="I361" t="inlineStr">
        <is>
          <t>BNKUFK84ZSPAMPC</t>
        </is>
      </c>
      <c r="J361" s="8" t="n">
        <v>46247</v>
      </c>
    </row>
    <row r="362">
      <c r="A362" t="inlineStr">
        <is>
          <t>PAY0008655</t>
        </is>
      </c>
      <c r="B362" t="inlineStr">
        <is>
          <t>INV0011081</t>
        </is>
      </c>
      <c r="C362" t="inlineStr">
        <is>
          <t>MER00523</t>
        </is>
      </c>
      <c r="D362" s="8" t="n">
        <v>46267</v>
      </c>
      <c r="E362" t="n">
        <v>449.57</v>
      </c>
      <c r="F362" t="inlineStr">
        <is>
          <t>UPI</t>
        </is>
      </c>
      <c r="G362" t="inlineStr">
        <is>
          <t>PAYXAX5JUUGSQ</t>
        </is>
      </c>
      <c r="H362" t="inlineStr">
        <is>
          <t>Success</t>
        </is>
      </c>
      <c r="I362" t="inlineStr">
        <is>
          <t>BNK845KTMDUKP87</t>
        </is>
      </c>
      <c r="J362" s="8" t="n">
        <v>46269</v>
      </c>
    </row>
    <row r="363">
      <c r="A363" t="inlineStr">
        <is>
          <t>PAY0008801</t>
        </is>
      </c>
      <c r="B363" t="inlineStr">
        <is>
          <t>INV0011616</t>
        </is>
      </c>
      <c r="C363" t="inlineStr">
        <is>
          <t>MER00549</t>
        </is>
      </c>
      <c r="D363" s="8" t="n">
        <v>45622</v>
      </c>
      <c r="E363" t="n">
        <v>3026.5</v>
      </c>
      <c r="F363" t="inlineStr">
        <is>
          <t>UPI</t>
        </is>
      </c>
      <c r="G363" t="inlineStr">
        <is>
          <t>PAYUU8J2W58XM</t>
        </is>
      </c>
      <c r="H363" t="inlineStr">
        <is>
          <t>Success</t>
        </is>
      </c>
      <c r="I363" t="inlineStr">
        <is>
          <t>BNK4D3652N3DLP6</t>
        </is>
      </c>
      <c r="J363" s="8" t="n">
        <v>45624</v>
      </c>
    </row>
    <row r="364">
      <c r="A364" t="inlineStr">
        <is>
          <t>PAY0008802</t>
        </is>
      </c>
      <c r="B364" t="inlineStr">
        <is>
          <t>INV0011617</t>
        </is>
      </c>
      <c r="C364" t="inlineStr">
        <is>
          <t>MER00549</t>
        </is>
      </c>
      <c r="D364" s="8" t="n">
        <v>45650</v>
      </c>
      <c r="E364" t="n">
        <v>5883.4</v>
      </c>
      <c r="F364" t="inlineStr">
        <is>
          <t>UPI</t>
        </is>
      </c>
      <c r="G364" t="inlineStr">
        <is>
          <t>PAY3P3HFCWX4S</t>
        </is>
      </c>
      <c r="H364" t="inlineStr">
        <is>
          <t>Success</t>
        </is>
      </c>
      <c r="I364" t="inlineStr">
        <is>
          <t>BNKA894UZD3TDBT</t>
        </is>
      </c>
      <c r="J364" s="8" t="n">
        <v>45651</v>
      </c>
    </row>
    <row r="365">
      <c r="A365" t="inlineStr">
        <is>
          <t>PAY0008803</t>
        </is>
      </c>
      <c r="B365" t="inlineStr">
        <is>
          <t>INV0011618</t>
        </is>
      </c>
      <c r="C365" t="inlineStr">
        <is>
          <t>MER00549</t>
        </is>
      </c>
      <c r="D365" s="8" t="n">
        <v>45685</v>
      </c>
      <c r="E365" t="n">
        <v>7450.02</v>
      </c>
      <c r="F365" t="inlineStr">
        <is>
          <t>Wallet</t>
        </is>
      </c>
      <c r="G365" t="inlineStr">
        <is>
          <t>PAY5XKAQ2M7TW</t>
        </is>
      </c>
      <c r="H365" t="inlineStr">
        <is>
          <t>Success</t>
        </is>
      </c>
      <c r="I365" t="inlineStr">
        <is>
          <t>BNK84UDZ3FWN5FP</t>
        </is>
      </c>
      <c r="J365" s="8" t="n">
        <v>45686</v>
      </c>
    </row>
    <row r="366">
      <c r="A366" t="inlineStr">
        <is>
          <t>PAY0008804</t>
        </is>
      </c>
      <c r="B366" t="inlineStr">
        <is>
          <t>INV0011619</t>
        </is>
      </c>
      <c r="C366" t="inlineStr">
        <is>
          <t>MER00549</t>
        </is>
      </c>
      <c r="D366" s="8" t="n">
        <v>45711</v>
      </c>
      <c r="E366" t="n">
        <v>3424.08</v>
      </c>
      <c r="F366" t="inlineStr">
        <is>
          <t>Wallet</t>
        </is>
      </c>
      <c r="G366" t="inlineStr">
        <is>
          <t>PAYF2ULUU3E2E</t>
        </is>
      </c>
      <c r="H366" t="inlineStr">
        <is>
          <t>Success</t>
        </is>
      </c>
      <c r="I366" t="inlineStr">
        <is>
          <t>BNK35Z7JFTN29TB</t>
        </is>
      </c>
      <c r="J366" s="8" t="n">
        <v>45713</v>
      </c>
    </row>
    <row r="367">
      <c r="A367" t="inlineStr">
        <is>
          <t>PAY0008805</t>
        </is>
      </c>
      <c r="B367" t="inlineStr">
        <is>
          <t>INV0011622</t>
        </is>
      </c>
      <c r="C367" t="inlineStr">
        <is>
          <t>MER00549</t>
        </is>
      </c>
      <c r="D367" s="8" t="n">
        <v>45794</v>
      </c>
      <c r="E367" t="n">
        <v>3434.99</v>
      </c>
      <c r="F367" t="inlineStr">
        <is>
          <t>NetBanking</t>
        </is>
      </c>
      <c r="G367" t="inlineStr">
        <is>
          <t>PAY9CTLUHKDYE</t>
        </is>
      </c>
      <c r="H367" t="inlineStr">
        <is>
          <t>Success</t>
        </is>
      </c>
      <c r="I367" t="inlineStr">
        <is>
          <t>BNK69VVYVZJMMBG</t>
        </is>
      </c>
      <c r="J367" s="8" t="n">
        <v>45795</v>
      </c>
    </row>
    <row r="368">
      <c r="A368" t="inlineStr">
        <is>
          <t>PAY0008806</t>
        </is>
      </c>
      <c r="B368" t="inlineStr">
        <is>
          <t>INV0011623</t>
        </is>
      </c>
      <c r="C368" t="inlineStr">
        <is>
          <t>MER00549</t>
        </is>
      </c>
      <c r="D368" s="8" t="n">
        <v>45831</v>
      </c>
      <c r="E368" t="n">
        <v>4588.3</v>
      </c>
      <c r="F368" t="inlineStr">
        <is>
          <t>UPI</t>
        </is>
      </c>
      <c r="G368" t="inlineStr">
        <is>
          <t>PAYNSLE8LVDGT</t>
        </is>
      </c>
      <c r="H368" t="inlineStr">
        <is>
          <t>Success</t>
        </is>
      </c>
      <c r="I368" t="inlineStr">
        <is>
          <t>BNKFDGMBHMBNXE5</t>
        </is>
      </c>
      <c r="J368" s="8" t="n">
        <v>45833</v>
      </c>
    </row>
    <row r="369">
      <c r="A369" t="inlineStr">
        <is>
          <t>PAY0008807</t>
        </is>
      </c>
      <c r="B369" t="inlineStr">
        <is>
          <t>INV0011625</t>
        </is>
      </c>
      <c r="C369" t="inlineStr">
        <is>
          <t>MER00549</t>
        </is>
      </c>
      <c r="D369" s="8" t="n">
        <v>45894</v>
      </c>
      <c r="E369" t="n">
        <v>5102.77</v>
      </c>
      <c r="F369" t="inlineStr">
        <is>
          <t>Card</t>
        </is>
      </c>
      <c r="G369" t="inlineStr">
        <is>
          <t>PAYPLUQMZB8MC</t>
        </is>
      </c>
      <c r="H369" t="inlineStr">
        <is>
          <t>Success</t>
        </is>
      </c>
      <c r="I369" t="inlineStr">
        <is>
          <t>BNKZQ4VZP44N8UR</t>
        </is>
      </c>
      <c r="J369" s="8" t="n">
        <v>45896</v>
      </c>
    </row>
    <row r="370">
      <c r="A370" t="inlineStr">
        <is>
          <t>PAY0008808</t>
        </is>
      </c>
      <c r="B370" t="inlineStr">
        <is>
          <t>INV0011626</t>
        </is>
      </c>
      <c r="C370" t="inlineStr">
        <is>
          <t>MER00549</t>
        </is>
      </c>
      <c r="D370" s="8" t="n">
        <v>45923</v>
      </c>
      <c r="E370" t="n">
        <v>5379.09</v>
      </c>
      <c r="F370" t="inlineStr">
        <is>
          <t>COD</t>
        </is>
      </c>
      <c r="G370" t="inlineStr">
        <is>
          <t>PAYAGS43D2CQG</t>
        </is>
      </c>
      <c r="H370" t="inlineStr">
        <is>
          <t>Success</t>
        </is>
      </c>
      <c r="I370" t="inlineStr">
        <is>
          <t>BNK3SMPRE65S6HD</t>
        </is>
      </c>
      <c r="J370" s="8" t="n">
        <v>45925</v>
      </c>
    </row>
    <row r="371">
      <c r="A371" t="inlineStr">
        <is>
          <t>PAY0008809</t>
        </is>
      </c>
      <c r="B371" t="inlineStr">
        <is>
          <t>INV0011627</t>
        </is>
      </c>
      <c r="C371" t="inlineStr">
        <is>
          <t>MER00549</t>
        </is>
      </c>
      <c r="D371" s="8" t="n">
        <v>45954</v>
      </c>
      <c r="E371" t="n">
        <v>4744.53</v>
      </c>
      <c r="F371" t="inlineStr">
        <is>
          <t>Card</t>
        </is>
      </c>
      <c r="G371" t="inlineStr">
        <is>
          <t>PAY89JQZD725B</t>
        </is>
      </c>
      <c r="H371" t="inlineStr">
        <is>
          <t>Success</t>
        </is>
      </c>
      <c r="I371" t="inlineStr">
        <is>
          <t>BNK4G5G67NNP7RR</t>
        </is>
      </c>
      <c r="J371" s="8" t="n">
        <v>45957</v>
      </c>
    </row>
    <row r="372">
      <c r="A372" t="inlineStr">
        <is>
          <t>PAY0008810</t>
        </is>
      </c>
      <c r="B372" t="inlineStr">
        <is>
          <t>INV0011628</t>
        </is>
      </c>
      <c r="C372" t="inlineStr">
        <is>
          <t>MER00549</t>
        </is>
      </c>
      <c r="D372" s="8" t="n">
        <v>45990</v>
      </c>
      <c r="E372" t="n">
        <v>5823.16</v>
      </c>
      <c r="F372" t="inlineStr">
        <is>
          <t>UPI</t>
        </is>
      </c>
      <c r="G372" t="inlineStr">
        <is>
          <t>PAYSL5UT3Y6V4</t>
        </is>
      </c>
      <c r="H372" t="inlineStr">
        <is>
          <t>Success</t>
        </is>
      </c>
      <c r="I372" t="inlineStr">
        <is>
          <t>BNKX3MJE89SYYZJ</t>
        </is>
      </c>
      <c r="J372" s="8" t="n">
        <v>45992</v>
      </c>
    </row>
    <row r="373">
      <c r="A373" t="inlineStr">
        <is>
          <t>PAY0008811</t>
        </is>
      </c>
      <c r="B373" t="inlineStr">
        <is>
          <t>INV0011629</t>
        </is>
      </c>
      <c r="C373" t="inlineStr">
        <is>
          <t>MER00549</t>
        </is>
      </c>
      <c r="D373" s="8" t="n">
        <v>46014</v>
      </c>
      <c r="E373" t="n">
        <v>5781.47</v>
      </c>
      <c r="F373" t="inlineStr">
        <is>
          <t>Card</t>
        </is>
      </c>
      <c r="G373" t="inlineStr">
        <is>
          <t>PAY6UEHFKL8HE</t>
        </is>
      </c>
      <c r="H373" t="inlineStr">
        <is>
          <t>Success</t>
        </is>
      </c>
      <c r="I373" t="inlineStr">
        <is>
          <t>BNKU63L6XRGG3TY</t>
        </is>
      </c>
      <c r="J373" s="8" t="n">
        <v>46015</v>
      </c>
    </row>
    <row r="374">
      <c r="A374" t="inlineStr">
        <is>
          <t>PAY0008812</t>
        </is>
      </c>
      <c r="B374" t="inlineStr">
        <is>
          <t>INV0011630</t>
        </is>
      </c>
      <c r="C374" t="inlineStr">
        <is>
          <t>MER00549</t>
        </is>
      </c>
      <c r="D374" s="8" t="n">
        <v>46039</v>
      </c>
      <c r="E374" t="n">
        <v>7590.24</v>
      </c>
      <c r="F374" t="inlineStr">
        <is>
          <t>UPI</t>
        </is>
      </c>
      <c r="G374" t="inlineStr">
        <is>
          <t>PAY9ZLFAJ75CR</t>
        </is>
      </c>
      <c r="H374" t="inlineStr">
        <is>
          <t>Success</t>
        </is>
      </c>
      <c r="I374" t="inlineStr">
        <is>
          <t>BNKLV4CK4LC7ZYH</t>
        </is>
      </c>
      <c r="J374" s="8" t="n">
        <v>46040</v>
      </c>
    </row>
    <row r="375">
      <c r="A375" t="inlineStr">
        <is>
          <t>PAY0008813</t>
        </is>
      </c>
      <c r="B375" t="inlineStr">
        <is>
          <t>INV0011631</t>
        </is>
      </c>
      <c r="C375" t="inlineStr">
        <is>
          <t>MER00549</t>
        </is>
      </c>
      <c r="D375" s="8" t="n">
        <v>46072</v>
      </c>
      <c r="E375" t="n">
        <v>4896.83</v>
      </c>
      <c r="F375" t="inlineStr">
        <is>
          <t>COD</t>
        </is>
      </c>
      <c r="G375" t="inlineStr">
        <is>
          <t>PAYKTY272873K</t>
        </is>
      </c>
      <c r="H375" t="inlineStr">
        <is>
          <t>Success</t>
        </is>
      </c>
      <c r="I375" t="inlineStr">
        <is>
          <t>BNK92VE7RD2YYK2</t>
        </is>
      </c>
      <c r="J375" s="8" t="n">
        <v>46074</v>
      </c>
    </row>
    <row r="376">
      <c r="A376" t="inlineStr">
        <is>
          <t>PAY0008814</t>
        </is>
      </c>
      <c r="B376" t="inlineStr">
        <is>
          <t>INV0011632</t>
        </is>
      </c>
      <c r="C376" t="inlineStr">
        <is>
          <t>MER00549</t>
        </is>
      </c>
      <c r="D376" s="8" t="n">
        <v>46109</v>
      </c>
      <c r="E376" t="n">
        <v>5818.08</v>
      </c>
      <c r="F376" t="inlineStr">
        <is>
          <t>Card</t>
        </is>
      </c>
      <c r="G376" t="inlineStr">
        <is>
          <t>PAYUBPP9TR3TG</t>
        </is>
      </c>
      <c r="H376" t="inlineStr">
        <is>
          <t>Success</t>
        </is>
      </c>
      <c r="I376" t="inlineStr">
        <is>
          <t>BNKKZHFHMV8XLJ9</t>
        </is>
      </c>
      <c r="J376" s="8" t="n">
        <v>46110</v>
      </c>
    </row>
    <row r="377">
      <c r="A377" t="inlineStr">
        <is>
          <t>PAY0008815</t>
        </is>
      </c>
      <c r="B377" t="inlineStr">
        <is>
          <t>INV0011634</t>
        </is>
      </c>
      <c r="C377" t="inlineStr">
        <is>
          <t>MER00549</t>
        </is>
      </c>
      <c r="D377" s="8" t="n">
        <v>46160</v>
      </c>
      <c r="E377" t="n">
        <v>4092.78</v>
      </c>
      <c r="F377" t="inlineStr">
        <is>
          <t>UPI</t>
        </is>
      </c>
      <c r="G377" t="inlineStr">
        <is>
          <t>PAYFS66E6R4QQ</t>
        </is>
      </c>
      <c r="H377" t="inlineStr">
        <is>
          <t>Success</t>
        </is>
      </c>
      <c r="I377" t="inlineStr">
        <is>
          <t>BNKY3MN33MQSF27</t>
        </is>
      </c>
      <c r="J377" s="8" t="n">
        <v>46161</v>
      </c>
    </row>
    <row r="378">
      <c r="A378" t="inlineStr">
        <is>
          <t>PAY0008816</t>
        </is>
      </c>
      <c r="B378" t="inlineStr">
        <is>
          <t>INV0011635</t>
        </is>
      </c>
      <c r="C378" t="inlineStr">
        <is>
          <t>MER00549</t>
        </is>
      </c>
      <c r="D378" s="8" t="n">
        <v>46228</v>
      </c>
      <c r="E378" t="n">
        <v>3788.38</v>
      </c>
      <c r="F378" t="inlineStr">
        <is>
          <t>Card</t>
        </is>
      </c>
      <c r="G378" t="inlineStr">
        <is>
          <t>PAYET985CDACV</t>
        </is>
      </c>
      <c r="H378" t="inlineStr">
        <is>
          <t>Success</t>
        </is>
      </c>
      <c r="I378" t="inlineStr">
        <is>
          <t>BNK6REBJL3J84VT</t>
        </is>
      </c>
      <c r="J378" s="8" t="n">
        <v>46229</v>
      </c>
    </row>
    <row r="379">
      <c r="A379" t="inlineStr">
        <is>
          <t>PAY0008817</t>
        </is>
      </c>
      <c r="B379" t="inlineStr">
        <is>
          <t>INV0011637</t>
        </is>
      </c>
      <c r="C379" t="inlineStr">
        <is>
          <t>MER00549</t>
        </is>
      </c>
      <c r="D379" s="8" t="n">
        <v>46286</v>
      </c>
      <c r="E379" t="n">
        <v>4345.57</v>
      </c>
      <c r="F379" t="inlineStr">
        <is>
          <t>UPI</t>
        </is>
      </c>
      <c r="G379" t="inlineStr">
        <is>
          <t>PAYRJFMFL34QB</t>
        </is>
      </c>
      <c r="H379" t="inlineStr">
        <is>
          <t>Failed</t>
        </is>
      </c>
      <c r="I379" t="inlineStr">
        <is>
          <t>BNK99YZSQZM8GUU</t>
        </is>
      </c>
      <c r="J379" s="8" t="n"/>
    </row>
    <row r="380">
      <c r="A380" t="inlineStr">
        <is>
          <t>PAY0009441</t>
        </is>
      </c>
      <c r="B380" t="inlineStr">
        <is>
          <t>INV0013942</t>
        </is>
      </c>
      <c r="C380" t="inlineStr">
        <is>
          <t>MER00658</t>
        </is>
      </c>
      <c r="D380" s="8" t="n">
        <v>45549</v>
      </c>
      <c r="E380" t="n">
        <v>521.5700000000001</v>
      </c>
      <c r="F380" t="inlineStr">
        <is>
          <t>UPI</t>
        </is>
      </c>
      <c r="G380" t="inlineStr">
        <is>
          <t>PAY2XA4BTU35N</t>
        </is>
      </c>
      <c r="H380" t="inlineStr">
        <is>
          <t>Success</t>
        </is>
      </c>
      <c r="I380" t="inlineStr">
        <is>
          <t>BNKC4NXL9JAVL4L</t>
        </is>
      </c>
      <c r="J380" s="8" t="n">
        <v>45550</v>
      </c>
    </row>
    <row r="381">
      <c r="A381" t="inlineStr">
        <is>
          <t>PAY0009442</t>
        </is>
      </c>
      <c r="B381" t="inlineStr">
        <is>
          <t>INV0013943</t>
        </is>
      </c>
      <c r="C381" t="inlineStr">
        <is>
          <t>MER00658</t>
        </is>
      </c>
      <c r="D381" s="8" t="n">
        <v>45590</v>
      </c>
      <c r="E381" t="n">
        <v>658.53</v>
      </c>
      <c r="F381" t="inlineStr">
        <is>
          <t>UPI</t>
        </is>
      </c>
      <c r="G381" t="inlineStr">
        <is>
          <t>PAYSEJKGXT369</t>
        </is>
      </c>
      <c r="H381" t="inlineStr">
        <is>
          <t>Success</t>
        </is>
      </c>
      <c r="I381" t="inlineStr">
        <is>
          <t>BNKNXS8Y5LDDR6R</t>
        </is>
      </c>
      <c r="J381" s="8" t="n">
        <v>45593</v>
      </c>
    </row>
    <row r="382">
      <c r="A382" t="inlineStr">
        <is>
          <t>PAY0009443</t>
        </is>
      </c>
      <c r="B382" t="inlineStr">
        <is>
          <t>INV0013945</t>
        </is>
      </c>
      <c r="C382" t="inlineStr">
        <is>
          <t>MER00658</t>
        </is>
      </c>
      <c r="D382" s="8" t="n">
        <v>45644</v>
      </c>
      <c r="E382" t="n">
        <v>1393.95</v>
      </c>
      <c r="F382" t="inlineStr">
        <is>
          <t>Card</t>
        </is>
      </c>
      <c r="G382" t="inlineStr">
        <is>
          <t>PAYF4VMYCM2UL</t>
        </is>
      </c>
      <c r="H382" t="inlineStr">
        <is>
          <t>Success</t>
        </is>
      </c>
      <c r="I382" t="inlineStr">
        <is>
          <t>BNKFLABWSDZCGSE</t>
        </is>
      </c>
      <c r="J382" s="8" t="n">
        <v>45645</v>
      </c>
    </row>
    <row r="383">
      <c r="A383" t="inlineStr">
        <is>
          <t>PAY0009444</t>
        </is>
      </c>
      <c r="B383" t="inlineStr">
        <is>
          <t>INV0013946</t>
        </is>
      </c>
      <c r="C383" t="inlineStr">
        <is>
          <t>MER00658</t>
        </is>
      </c>
      <c r="D383" s="8" t="n">
        <v>45669</v>
      </c>
      <c r="E383" t="n">
        <v>327.21</v>
      </c>
      <c r="F383" t="inlineStr">
        <is>
          <t>UPI</t>
        </is>
      </c>
      <c r="G383" t="inlineStr">
        <is>
          <t>PAYYL8NCGX8SL</t>
        </is>
      </c>
      <c r="H383" t="inlineStr">
        <is>
          <t>Success</t>
        </is>
      </c>
      <c r="I383" t="inlineStr">
        <is>
          <t>BNKVZAAARQ37DW6</t>
        </is>
      </c>
      <c r="J383" s="8" t="n">
        <v>45672</v>
      </c>
    </row>
    <row r="384">
      <c r="A384" t="inlineStr">
        <is>
          <t>PAY0009445</t>
        </is>
      </c>
      <c r="B384" t="inlineStr">
        <is>
          <t>INV0013948</t>
        </is>
      </c>
      <c r="C384" t="inlineStr">
        <is>
          <t>MER00658</t>
        </is>
      </c>
      <c r="D384" s="8" t="n">
        <v>45734</v>
      </c>
      <c r="E384" t="n">
        <v>620.3099999999999</v>
      </c>
      <c r="F384" t="inlineStr">
        <is>
          <t>UPI</t>
        </is>
      </c>
      <c r="G384" t="inlineStr">
        <is>
          <t>PAY5RBZDNH9DY</t>
        </is>
      </c>
      <c r="H384" t="inlineStr">
        <is>
          <t>Success</t>
        </is>
      </c>
      <c r="I384" t="inlineStr">
        <is>
          <t>BNK3J93JDMHWQ5T</t>
        </is>
      </c>
      <c r="J384" s="8" t="n">
        <v>45735</v>
      </c>
    </row>
    <row r="385">
      <c r="A385" t="inlineStr">
        <is>
          <t>PAY0009446</t>
        </is>
      </c>
      <c r="B385" t="inlineStr">
        <is>
          <t>INV0013949</t>
        </is>
      </c>
      <c r="C385" t="inlineStr">
        <is>
          <t>MER00658</t>
        </is>
      </c>
      <c r="D385" s="8" t="n">
        <v>45764</v>
      </c>
      <c r="E385" t="n">
        <v>373.95</v>
      </c>
      <c r="F385" t="inlineStr">
        <is>
          <t>Card</t>
        </is>
      </c>
      <c r="G385" t="inlineStr">
        <is>
          <t>PAYDE93UL6SBW</t>
        </is>
      </c>
      <c r="H385" t="inlineStr">
        <is>
          <t>Success</t>
        </is>
      </c>
      <c r="I385" t="inlineStr">
        <is>
          <t>BNKXTKQKHHH6R7Z</t>
        </is>
      </c>
      <c r="J385" s="8" t="n">
        <v>45766</v>
      </c>
    </row>
    <row r="386">
      <c r="A386" t="inlineStr">
        <is>
          <t>PAY0009447</t>
        </is>
      </c>
      <c r="B386" t="inlineStr">
        <is>
          <t>INV0013950</t>
        </is>
      </c>
      <c r="C386" t="inlineStr">
        <is>
          <t>MER00658</t>
        </is>
      </c>
      <c r="D386" s="8" t="n">
        <v>45809</v>
      </c>
      <c r="E386" t="n">
        <v>113.66</v>
      </c>
      <c r="F386" t="inlineStr">
        <is>
          <t>Card</t>
        </is>
      </c>
      <c r="G386" t="inlineStr">
        <is>
          <t>PAYQY7NCUB6FH</t>
        </is>
      </c>
      <c r="H386" t="inlineStr">
        <is>
          <t>Success</t>
        </is>
      </c>
      <c r="I386" t="inlineStr">
        <is>
          <t>BNK7BDSJRLMUHS8</t>
        </is>
      </c>
      <c r="J386" s="8" t="n">
        <v>45810</v>
      </c>
    </row>
    <row r="387">
      <c r="A387" t="inlineStr">
        <is>
          <t>PAY0009448</t>
        </is>
      </c>
      <c r="B387" t="inlineStr">
        <is>
          <t>INV0013952</t>
        </is>
      </c>
      <c r="C387" t="inlineStr">
        <is>
          <t>MER00658</t>
        </is>
      </c>
      <c r="D387" s="8" t="n">
        <v>45859</v>
      </c>
      <c r="E387" t="n">
        <v>370.41</v>
      </c>
      <c r="F387" t="inlineStr">
        <is>
          <t>NetBanking</t>
        </is>
      </c>
      <c r="G387" t="inlineStr">
        <is>
          <t>PAYNMUJGSRLCK</t>
        </is>
      </c>
      <c r="H387" t="inlineStr">
        <is>
          <t>Success</t>
        </is>
      </c>
      <c r="I387" t="inlineStr">
        <is>
          <t>BNKM82ZTMH34LFM</t>
        </is>
      </c>
      <c r="J387" s="8" t="n">
        <v>45862</v>
      </c>
    </row>
    <row r="388">
      <c r="A388" t="inlineStr">
        <is>
          <t>PAY0009449</t>
        </is>
      </c>
      <c r="B388" t="inlineStr">
        <is>
          <t>INV0013953</t>
        </is>
      </c>
      <c r="C388" t="inlineStr">
        <is>
          <t>MER00658</t>
        </is>
      </c>
      <c r="D388" s="8" t="n">
        <v>45890</v>
      </c>
      <c r="E388" t="n">
        <v>321.56</v>
      </c>
      <c r="F388" t="inlineStr">
        <is>
          <t>Card</t>
        </is>
      </c>
      <c r="G388" t="inlineStr">
        <is>
          <t>PAYPHSRWQXDBA</t>
        </is>
      </c>
      <c r="H388" t="inlineStr">
        <is>
          <t>Success</t>
        </is>
      </c>
      <c r="I388" t="inlineStr">
        <is>
          <t>BNKWNK5UK89K7HE</t>
        </is>
      </c>
      <c r="J388" s="8" t="n">
        <v>45892</v>
      </c>
    </row>
    <row r="389">
      <c r="A389" t="inlineStr">
        <is>
          <t>PAY0009450</t>
        </is>
      </c>
      <c r="B389" t="inlineStr">
        <is>
          <t>INV0013954</t>
        </is>
      </c>
      <c r="C389" t="inlineStr">
        <is>
          <t>MER00658</t>
        </is>
      </c>
      <c r="D389" s="8" t="n">
        <v>45927</v>
      </c>
      <c r="E389" t="n">
        <v>354.98</v>
      </c>
      <c r="F389" t="inlineStr">
        <is>
          <t>NetBanking</t>
        </is>
      </c>
      <c r="G389" t="inlineStr">
        <is>
          <t>PAYFTKZ4HU8QN</t>
        </is>
      </c>
      <c r="H389" t="inlineStr">
        <is>
          <t>Success</t>
        </is>
      </c>
      <c r="I389" t="inlineStr">
        <is>
          <t>BNK4K32ZPW3FRBF</t>
        </is>
      </c>
      <c r="J389" s="8" t="n">
        <v>45928</v>
      </c>
    </row>
    <row r="390">
      <c r="A390" t="inlineStr">
        <is>
          <t>PAY0009451</t>
        </is>
      </c>
      <c r="B390" t="inlineStr">
        <is>
          <t>INV0013955</t>
        </is>
      </c>
      <c r="C390" t="inlineStr">
        <is>
          <t>MER00658</t>
        </is>
      </c>
      <c r="D390" s="8" t="n">
        <v>45963</v>
      </c>
      <c r="E390" t="n">
        <v>421.24</v>
      </c>
      <c r="F390" t="inlineStr">
        <is>
          <t>NetBanking</t>
        </is>
      </c>
      <c r="G390" t="inlineStr">
        <is>
          <t>PAYLZET6S2W76</t>
        </is>
      </c>
      <c r="H390" t="inlineStr">
        <is>
          <t>Success</t>
        </is>
      </c>
      <c r="I390" t="inlineStr">
        <is>
          <t>BNKV9PN5QTJQARS</t>
        </is>
      </c>
      <c r="J390" s="8" t="n">
        <v>45966</v>
      </c>
    </row>
    <row r="391">
      <c r="A391" t="inlineStr">
        <is>
          <t>PAY0009452</t>
        </is>
      </c>
      <c r="B391" t="inlineStr">
        <is>
          <t>INV0013956</t>
        </is>
      </c>
      <c r="C391" t="inlineStr">
        <is>
          <t>MER00658</t>
        </is>
      </c>
      <c r="D391" s="8" t="n">
        <v>45979</v>
      </c>
      <c r="E391" t="n">
        <v>496.79</v>
      </c>
      <c r="F391" t="inlineStr">
        <is>
          <t>UPI</t>
        </is>
      </c>
      <c r="G391" t="inlineStr">
        <is>
          <t>PAYQVWC7WKGVP</t>
        </is>
      </c>
      <c r="H391" t="inlineStr">
        <is>
          <t>Success</t>
        </is>
      </c>
      <c r="I391" t="inlineStr">
        <is>
          <t>BNKNZBM5HP8Q2Y3</t>
        </is>
      </c>
      <c r="J391" s="8" t="n">
        <v>45982</v>
      </c>
    </row>
    <row r="392">
      <c r="A392" t="inlineStr">
        <is>
          <t>PAY0009453</t>
        </is>
      </c>
      <c r="B392" t="inlineStr">
        <is>
          <t>INV0013957</t>
        </is>
      </c>
      <c r="C392" t="inlineStr">
        <is>
          <t>MER00658</t>
        </is>
      </c>
      <c r="D392" s="8" t="n">
        <v>46019</v>
      </c>
      <c r="E392" t="n">
        <v>992.03</v>
      </c>
      <c r="F392" t="inlineStr">
        <is>
          <t>UPI</t>
        </is>
      </c>
      <c r="G392" t="inlineStr">
        <is>
          <t>PAYH6SFXYRGRB</t>
        </is>
      </c>
      <c r="H392" t="inlineStr">
        <is>
          <t>Success</t>
        </is>
      </c>
      <c r="I392" t="inlineStr">
        <is>
          <t>BNKETV5WRLL5TMR</t>
        </is>
      </c>
      <c r="J392" s="8" t="n">
        <v>46022</v>
      </c>
    </row>
    <row r="393">
      <c r="A393" t="inlineStr">
        <is>
          <t>PAY0009454</t>
        </is>
      </c>
      <c r="B393" t="inlineStr">
        <is>
          <t>INV0013958</t>
        </is>
      </c>
      <c r="C393" t="inlineStr">
        <is>
          <t>MER00658</t>
        </is>
      </c>
      <c r="D393" s="8" t="n">
        <v>46047</v>
      </c>
      <c r="E393" t="n">
        <v>377.01</v>
      </c>
      <c r="F393" t="inlineStr">
        <is>
          <t>Wallet</t>
        </is>
      </c>
      <c r="G393" t="inlineStr">
        <is>
          <t>PAYQPHXH272W6</t>
        </is>
      </c>
      <c r="H393" t="inlineStr">
        <is>
          <t>Success</t>
        </is>
      </c>
      <c r="I393" t="inlineStr">
        <is>
          <t>BNK825GV5JCJ3BT</t>
        </is>
      </c>
      <c r="J393" s="8" t="n">
        <v>46048</v>
      </c>
    </row>
    <row r="394">
      <c r="A394" t="inlineStr">
        <is>
          <t>PAY0009455</t>
        </is>
      </c>
      <c r="B394" t="inlineStr">
        <is>
          <t>INV0013959</t>
        </is>
      </c>
      <c r="C394" t="inlineStr">
        <is>
          <t>MER00658</t>
        </is>
      </c>
      <c r="D394" s="8" t="n">
        <v>46080</v>
      </c>
      <c r="E394" t="n">
        <v>567.58</v>
      </c>
      <c r="F394" t="inlineStr">
        <is>
          <t>UPI</t>
        </is>
      </c>
      <c r="G394" t="inlineStr">
        <is>
          <t>PAYYAL4G86C9J</t>
        </is>
      </c>
      <c r="H394" t="inlineStr">
        <is>
          <t>Success</t>
        </is>
      </c>
      <c r="I394" t="inlineStr">
        <is>
          <t>BNKVS6BF9WFBLDE</t>
        </is>
      </c>
      <c r="J394" s="8" t="n">
        <v>46082</v>
      </c>
    </row>
    <row r="395">
      <c r="A395" t="inlineStr">
        <is>
          <t>PAY0009456</t>
        </is>
      </c>
      <c r="B395" t="inlineStr">
        <is>
          <t>INV0013960</t>
        </is>
      </c>
      <c r="C395" t="inlineStr">
        <is>
          <t>MER00658</t>
        </is>
      </c>
      <c r="D395" s="8" t="n">
        <v>46103</v>
      </c>
      <c r="E395" t="n">
        <v>1178.68</v>
      </c>
      <c r="F395" t="inlineStr">
        <is>
          <t>Card</t>
        </is>
      </c>
      <c r="G395" t="inlineStr">
        <is>
          <t>PAYHXKR38GN29</t>
        </is>
      </c>
      <c r="H395" t="inlineStr">
        <is>
          <t>Success</t>
        </is>
      </c>
      <c r="I395" t="inlineStr">
        <is>
          <t>BNKFRX4T9AB8GNL</t>
        </is>
      </c>
      <c r="J395" s="8" t="n">
        <v>46105</v>
      </c>
    </row>
    <row r="396">
      <c r="A396" t="inlineStr">
        <is>
          <t>PAY0009457</t>
        </is>
      </c>
      <c r="B396" t="inlineStr">
        <is>
          <t>INV0013961</t>
        </is>
      </c>
      <c r="C396" t="inlineStr">
        <is>
          <t>MER00658</t>
        </is>
      </c>
      <c r="D396" s="8" t="n">
        <v>46123</v>
      </c>
      <c r="E396" t="n">
        <v>1140.22</v>
      </c>
      <c r="F396" t="inlineStr">
        <is>
          <t>NetBanking</t>
        </is>
      </c>
      <c r="G396" t="inlineStr">
        <is>
          <t>PAY7XJXMXCV8Q</t>
        </is>
      </c>
      <c r="H396" t="inlineStr">
        <is>
          <t>Success</t>
        </is>
      </c>
      <c r="I396" t="inlineStr">
        <is>
          <t>BNKPFVA8U6249T8</t>
        </is>
      </c>
      <c r="J396" s="8" t="n">
        <v>46124</v>
      </c>
    </row>
    <row r="397">
      <c r="A397" t="inlineStr">
        <is>
          <t>PAY0009458</t>
        </is>
      </c>
      <c r="B397" t="inlineStr">
        <is>
          <t>INV0013963</t>
        </is>
      </c>
      <c r="C397" t="inlineStr">
        <is>
          <t>MER00658</t>
        </is>
      </c>
      <c r="D397" s="8" t="n">
        <v>46196</v>
      </c>
      <c r="E397" t="n">
        <v>461.56</v>
      </c>
      <c r="F397" t="inlineStr">
        <is>
          <t>COD</t>
        </is>
      </c>
      <c r="G397" t="inlineStr">
        <is>
          <t>PAYUHMVC4LTQB</t>
        </is>
      </c>
      <c r="H397" t="inlineStr">
        <is>
          <t>Success</t>
        </is>
      </c>
      <c r="I397" t="inlineStr">
        <is>
          <t>BNKNNMJY6HQBLSB</t>
        </is>
      </c>
      <c r="J397" s="8" t="n">
        <v>46198</v>
      </c>
    </row>
    <row r="398">
      <c r="A398" t="inlineStr">
        <is>
          <t>PAY0009459</t>
        </is>
      </c>
      <c r="B398" t="inlineStr">
        <is>
          <t>INV0013964</t>
        </is>
      </c>
      <c r="C398" t="inlineStr">
        <is>
          <t>MER00658</t>
        </is>
      </c>
      <c r="D398" s="8" t="n">
        <v>46228</v>
      </c>
      <c r="E398" t="n">
        <v>361.19</v>
      </c>
      <c r="F398" t="inlineStr">
        <is>
          <t>Card</t>
        </is>
      </c>
      <c r="G398" t="inlineStr">
        <is>
          <t>PAYSMRD9PX39F</t>
        </is>
      </c>
      <c r="H398" t="inlineStr">
        <is>
          <t>Success</t>
        </is>
      </c>
      <c r="I398" t="inlineStr">
        <is>
          <t>BNKAD6YJ6Y2HY7Y</t>
        </is>
      </c>
      <c r="J398" s="8" t="n">
        <v>46230</v>
      </c>
    </row>
    <row r="399">
      <c r="A399" t="inlineStr">
        <is>
          <t>PAY0009592</t>
        </is>
      </c>
      <c r="B399" t="inlineStr">
        <is>
          <t>INV0015071</t>
        </is>
      </c>
      <c r="C399" t="inlineStr">
        <is>
          <t>MER00712</t>
        </is>
      </c>
      <c r="D399" s="8" t="n">
        <v>45602</v>
      </c>
      <c r="E399" t="n">
        <v>1085.65</v>
      </c>
      <c r="F399" t="inlineStr">
        <is>
          <t>UPI</t>
        </is>
      </c>
      <c r="G399" t="inlineStr">
        <is>
          <t>PAYBMQDYQSSF3</t>
        </is>
      </c>
      <c r="H399" t="inlineStr">
        <is>
          <t>Success</t>
        </is>
      </c>
      <c r="I399" t="inlineStr">
        <is>
          <t>BNK485DMR6XG69K</t>
        </is>
      </c>
      <c r="J399" s="8" t="n">
        <v>45604</v>
      </c>
    </row>
    <row r="400">
      <c r="A400" t="inlineStr">
        <is>
          <t>PAY0009593</t>
        </is>
      </c>
      <c r="B400" t="inlineStr">
        <is>
          <t>INV0015072</t>
        </is>
      </c>
      <c r="C400" t="inlineStr">
        <is>
          <t>MER00712</t>
        </is>
      </c>
      <c r="D400" s="8" t="n">
        <v>45630</v>
      </c>
      <c r="E400" t="n">
        <v>1520.03</v>
      </c>
      <c r="F400" t="inlineStr">
        <is>
          <t>Card</t>
        </is>
      </c>
      <c r="G400" t="inlineStr">
        <is>
          <t>PAY85YQJGNYAP</t>
        </is>
      </c>
      <c r="H400" t="inlineStr">
        <is>
          <t>Success</t>
        </is>
      </c>
      <c r="I400" t="inlineStr">
        <is>
          <t>BNK3MK3GQNCJ5GX</t>
        </is>
      </c>
      <c r="J400" s="8" t="n">
        <v>45631</v>
      </c>
    </row>
    <row r="401">
      <c r="A401" t="inlineStr">
        <is>
          <t>PAY0009594</t>
        </is>
      </c>
      <c r="B401" t="inlineStr">
        <is>
          <t>INV0015073</t>
        </is>
      </c>
      <c r="C401" t="inlineStr">
        <is>
          <t>MER00712</t>
        </is>
      </c>
      <c r="D401" s="8" t="n">
        <v>45673</v>
      </c>
      <c r="E401" t="n">
        <v>1106.9</v>
      </c>
      <c r="F401" t="inlineStr">
        <is>
          <t>Card</t>
        </is>
      </c>
      <c r="G401" t="inlineStr">
        <is>
          <t>PAYFSWA56QW2R</t>
        </is>
      </c>
      <c r="H401" t="inlineStr">
        <is>
          <t>Success</t>
        </is>
      </c>
      <c r="I401" t="inlineStr">
        <is>
          <t>BNK53FRN44EGLYX</t>
        </is>
      </c>
      <c r="J401" s="8" t="n">
        <v>45674</v>
      </c>
    </row>
    <row r="402">
      <c r="A402" t="inlineStr">
        <is>
          <t>PAY0009595</t>
        </is>
      </c>
      <c r="B402" t="inlineStr">
        <is>
          <t>INV0015074</t>
        </is>
      </c>
      <c r="C402" t="inlineStr">
        <is>
          <t>MER00712</t>
        </is>
      </c>
      <c r="D402" s="8" t="n">
        <v>45694</v>
      </c>
      <c r="E402" t="n">
        <v>1592.86</v>
      </c>
      <c r="F402" t="inlineStr">
        <is>
          <t>Card</t>
        </is>
      </c>
      <c r="G402" t="inlineStr">
        <is>
          <t>PAY5SFVMGCUGX</t>
        </is>
      </c>
      <c r="H402" t="inlineStr">
        <is>
          <t>Success</t>
        </is>
      </c>
      <c r="I402" t="inlineStr">
        <is>
          <t>BNKK7RC9B6F89Q9</t>
        </is>
      </c>
      <c r="J402" s="8" t="n">
        <v>45697</v>
      </c>
    </row>
    <row r="403">
      <c r="A403" t="inlineStr">
        <is>
          <t>PAY0009596</t>
        </is>
      </c>
      <c r="B403" t="inlineStr">
        <is>
          <t>INV0015075</t>
        </is>
      </c>
      <c r="C403" t="inlineStr">
        <is>
          <t>MER00712</t>
        </is>
      </c>
      <c r="D403" s="8" t="n">
        <v>45730</v>
      </c>
      <c r="E403" t="n">
        <v>2713.76</v>
      </c>
      <c r="F403" t="inlineStr">
        <is>
          <t>UPI</t>
        </is>
      </c>
      <c r="G403" t="inlineStr">
        <is>
          <t>PAYHZX2DKCT4G</t>
        </is>
      </c>
      <c r="H403" t="inlineStr">
        <is>
          <t>Success</t>
        </is>
      </c>
      <c r="I403" t="inlineStr">
        <is>
          <t>BNKXSEKDXYGMFHR</t>
        </is>
      </c>
      <c r="J403" s="8" t="n">
        <v>45732</v>
      </c>
    </row>
    <row r="404">
      <c r="A404" t="inlineStr">
        <is>
          <t>PAY0009597</t>
        </is>
      </c>
      <c r="B404" t="inlineStr">
        <is>
          <t>INV0015077</t>
        </is>
      </c>
      <c r="C404" t="inlineStr">
        <is>
          <t>MER00712</t>
        </is>
      </c>
      <c r="D404" s="8" t="n">
        <v>45779</v>
      </c>
      <c r="E404" t="n">
        <v>610.74</v>
      </c>
      <c r="F404" t="inlineStr">
        <is>
          <t>UPI</t>
        </is>
      </c>
      <c r="G404" t="inlineStr">
        <is>
          <t>PAYABBSG7UW7V</t>
        </is>
      </c>
      <c r="H404" t="inlineStr">
        <is>
          <t>Success</t>
        </is>
      </c>
      <c r="I404" t="inlineStr">
        <is>
          <t>BNKGR24GBZ4RYY8</t>
        </is>
      </c>
      <c r="J404" s="8" t="n">
        <v>45781</v>
      </c>
    </row>
    <row r="405">
      <c r="A405" t="inlineStr">
        <is>
          <t>PAY0009598</t>
        </is>
      </c>
      <c r="B405" t="inlineStr">
        <is>
          <t>INV0015078</t>
        </is>
      </c>
      <c r="C405" t="inlineStr">
        <is>
          <t>MER00712</t>
        </is>
      </c>
      <c r="D405" s="8" t="n">
        <v>45819</v>
      </c>
      <c r="E405" t="n">
        <v>2291.3</v>
      </c>
      <c r="F405" t="inlineStr">
        <is>
          <t>Wallet</t>
        </is>
      </c>
      <c r="G405" t="inlineStr">
        <is>
          <t>PAYH8RM6BE2CZ</t>
        </is>
      </c>
      <c r="H405" t="inlineStr">
        <is>
          <t>Success</t>
        </is>
      </c>
      <c r="I405" t="inlineStr">
        <is>
          <t>BNK75ENP23JRH8G</t>
        </is>
      </c>
      <c r="J405" s="8" t="n">
        <v>45821</v>
      </c>
    </row>
    <row r="406">
      <c r="A406" t="inlineStr">
        <is>
          <t>PAY0009599</t>
        </is>
      </c>
      <c r="B406" t="inlineStr">
        <is>
          <t>INV0015079</t>
        </is>
      </c>
      <c r="C406" t="inlineStr">
        <is>
          <t>MER00712</t>
        </is>
      </c>
      <c r="D406" s="8" t="n">
        <v>45861</v>
      </c>
      <c r="E406" t="n">
        <v>2015.52</v>
      </c>
      <c r="F406" t="inlineStr">
        <is>
          <t>UPI</t>
        </is>
      </c>
      <c r="G406" t="inlineStr">
        <is>
          <t>PAY2Y6XYRHDCS</t>
        </is>
      </c>
      <c r="H406" t="inlineStr">
        <is>
          <t>Success</t>
        </is>
      </c>
      <c r="I406" t="inlineStr">
        <is>
          <t>BNKY9KG7VDEMRDX</t>
        </is>
      </c>
      <c r="J406" s="8" t="n">
        <v>45863</v>
      </c>
    </row>
    <row r="407">
      <c r="A407" t="inlineStr">
        <is>
          <t>PAY0009600</t>
        </is>
      </c>
      <c r="B407" t="inlineStr">
        <is>
          <t>INV0015080</t>
        </is>
      </c>
      <c r="C407" t="inlineStr">
        <is>
          <t>MER00712</t>
        </is>
      </c>
      <c r="D407" s="8" t="n">
        <v>45882</v>
      </c>
      <c r="E407" t="n">
        <v>1383.63</v>
      </c>
      <c r="F407" t="inlineStr">
        <is>
          <t>UPI</t>
        </is>
      </c>
      <c r="G407" t="inlineStr">
        <is>
          <t>PAYLBLY7TJBN2</t>
        </is>
      </c>
      <c r="H407" t="inlineStr">
        <is>
          <t>Success</t>
        </is>
      </c>
      <c r="I407" t="inlineStr">
        <is>
          <t>BNKZGWZGEGGDB5M</t>
        </is>
      </c>
      <c r="J407" s="8" t="n">
        <v>45884</v>
      </c>
    </row>
    <row r="408">
      <c r="A408" t="inlineStr">
        <is>
          <t>PAY0009601</t>
        </is>
      </c>
      <c r="B408" t="inlineStr">
        <is>
          <t>INV0015081</t>
        </is>
      </c>
      <c r="C408" t="inlineStr">
        <is>
          <t>MER00712</t>
        </is>
      </c>
      <c r="D408" s="8" t="n">
        <v>45903</v>
      </c>
      <c r="E408" t="n">
        <v>1479.27</v>
      </c>
      <c r="F408" t="inlineStr">
        <is>
          <t>NetBanking</t>
        </is>
      </c>
      <c r="G408" t="inlineStr">
        <is>
          <t>PAY7NTXHGE3KF</t>
        </is>
      </c>
      <c r="H408" t="inlineStr">
        <is>
          <t>Success</t>
        </is>
      </c>
      <c r="I408" t="inlineStr">
        <is>
          <t>BNKP6CCGWQCXWH7</t>
        </is>
      </c>
      <c r="J408" s="8" t="n">
        <v>45904</v>
      </c>
    </row>
    <row r="409">
      <c r="A409" t="inlineStr">
        <is>
          <t>PAY0009602</t>
        </is>
      </c>
      <c r="B409" t="inlineStr">
        <is>
          <t>INV0015082</t>
        </is>
      </c>
      <c r="C409" t="inlineStr">
        <is>
          <t>MER00712</t>
        </is>
      </c>
      <c r="D409" s="8" t="n">
        <v>45934</v>
      </c>
      <c r="E409" t="n">
        <v>1773.29</v>
      </c>
      <c r="F409" t="inlineStr">
        <is>
          <t>COD</t>
        </is>
      </c>
      <c r="G409" t="inlineStr">
        <is>
          <t>PAYSSCTRDBRJE</t>
        </is>
      </c>
      <c r="H409" t="inlineStr">
        <is>
          <t>Success</t>
        </is>
      </c>
      <c r="I409" t="inlineStr">
        <is>
          <t>BNKSAA6UYRFDZXZ</t>
        </is>
      </c>
      <c r="J409" s="8" t="n">
        <v>45935</v>
      </c>
    </row>
    <row r="410">
      <c r="A410" t="inlineStr">
        <is>
          <t>PAY0009603</t>
        </is>
      </c>
      <c r="B410" t="inlineStr">
        <is>
          <t>INV0015084</t>
        </is>
      </c>
      <c r="C410" t="inlineStr">
        <is>
          <t>MER00712</t>
        </is>
      </c>
      <c r="D410" s="8" t="n">
        <v>45992</v>
      </c>
      <c r="E410" t="n">
        <v>2302.39</v>
      </c>
      <c r="F410" t="inlineStr">
        <is>
          <t>UPI</t>
        </is>
      </c>
      <c r="G410" t="inlineStr">
        <is>
          <t>PAY6MR8ZGYAX8</t>
        </is>
      </c>
      <c r="H410" t="inlineStr">
        <is>
          <t>Success</t>
        </is>
      </c>
      <c r="I410" t="inlineStr">
        <is>
          <t>BNK8BP464BTMM4J</t>
        </is>
      </c>
      <c r="J410" s="8" t="n">
        <v>45993</v>
      </c>
    </row>
    <row r="411">
      <c r="A411" t="inlineStr">
        <is>
          <t>PAY0009604</t>
        </is>
      </c>
      <c r="B411" t="inlineStr">
        <is>
          <t>INV0015085</t>
        </is>
      </c>
      <c r="C411" t="inlineStr">
        <is>
          <t>MER00712</t>
        </is>
      </c>
      <c r="D411" s="8" t="n">
        <v>46019</v>
      </c>
      <c r="E411" t="n">
        <v>3479.8</v>
      </c>
      <c r="F411" t="inlineStr">
        <is>
          <t>UPI</t>
        </is>
      </c>
      <c r="G411" t="inlineStr">
        <is>
          <t>PAY8VVVL4T4HT</t>
        </is>
      </c>
      <c r="H411" t="inlineStr">
        <is>
          <t>Success</t>
        </is>
      </c>
      <c r="I411" t="inlineStr">
        <is>
          <t>BNKQZRSY6UQY7CD</t>
        </is>
      </c>
      <c r="J411" s="8" t="n">
        <v>46021</v>
      </c>
    </row>
    <row r="412">
      <c r="A412" t="inlineStr">
        <is>
          <t>PAY0009605</t>
        </is>
      </c>
      <c r="B412" t="inlineStr">
        <is>
          <t>INV0015087</t>
        </is>
      </c>
      <c r="C412" t="inlineStr">
        <is>
          <t>MER00712</t>
        </is>
      </c>
      <c r="D412" s="8" t="n">
        <v>46088</v>
      </c>
      <c r="E412" t="n">
        <v>2119.08</v>
      </c>
      <c r="F412" t="inlineStr">
        <is>
          <t>UPI</t>
        </is>
      </c>
      <c r="G412" t="inlineStr">
        <is>
          <t>PAYSWRPYE5CT8</t>
        </is>
      </c>
      <c r="H412" t="inlineStr">
        <is>
          <t>Failed</t>
        </is>
      </c>
      <c r="I412" t="inlineStr">
        <is>
          <t>BNKXTD94ARSVGZD</t>
        </is>
      </c>
      <c r="J412" s="8" t="n"/>
    </row>
    <row r="413">
      <c r="A413" t="inlineStr">
        <is>
          <t>PAY0009606</t>
        </is>
      </c>
      <c r="B413" t="inlineStr">
        <is>
          <t>INV0015088</t>
        </is>
      </c>
      <c r="C413" t="inlineStr">
        <is>
          <t>MER00712</t>
        </is>
      </c>
      <c r="D413" s="8" t="n">
        <v>46113</v>
      </c>
      <c r="E413" t="n">
        <v>1950.5</v>
      </c>
      <c r="F413" t="inlineStr">
        <is>
          <t>NetBanking</t>
        </is>
      </c>
      <c r="G413" t="inlineStr">
        <is>
          <t>PAYRV7HZPHX77</t>
        </is>
      </c>
      <c r="H413" t="inlineStr">
        <is>
          <t>Success</t>
        </is>
      </c>
      <c r="I413" t="inlineStr">
        <is>
          <t>BNKNLQ8T4DQC7XP</t>
        </is>
      </c>
      <c r="J413" s="8" t="n">
        <v>46116</v>
      </c>
    </row>
    <row r="414">
      <c r="A414" t="inlineStr">
        <is>
          <t>PAY0009607</t>
        </is>
      </c>
      <c r="B414" t="inlineStr">
        <is>
          <t>INV0015089</t>
        </is>
      </c>
      <c r="C414" t="inlineStr">
        <is>
          <t>MER00712</t>
        </is>
      </c>
      <c r="D414" s="8" t="n">
        <v>46152</v>
      </c>
      <c r="E414" t="n">
        <v>1232.4</v>
      </c>
      <c r="F414" t="inlineStr">
        <is>
          <t>NetBanking</t>
        </is>
      </c>
      <c r="G414" t="inlineStr">
        <is>
          <t>PAYVL8ZEVEUKR</t>
        </is>
      </c>
      <c r="H414" t="inlineStr">
        <is>
          <t>Failed</t>
        </is>
      </c>
      <c r="I414" t="inlineStr">
        <is>
          <t>BNK34JKSCLRBJ6T</t>
        </is>
      </c>
      <c r="J414" s="8" t="n"/>
    </row>
    <row r="415">
      <c r="A415" t="inlineStr">
        <is>
          <t>PAY0009608</t>
        </is>
      </c>
      <c r="B415" t="inlineStr">
        <is>
          <t>INV0015090</t>
        </is>
      </c>
      <c r="C415" t="inlineStr">
        <is>
          <t>MER00712</t>
        </is>
      </c>
      <c r="D415" s="8" t="n">
        <v>46183</v>
      </c>
      <c r="E415" t="n">
        <v>1266.34</v>
      </c>
      <c r="F415" t="inlineStr">
        <is>
          <t>Card</t>
        </is>
      </c>
      <c r="G415" t="inlineStr">
        <is>
          <t>PAYRPT9EGQYR5</t>
        </is>
      </c>
      <c r="H415" t="inlineStr">
        <is>
          <t>Success</t>
        </is>
      </c>
      <c r="I415" t="inlineStr">
        <is>
          <t>BNKRWUQVMKWD2Q9</t>
        </is>
      </c>
      <c r="J415" s="8" t="n">
        <v>46184</v>
      </c>
    </row>
    <row r="416">
      <c r="A416" t="inlineStr">
        <is>
          <t>PAY0009609</t>
        </is>
      </c>
      <c r="B416" t="inlineStr">
        <is>
          <t>INV0015091</t>
        </is>
      </c>
      <c r="C416" t="inlineStr">
        <is>
          <t>MER00712</t>
        </is>
      </c>
      <c r="D416" s="8" t="n">
        <v>46203</v>
      </c>
      <c r="E416" t="n">
        <v>1790.85</v>
      </c>
      <c r="F416" t="inlineStr">
        <is>
          <t>UPI</t>
        </is>
      </c>
      <c r="G416" t="inlineStr">
        <is>
          <t>PAYTA3G8WU9LN</t>
        </is>
      </c>
      <c r="H416" t="inlineStr">
        <is>
          <t>Success</t>
        </is>
      </c>
      <c r="I416" t="inlineStr">
        <is>
          <t>BNKJ9MWD4DFKDXZ</t>
        </is>
      </c>
      <c r="J416" s="8" t="n">
        <v>46206</v>
      </c>
    </row>
    <row r="417">
      <c r="A417" t="inlineStr">
        <is>
          <t>PAY0009610</t>
        </is>
      </c>
      <c r="B417" t="inlineStr">
        <is>
          <t>INV0015092</t>
        </is>
      </c>
      <c r="C417" t="inlineStr">
        <is>
          <t>MER00712</t>
        </is>
      </c>
      <c r="D417" s="8" t="n">
        <v>46241</v>
      </c>
      <c r="E417" t="n">
        <v>1535.18</v>
      </c>
      <c r="F417" t="inlineStr">
        <is>
          <t>UPI</t>
        </is>
      </c>
      <c r="G417" t="inlineStr">
        <is>
          <t>PAYU7CSH72NZP</t>
        </is>
      </c>
      <c r="H417" t="inlineStr">
        <is>
          <t>Success</t>
        </is>
      </c>
      <c r="I417" t="inlineStr">
        <is>
          <t>BNKSKHW5MBU6JWC</t>
        </is>
      </c>
      <c r="J417" s="8" t="n">
        <v>46243</v>
      </c>
    </row>
    <row r="418">
      <c r="A418" t="inlineStr">
        <is>
          <t>PAY0009611</t>
        </is>
      </c>
      <c r="B418" t="inlineStr">
        <is>
          <t>INV0015093</t>
        </is>
      </c>
      <c r="C418" t="inlineStr">
        <is>
          <t>MER00712</t>
        </is>
      </c>
      <c r="D418" s="8" t="n">
        <v>46274</v>
      </c>
      <c r="E418" t="n">
        <v>1063.44</v>
      </c>
      <c r="F418" t="inlineStr">
        <is>
          <t>UPI</t>
        </is>
      </c>
      <c r="G418" t="inlineStr">
        <is>
          <t>PAYRD6XQE5AXH</t>
        </is>
      </c>
      <c r="H418" t="inlineStr">
        <is>
          <t>Success</t>
        </is>
      </c>
      <c r="I418" t="inlineStr">
        <is>
          <t>BNKK9M6WZRC5HR2</t>
        </is>
      </c>
      <c r="J418" s="8" t="n">
        <v>46275</v>
      </c>
    </row>
    <row r="419">
      <c r="A419" t="inlineStr">
        <is>
          <t>PAY0010781</t>
        </is>
      </c>
      <c r="B419" t="inlineStr">
        <is>
          <t>INV0001549</t>
        </is>
      </c>
      <c r="C419" t="inlineStr">
        <is>
          <t>MER00074</t>
        </is>
      </c>
      <c r="D419" s="8" t="n">
        <v>45896</v>
      </c>
      <c r="E419" t="n">
        <v>621.76</v>
      </c>
      <c r="F419" t="inlineStr">
        <is>
          <t>Card</t>
        </is>
      </c>
      <c r="G419" t="inlineStr">
        <is>
          <t>PAY727JZ9TDZP</t>
        </is>
      </c>
      <c r="H419" t="inlineStr">
        <is>
          <t>Success</t>
        </is>
      </c>
      <c r="I419" t="inlineStr">
        <is>
          <t>BNKMMDH4QN78D2M</t>
        </is>
      </c>
      <c r="J419" s="8" t="n">
        <v>45898</v>
      </c>
    </row>
    <row r="420">
      <c r="A420" t="inlineStr">
        <is>
          <t>PAY0010782</t>
        </is>
      </c>
      <c r="B420" t="inlineStr">
        <is>
          <t>INV0001562</t>
        </is>
      </c>
      <c r="C420" t="inlineStr">
        <is>
          <t>MER00074</t>
        </is>
      </c>
      <c r="D420" s="8" t="n">
        <v>46281</v>
      </c>
      <c r="E420" t="n">
        <v>956.5599999999999</v>
      </c>
      <c r="F420" t="inlineStr">
        <is>
          <t>UPI</t>
        </is>
      </c>
      <c r="G420" t="inlineStr">
        <is>
          <t>PAYPVMFWPN7LY</t>
        </is>
      </c>
      <c r="H420" t="inlineStr">
        <is>
          <t>Success</t>
        </is>
      </c>
      <c r="I420" t="inlineStr">
        <is>
          <t>BNKL95F6ZCL5V4U</t>
        </is>
      </c>
      <c r="J420" s="8" t="n">
        <v>46283</v>
      </c>
    </row>
    <row r="421">
      <c r="A421" t="inlineStr">
        <is>
          <t>PAY0011046</t>
        </is>
      </c>
      <c r="B421" t="inlineStr">
        <is>
          <t>INV0008009</t>
        </is>
      </c>
      <c r="C421" t="inlineStr">
        <is>
          <t>MER00381</t>
        </is>
      </c>
      <c r="D421" s="8" t="n">
        <v>45651</v>
      </c>
      <c r="E421" t="n">
        <v>77.58</v>
      </c>
      <c r="F421" t="inlineStr">
        <is>
          <t>Card</t>
        </is>
      </c>
      <c r="G421" t="inlineStr">
        <is>
          <t>PAYPCUMGYZYZD</t>
        </is>
      </c>
      <c r="H421" t="inlineStr">
        <is>
          <t>Success</t>
        </is>
      </c>
      <c r="I421" t="inlineStr">
        <is>
          <t>BNKFB2KSS9Z8AC6</t>
        </is>
      </c>
      <c r="J421" s="8" t="n">
        <v>45654</v>
      </c>
    </row>
    <row r="422">
      <c r="A422" t="inlineStr">
        <is>
          <t>PAY0011047</t>
        </is>
      </c>
      <c r="B422" t="inlineStr">
        <is>
          <t>INV0008011</t>
        </is>
      </c>
      <c r="C422" t="inlineStr">
        <is>
          <t>MER00381</t>
        </is>
      </c>
      <c r="D422" s="8" t="n">
        <v>45713</v>
      </c>
      <c r="E422" t="n">
        <v>112.64</v>
      </c>
      <c r="F422" t="inlineStr">
        <is>
          <t>Card</t>
        </is>
      </c>
      <c r="G422" t="inlineStr">
        <is>
          <t>PAYF3CY5CWXKS</t>
        </is>
      </c>
      <c r="H422" t="inlineStr">
        <is>
          <t>Success</t>
        </is>
      </c>
      <c r="I422" t="inlineStr">
        <is>
          <t>BNKC7MJW9RLEDH9</t>
        </is>
      </c>
      <c r="J422" s="8" t="n">
        <v>45715</v>
      </c>
    </row>
    <row r="423">
      <c r="A423" t="inlineStr">
        <is>
          <t>PAY0011048</t>
        </is>
      </c>
      <c r="B423" t="inlineStr">
        <is>
          <t>INV0008022</t>
        </is>
      </c>
      <c r="C423" t="inlineStr">
        <is>
          <t>MER00381</t>
        </is>
      </c>
      <c r="D423" s="8" t="n">
        <v>46037</v>
      </c>
      <c r="E423" t="n">
        <v>41.23</v>
      </c>
      <c r="F423" t="inlineStr">
        <is>
          <t>UPI</t>
        </is>
      </c>
      <c r="G423" t="inlineStr">
        <is>
          <t>PAYHFE5LPVW8J</t>
        </is>
      </c>
      <c r="H423" t="inlineStr">
        <is>
          <t>Success</t>
        </is>
      </c>
      <c r="I423" t="inlineStr">
        <is>
          <t>BNKMNF4Z9T7PMZZ</t>
        </is>
      </c>
      <c r="J423" s="8" t="n">
        <v>46040</v>
      </c>
    </row>
    <row r="424">
      <c r="A424" t="inlineStr">
        <is>
          <t>PAY0011049</t>
        </is>
      </c>
      <c r="B424" t="inlineStr">
        <is>
          <t>INV0008026</t>
        </is>
      </c>
      <c r="C424" t="inlineStr">
        <is>
          <t>MER00381</t>
        </is>
      </c>
      <c r="D424" s="8" t="n">
        <v>46160</v>
      </c>
      <c r="E424" t="n">
        <v>76.27</v>
      </c>
      <c r="F424" t="inlineStr">
        <is>
          <t>UPI</t>
        </is>
      </c>
      <c r="G424" t="inlineStr">
        <is>
          <t>PAYNUHXRSQPZM</t>
        </is>
      </c>
      <c r="H424" t="inlineStr">
        <is>
          <t>Success</t>
        </is>
      </c>
      <c r="I424" t="inlineStr">
        <is>
          <t>BNKE4NQETZXTXUZ</t>
        </is>
      </c>
      <c r="J424" s="8" t="n">
        <v>46163</v>
      </c>
    </row>
    <row r="425">
      <c r="A425" t="inlineStr">
        <is>
          <t>PAY0011125</t>
        </is>
      </c>
      <c r="B425" t="inlineStr">
        <is>
          <t>INV0009636</t>
        </is>
      </c>
      <c r="C425" t="inlineStr">
        <is>
          <t>MER00457</t>
        </is>
      </c>
      <c r="D425" s="8" t="n">
        <v>45583</v>
      </c>
      <c r="E425" t="n">
        <v>264.91</v>
      </c>
      <c r="F425" t="inlineStr">
        <is>
          <t>NetBanking</t>
        </is>
      </c>
      <c r="G425" t="inlineStr">
        <is>
          <t>PAYSNHHU3SZ52</t>
        </is>
      </c>
      <c r="H425" t="inlineStr">
        <is>
          <t>Success</t>
        </is>
      </c>
      <c r="I425" t="inlineStr">
        <is>
          <t>BNK6VYDZJMBF77G</t>
        </is>
      </c>
      <c r="J425" s="8" t="n">
        <v>45584</v>
      </c>
    </row>
    <row r="426">
      <c r="A426" t="inlineStr">
        <is>
          <t>PAY0011126</t>
        </is>
      </c>
      <c r="B426" t="inlineStr">
        <is>
          <t>INV0009652</t>
        </is>
      </c>
      <c r="C426" t="inlineStr">
        <is>
          <t>MER00457</t>
        </is>
      </c>
      <c r="D426" s="8" t="n">
        <v>46079</v>
      </c>
      <c r="E426" t="n">
        <v>1036.33</v>
      </c>
      <c r="F426" t="inlineStr">
        <is>
          <t>Card</t>
        </is>
      </c>
      <c r="G426" t="inlineStr">
        <is>
          <t>PAY75XJ3LX3UG</t>
        </is>
      </c>
      <c r="H426" t="inlineStr">
        <is>
          <t>Success</t>
        </is>
      </c>
      <c r="I426" t="inlineStr">
        <is>
          <t>BNK3YN7JS4SN8MF</t>
        </is>
      </c>
      <c r="J426" s="8" t="n">
        <v>46081</v>
      </c>
    </row>
    <row r="427">
      <c r="A427" t="inlineStr">
        <is>
          <t>PAY0011127</t>
        </is>
      </c>
      <c r="B427" t="inlineStr">
        <is>
          <t>INV0009653</t>
        </is>
      </c>
      <c r="C427" t="inlineStr">
        <is>
          <t>MER00457</t>
        </is>
      </c>
      <c r="D427" s="8" t="n">
        <v>46106</v>
      </c>
      <c r="E427" t="n">
        <v>616.8099999999999</v>
      </c>
      <c r="F427" t="inlineStr">
        <is>
          <t>NetBanking</t>
        </is>
      </c>
      <c r="G427" t="inlineStr">
        <is>
          <t>PAY5ABFX64VUC</t>
        </is>
      </c>
      <c r="H427" t="inlineStr">
        <is>
          <t>Success</t>
        </is>
      </c>
      <c r="I427" t="inlineStr">
        <is>
          <t>BNKBHGU7W65B7U4</t>
        </is>
      </c>
      <c r="J427" s="8" t="n">
        <v>46108</v>
      </c>
    </row>
    <row r="428">
      <c r="A428" t="inlineStr">
        <is>
          <t>PAY0011128</t>
        </is>
      </c>
      <c r="B428" t="inlineStr">
        <is>
          <t>INV0009655</t>
        </is>
      </c>
      <c r="C428" t="inlineStr">
        <is>
          <t>MER00457</t>
        </is>
      </c>
      <c r="D428" s="8" t="n">
        <v>46166</v>
      </c>
      <c r="E428" t="n">
        <v>1069.54</v>
      </c>
      <c r="F428" t="inlineStr">
        <is>
          <t>UPI</t>
        </is>
      </c>
      <c r="G428" t="inlineStr">
        <is>
          <t>PAYG8ZFB4NCTX</t>
        </is>
      </c>
      <c r="H428" t="inlineStr">
        <is>
          <t>Success</t>
        </is>
      </c>
      <c r="I428" t="inlineStr">
        <is>
          <t>BNKFSPUYGMUV97D</t>
        </is>
      </c>
      <c r="J428" s="8" t="n">
        <v>46169</v>
      </c>
    </row>
    <row r="429">
      <c r="A429" t="inlineStr">
        <is>
          <t>PAY0011129</t>
        </is>
      </c>
      <c r="B429" t="inlineStr">
        <is>
          <t>INV0009657</t>
        </is>
      </c>
      <c r="C429" t="inlineStr">
        <is>
          <t>MER00457</t>
        </is>
      </c>
      <c r="D429" s="8" t="n">
        <v>46218</v>
      </c>
      <c r="E429" t="n">
        <v>163.59</v>
      </c>
      <c r="F429" t="inlineStr">
        <is>
          <t>UPI</t>
        </is>
      </c>
      <c r="G429" t="inlineStr">
        <is>
          <t>PAYRSFW7M4Q8K</t>
        </is>
      </c>
      <c r="H429" t="inlineStr">
        <is>
          <t>Success</t>
        </is>
      </c>
      <c r="I429" t="inlineStr">
        <is>
          <t>BNKGHMJADZ36DW5</t>
        </is>
      </c>
      <c r="J429" s="8" t="n">
        <v>46221</v>
      </c>
    </row>
    <row r="430">
      <c r="A430" t="inlineStr">
        <is>
          <t>PAY0011147</t>
        </is>
      </c>
      <c r="B430" t="inlineStr">
        <is>
          <t>INV0010267</t>
        </is>
      </c>
      <c r="C430" t="inlineStr">
        <is>
          <t>MER00484</t>
        </is>
      </c>
      <c r="D430" s="8" t="n">
        <v>46226</v>
      </c>
      <c r="E430" t="n">
        <v>162.62</v>
      </c>
      <c r="F430" t="inlineStr">
        <is>
          <t>UPI</t>
        </is>
      </c>
      <c r="G430" t="inlineStr">
        <is>
          <t>PAYWA3VG5QDEA</t>
        </is>
      </c>
      <c r="H430" t="inlineStr">
        <is>
          <t>Success</t>
        </is>
      </c>
      <c r="I430" t="inlineStr">
        <is>
          <t>BNKVU7N68XTJKJ5</t>
        </is>
      </c>
      <c r="J430" s="8" t="n">
        <v>46228</v>
      </c>
    </row>
    <row r="431">
      <c r="A431" t="inlineStr">
        <is>
          <t>PAY0011162</t>
        </is>
      </c>
      <c r="B431" t="inlineStr">
        <is>
          <t>INV0010620</t>
        </is>
      </c>
      <c r="C431" t="inlineStr">
        <is>
          <t>MER00502</t>
        </is>
      </c>
      <c r="D431" s="8" t="n">
        <v>45646</v>
      </c>
      <c r="E431" t="n">
        <v>172</v>
      </c>
      <c r="F431" t="inlineStr">
        <is>
          <t>UPI</t>
        </is>
      </c>
      <c r="G431" t="inlineStr">
        <is>
          <t>PAYTVVLGAPUME</t>
        </is>
      </c>
      <c r="H431" t="inlineStr">
        <is>
          <t>Success</t>
        </is>
      </c>
      <c r="I431" t="inlineStr">
        <is>
          <t>BNK2JE2JBAY785Y</t>
        </is>
      </c>
      <c r="J431" s="8" t="n">
        <v>45647</v>
      </c>
    </row>
    <row r="432">
      <c r="A432" t="inlineStr">
        <is>
          <t>PAY0011163</t>
        </is>
      </c>
      <c r="B432" t="inlineStr">
        <is>
          <t>INV0010634</t>
        </is>
      </c>
      <c r="C432" t="inlineStr">
        <is>
          <t>MER00502</t>
        </is>
      </c>
      <c r="D432" s="8" t="n">
        <v>46070</v>
      </c>
      <c r="E432" t="n">
        <v>209.27</v>
      </c>
      <c r="F432" t="inlineStr">
        <is>
          <t>COD</t>
        </is>
      </c>
      <c r="G432" t="inlineStr">
        <is>
          <t>PAYPFA8L8T35G</t>
        </is>
      </c>
      <c r="H432" t="inlineStr">
        <is>
          <t>Success</t>
        </is>
      </c>
      <c r="I432" t="inlineStr">
        <is>
          <t>BNKSNVXLR5VSBR2</t>
        </is>
      </c>
      <c r="J432" s="8" t="n">
        <v>46072</v>
      </c>
    </row>
    <row r="433">
      <c r="A433" t="inlineStr">
        <is>
          <t>PAY0011164</t>
        </is>
      </c>
      <c r="B433" t="inlineStr">
        <is>
          <t>INV0010635</t>
        </is>
      </c>
      <c r="C433" t="inlineStr">
        <is>
          <t>MER00502</t>
        </is>
      </c>
      <c r="D433" s="8" t="n">
        <v>46098</v>
      </c>
      <c r="E433" t="n">
        <v>199.24</v>
      </c>
      <c r="F433" t="inlineStr">
        <is>
          <t>NetBanking</t>
        </is>
      </c>
      <c r="G433" t="inlineStr">
        <is>
          <t>PAY8HS5RRW2HS</t>
        </is>
      </c>
      <c r="H433" t="inlineStr">
        <is>
          <t>Success</t>
        </is>
      </c>
      <c r="I433" t="inlineStr">
        <is>
          <t>BNK4HGAB7YU5NBY</t>
        </is>
      </c>
      <c r="J433" s="8" t="n">
        <v>46099</v>
      </c>
    </row>
    <row r="434">
      <c r="A434" t="inlineStr">
        <is>
          <t>PAY0011193</t>
        </is>
      </c>
      <c r="B434" t="inlineStr">
        <is>
          <t>INV0011065</t>
        </is>
      </c>
      <c r="C434" t="inlineStr">
        <is>
          <t>MER00523</t>
        </is>
      </c>
      <c r="D434" s="8" t="n">
        <v>45793</v>
      </c>
      <c r="E434" t="n">
        <v>196.38</v>
      </c>
      <c r="F434" t="inlineStr">
        <is>
          <t>UPI</t>
        </is>
      </c>
      <c r="G434" t="inlineStr">
        <is>
          <t>PAYGE49YDCDRJ</t>
        </is>
      </c>
      <c r="H434" t="inlineStr">
        <is>
          <t>Success</t>
        </is>
      </c>
      <c r="I434" t="inlineStr">
        <is>
          <t>BNK3SFJBEPJF797</t>
        </is>
      </c>
      <c r="J434" s="8" t="n">
        <v>45795</v>
      </c>
    </row>
    <row r="435">
      <c r="A435" t="inlineStr">
        <is>
          <t>PAY0011194</t>
        </is>
      </c>
      <c r="B435" t="inlineStr">
        <is>
          <t>INV0011078</t>
        </is>
      </c>
      <c r="C435" t="inlineStr">
        <is>
          <t>MER00523</t>
        </is>
      </c>
      <c r="D435" s="8" t="n">
        <v>46175</v>
      </c>
      <c r="E435" t="n">
        <v>131.96</v>
      </c>
      <c r="F435" t="inlineStr">
        <is>
          <t>Card</t>
        </is>
      </c>
      <c r="G435" t="inlineStr">
        <is>
          <t>PAY3S2WJAEVD5</t>
        </is>
      </c>
      <c r="H435" t="inlineStr">
        <is>
          <t>Success</t>
        </is>
      </c>
      <c r="I435" t="inlineStr">
        <is>
          <t>BNKZCARUUEG3DQ9</t>
        </is>
      </c>
      <c r="J435" s="8" t="n">
        <v>46178</v>
      </c>
    </row>
    <row r="436">
      <c r="A436" t="inlineStr">
        <is>
          <t>PAY0011212</t>
        </is>
      </c>
      <c r="B436" t="inlineStr">
        <is>
          <t>INV0011615</t>
        </is>
      </c>
      <c r="C436" t="inlineStr">
        <is>
          <t>MER00549</t>
        </is>
      </c>
      <c r="D436" s="8" t="n">
        <v>45590</v>
      </c>
      <c r="E436" t="n">
        <v>1333.93</v>
      </c>
      <c r="F436" t="inlineStr">
        <is>
          <t>UPI</t>
        </is>
      </c>
      <c r="G436" t="inlineStr">
        <is>
          <t>PAYCW982VKBC2</t>
        </is>
      </c>
      <c r="H436" t="inlineStr">
        <is>
          <t>Success</t>
        </is>
      </c>
      <c r="I436" t="inlineStr">
        <is>
          <t>BNKBSXGVERQR794</t>
        </is>
      </c>
      <c r="J436" s="8" t="n">
        <v>45592</v>
      </c>
    </row>
    <row r="437">
      <c r="A437" t="inlineStr">
        <is>
          <t>PAY0011213</t>
        </is>
      </c>
      <c r="B437" t="inlineStr">
        <is>
          <t>INV0011621</t>
        </is>
      </c>
      <c r="C437" t="inlineStr">
        <is>
          <t>MER00549</t>
        </is>
      </c>
      <c r="D437" s="8" t="n">
        <v>45764</v>
      </c>
      <c r="E437" t="n">
        <v>1905.35</v>
      </c>
      <c r="F437" t="inlineStr">
        <is>
          <t>COD</t>
        </is>
      </c>
      <c r="G437" t="inlineStr">
        <is>
          <t>PAYAEMSFGH96W</t>
        </is>
      </c>
      <c r="H437" t="inlineStr">
        <is>
          <t>Success</t>
        </is>
      </c>
      <c r="I437" t="inlineStr">
        <is>
          <t>BNKBNHWDVJED97C</t>
        </is>
      </c>
      <c r="J437" s="8" t="n">
        <v>45766</v>
      </c>
    </row>
    <row r="438">
      <c r="A438" t="inlineStr">
        <is>
          <t>PAY0011214</t>
        </is>
      </c>
      <c r="B438" t="inlineStr">
        <is>
          <t>INV0011633</t>
        </is>
      </c>
      <c r="C438" t="inlineStr">
        <is>
          <t>MER00549</t>
        </is>
      </c>
      <c r="D438" s="8" t="n">
        <v>46130</v>
      </c>
      <c r="E438" t="n">
        <v>3124.56</v>
      </c>
      <c r="F438" t="inlineStr">
        <is>
          <t>UPI</t>
        </is>
      </c>
      <c r="G438" t="inlineStr">
        <is>
          <t>PAYSPBN5MYKNV</t>
        </is>
      </c>
      <c r="H438" t="inlineStr">
        <is>
          <t>Success</t>
        </is>
      </c>
      <c r="I438" t="inlineStr">
        <is>
          <t>BNKURE6RRDZVK9Z</t>
        </is>
      </c>
      <c r="J438" s="8" t="n">
        <v>46132</v>
      </c>
    </row>
    <row r="439">
      <c r="A439" t="inlineStr">
        <is>
          <t>PAY0011215</t>
        </is>
      </c>
      <c r="B439" t="inlineStr">
        <is>
          <t>INV0011636</t>
        </is>
      </c>
      <c r="C439" t="inlineStr">
        <is>
          <t>MER00549</t>
        </is>
      </c>
      <c r="D439" s="8" t="n">
        <v>46254</v>
      </c>
      <c r="E439" t="n">
        <v>3450.48</v>
      </c>
      <c r="F439" t="inlineStr">
        <is>
          <t>UPI</t>
        </is>
      </c>
      <c r="G439" t="inlineStr">
        <is>
          <t>PAYDBALEWVST7</t>
        </is>
      </c>
      <c r="H439" t="inlineStr">
        <is>
          <t>Success</t>
        </is>
      </c>
      <c r="I439" t="inlineStr">
        <is>
          <t>BNKM6P4RQ3MSCSZ</t>
        </is>
      </c>
      <c r="J439" s="8" t="n">
        <v>46256</v>
      </c>
    </row>
    <row r="440">
      <c r="A440" t="inlineStr">
        <is>
          <t>PAY0011298</t>
        </is>
      </c>
      <c r="B440" t="inlineStr">
        <is>
          <t>INV0013947</t>
        </is>
      </c>
      <c r="C440" t="inlineStr">
        <is>
          <t>MER00658</t>
        </is>
      </c>
      <c r="D440" s="8" t="n">
        <v>45711</v>
      </c>
      <c r="E440" t="n">
        <v>290.01</v>
      </c>
      <c r="F440" t="inlineStr">
        <is>
          <t>UPI</t>
        </is>
      </c>
      <c r="G440" t="inlineStr">
        <is>
          <t>PAYPJS5DSCA58</t>
        </is>
      </c>
      <c r="H440" t="inlineStr">
        <is>
          <t>Success</t>
        </is>
      </c>
      <c r="I440" t="inlineStr">
        <is>
          <t>BNKEL78L8NWJQ8Q</t>
        </is>
      </c>
      <c r="J440" s="8" t="n">
        <v>45712</v>
      </c>
    </row>
    <row r="441">
      <c r="A441" t="inlineStr">
        <is>
          <t>PAY0011311</t>
        </is>
      </c>
      <c r="B441" t="inlineStr">
        <is>
          <t>INV0015070</t>
        </is>
      </c>
      <c r="C441" t="inlineStr">
        <is>
          <t>MER00712</t>
        </is>
      </c>
      <c r="D441" s="8" t="n">
        <v>45569</v>
      </c>
      <c r="E441" t="n">
        <v>972.03</v>
      </c>
      <c r="F441" t="inlineStr">
        <is>
          <t>UPI</t>
        </is>
      </c>
      <c r="G441" t="inlineStr">
        <is>
          <t>PAY7ZKTAK486V</t>
        </is>
      </c>
      <c r="H441" t="inlineStr">
        <is>
          <t>Success</t>
        </is>
      </c>
      <c r="I441" t="inlineStr">
        <is>
          <t>BNKNNSNGU7TTA4L</t>
        </is>
      </c>
      <c r="J441" s="8" t="n">
        <v>45570</v>
      </c>
    </row>
    <row r="442">
      <c r="A442" t="inlineStr">
        <is>
          <t>PAY0011312</t>
        </is>
      </c>
      <c r="B442" t="inlineStr">
        <is>
          <t>INV0015076</t>
        </is>
      </c>
      <c r="C442" t="inlineStr">
        <is>
          <t>MER00712</t>
        </is>
      </c>
      <c r="D442" s="8" t="n">
        <v>45759</v>
      </c>
      <c r="E442" t="n">
        <v>1077.88</v>
      </c>
      <c r="F442" t="inlineStr">
        <is>
          <t>Card</t>
        </is>
      </c>
      <c r="G442" t="inlineStr">
        <is>
          <t>PAYNXVJLFE6K3</t>
        </is>
      </c>
      <c r="H442" t="inlineStr">
        <is>
          <t>Success</t>
        </is>
      </c>
      <c r="I442" t="inlineStr">
        <is>
          <t>BNKSJ33VJUPX9A6</t>
        </is>
      </c>
      <c r="J442" s="8" t="n">
        <v>45761</v>
      </c>
    </row>
    <row r="443">
      <c r="A443" t="inlineStr">
        <is>
          <t>PAY0011313</t>
        </is>
      </c>
      <c r="B443" t="inlineStr">
        <is>
          <t>INV0015083</t>
        </is>
      </c>
      <c r="C443" t="inlineStr">
        <is>
          <t>MER00712</t>
        </is>
      </c>
      <c r="D443" s="8" t="n">
        <v>45962</v>
      </c>
      <c r="E443" t="n">
        <v>700.14</v>
      </c>
      <c r="F443" t="inlineStr">
        <is>
          <t>UPI</t>
        </is>
      </c>
      <c r="G443" t="inlineStr">
        <is>
          <t>PAYLMLT7LT7YC</t>
        </is>
      </c>
      <c r="H443" t="inlineStr">
        <is>
          <t>Success</t>
        </is>
      </c>
      <c r="I443" t="inlineStr">
        <is>
          <t>BNKHWZAWWF2G6FK</t>
        </is>
      </c>
      <c r="J443" s="8" t="n">
        <v>45963</v>
      </c>
    </row>
    <row r="444">
      <c r="A444" t="inlineStr">
        <is>
          <t>PAY0011314</t>
        </is>
      </c>
      <c r="B444" t="inlineStr">
        <is>
          <t>INV0015086</t>
        </is>
      </c>
      <c r="C444" t="inlineStr">
        <is>
          <t>MER00712</t>
        </is>
      </c>
      <c r="D444" s="8" t="n">
        <v>46057</v>
      </c>
      <c r="E444" t="n">
        <v>1335.83</v>
      </c>
      <c r="F444" t="inlineStr">
        <is>
          <t>UPI</t>
        </is>
      </c>
      <c r="G444" t="inlineStr">
        <is>
          <t>PAYN8SVMMB4BK</t>
        </is>
      </c>
      <c r="H444" t="inlineStr">
        <is>
          <t>Success</t>
        </is>
      </c>
      <c r="I444" t="inlineStr">
        <is>
          <t>BNKLTCMR42Y6V5F</t>
        </is>
      </c>
      <c r="J444" s="8" t="n">
        <v>46059</v>
      </c>
    </row>
    <row r="445">
      <c r="A445" t="inlineStr">
        <is>
          <t>PAY0011522</t>
        </is>
      </c>
      <c r="B445" t="inlineStr">
        <is>
          <t>INV0001549</t>
        </is>
      </c>
      <c r="C445" t="inlineStr">
        <is>
          <t>MER00074</t>
        </is>
      </c>
      <c r="D445" s="8" t="n">
        <v>45913</v>
      </c>
      <c r="E445" t="n">
        <v>646.53</v>
      </c>
      <c r="F445" t="inlineStr">
        <is>
          <t>UPI</t>
        </is>
      </c>
      <c r="G445" t="inlineStr">
        <is>
          <t>PAYEHMGHJ2ZFV</t>
        </is>
      </c>
      <c r="H445" t="inlineStr">
        <is>
          <t>Success</t>
        </is>
      </c>
      <c r="I445" t="inlineStr">
        <is>
          <t>BNKTZ34BYZJ7ZAV</t>
        </is>
      </c>
      <c r="J445" s="8" t="n">
        <v>45914</v>
      </c>
    </row>
    <row r="446">
      <c r="A446" t="inlineStr">
        <is>
          <t>PAY0011523</t>
        </is>
      </c>
      <c r="B446" t="inlineStr">
        <is>
          <t>INV0001562</t>
        </is>
      </c>
      <c r="C446" t="inlineStr">
        <is>
          <t>MER00074</t>
        </is>
      </c>
      <c r="D446" s="8" t="n">
        <v>46299</v>
      </c>
      <c r="E446" t="n">
        <v>1022.98</v>
      </c>
      <c r="F446" t="inlineStr">
        <is>
          <t>COD</t>
        </is>
      </c>
      <c r="G446" t="inlineStr">
        <is>
          <t>PAY9W3QG3AXX4</t>
        </is>
      </c>
      <c r="H446" t="inlineStr">
        <is>
          <t>Success</t>
        </is>
      </c>
      <c r="I446" t="inlineStr">
        <is>
          <t>BNKPUK9FV3ZRVBJ</t>
        </is>
      </c>
      <c r="J446" s="8" t="n">
        <v>46301</v>
      </c>
    </row>
    <row r="447">
      <c r="A447" t="inlineStr">
        <is>
          <t>PAY0011748</t>
        </is>
      </c>
      <c r="B447" t="inlineStr">
        <is>
          <t>INV0008009</t>
        </is>
      </c>
      <c r="C447" t="inlineStr">
        <is>
          <t>MER00381</t>
        </is>
      </c>
      <c r="D447" s="8" t="n">
        <v>45664</v>
      </c>
      <c r="E447" t="n">
        <v>113.99</v>
      </c>
      <c r="F447" t="inlineStr">
        <is>
          <t>Card</t>
        </is>
      </c>
      <c r="G447" t="inlineStr">
        <is>
          <t>PAYZCH584F2JY</t>
        </is>
      </c>
      <c r="H447" t="inlineStr">
        <is>
          <t>Success</t>
        </is>
      </c>
      <c r="I447" t="inlineStr">
        <is>
          <t>BNKTU8EBDVUE4SR</t>
        </is>
      </c>
      <c r="J447" s="8" t="n">
        <v>45667</v>
      </c>
    </row>
    <row r="448">
      <c r="A448" t="inlineStr">
        <is>
          <t>PAY0011749</t>
        </is>
      </c>
      <c r="B448" t="inlineStr">
        <is>
          <t>INV0008011</t>
        </is>
      </c>
      <c r="C448" t="inlineStr">
        <is>
          <t>MER00381</t>
        </is>
      </c>
      <c r="D448" s="8" t="n">
        <v>45721</v>
      </c>
      <c r="E448" t="n">
        <v>105.49</v>
      </c>
      <c r="F448" t="inlineStr">
        <is>
          <t>Wallet</t>
        </is>
      </c>
      <c r="G448" t="inlineStr">
        <is>
          <t>PAYFUL8LA5VEC</t>
        </is>
      </c>
      <c r="H448" t="inlineStr">
        <is>
          <t>Success</t>
        </is>
      </c>
      <c r="I448" t="inlineStr">
        <is>
          <t>BNK3HQQJRZER5TW</t>
        </is>
      </c>
      <c r="J448" s="8" t="n">
        <v>45724</v>
      </c>
    </row>
    <row r="449">
      <c r="A449" t="inlineStr">
        <is>
          <t>PAY0011750</t>
        </is>
      </c>
      <c r="B449" t="inlineStr">
        <is>
          <t>INV0008022</t>
        </is>
      </c>
      <c r="C449" t="inlineStr">
        <is>
          <t>MER00381</t>
        </is>
      </c>
      <c r="D449" s="8" t="n">
        <v>46054</v>
      </c>
      <c r="E449" t="n">
        <v>41.36</v>
      </c>
      <c r="F449" t="inlineStr">
        <is>
          <t>UPI</t>
        </is>
      </c>
      <c r="G449" t="inlineStr">
        <is>
          <t>PAYT4U8GMHHJY</t>
        </is>
      </c>
      <c r="H449" t="inlineStr">
        <is>
          <t>Success</t>
        </is>
      </c>
      <c r="I449" t="inlineStr">
        <is>
          <t>BNKMQ3M26RV8GJN</t>
        </is>
      </c>
      <c r="J449" s="8" t="n">
        <v>46056</v>
      </c>
    </row>
    <row r="450">
      <c r="A450" t="inlineStr">
        <is>
          <t>PAY0011751</t>
        </is>
      </c>
      <c r="B450" t="inlineStr">
        <is>
          <t>INV0008026</t>
        </is>
      </c>
      <c r="C450" t="inlineStr">
        <is>
          <t>MER00381</t>
        </is>
      </c>
      <c r="D450" s="8" t="n">
        <v>46179</v>
      </c>
      <c r="E450" t="n">
        <v>60.46</v>
      </c>
      <c r="F450" t="inlineStr">
        <is>
          <t>UPI</t>
        </is>
      </c>
      <c r="G450" t="inlineStr">
        <is>
          <t>PAY6WFDJDBFNQ</t>
        </is>
      </c>
      <c r="H450" t="inlineStr">
        <is>
          <t>Success</t>
        </is>
      </c>
      <c r="I450" t="inlineStr">
        <is>
          <t>BNKD2HZCD2BHMM4</t>
        </is>
      </c>
      <c r="J450" s="8" t="n">
        <v>46182</v>
      </c>
    </row>
    <row r="451">
      <c r="A451" t="inlineStr">
        <is>
          <t>PAY0011812</t>
        </is>
      </c>
      <c r="B451" t="inlineStr">
        <is>
          <t>INV0009636</t>
        </is>
      </c>
      <c r="C451" t="inlineStr">
        <is>
          <t>MER00457</t>
        </is>
      </c>
      <c r="D451" s="8" t="n">
        <v>45616</v>
      </c>
      <c r="E451" t="n">
        <v>450.75</v>
      </c>
      <c r="F451" t="inlineStr">
        <is>
          <t>Card</t>
        </is>
      </c>
      <c r="G451" t="inlineStr">
        <is>
          <t>PAY6ES2LYPWRA</t>
        </is>
      </c>
      <c r="H451" t="inlineStr">
        <is>
          <t>Success</t>
        </is>
      </c>
      <c r="I451" t="inlineStr">
        <is>
          <t>BNKJ56863BQW6RX</t>
        </is>
      </c>
      <c r="J451" s="8" t="n">
        <v>45617</v>
      </c>
    </row>
    <row r="452">
      <c r="A452" t="inlineStr">
        <is>
          <t>PAY0011813</t>
        </is>
      </c>
      <c r="B452" t="inlineStr">
        <is>
          <t>INV0009652</t>
        </is>
      </c>
      <c r="C452" t="inlineStr">
        <is>
          <t>MER00457</t>
        </is>
      </c>
      <c r="D452" s="8" t="n">
        <v>46089</v>
      </c>
      <c r="E452" t="n">
        <v>968.83</v>
      </c>
      <c r="F452" t="inlineStr">
        <is>
          <t>Wallet</t>
        </is>
      </c>
      <c r="G452" t="inlineStr">
        <is>
          <t>PAYN7QF6VLMWQ</t>
        </is>
      </c>
      <c r="H452" t="inlineStr">
        <is>
          <t>Success</t>
        </is>
      </c>
      <c r="I452" t="inlineStr">
        <is>
          <t>BNKW85LPSLJKDFV</t>
        </is>
      </c>
      <c r="J452" s="8" t="n">
        <v>46091</v>
      </c>
    </row>
    <row r="453">
      <c r="A453" t="inlineStr">
        <is>
          <t>PAY0011814</t>
        </is>
      </c>
      <c r="B453" t="inlineStr">
        <is>
          <t>INV0009653</t>
        </is>
      </c>
      <c r="C453" t="inlineStr">
        <is>
          <t>MER00457</t>
        </is>
      </c>
      <c r="D453" s="8" t="n">
        <v>46111</v>
      </c>
      <c r="E453" t="n">
        <v>476.52</v>
      </c>
      <c r="F453" t="inlineStr">
        <is>
          <t>UPI</t>
        </is>
      </c>
      <c r="G453" t="inlineStr">
        <is>
          <t>PAYY3U3893ATS</t>
        </is>
      </c>
      <c r="H453" t="inlineStr">
        <is>
          <t>Success</t>
        </is>
      </c>
      <c r="I453" t="inlineStr">
        <is>
          <t>BNKZC3UHDRE2V3G</t>
        </is>
      </c>
      <c r="J453" s="8" t="n">
        <v>46113</v>
      </c>
    </row>
    <row r="454">
      <c r="A454" t="inlineStr">
        <is>
          <t>PAY0011815</t>
        </is>
      </c>
      <c r="B454" t="inlineStr">
        <is>
          <t>INV0009655</t>
        </is>
      </c>
      <c r="C454" t="inlineStr">
        <is>
          <t>MER00457</t>
        </is>
      </c>
      <c r="D454" s="8" t="n">
        <v>46188</v>
      </c>
      <c r="E454" t="n">
        <v>563.1799999999999</v>
      </c>
      <c r="F454" t="inlineStr">
        <is>
          <t>Card</t>
        </is>
      </c>
      <c r="G454" t="inlineStr">
        <is>
          <t>PAYCWQDLN9H5Y</t>
        </is>
      </c>
      <c r="H454" t="inlineStr">
        <is>
          <t>Success</t>
        </is>
      </c>
      <c r="I454" t="inlineStr">
        <is>
          <t>BNKGU38FUBACZ5L</t>
        </is>
      </c>
      <c r="J454" s="8" t="n">
        <v>46191</v>
      </c>
    </row>
    <row r="455">
      <c r="A455" t="inlineStr">
        <is>
          <t>PAY0011816</t>
        </is>
      </c>
      <c r="B455" t="inlineStr">
        <is>
          <t>INV0009657</t>
        </is>
      </c>
      <c r="C455" t="inlineStr">
        <is>
          <t>MER00457</t>
        </is>
      </c>
      <c r="D455" s="8" t="n">
        <v>46237</v>
      </c>
      <c r="E455" t="n">
        <v>152.79</v>
      </c>
      <c r="F455" t="inlineStr">
        <is>
          <t>Card</t>
        </is>
      </c>
      <c r="G455" t="inlineStr">
        <is>
          <t>PAY7RX89JAKGF</t>
        </is>
      </c>
      <c r="H455" t="inlineStr">
        <is>
          <t>Success</t>
        </is>
      </c>
      <c r="I455" t="inlineStr">
        <is>
          <t>BNKW33BKUEXTARB</t>
        </is>
      </c>
      <c r="J455" s="8" t="n">
        <v>46240</v>
      </c>
    </row>
    <row r="456">
      <c r="A456" t="inlineStr">
        <is>
          <t>PAY0011831</t>
        </is>
      </c>
      <c r="B456" t="inlineStr">
        <is>
          <t>INV0010267</t>
        </is>
      </c>
      <c r="C456" t="inlineStr">
        <is>
          <t>MER00484</t>
        </is>
      </c>
      <c r="D456" s="8" t="n">
        <v>46216</v>
      </c>
      <c r="E456" t="n">
        <v>79.59999999999999</v>
      </c>
      <c r="F456" t="inlineStr">
        <is>
          <t>UPI</t>
        </is>
      </c>
      <c r="G456" t="inlineStr">
        <is>
          <t>PAYHWWTYL986Q</t>
        </is>
      </c>
      <c r="H456" t="inlineStr">
        <is>
          <t>Success</t>
        </is>
      </c>
      <c r="I456" t="inlineStr">
        <is>
          <t>BNKZ8BZ79DUR8CW</t>
        </is>
      </c>
      <c r="J456" s="8" t="n">
        <v>46217</v>
      </c>
    </row>
    <row r="457">
      <c r="A457" t="inlineStr">
        <is>
          <t>PAY0011843</t>
        </is>
      </c>
      <c r="B457" t="inlineStr">
        <is>
          <t>INV0010620</t>
        </is>
      </c>
      <c r="C457" t="inlineStr">
        <is>
          <t>MER00502</t>
        </is>
      </c>
      <c r="D457" s="8" t="n">
        <v>45669</v>
      </c>
      <c r="E457" t="n">
        <v>116.06</v>
      </c>
      <c r="F457" t="inlineStr">
        <is>
          <t>UPI</t>
        </is>
      </c>
      <c r="G457" t="inlineStr">
        <is>
          <t>PAYKVJT93E9U8</t>
        </is>
      </c>
      <c r="H457" t="inlineStr">
        <is>
          <t>Success</t>
        </is>
      </c>
      <c r="I457" t="inlineStr">
        <is>
          <t>BNKBZER7HGDZ5JN</t>
        </is>
      </c>
      <c r="J457" s="8" t="n">
        <v>45671</v>
      </c>
    </row>
    <row r="458">
      <c r="A458" t="inlineStr">
        <is>
          <t>PAY0011844</t>
        </is>
      </c>
      <c r="B458" t="inlineStr">
        <is>
          <t>INV0010634</t>
        </is>
      </c>
      <c r="C458" t="inlineStr">
        <is>
          <t>MER00502</t>
        </is>
      </c>
      <c r="D458" s="8" t="n">
        <v>46084</v>
      </c>
      <c r="E458" t="n">
        <v>95.73999999999999</v>
      </c>
      <c r="F458" t="inlineStr">
        <is>
          <t>UPI</t>
        </is>
      </c>
      <c r="G458" t="inlineStr">
        <is>
          <t>PAYBWHCZJFWCP</t>
        </is>
      </c>
      <c r="H458" t="inlineStr">
        <is>
          <t>Success</t>
        </is>
      </c>
      <c r="I458" t="inlineStr">
        <is>
          <t>BNKYLLFWZG283QH</t>
        </is>
      </c>
      <c r="J458" s="8" t="n">
        <v>46087</v>
      </c>
    </row>
    <row r="459">
      <c r="A459" t="inlineStr">
        <is>
          <t>PAY0011845</t>
        </is>
      </c>
      <c r="B459" t="inlineStr">
        <is>
          <t>INV0010635</t>
        </is>
      </c>
      <c r="C459" t="inlineStr">
        <is>
          <t>MER00502</t>
        </is>
      </c>
      <c r="D459" s="8" t="n">
        <v>46115</v>
      </c>
      <c r="E459" t="n">
        <v>139.29</v>
      </c>
      <c r="F459" t="inlineStr">
        <is>
          <t>UPI</t>
        </is>
      </c>
      <c r="G459" t="inlineStr">
        <is>
          <t>PAYUGBHPM87RX</t>
        </is>
      </c>
      <c r="H459" t="inlineStr">
        <is>
          <t>Success</t>
        </is>
      </c>
      <c r="I459" t="inlineStr">
        <is>
          <t>BNK4WHHQQ5876GM</t>
        </is>
      </c>
      <c r="J459" s="8" t="n">
        <v>46118</v>
      </c>
    </row>
    <row r="460">
      <c r="A460" t="inlineStr">
        <is>
          <t>PAY0011867</t>
        </is>
      </c>
      <c r="B460" t="inlineStr">
        <is>
          <t>INV0011065</t>
        </is>
      </c>
      <c r="C460" t="inlineStr">
        <is>
          <t>MER00523</t>
        </is>
      </c>
      <c r="D460" s="8" t="n">
        <v>45791</v>
      </c>
      <c r="E460" t="n">
        <v>277.98</v>
      </c>
      <c r="F460" t="inlineStr">
        <is>
          <t>UPI</t>
        </is>
      </c>
      <c r="G460" t="inlineStr">
        <is>
          <t>PAYPHKSV8LPZF</t>
        </is>
      </c>
      <c r="H460" t="inlineStr">
        <is>
          <t>Success</t>
        </is>
      </c>
      <c r="I460" t="inlineStr">
        <is>
          <t>BNKWCBQ4WKDSG8W</t>
        </is>
      </c>
      <c r="J460" s="8" t="n">
        <v>45792</v>
      </c>
    </row>
    <row r="461">
      <c r="A461" t="inlineStr">
        <is>
          <t>PAY0011883</t>
        </is>
      </c>
      <c r="B461" t="inlineStr">
        <is>
          <t>INV0011615</t>
        </is>
      </c>
      <c r="C461" t="inlineStr">
        <is>
          <t>MER00549</t>
        </is>
      </c>
      <c r="D461" s="8" t="n">
        <v>45605</v>
      </c>
      <c r="E461" t="n">
        <v>2358.54</v>
      </c>
      <c r="F461" t="inlineStr">
        <is>
          <t>COD</t>
        </is>
      </c>
      <c r="G461" t="inlineStr">
        <is>
          <t>PAYG8AZPLHQRV</t>
        </is>
      </c>
      <c r="H461" t="inlineStr">
        <is>
          <t>Success</t>
        </is>
      </c>
      <c r="I461" t="inlineStr">
        <is>
          <t>BNKDCXKUAJXVF59</t>
        </is>
      </c>
      <c r="J461" s="8" t="n">
        <v>45608</v>
      </c>
    </row>
    <row r="462">
      <c r="A462" t="inlineStr">
        <is>
          <t>PAY0011884</t>
        </is>
      </c>
      <c r="B462" t="inlineStr">
        <is>
          <t>INV0011621</t>
        </is>
      </c>
      <c r="C462" t="inlineStr">
        <is>
          <t>MER00549</t>
        </is>
      </c>
      <c r="D462" s="8" t="n">
        <v>45786</v>
      </c>
      <c r="E462" t="n">
        <v>2907.86</v>
      </c>
      <c r="F462" t="inlineStr">
        <is>
          <t>UPI</t>
        </is>
      </c>
      <c r="G462" t="inlineStr">
        <is>
          <t>PAY2VWNXCYPH6</t>
        </is>
      </c>
      <c r="H462" t="inlineStr">
        <is>
          <t>Success</t>
        </is>
      </c>
      <c r="I462" t="inlineStr">
        <is>
          <t>BNKW6DM4548Z6T4</t>
        </is>
      </c>
      <c r="J462" s="8" t="n">
        <v>45789</v>
      </c>
    </row>
    <row r="463">
      <c r="A463" t="inlineStr">
        <is>
          <t>PAY0011885</t>
        </is>
      </c>
      <c r="B463" t="inlineStr">
        <is>
          <t>INV0011633</t>
        </is>
      </c>
      <c r="C463" t="inlineStr">
        <is>
          <t>MER00549</t>
        </is>
      </c>
      <c r="D463" s="8" t="n">
        <v>46143</v>
      </c>
      <c r="E463" t="n">
        <v>2445.72</v>
      </c>
      <c r="F463" t="inlineStr">
        <is>
          <t>Card</t>
        </is>
      </c>
      <c r="G463" t="inlineStr">
        <is>
          <t>PAYFWUYA777KX</t>
        </is>
      </c>
      <c r="H463" t="inlineStr">
        <is>
          <t>Success</t>
        </is>
      </c>
      <c r="I463" t="inlineStr">
        <is>
          <t>BNKXVTC9GHEUDQQ</t>
        </is>
      </c>
      <c r="J463" s="8" t="n">
        <v>46144</v>
      </c>
    </row>
    <row r="464">
      <c r="A464" t="inlineStr">
        <is>
          <t>PAY0011886</t>
        </is>
      </c>
      <c r="B464" t="inlineStr">
        <is>
          <t>INV0011636</t>
        </is>
      </c>
      <c r="C464" t="inlineStr">
        <is>
          <t>MER00549</t>
        </is>
      </c>
      <c r="D464" s="8" t="n">
        <v>46264</v>
      </c>
      <c r="E464" t="n">
        <v>1575.86</v>
      </c>
      <c r="F464" t="inlineStr">
        <is>
          <t>UPI</t>
        </is>
      </c>
      <c r="G464" t="inlineStr">
        <is>
          <t>PAY8C2T5NECT9</t>
        </is>
      </c>
      <c r="H464" t="inlineStr">
        <is>
          <t>Success</t>
        </is>
      </c>
      <c r="I464" t="inlineStr">
        <is>
          <t>BNKRLK4HDQQRMQ5</t>
        </is>
      </c>
      <c r="J464" s="8" t="n">
        <v>46267</v>
      </c>
    </row>
    <row r="465">
      <c r="A465" t="inlineStr">
        <is>
          <t>PAY0011958</t>
        </is>
      </c>
      <c r="B465" t="inlineStr">
        <is>
          <t>INV0013947</t>
        </is>
      </c>
      <c r="C465" t="inlineStr">
        <is>
          <t>MER00658</t>
        </is>
      </c>
      <c r="D465" s="8" t="n">
        <v>45712</v>
      </c>
      <c r="E465" t="n">
        <v>243.64</v>
      </c>
      <c r="F465" t="inlineStr">
        <is>
          <t>UPI</t>
        </is>
      </c>
      <c r="G465" t="inlineStr">
        <is>
          <t>PAY5T7JRZVDYD</t>
        </is>
      </c>
      <c r="H465" t="inlineStr">
        <is>
          <t>Success</t>
        </is>
      </c>
      <c r="I465" t="inlineStr">
        <is>
          <t>BNKKER8CMV55VUC</t>
        </is>
      </c>
      <c r="J465" s="8" t="n">
        <v>45713</v>
      </c>
    </row>
    <row r="466">
      <c r="A466" t="inlineStr">
        <is>
          <t>PAY0011970</t>
        </is>
      </c>
      <c r="B466" t="inlineStr">
        <is>
          <t>INV0015070</t>
        </is>
      </c>
      <c r="C466" t="inlineStr">
        <is>
          <t>MER00712</t>
        </is>
      </c>
      <c r="D466" s="8" t="n">
        <v>45586</v>
      </c>
      <c r="E466" t="n">
        <v>1101.83</v>
      </c>
      <c r="F466" t="inlineStr">
        <is>
          <t>UPI</t>
        </is>
      </c>
      <c r="G466" t="inlineStr">
        <is>
          <t>PAYE369QHC6W9</t>
        </is>
      </c>
      <c r="H466" t="inlineStr">
        <is>
          <t>Success</t>
        </is>
      </c>
      <c r="I466" t="inlineStr">
        <is>
          <t>BNK438RPEN4G72K</t>
        </is>
      </c>
      <c r="J466" s="8" t="n">
        <v>45587</v>
      </c>
    </row>
    <row r="467">
      <c r="A467" t="inlineStr">
        <is>
          <t>PAY0011971</t>
        </is>
      </c>
      <c r="B467" t="inlineStr">
        <is>
          <t>INV0015076</t>
        </is>
      </c>
      <c r="C467" t="inlineStr">
        <is>
          <t>MER00712</t>
        </is>
      </c>
      <c r="D467" s="8" t="n">
        <v>45779</v>
      </c>
      <c r="E467" t="n">
        <v>546.15</v>
      </c>
      <c r="F467" t="inlineStr">
        <is>
          <t>UPI</t>
        </is>
      </c>
      <c r="G467" t="inlineStr">
        <is>
          <t>PAYVMXPUNTACQ</t>
        </is>
      </c>
      <c r="H467" t="inlineStr">
        <is>
          <t>Success</t>
        </is>
      </c>
      <c r="I467" t="inlineStr">
        <is>
          <t>BNKHVDGWD95J97M</t>
        </is>
      </c>
      <c r="J467" s="8" t="n">
        <v>45782</v>
      </c>
    </row>
    <row r="468">
      <c r="A468" t="inlineStr">
        <is>
          <t>PAY0011972</t>
        </is>
      </c>
      <c r="B468" t="inlineStr">
        <is>
          <t>INV0015083</t>
        </is>
      </c>
      <c r="C468" t="inlineStr">
        <is>
          <t>MER00712</t>
        </is>
      </c>
      <c r="D468" s="8" t="n">
        <v>45982</v>
      </c>
      <c r="E468" t="n">
        <v>1218.13</v>
      </c>
      <c r="F468" t="inlineStr">
        <is>
          <t>Card</t>
        </is>
      </c>
      <c r="G468" t="inlineStr">
        <is>
          <t>PAYPZD2PG844Q</t>
        </is>
      </c>
      <c r="H468" t="inlineStr">
        <is>
          <t>Success</t>
        </is>
      </c>
      <c r="I468" t="inlineStr">
        <is>
          <t>BNKGS76QQ7VFY6M</t>
        </is>
      </c>
      <c r="J468" s="8" t="n">
        <v>45984</v>
      </c>
    </row>
    <row r="469">
      <c r="A469" t="inlineStr">
        <is>
          <t>PAY0011973</t>
        </is>
      </c>
      <c r="B469" t="inlineStr">
        <is>
          <t>INV0015086</t>
        </is>
      </c>
      <c r="C469" t="inlineStr">
        <is>
          <t>MER00712</t>
        </is>
      </c>
      <c r="D469" s="8" t="n">
        <v>46079</v>
      </c>
      <c r="E469" t="n">
        <v>750.83</v>
      </c>
      <c r="F469" t="inlineStr">
        <is>
          <t>UPI</t>
        </is>
      </c>
      <c r="G469" t="inlineStr">
        <is>
          <t>PAYY6TM9294K9</t>
        </is>
      </c>
      <c r="H469" t="inlineStr">
        <is>
          <t>Success</t>
        </is>
      </c>
      <c r="I469" t="inlineStr">
        <is>
          <t>BNK6QR7PN8XZSEL</t>
        </is>
      </c>
      <c r="J469" s="8" t="n">
        <v>46081</v>
      </c>
    </row>
    <row r="470">
      <c r="A470" t="inlineStr">
        <is>
          <t>PAY0012452</t>
        </is>
      </c>
      <c r="B470" t="inlineStr">
        <is>
          <t>INV0002946</t>
        </is>
      </c>
      <c r="C470" t="inlineStr">
        <is>
          <t>MER00139</t>
        </is>
      </c>
      <c r="D470" s="8" t="n">
        <v>45610</v>
      </c>
      <c r="E470" t="n">
        <v>1320.08</v>
      </c>
      <c r="F470" t="inlineStr">
        <is>
          <t>UPI</t>
        </is>
      </c>
      <c r="G470" t="inlineStr">
        <is>
          <t>PAYZEVPC7A8DT</t>
        </is>
      </c>
      <c r="H470" t="inlineStr">
        <is>
          <t>Success</t>
        </is>
      </c>
      <c r="I470" t="inlineStr">
        <is>
          <t>BNKJ8ZTQW7EJALW</t>
        </is>
      </c>
      <c r="J470" s="8" t="n">
        <v>45612</v>
      </c>
    </row>
    <row r="471">
      <c r="A471" t="inlineStr">
        <is>
          <t>PAY0012453</t>
        </is>
      </c>
      <c r="B471" t="inlineStr">
        <is>
          <t>INV0002947</t>
        </is>
      </c>
      <c r="C471" t="inlineStr">
        <is>
          <t>MER00139</t>
        </is>
      </c>
      <c r="D471" s="8" t="n">
        <v>45650</v>
      </c>
      <c r="E471" t="n">
        <v>1326.64</v>
      </c>
      <c r="F471" t="inlineStr">
        <is>
          <t>UPI</t>
        </is>
      </c>
      <c r="G471" t="inlineStr">
        <is>
          <t>PAY4T6BSYX9P6</t>
        </is>
      </c>
      <c r="H471" t="inlineStr">
        <is>
          <t>Success</t>
        </is>
      </c>
      <c r="I471" t="inlineStr">
        <is>
          <t>BNKN9UJN4XUUPTD</t>
        </is>
      </c>
      <c r="J471" s="8" t="n">
        <v>45651</v>
      </c>
    </row>
    <row r="472">
      <c r="A472" t="inlineStr">
        <is>
          <t>PAY0012454</t>
        </is>
      </c>
      <c r="B472" t="inlineStr">
        <is>
          <t>INV0002948</t>
        </is>
      </c>
      <c r="C472" t="inlineStr">
        <is>
          <t>MER00139</t>
        </is>
      </c>
      <c r="D472" s="8" t="n">
        <v>45672</v>
      </c>
      <c r="E472" t="n">
        <v>1825.2</v>
      </c>
      <c r="F472" t="inlineStr">
        <is>
          <t>UPI</t>
        </is>
      </c>
      <c r="G472" t="inlineStr">
        <is>
          <t>PAYG6969D2V8H</t>
        </is>
      </c>
      <c r="H472" t="inlineStr">
        <is>
          <t>Success</t>
        </is>
      </c>
      <c r="I472" t="inlineStr">
        <is>
          <t>BNK8B559H25BT83</t>
        </is>
      </c>
      <c r="J472" s="8" t="n">
        <v>45673</v>
      </c>
    </row>
    <row r="473">
      <c r="A473" t="inlineStr">
        <is>
          <t>PAY0012455</t>
        </is>
      </c>
      <c r="B473" t="inlineStr">
        <is>
          <t>INV0002950</t>
        </is>
      </c>
      <c r="C473" t="inlineStr">
        <is>
          <t>MER00139</t>
        </is>
      </c>
      <c r="D473" s="8" t="n">
        <v>45740</v>
      </c>
      <c r="E473" t="n">
        <v>2333.5</v>
      </c>
      <c r="F473" t="inlineStr">
        <is>
          <t>UPI</t>
        </is>
      </c>
      <c r="G473" t="inlineStr">
        <is>
          <t>PAYLB7Q96KXWR</t>
        </is>
      </c>
      <c r="H473" t="inlineStr">
        <is>
          <t>Success</t>
        </is>
      </c>
      <c r="I473" t="inlineStr">
        <is>
          <t>BNKYPM5DK4XPABG</t>
        </is>
      </c>
      <c r="J473" s="8" t="n">
        <v>45743</v>
      </c>
    </row>
    <row r="474">
      <c r="A474" t="inlineStr">
        <is>
          <t>PAY0012456</t>
        </is>
      </c>
      <c r="B474" t="inlineStr">
        <is>
          <t>INV0002951</t>
        </is>
      </c>
      <c r="C474" t="inlineStr">
        <is>
          <t>MER00139</t>
        </is>
      </c>
      <c r="D474" s="8" t="n">
        <v>45770</v>
      </c>
      <c r="E474" t="n">
        <v>1656.35</v>
      </c>
      <c r="F474" t="inlineStr">
        <is>
          <t>NetBanking</t>
        </is>
      </c>
      <c r="G474" t="inlineStr">
        <is>
          <t>PAY3GNL2ZQDD2</t>
        </is>
      </c>
      <c r="H474" t="inlineStr">
        <is>
          <t>Success</t>
        </is>
      </c>
      <c r="I474" t="inlineStr">
        <is>
          <t>BNKXZH2XP34X3YC</t>
        </is>
      </c>
      <c r="J474" s="8" t="n">
        <v>45772</v>
      </c>
    </row>
    <row r="475">
      <c r="A475" t="inlineStr">
        <is>
          <t>PAY0012457</t>
        </is>
      </c>
      <c r="B475" t="inlineStr">
        <is>
          <t>INV0002952</t>
        </is>
      </c>
      <c r="C475" t="inlineStr">
        <is>
          <t>MER00139</t>
        </is>
      </c>
      <c r="D475" s="8" t="n">
        <v>45813</v>
      </c>
      <c r="E475" t="n">
        <v>1617.56</v>
      </c>
      <c r="F475" t="inlineStr">
        <is>
          <t>Wallet</t>
        </is>
      </c>
      <c r="G475" t="inlineStr">
        <is>
          <t>PAYV53HR52E3S</t>
        </is>
      </c>
      <c r="H475" t="inlineStr">
        <is>
          <t>Success</t>
        </is>
      </c>
      <c r="I475" t="inlineStr">
        <is>
          <t>BNKZ6R57EQWBLB6</t>
        </is>
      </c>
      <c r="J475" s="8" t="n">
        <v>45814</v>
      </c>
    </row>
    <row r="476">
      <c r="A476" t="inlineStr">
        <is>
          <t>PAY0012458</t>
        </is>
      </c>
      <c r="B476" t="inlineStr">
        <is>
          <t>INV0002953</t>
        </is>
      </c>
      <c r="C476" t="inlineStr">
        <is>
          <t>MER00139</t>
        </is>
      </c>
      <c r="D476" s="8" t="n">
        <v>45816</v>
      </c>
      <c r="E476" t="n">
        <v>2108.61</v>
      </c>
      <c r="F476" t="inlineStr">
        <is>
          <t>UPI</t>
        </is>
      </c>
      <c r="G476" t="inlineStr">
        <is>
          <t>PAY2HSTBEA66C</t>
        </is>
      </c>
      <c r="H476" t="inlineStr">
        <is>
          <t>Success</t>
        </is>
      </c>
      <c r="I476" t="inlineStr">
        <is>
          <t>BNKJ29TJS85C89C</t>
        </is>
      </c>
      <c r="J476" s="8" t="n">
        <v>45819</v>
      </c>
    </row>
    <row r="477">
      <c r="A477" t="inlineStr">
        <is>
          <t>PAY0012459</t>
        </is>
      </c>
      <c r="B477" t="inlineStr">
        <is>
          <t>INV0002954</t>
        </is>
      </c>
      <c r="C477" t="inlineStr">
        <is>
          <t>MER00139</t>
        </is>
      </c>
      <c r="D477" s="8" t="n">
        <v>45860</v>
      </c>
      <c r="E477" t="n">
        <v>2363.41</v>
      </c>
      <c r="F477" t="inlineStr">
        <is>
          <t>Card</t>
        </is>
      </c>
      <c r="G477" t="inlineStr">
        <is>
          <t>PAYGDULBYZQRW</t>
        </is>
      </c>
      <c r="H477" t="inlineStr">
        <is>
          <t>Success</t>
        </is>
      </c>
      <c r="I477" t="inlineStr">
        <is>
          <t>BNKQ847653Y2X3E</t>
        </is>
      </c>
      <c r="J477" s="8" t="n">
        <v>45861</v>
      </c>
    </row>
    <row r="478">
      <c r="A478" t="inlineStr">
        <is>
          <t>PAY0012460</t>
        </is>
      </c>
      <c r="B478" t="inlineStr">
        <is>
          <t>INV0002956</t>
        </is>
      </c>
      <c r="C478" t="inlineStr">
        <is>
          <t>MER00139</t>
        </is>
      </c>
      <c r="D478" s="8" t="n">
        <v>45948</v>
      </c>
      <c r="E478" t="n">
        <v>1546.18</v>
      </c>
      <c r="F478" t="inlineStr">
        <is>
          <t>Wallet</t>
        </is>
      </c>
      <c r="G478" t="inlineStr">
        <is>
          <t>PAYR3XHT3LVYW</t>
        </is>
      </c>
      <c r="H478" t="inlineStr">
        <is>
          <t>Success</t>
        </is>
      </c>
      <c r="I478" t="inlineStr">
        <is>
          <t>BNKW7PFWUXYALGW</t>
        </is>
      </c>
      <c r="J478" s="8" t="n">
        <v>45949</v>
      </c>
    </row>
    <row r="479">
      <c r="A479" t="inlineStr">
        <is>
          <t>PAY0012461</t>
        </is>
      </c>
      <c r="B479" t="inlineStr">
        <is>
          <t>INV0002960</t>
        </is>
      </c>
      <c r="C479" t="inlineStr">
        <is>
          <t>MER00139</t>
        </is>
      </c>
      <c r="D479" s="8" t="n">
        <v>46066</v>
      </c>
      <c r="E479" t="n">
        <v>2417.15</v>
      </c>
      <c r="F479" t="inlineStr">
        <is>
          <t>UPI</t>
        </is>
      </c>
      <c r="G479" t="inlineStr">
        <is>
          <t>PAY33LGLGGZC5</t>
        </is>
      </c>
      <c r="H479" t="inlineStr">
        <is>
          <t>Success</t>
        </is>
      </c>
      <c r="I479" t="inlineStr">
        <is>
          <t>BNK4788G58DXVAP</t>
        </is>
      </c>
      <c r="J479" s="8" t="n">
        <v>46067</v>
      </c>
    </row>
    <row r="480">
      <c r="A480" t="inlineStr">
        <is>
          <t>PAY0012462</t>
        </is>
      </c>
      <c r="B480" t="inlineStr">
        <is>
          <t>INV0002961</t>
        </is>
      </c>
      <c r="C480" t="inlineStr">
        <is>
          <t>MER00139</t>
        </is>
      </c>
      <c r="D480" s="8" t="n">
        <v>46099</v>
      </c>
      <c r="E480" t="n">
        <v>1801.64</v>
      </c>
      <c r="F480" t="inlineStr">
        <is>
          <t>NetBanking</t>
        </is>
      </c>
      <c r="G480" t="inlineStr">
        <is>
          <t>PAYQE36SPNBHM</t>
        </is>
      </c>
      <c r="H480" t="inlineStr">
        <is>
          <t>Success</t>
        </is>
      </c>
      <c r="I480" t="inlineStr">
        <is>
          <t>BNKXKH4EM2MU8E8</t>
        </is>
      </c>
      <c r="J480" s="8" t="n">
        <v>46102</v>
      </c>
    </row>
    <row r="481">
      <c r="A481" t="inlineStr">
        <is>
          <t>PAY0012463</t>
        </is>
      </c>
      <c r="B481" t="inlineStr">
        <is>
          <t>INV0002962</t>
        </is>
      </c>
      <c r="C481" t="inlineStr">
        <is>
          <t>MER00139</t>
        </is>
      </c>
      <c r="D481" s="8" t="n">
        <v>46120</v>
      </c>
      <c r="E481" t="n">
        <v>2741.72</v>
      </c>
      <c r="F481" t="inlineStr">
        <is>
          <t>Card</t>
        </is>
      </c>
      <c r="G481" t="inlineStr">
        <is>
          <t>PAYPQSLFYURFY</t>
        </is>
      </c>
      <c r="H481" t="inlineStr">
        <is>
          <t>Success</t>
        </is>
      </c>
      <c r="I481" t="inlineStr">
        <is>
          <t>BNKZ2VKKH6GNTCY</t>
        </is>
      </c>
      <c r="J481" s="8" t="n">
        <v>46121</v>
      </c>
    </row>
    <row r="482">
      <c r="A482" t="inlineStr">
        <is>
          <t>PAY0012464</t>
        </is>
      </c>
      <c r="B482" t="inlineStr">
        <is>
          <t>INV0002965</t>
        </is>
      </c>
      <c r="C482" t="inlineStr">
        <is>
          <t>MER00139</t>
        </is>
      </c>
      <c r="D482" s="8" t="n">
        <v>46205</v>
      </c>
      <c r="E482" t="n">
        <v>3161.37</v>
      </c>
      <c r="F482" t="inlineStr">
        <is>
          <t>UPI</t>
        </is>
      </c>
      <c r="G482" t="inlineStr">
        <is>
          <t>PAYDZ9FUDFK2X</t>
        </is>
      </c>
      <c r="H482" t="inlineStr">
        <is>
          <t>Success</t>
        </is>
      </c>
      <c r="I482" t="inlineStr">
        <is>
          <t>BNK98ULU2ETA73Z</t>
        </is>
      </c>
      <c r="J482" s="8" t="n">
        <v>46206</v>
      </c>
    </row>
    <row r="483">
      <c r="A483" t="inlineStr">
        <is>
          <t>PAY0012465</t>
        </is>
      </c>
      <c r="B483" t="inlineStr">
        <is>
          <t>INV0002966</t>
        </is>
      </c>
      <c r="C483" t="inlineStr">
        <is>
          <t>MER00139</t>
        </is>
      </c>
      <c r="D483" s="8" t="n">
        <v>46252</v>
      </c>
      <c r="E483" t="n">
        <v>2025.08</v>
      </c>
      <c r="F483" t="inlineStr">
        <is>
          <t>Card</t>
        </is>
      </c>
      <c r="G483" t="inlineStr">
        <is>
          <t>PAY9V38DBA9RJ</t>
        </is>
      </c>
      <c r="H483" t="inlineStr">
        <is>
          <t>Success</t>
        </is>
      </c>
      <c r="I483" t="inlineStr">
        <is>
          <t>BNKJX8GQH2M5FQM</t>
        </is>
      </c>
      <c r="J483" s="8" t="n">
        <v>46254</v>
      </c>
    </row>
    <row r="484">
      <c r="A484" t="inlineStr">
        <is>
          <t>PAY0012466</t>
        </is>
      </c>
      <c r="B484" t="inlineStr">
        <is>
          <t>INV0002967</t>
        </is>
      </c>
      <c r="C484" t="inlineStr">
        <is>
          <t>MER00139</t>
        </is>
      </c>
      <c r="D484" s="8" t="n">
        <v>46257</v>
      </c>
      <c r="E484" t="n">
        <v>2314.23</v>
      </c>
      <c r="F484" t="inlineStr">
        <is>
          <t>UPI</t>
        </is>
      </c>
      <c r="G484" t="inlineStr">
        <is>
          <t>PAYCEEFR78TFY</t>
        </is>
      </c>
      <c r="H484" t="inlineStr">
        <is>
          <t>Success</t>
        </is>
      </c>
      <c r="I484" t="inlineStr">
        <is>
          <t>BNKR9F5WYVPQ2A9</t>
        </is>
      </c>
      <c r="J484" s="8" t="n">
        <v>46258</v>
      </c>
    </row>
    <row r="485">
      <c r="A485" t="inlineStr">
        <is>
          <t>PAY0012467</t>
        </is>
      </c>
      <c r="B485" t="inlineStr">
        <is>
          <t>INV0002968</t>
        </is>
      </c>
      <c r="C485" t="inlineStr">
        <is>
          <t>MER00139</t>
        </is>
      </c>
      <c r="D485" s="8" t="n">
        <v>46310</v>
      </c>
      <c r="E485" t="n">
        <v>2102.45</v>
      </c>
      <c r="F485" t="inlineStr">
        <is>
          <t>COD</t>
        </is>
      </c>
      <c r="G485" t="inlineStr">
        <is>
          <t>PAY9RFK7HYZDB</t>
        </is>
      </c>
      <c r="H485" t="inlineStr">
        <is>
          <t>Success</t>
        </is>
      </c>
      <c r="I485" t="inlineStr">
        <is>
          <t>BNKTCMNTKACZRHB</t>
        </is>
      </c>
      <c r="J485" s="8" t="n">
        <v>46311</v>
      </c>
    </row>
    <row r="486">
      <c r="A486" t="inlineStr">
        <is>
          <t>PAY0013065</t>
        </is>
      </c>
      <c r="B486" t="inlineStr">
        <is>
          <t>INV0007295</t>
        </is>
      </c>
      <c r="C486" t="inlineStr">
        <is>
          <t>MER00346</t>
        </is>
      </c>
      <c r="D486" s="8" t="n">
        <v>45586</v>
      </c>
      <c r="E486" t="n">
        <v>370.56</v>
      </c>
      <c r="F486" t="inlineStr">
        <is>
          <t>Card</t>
        </is>
      </c>
      <c r="G486" t="inlineStr">
        <is>
          <t>PAYRG3AXY2WEH</t>
        </is>
      </c>
      <c r="H486" t="inlineStr">
        <is>
          <t>Success</t>
        </is>
      </c>
      <c r="I486" t="inlineStr">
        <is>
          <t>BNKBMCASHNFMDUH</t>
        </is>
      </c>
      <c r="J486" s="8" t="n">
        <v>45588</v>
      </c>
    </row>
    <row r="487">
      <c r="A487" t="inlineStr">
        <is>
          <t>PAY0013066</t>
        </is>
      </c>
      <c r="B487" t="inlineStr">
        <is>
          <t>INV0007296</t>
        </is>
      </c>
      <c r="C487" t="inlineStr">
        <is>
          <t>MER00346</t>
        </is>
      </c>
      <c r="D487" s="8" t="n">
        <v>45640</v>
      </c>
      <c r="E487" t="n">
        <v>298.78</v>
      </c>
      <c r="F487" t="inlineStr">
        <is>
          <t>UPI</t>
        </is>
      </c>
      <c r="G487" t="inlineStr">
        <is>
          <t>PAY2YAC53M8CZ</t>
        </is>
      </c>
      <c r="H487" t="inlineStr">
        <is>
          <t>Success</t>
        </is>
      </c>
      <c r="I487" t="inlineStr">
        <is>
          <t>BNKU3L9PHBXAYC9</t>
        </is>
      </c>
      <c r="J487" s="8" t="n">
        <v>45641</v>
      </c>
    </row>
    <row r="488">
      <c r="A488" t="inlineStr">
        <is>
          <t>PAY0013067</t>
        </is>
      </c>
      <c r="B488" t="inlineStr">
        <is>
          <t>INV0007301</t>
        </is>
      </c>
      <c r="C488" t="inlineStr">
        <is>
          <t>MER00346</t>
        </is>
      </c>
      <c r="D488" s="8" t="n">
        <v>45770</v>
      </c>
      <c r="E488" t="n">
        <v>357.65</v>
      </c>
      <c r="F488" t="inlineStr">
        <is>
          <t>NetBanking</t>
        </is>
      </c>
      <c r="G488" t="inlineStr">
        <is>
          <t>PAYJWHBK6HD2J</t>
        </is>
      </c>
      <c r="H488" t="inlineStr">
        <is>
          <t>Success</t>
        </is>
      </c>
      <c r="I488" t="inlineStr">
        <is>
          <t>BNKW2WUVFSAUFS6</t>
        </is>
      </c>
      <c r="J488" s="8" t="n">
        <v>45773</v>
      </c>
    </row>
    <row r="489">
      <c r="A489" t="inlineStr">
        <is>
          <t>PAY0013068</t>
        </is>
      </c>
      <c r="B489" t="inlineStr">
        <is>
          <t>INV0007302</t>
        </is>
      </c>
      <c r="C489" t="inlineStr">
        <is>
          <t>MER00346</t>
        </is>
      </c>
      <c r="D489" s="8" t="n">
        <v>45818</v>
      </c>
      <c r="E489" t="n">
        <v>209.5</v>
      </c>
      <c r="F489" t="inlineStr">
        <is>
          <t>UPI</t>
        </is>
      </c>
      <c r="G489" t="inlineStr">
        <is>
          <t>PAYGFB7XVT6QJ</t>
        </is>
      </c>
      <c r="H489" t="inlineStr">
        <is>
          <t>Success</t>
        </is>
      </c>
      <c r="I489" t="inlineStr">
        <is>
          <t>BNK87WB5H68HB3L</t>
        </is>
      </c>
      <c r="J489" s="8" t="n">
        <v>45819</v>
      </c>
    </row>
    <row r="490">
      <c r="A490" t="inlineStr">
        <is>
          <t>PAY0013069</t>
        </is>
      </c>
      <c r="B490" t="inlineStr">
        <is>
          <t>INV0007304</t>
        </is>
      </c>
      <c r="C490" t="inlineStr">
        <is>
          <t>MER00346</t>
        </is>
      </c>
      <c r="D490" s="8" t="n">
        <v>45883</v>
      </c>
      <c r="E490" t="n">
        <v>217.63</v>
      </c>
      <c r="F490" t="inlineStr">
        <is>
          <t>Card</t>
        </is>
      </c>
      <c r="G490" t="inlineStr">
        <is>
          <t>PAY33T8FNWDUC</t>
        </is>
      </c>
      <c r="H490" t="inlineStr">
        <is>
          <t>Success</t>
        </is>
      </c>
      <c r="I490" t="inlineStr">
        <is>
          <t>BNKCN9TJ7ER7Z7X</t>
        </is>
      </c>
      <c r="J490" s="8" t="n">
        <v>45885</v>
      </c>
    </row>
    <row r="491">
      <c r="A491" t="inlineStr">
        <is>
          <t>PAY0013070</t>
        </is>
      </c>
      <c r="B491" t="inlineStr">
        <is>
          <t>INV0007306</t>
        </is>
      </c>
      <c r="C491" t="inlineStr">
        <is>
          <t>MER00346</t>
        </is>
      </c>
      <c r="D491" s="8" t="n">
        <v>45939</v>
      </c>
      <c r="E491" t="n">
        <v>179.1</v>
      </c>
      <c r="F491" t="inlineStr">
        <is>
          <t>UPI</t>
        </is>
      </c>
      <c r="G491" t="inlineStr">
        <is>
          <t>PAY8U6UG82SAX</t>
        </is>
      </c>
      <c r="H491" t="inlineStr">
        <is>
          <t>Success</t>
        </is>
      </c>
      <c r="I491" t="inlineStr">
        <is>
          <t>BNKRT94ARZT2UDZ</t>
        </is>
      </c>
      <c r="J491" s="8" t="n">
        <v>45942</v>
      </c>
    </row>
    <row r="492">
      <c r="A492" t="inlineStr">
        <is>
          <t>PAY0013071</t>
        </is>
      </c>
      <c r="B492" t="inlineStr">
        <is>
          <t>INV0007307</t>
        </is>
      </c>
      <c r="C492" t="inlineStr">
        <is>
          <t>MER00346</t>
        </is>
      </c>
      <c r="D492" s="8" t="n">
        <v>45955</v>
      </c>
      <c r="E492" t="n">
        <v>317.6</v>
      </c>
      <c r="F492" t="inlineStr">
        <is>
          <t>UPI</t>
        </is>
      </c>
      <c r="G492" t="inlineStr">
        <is>
          <t>PAYPYVCM4BTC8</t>
        </is>
      </c>
      <c r="H492" t="inlineStr">
        <is>
          <t>Success</t>
        </is>
      </c>
      <c r="I492" t="inlineStr">
        <is>
          <t>BNKAREDFWZGFWTL</t>
        </is>
      </c>
      <c r="J492" s="8" t="n">
        <v>45956</v>
      </c>
    </row>
    <row r="493">
      <c r="A493" t="inlineStr">
        <is>
          <t>PAY0013072</t>
        </is>
      </c>
      <c r="B493" t="inlineStr">
        <is>
          <t>INV0007308</t>
        </is>
      </c>
      <c r="C493" t="inlineStr">
        <is>
          <t>MER00346</t>
        </is>
      </c>
      <c r="D493" s="8" t="n">
        <v>45997</v>
      </c>
      <c r="E493" t="n">
        <v>141.69</v>
      </c>
      <c r="F493" t="inlineStr">
        <is>
          <t>COD</t>
        </is>
      </c>
      <c r="G493" t="inlineStr">
        <is>
          <t>PAYFNCP9UCDFJ</t>
        </is>
      </c>
      <c r="H493" t="inlineStr">
        <is>
          <t>Success</t>
        </is>
      </c>
      <c r="I493" t="inlineStr">
        <is>
          <t>BNKBR3YWPK8HZLJ</t>
        </is>
      </c>
      <c r="J493" s="8" t="n">
        <v>46000</v>
      </c>
    </row>
    <row r="494">
      <c r="A494" t="inlineStr">
        <is>
          <t>PAY0013073</t>
        </is>
      </c>
      <c r="B494" t="inlineStr">
        <is>
          <t>INV0007309</t>
        </is>
      </c>
      <c r="C494" t="inlineStr">
        <is>
          <t>MER00346</t>
        </is>
      </c>
      <c r="D494" s="8" t="n">
        <v>46051</v>
      </c>
      <c r="E494" t="n">
        <v>470.63</v>
      </c>
      <c r="F494" t="inlineStr">
        <is>
          <t>Card</t>
        </is>
      </c>
      <c r="G494" t="inlineStr">
        <is>
          <t>PAYT3LSWFQUW7</t>
        </is>
      </c>
      <c r="H494" t="inlineStr">
        <is>
          <t>Failed</t>
        </is>
      </c>
      <c r="I494" t="inlineStr">
        <is>
          <t>BNKU23N53DPZ64D</t>
        </is>
      </c>
      <c r="J494" s="8" t="n"/>
    </row>
    <row r="495">
      <c r="A495" t="inlineStr">
        <is>
          <t>PAY0013074</t>
        </is>
      </c>
      <c r="B495" t="inlineStr">
        <is>
          <t>INV0007310</t>
        </is>
      </c>
      <c r="C495" t="inlineStr">
        <is>
          <t>MER00346</t>
        </is>
      </c>
      <c r="D495" s="8" t="n">
        <v>46041</v>
      </c>
      <c r="E495" t="n">
        <v>205.4</v>
      </c>
      <c r="F495" t="inlineStr">
        <is>
          <t>Card</t>
        </is>
      </c>
      <c r="G495" t="inlineStr">
        <is>
          <t>PAYX2Y3CLEZ9U</t>
        </is>
      </c>
      <c r="H495" t="inlineStr">
        <is>
          <t>Success</t>
        </is>
      </c>
      <c r="I495" t="inlineStr">
        <is>
          <t>BNK7K4VAJXTJPP5</t>
        </is>
      </c>
      <c r="J495" s="8" t="n">
        <v>46042</v>
      </c>
    </row>
    <row r="496">
      <c r="A496" t="inlineStr">
        <is>
          <t>PAY0013075</t>
        </is>
      </c>
      <c r="B496" t="inlineStr">
        <is>
          <t>INV0007312</t>
        </is>
      </c>
      <c r="C496" t="inlineStr">
        <is>
          <t>MER00346</t>
        </is>
      </c>
      <c r="D496" s="8" t="n">
        <v>46116</v>
      </c>
      <c r="E496" t="n">
        <v>229.89</v>
      </c>
      <c r="F496" t="inlineStr">
        <is>
          <t>Card</t>
        </is>
      </c>
      <c r="G496" t="inlineStr">
        <is>
          <t>PAY95LDNSJGN8</t>
        </is>
      </c>
      <c r="H496" t="inlineStr">
        <is>
          <t>Success</t>
        </is>
      </c>
      <c r="I496" t="inlineStr">
        <is>
          <t>BNKJB8BTBRN2Q7D</t>
        </is>
      </c>
      <c r="J496" s="8" t="n">
        <v>46117</v>
      </c>
    </row>
    <row r="497">
      <c r="A497" t="inlineStr">
        <is>
          <t>PAY0013076</t>
        </is>
      </c>
      <c r="B497" t="inlineStr">
        <is>
          <t>INV0007313</t>
        </is>
      </c>
      <c r="C497" t="inlineStr">
        <is>
          <t>MER00346</t>
        </is>
      </c>
      <c r="D497" s="8" t="n">
        <v>46157</v>
      </c>
      <c r="E497" t="n">
        <v>245.27</v>
      </c>
      <c r="F497" t="inlineStr">
        <is>
          <t>Card</t>
        </is>
      </c>
      <c r="G497" t="inlineStr">
        <is>
          <t>PAY7BDADMJFLE</t>
        </is>
      </c>
      <c r="H497" t="inlineStr">
        <is>
          <t>Success</t>
        </is>
      </c>
      <c r="I497" t="inlineStr">
        <is>
          <t>BNKJPHWS6FRXWUN</t>
        </is>
      </c>
      <c r="J497" s="8" t="n">
        <v>46160</v>
      </c>
    </row>
    <row r="498">
      <c r="A498" t="inlineStr">
        <is>
          <t>PAY0013077</t>
        </is>
      </c>
      <c r="B498" t="inlineStr">
        <is>
          <t>INV0007314</t>
        </is>
      </c>
      <c r="C498" t="inlineStr">
        <is>
          <t>MER00346</t>
        </is>
      </c>
      <c r="D498" s="8" t="n">
        <v>46173</v>
      </c>
      <c r="E498" t="n">
        <v>266.92</v>
      </c>
      <c r="F498" t="inlineStr">
        <is>
          <t>UPI</t>
        </is>
      </c>
      <c r="G498" t="inlineStr">
        <is>
          <t>PAYGYFVJYUVNX</t>
        </is>
      </c>
      <c r="H498" t="inlineStr">
        <is>
          <t>Success</t>
        </is>
      </c>
      <c r="I498" t="inlineStr">
        <is>
          <t>BNKBJGCY2F435Q4</t>
        </is>
      </c>
      <c r="J498" s="8" t="n">
        <v>46174</v>
      </c>
    </row>
    <row r="499">
      <c r="A499" t="inlineStr">
        <is>
          <t>PAY0013078</t>
        </is>
      </c>
      <c r="B499" t="inlineStr">
        <is>
          <t>INV0007317</t>
        </is>
      </c>
      <c r="C499" t="inlineStr">
        <is>
          <t>MER00346</t>
        </is>
      </c>
      <c r="D499" s="8" t="n">
        <v>46274</v>
      </c>
      <c r="E499" t="n">
        <v>555.65</v>
      </c>
      <c r="F499" t="inlineStr">
        <is>
          <t>Card</t>
        </is>
      </c>
      <c r="G499" t="inlineStr">
        <is>
          <t>PAY5WZBQ8HGXA</t>
        </is>
      </c>
      <c r="H499" t="inlineStr">
        <is>
          <t>Success</t>
        </is>
      </c>
      <c r="I499" t="inlineStr">
        <is>
          <t>BNKT94T2JMVYZRU</t>
        </is>
      </c>
      <c r="J499" s="8" t="n">
        <v>46276</v>
      </c>
    </row>
    <row r="500">
      <c r="A500" t="inlineStr">
        <is>
          <t>PAY0013485</t>
        </is>
      </c>
      <c r="B500" t="inlineStr">
        <is>
          <t>INV0010152</t>
        </is>
      </c>
      <c r="C500" t="inlineStr">
        <is>
          <t>MER00480</t>
        </is>
      </c>
      <c r="D500" s="8" t="n">
        <v>45571</v>
      </c>
      <c r="E500" t="n">
        <v>2479.17</v>
      </c>
      <c r="F500" t="inlineStr">
        <is>
          <t>Card</t>
        </is>
      </c>
      <c r="G500" t="inlineStr">
        <is>
          <t>PAYVRS6276JUG</t>
        </is>
      </c>
      <c r="H500" t="inlineStr">
        <is>
          <t>Success</t>
        </is>
      </c>
      <c r="I500" t="inlineStr">
        <is>
          <t>BNK2XBV26ZTQKPQ</t>
        </is>
      </c>
      <c r="J500" s="8" t="n">
        <v>45574</v>
      </c>
    </row>
    <row r="501">
      <c r="A501" t="inlineStr">
        <is>
          <t>PAY0013486</t>
        </is>
      </c>
      <c r="B501" t="inlineStr">
        <is>
          <t>INV0010153</t>
        </is>
      </c>
      <c r="C501" t="inlineStr">
        <is>
          <t>MER00480</t>
        </is>
      </c>
      <c r="D501" s="8" t="n">
        <v>45603</v>
      </c>
      <c r="E501" t="n">
        <v>1471.94</v>
      </c>
      <c r="F501" t="inlineStr">
        <is>
          <t>UPI</t>
        </is>
      </c>
      <c r="G501" t="inlineStr">
        <is>
          <t>PAYFEQCLLDK48</t>
        </is>
      </c>
      <c r="H501" t="inlineStr">
        <is>
          <t>Success</t>
        </is>
      </c>
      <c r="I501" t="inlineStr">
        <is>
          <t>BNKZ5YRCFYDTXRL</t>
        </is>
      </c>
      <c r="J501" s="8" t="n">
        <v>45604</v>
      </c>
    </row>
    <row r="502">
      <c r="A502" t="inlineStr">
        <is>
          <t>PAY0013487</t>
        </is>
      </c>
      <c r="B502" t="inlineStr">
        <is>
          <t>INV0010154</t>
        </is>
      </c>
      <c r="C502" t="inlineStr">
        <is>
          <t>MER00480</t>
        </is>
      </c>
      <c r="D502" s="8" t="n">
        <v>45619</v>
      </c>
      <c r="E502" t="n">
        <v>2438.71</v>
      </c>
      <c r="F502" t="inlineStr">
        <is>
          <t>UPI</t>
        </is>
      </c>
      <c r="G502" t="inlineStr">
        <is>
          <t>PAYX5Z4VMSDR9</t>
        </is>
      </c>
      <c r="H502" t="inlineStr">
        <is>
          <t>Success</t>
        </is>
      </c>
      <c r="I502" t="inlineStr">
        <is>
          <t>BNKF3BLLYBSN984</t>
        </is>
      </c>
      <c r="J502" s="8" t="n">
        <v>45622</v>
      </c>
    </row>
    <row r="503">
      <c r="A503" t="inlineStr">
        <is>
          <t>PAY0013488</t>
        </is>
      </c>
      <c r="B503" t="inlineStr">
        <is>
          <t>INV0010155</t>
        </is>
      </c>
      <c r="C503" t="inlineStr">
        <is>
          <t>MER00480</t>
        </is>
      </c>
      <c r="D503" s="8" t="n">
        <v>45683</v>
      </c>
      <c r="E503" t="n">
        <v>4255.35</v>
      </c>
      <c r="F503" t="inlineStr">
        <is>
          <t>COD</t>
        </is>
      </c>
      <c r="G503" t="inlineStr">
        <is>
          <t>PAY3CA5FK9R5X</t>
        </is>
      </c>
      <c r="H503" t="inlineStr">
        <is>
          <t>Success</t>
        </is>
      </c>
      <c r="I503" t="inlineStr">
        <is>
          <t>BNKJ7429EEVXN4P</t>
        </is>
      </c>
      <c r="J503" s="8" t="n">
        <v>45686</v>
      </c>
    </row>
    <row r="504">
      <c r="A504" t="inlineStr">
        <is>
          <t>PAY0013489</t>
        </is>
      </c>
      <c r="B504" t="inlineStr">
        <is>
          <t>INV0010157</t>
        </is>
      </c>
      <c r="C504" t="inlineStr">
        <is>
          <t>MER00480</t>
        </is>
      </c>
      <c r="D504" s="8" t="n">
        <v>45745</v>
      </c>
      <c r="E504" t="n">
        <v>1834.5</v>
      </c>
      <c r="F504" t="inlineStr">
        <is>
          <t>UPI</t>
        </is>
      </c>
      <c r="G504" t="inlineStr">
        <is>
          <t>PAY3462CGVHY9</t>
        </is>
      </c>
      <c r="H504" t="inlineStr">
        <is>
          <t>Success</t>
        </is>
      </c>
      <c r="I504" t="inlineStr">
        <is>
          <t>BNKAXPU9RAM5GLD</t>
        </is>
      </c>
      <c r="J504" s="8" t="n">
        <v>45748</v>
      </c>
    </row>
    <row r="505">
      <c r="A505" t="inlineStr">
        <is>
          <t>PAY0013490</t>
        </is>
      </c>
      <c r="B505" t="inlineStr">
        <is>
          <t>INV0010159</t>
        </is>
      </c>
      <c r="C505" t="inlineStr">
        <is>
          <t>MER00480</t>
        </is>
      </c>
      <c r="D505" s="8" t="n">
        <v>45793</v>
      </c>
      <c r="E505" t="n">
        <v>3169.24</v>
      </c>
      <c r="F505" t="inlineStr">
        <is>
          <t>UPI</t>
        </is>
      </c>
      <c r="G505" t="inlineStr">
        <is>
          <t>PAYYLA4WVRKLV</t>
        </is>
      </c>
      <c r="H505" t="inlineStr">
        <is>
          <t>Success</t>
        </is>
      </c>
      <c r="I505" t="inlineStr">
        <is>
          <t>BNKW6T77BY6C7A3</t>
        </is>
      </c>
      <c r="J505" s="8" t="n">
        <v>45796</v>
      </c>
    </row>
    <row r="506">
      <c r="A506" t="inlineStr">
        <is>
          <t>PAY0013491</t>
        </is>
      </c>
      <c r="B506" t="inlineStr">
        <is>
          <t>INV0010160</t>
        </is>
      </c>
      <c r="C506" t="inlineStr">
        <is>
          <t>MER00480</t>
        </is>
      </c>
      <c r="D506" s="8" t="n">
        <v>45819</v>
      </c>
      <c r="E506" t="n">
        <v>2190.14</v>
      </c>
      <c r="F506" t="inlineStr">
        <is>
          <t>UPI</t>
        </is>
      </c>
      <c r="G506" t="inlineStr">
        <is>
          <t>PAYJTP9TTWF8U</t>
        </is>
      </c>
      <c r="H506" t="inlineStr">
        <is>
          <t>Success</t>
        </is>
      </c>
      <c r="I506" t="inlineStr">
        <is>
          <t>BNKZ6HPR94ADKZT</t>
        </is>
      </c>
      <c r="J506" s="8" t="n">
        <v>45820</v>
      </c>
    </row>
    <row r="507">
      <c r="A507" t="inlineStr">
        <is>
          <t>PAY0013492</t>
        </is>
      </c>
      <c r="B507" t="inlineStr">
        <is>
          <t>INV0010164</t>
        </is>
      </c>
      <c r="C507" t="inlineStr">
        <is>
          <t>MER00480</t>
        </is>
      </c>
      <c r="D507" s="8" t="n">
        <v>45944</v>
      </c>
      <c r="E507" t="n">
        <v>1998.81</v>
      </c>
      <c r="F507" t="inlineStr">
        <is>
          <t>Card</t>
        </is>
      </c>
      <c r="G507" t="inlineStr">
        <is>
          <t>PAY5ECPKSASN6</t>
        </is>
      </c>
      <c r="H507" t="inlineStr">
        <is>
          <t>Success</t>
        </is>
      </c>
      <c r="I507" t="inlineStr">
        <is>
          <t>BNKWPTJUMSG6GFZ</t>
        </is>
      </c>
      <c r="J507" s="8" t="n">
        <v>45945</v>
      </c>
    </row>
    <row r="508">
      <c r="A508" t="inlineStr">
        <is>
          <t>PAY0013493</t>
        </is>
      </c>
      <c r="B508" t="inlineStr">
        <is>
          <t>INV0010165</t>
        </is>
      </c>
      <c r="C508" t="inlineStr">
        <is>
          <t>MER00480</t>
        </is>
      </c>
      <c r="D508" s="8" t="n">
        <v>45988</v>
      </c>
      <c r="E508" t="n">
        <v>1095.56</v>
      </c>
      <c r="F508" t="inlineStr">
        <is>
          <t>UPI</t>
        </is>
      </c>
      <c r="G508" t="inlineStr">
        <is>
          <t>PAYMQELZ9PM5C</t>
        </is>
      </c>
      <c r="H508" t="inlineStr">
        <is>
          <t>Success</t>
        </is>
      </c>
      <c r="I508" t="inlineStr">
        <is>
          <t>BNKCGU8W78WCYQS</t>
        </is>
      </c>
      <c r="J508" s="8" t="n">
        <v>45990</v>
      </c>
    </row>
    <row r="509">
      <c r="A509" t="inlineStr">
        <is>
          <t>PAY0013494</t>
        </is>
      </c>
      <c r="B509" t="inlineStr">
        <is>
          <t>INV0010166</t>
        </is>
      </c>
      <c r="C509" t="inlineStr">
        <is>
          <t>MER00480</t>
        </is>
      </c>
      <c r="D509" s="8" t="n">
        <v>46002</v>
      </c>
      <c r="E509" t="n">
        <v>2752.68</v>
      </c>
      <c r="F509" t="inlineStr">
        <is>
          <t>Card</t>
        </is>
      </c>
      <c r="G509" t="inlineStr">
        <is>
          <t>PAY3C3R4BTP3G</t>
        </is>
      </c>
      <c r="H509" t="inlineStr">
        <is>
          <t>Success</t>
        </is>
      </c>
      <c r="I509" t="inlineStr">
        <is>
          <t>BNKTWVVW7R2XZL7</t>
        </is>
      </c>
      <c r="J509" s="8" t="n">
        <v>46005</v>
      </c>
    </row>
    <row r="510">
      <c r="A510" t="inlineStr">
        <is>
          <t>PAY0013495</t>
        </is>
      </c>
      <c r="B510" t="inlineStr">
        <is>
          <t>INV0010167</t>
        </is>
      </c>
      <c r="C510" t="inlineStr">
        <is>
          <t>MER00480</t>
        </is>
      </c>
      <c r="D510" s="8" t="n">
        <v>46038</v>
      </c>
      <c r="E510" t="n">
        <v>3756.34</v>
      </c>
      <c r="F510" t="inlineStr">
        <is>
          <t>UPI</t>
        </is>
      </c>
      <c r="G510" t="inlineStr">
        <is>
          <t>PAYPEBAUQ7RNN</t>
        </is>
      </c>
      <c r="H510" t="inlineStr">
        <is>
          <t>Success</t>
        </is>
      </c>
      <c r="I510" t="inlineStr">
        <is>
          <t>BNK8QFKH7PJ5PYX</t>
        </is>
      </c>
      <c r="J510" s="8" t="n">
        <v>46040</v>
      </c>
    </row>
    <row r="511">
      <c r="A511" t="inlineStr">
        <is>
          <t>PAY0013496</t>
        </is>
      </c>
      <c r="B511" t="inlineStr">
        <is>
          <t>INV0010168</t>
        </is>
      </c>
      <c r="C511" t="inlineStr">
        <is>
          <t>MER00480</t>
        </is>
      </c>
      <c r="D511" s="8" t="n">
        <v>46067</v>
      </c>
      <c r="E511" t="n">
        <v>2103.1</v>
      </c>
      <c r="F511" t="inlineStr">
        <is>
          <t>Card</t>
        </is>
      </c>
      <c r="G511" t="inlineStr">
        <is>
          <t>PAYCGGWZAGNY6</t>
        </is>
      </c>
      <c r="H511" t="inlineStr">
        <is>
          <t>Success</t>
        </is>
      </c>
      <c r="I511" t="inlineStr">
        <is>
          <t>BNKFKB9XHYNPD5R</t>
        </is>
      </c>
      <c r="J511" s="8" t="n">
        <v>46069</v>
      </c>
    </row>
    <row r="512">
      <c r="A512" t="inlineStr">
        <is>
          <t>PAY0013497</t>
        </is>
      </c>
      <c r="B512" t="inlineStr">
        <is>
          <t>INV0010169</t>
        </is>
      </c>
      <c r="C512" t="inlineStr">
        <is>
          <t>MER00480</t>
        </is>
      </c>
      <c r="D512" s="8" t="n">
        <v>46100</v>
      </c>
      <c r="E512" t="n">
        <v>4831</v>
      </c>
      <c r="F512" t="inlineStr">
        <is>
          <t>Card</t>
        </is>
      </c>
      <c r="G512" t="inlineStr">
        <is>
          <t>PAYQW8VHP4UEE</t>
        </is>
      </c>
      <c r="H512" t="inlineStr">
        <is>
          <t>Success</t>
        </is>
      </c>
      <c r="I512" t="inlineStr">
        <is>
          <t>BNK5UF9UZEA96YC</t>
        </is>
      </c>
      <c r="J512" s="8" t="n">
        <v>46102</v>
      </c>
    </row>
    <row r="513">
      <c r="A513" t="inlineStr">
        <is>
          <t>PAY0013498</t>
        </is>
      </c>
      <c r="B513" t="inlineStr">
        <is>
          <t>INV0010171</t>
        </is>
      </c>
      <c r="C513" t="inlineStr">
        <is>
          <t>MER00480</t>
        </is>
      </c>
      <c r="D513" s="8" t="n">
        <v>46174</v>
      </c>
      <c r="E513" t="n">
        <v>1450.23</v>
      </c>
      <c r="F513" t="inlineStr">
        <is>
          <t>UPI</t>
        </is>
      </c>
      <c r="G513" t="inlineStr">
        <is>
          <t>PAYV9YCE6JBME</t>
        </is>
      </c>
      <c r="H513" t="inlineStr">
        <is>
          <t>Success</t>
        </is>
      </c>
      <c r="I513" t="inlineStr">
        <is>
          <t>BNKZUSF523XMB6A</t>
        </is>
      </c>
      <c r="J513" s="8" t="n">
        <v>46175</v>
      </c>
    </row>
    <row r="514">
      <c r="A514" t="inlineStr">
        <is>
          <t>PAY0013499</t>
        </is>
      </c>
      <c r="B514" t="inlineStr">
        <is>
          <t>INV0010173</t>
        </is>
      </c>
      <c r="C514" t="inlineStr">
        <is>
          <t>MER00480</t>
        </is>
      </c>
      <c r="D514" s="8" t="n">
        <v>46228</v>
      </c>
      <c r="E514" t="n">
        <v>2899.41</v>
      </c>
      <c r="F514" t="inlineStr">
        <is>
          <t>Card</t>
        </is>
      </c>
      <c r="G514" t="inlineStr">
        <is>
          <t>PAYATTM3QEKRH</t>
        </is>
      </c>
      <c r="H514" t="inlineStr">
        <is>
          <t>Success</t>
        </is>
      </c>
      <c r="I514" t="inlineStr">
        <is>
          <t>BNKWQL57AFC8KCR</t>
        </is>
      </c>
      <c r="J514" s="8" t="n">
        <v>46230</v>
      </c>
    </row>
    <row r="515">
      <c r="A515" t="inlineStr">
        <is>
          <t>PAY0013500</t>
        </is>
      </c>
      <c r="B515" t="inlineStr">
        <is>
          <t>INV0010174</t>
        </is>
      </c>
      <c r="C515" t="inlineStr">
        <is>
          <t>MER00480</t>
        </is>
      </c>
      <c r="D515" s="8" t="n">
        <v>46241</v>
      </c>
      <c r="E515" t="n">
        <v>2681.69</v>
      </c>
      <c r="F515" t="inlineStr">
        <is>
          <t>Card</t>
        </is>
      </c>
      <c r="G515" t="inlineStr">
        <is>
          <t>PAY9WKNHM8FKF</t>
        </is>
      </c>
      <c r="H515" t="inlineStr">
        <is>
          <t>Success</t>
        </is>
      </c>
      <c r="I515" t="inlineStr">
        <is>
          <t>BNK7KVXHT2KF3RV</t>
        </is>
      </c>
      <c r="J515" s="8" t="n">
        <v>46243</v>
      </c>
    </row>
    <row r="516">
      <c r="A516" t="inlineStr">
        <is>
          <t>PAY0013501</t>
        </is>
      </c>
      <c r="B516" t="inlineStr">
        <is>
          <t>INV0010175</t>
        </is>
      </c>
      <c r="C516" t="inlineStr">
        <is>
          <t>MER00480</t>
        </is>
      </c>
      <c r="D516" s="8" t="n">
        <v>46305</v>
      </c>
      <c r="E516" t="n">
        <v>2555.29</v>
      </c>
      <c r="F516" t="inlineStr">
        <is>
          <t>UPI</t>
        </is>
      </c>
      <c r="G516" t="inlineStr">
        <is>
          <t>PAYMMS5NXVQND</t>
        </is>
      </c>
      <c r="H516" t="inlineStr">
        <is>
          <t>Success</t>
        </is>
      </c>
      <c r="I516" t="inlineStr">
        <is>
          <t>BNKCUZDNDNJYLRH</t>
        </is>
      </c>
      <c r="J516" s="8" t="n">
        <v>46306</v>
      </c>
    </row>
    <row r="517">
      <c r="A517" t="inlineStr">
        <is>
          <t>PAY0014005</t>
        </is>
      </c>
      <c r="B517" t="inlineStr">
        <is>
          <t>INV0013743</t>
        </is>
      </c>
      <c r="C517" t="inlineStr">
        <is>
          <t>MER00649</t>
        </is>
      </c>
      <c r="D517" s="8" t="n">
        <v>45599</v>
      </c>
      <c r="E517" t="n">
        <v>1736.75</v>
      </c>
      <c r="F517" t="inlineStr">
        <is>
          <t>UPI</t>
        </is>
      </c>
      <c r="G517" t="inlineStr">
        <is>
          <t>PAY83UZMWAEEV</t>
        </is>
      </c>
      <c r="H517" t="inlineStr">
        <is>
          <t>Success</t>
        </is>
      </c>
      <c r="I517" t="inlineStr">
        <is>
          <t>BNKJN7GR2JU9PY8</t>
        </is>
      </c>
      <c r="J517" s="8" t="n">
        <v>45600</v>
      </c>
    </row>
    <row r="518">
      <c r="A518" t="inlineStr">
        <is>
          <t>PAY0014006</t>
        </is>
      </c>
      <c r="B518" t="inlineStr">
        <is>
          <t>INV0013744</t>
        </is>
      </c>
      <c r="C518" t="inlineStr">
        <is>
          <t>MER00649</t>
        </is>
      </c>
      <c r="D518" s="8" t="n">
        <v>45642</v>
      </c>
      <c r="E518" t="n">
        <v>1217.62</v>
      </c>
      <c r="F518" t="inlineStr">
        <is>
          <t>Card</t>
        </is>
      </c>
      <c r="G518" t="inlineStr">
        <is>
          <t>PAYACG29QPLMD</t>
        </is>
      </c>
      <c r="H518" t="inlineStr">
        <is>
          <t>Success</t>
        </is>
      </c>
      <c r="I518" t="inlineStr">
        <is>
          <t>BNK6YXELMLMPSRH</t>
        </is>
      </c>
      <c r="J518" s="8" t="n">
        <v>45643</v>
      </c>
    </row>
    <row r="519">
      <c r="A519" t="inlineStr">
        <is>
          <t>PAY0014007</t>
        </is>
      </c>
      <c r="B519" t="inlineStr">
        <is>
          <t>INV0013745</t>
        </is>
      </c>
      <c r="C519" t="inlineStr">
        <is>
          <t>MER00649</t>
        </is>
      </c>
      <c r="D519" s="8" t="n">
        <v>45677</v>
      </c>
      <c r="E519" t="n">
        <v>1956.76</v>
      </c>
      <c r="F519" t="inlineStr">
        <is>
          <t>UPI</t>
        </is>
      </c>
      <c r="G519" t="inlineStr">
        <is>
          <t>PAYQ873LSWX24</t>
        </is>
      </c>
      <c r="H519" t="inlineStr">
        <is>
          <t>Success</t>
        </is>
      </c>
      <c r="I519" t="inlineStr">
        <is>
          <t>BNKBS3HPQ5WH8L3</t>
        </is>
      </c>
      <c r="J519" s="8" t="n">
        <v>45679</v>
      </c>
    </row>
    <row r="520">
      <c r="A520" t="inlineStr">
        <is>
          <t>PAY0014008</t>
        </is>
      </c>
      <c r="B520" t="inlineStr">
        <is>
          <t>INV0013746</t>
        </is>
      </c>
      <c r="C520" t="inlineStr">
        <is>
          <t>MER00649</t>
        </is>
      </c>
      <c r="D520" s="8" t="n">
        <v>45715</v>
      </c>
      <c r="E520" t="n">
        <v>2224.85</v>
      </c>
      <c r="F520" t="inlineStr">
        <is>
          <t>NetBanking</t>
        </is>
      </c>
      <c r="G520" t="inlineStr">
        <is>
          <t>PAYETJRLZSXHL</t>
        </is>
      </c>
      <c r="H520" t="inlineStr">
        <is>
          <t>Success</t>
        </is>
      </c>
      <c r="I520" t="inlineStr">
        <is>
          <t>BNKLWJGVZ8YVS6W</t>
        </is>
      </c>
      <c r="J520" s="8" t="n">
        <v>45718</v>
      </c>
    </row>
    <row r="521">
      <c r="A521" t="inlineStr">
        <is>
          <t>PAY0014009</t>
        </is>
      </c>
      <c r="B521" t="inlineStr">
        <is>
          <t>INV0013747</t>
        </is>
      </c>
      <c r="C521" t="inlineStr">
        <is>
          <t>MER00649</t>
        </is>
      </c>
      <c r="D521" s="8" t="n">
        <v>45745</v>
      </c>
      <c r="E521" t="n">
        <v>1220.47</v>
      </c>
      <c r="F521" t="inlineStr">
        <is>
          <t>UPI</t>
        </is>
      </c>
      <c r="G521" t="inlineStr">
        <is>
          <t>PAYRSA35VW6P6</t>
        </is>
      </c>
      <c r="H521" t="inlineStr">
        <is>
          <t>Success</t>
        </is>
      </c>
      <c r="I521" t="inlineStr">
        <is>
          <t>BNKMRY4JVD97KY3</t>
        </is>
      </c>
      <c r="J521" s="8" t="n">
        <v>45748</v>
      </c>
    </row>
    <row r="522">
      <c r="A522" t="inlineStr">
        <is>
          <t>PAY0014010</t>
        </is>
      </c>
      <c r="B522" t="inlineStr">
        <is>
          <t>INV0013748</t>
        </is>
      </c>
      <c r="C522" t="inlineStr">
        <is>
          <t>MER00649</t>
        </is>
      </c>
      <c r="D522" s="8" t="n">
        <v>45752</v>
      </c>
      <c r="E522" t="n">
        <v>1888.09</v>
      </c>
      <c r="F522" t="inlineStr">
        <is>
          <t>UPI</t>
        </is>
      </c>
      <c r="G522" t="inlineStr">
        <is>
          <t>PAYABLL4YCRP2</t>
        </is>
      </c>
      <c r="H522" t="inlineStr">
        <is>
          <t>Success</t>
        </is>
      </c>
      <c r="I522" t="inlineStr">
        <is>
          <t>BNK5U7PFXNNL2NB</t>
        </is>
      </c>
      <c r="J522" s="8" t="n">
        <v>45753</v>
      </c>
    </row>
    <row r="523">
      <c r="A523" t="inlineStr">
        <is>
          <t>PAY0014011</t>
        </is>
      </c>
      <c r="B523" t="inlineStr">
        <is>
          <t>INV0013749</t>
        </is>
      </c>
      <c r="C523" t="inlineStr">
        <is>
          <t>MER00649</t>
        </is>
      </c>
      <c r="D523" s="8" t="n">
        <v>45791</v>
      </c>
      <c r="E523" t="n">
        <v>2125.43</v>
      </c>
      <c r="F523" t="inlineStr">
        <is>
          <t>UPI</t>
        </is>
      </c>
      <c r="G523" t="inlineStr">
        <is>
          <t>PAYX77MS8PABN</t>
        </is>
      </c>
      <c r="H523" t="inlineStr">
        <is>
          <t>Success</t>
        </is>
      </c>
      <c r="I523" t="inlineStr">
        <is>
          <t>BNKNNQSMN44H2DG</t>
        </is>
      </c>
      <c r="J523" s="8" t="n">
        <v>45792</v>
      </c>
    </row>
    <row r="524">
      <c r="A524" t="inlineStr">
        <is>
          <t>PAY0014012</t>
        </is>
      </c>
      <c r="B524" t="inlineStr">
        <is>
          <t>INV0013752</t>
        </is>
      </c>
      <c r="C524" t="inlineStr">
        <is>
          <t>MER00649</t>
        </is>
      </c>
      <c r="D524" s="8" t="n">
        <v>45902</v>
      </c>
      <c r="E524" t="n">
        <v>1527.01</v>
      </c>
      <c r="F524" t="inlineStr">
        <is>
          <t>UPI</t>
        </is>
      </c>
      <c r="G524" t="inlineStr">
        <is>
          <t>PAYSTAFN4JAAD</t>
        </is>
      </c>
      <c r="H524" t="inlineStr">
        <is>
          <t>Success</t>
        </is>
      </c>
      <c r="I524" t="inlineStr">
        <is>
          <t>BNKD9JVBJ3E357N</t>
        </is>
      </c>
      <c r="J524" s="8" t="n">
        <v>45905</v>
      </c>
    </row>
    <row r="525">
      <c r="A525" t="inlineStr">
        <is>
          <t>PAY0014013</t>
        </is>
      </c>
      <c r="B525" t="inlineStr">
        <is>
          <t>INV0013754</t>
        </is>
      </c>
      <c r="C525" t="inlineStr">
        <is>
          <t>MER00649</t>
        </is>
      </c>
      <c r="D525" s="8" t="n">
        <v>45964</v>
      </c>
      <c r="E525" t="n">
        <v>1692.32</v>
      </c>
      <c r="F525" t="inlineStr">
        <is>
          <t>UPI</t>
        </is>
      </c>
      <c r="G525" t="inlineStr">
        <is>
          <t>PAYZUEUSVCTB4</t>
        </is>
      </c>
      <c r="H525" t="inlineStr">
        <is>
          <t>Success</t>
        </is>
      </c>
      <c r="I525" t="inlineStr">
        <is>
          <t>BNKG4LTL7LWZLCN</t>
        </is>
      </c>
      <c r="J525" s="8" t="n">
        <v>45966</v>
      </c>
    </row>
    <row r="526">
      <c r="A526" t="inlineStr">
        <is>
          <t>PAY0014014</t>
        </is>
      </c>
      <c r="B526" t="inlineStr">
        <is>
          <t>INV0013755</t>
        </is>
      </c>
      <c r="C526" t="inlineStr">
        <is>
          <t>MER00649</t>
        </is>
      </c>
      <c r="D526" s="8" t="n">
        <v>45985</v>
      </c>
      <c r="E526" t="n">
        <v>1837.63</v>
      </c>
      <c r="F526" t="inlineStr">
        <is>
          <t>Wallet</t>
        </is>
      </c>
      <c r="G526" t="inlineStr">
        <is>
          <t>PAYGMN2H8LPQH</t>
        </is>
      </c>
      <c r="H526" t="inlineStr">
        <is>
          <t>Success</t>
        </is>
      </c>
      <c r="I526" t="inlineStr">
        <is>
          <t>BNKDX8X2EKWS2TB</t>
        </is>
      </c>
      <c r="J526" s="8" t="n">
        <v>45987</v>
      </c>
    </row>
    <row r="527">
      <c r="A527" t="inlineStr">
        <is>
          <t>PAY0014015</t>
        </is>
      </c>
      <c r="B527" t="inlineStr">
        <is>
          <t>INV0013756</t>
        </is>
      </c>
      <c r="C527" t="inlineStr">
        <is>
          <t>MER00649</t>
        </is>
      </c>
      <c r="D527" s="8" t="n">
        <v>46019</v>
      </c>
      <c r="E527" t="n">
        <v>1705.3</v>
      </c>
      <c r="F527" t="inlineStr">
        <is>
          <t>UPI</t>
        </is>
      </c>
      <c r="G527" t="inlineStr">
        <is>
          <t>PAY8SAAA5AL26</t>
        </is>
      </c>
      <c r="H527" t="inlineStr">
        <is>
          <t>Success</t>
        </is>
      </c>
      <c r="I527" t="inlineStr">
        <is>
          <t>BNK63F5JN468VAP</t>
        </is>
      </c>
      <c r="J527" s="8" t="n">
        <v>46021</v>
      </c>
    </row>
    <row r="528">
      <c r="A528" t="inlineStr">
        <is>
          <t>PAY0014016</t>
        </is>
      </c>
      <c r="B528" t="inlineStr">
        <is>
          <t>INV0013757</t>
        </is>
      </c>
      <c r="C528" t="inlineStr">
        <is>
          <t>MER00649</t>
        </is>
      </c>
      <c r="D528" s="8" t="n">
        <v>46038</v>
      </c>
      <c r="E528" t="n">
        <v>2722.19</v>
      </c>
      <c r="F528" t="inlineStr">
        <is>
          <t>Card</t>
        </is>
      </c>
      <c r="G528" t="inlineStr">
        <is>
          <t>PAYRL9ADAMH5U</t>
        </is>
      </c>
      <c r="H528" t="inlineStr">
        <is>
          <t>Success</t>
        </is>
      </c>
      <c r="I528" t="inlineStr">
        <is>
          <t>BNKXPK5M46KACLK</t>
        </is>
      </c>
      <c r="J528" s="8" t="n">
        <v>46040</v>
      </c>
    </row>
    <row r="529">
      <c r="A529" t="inlineStr">
        <is>
          <t>PAY0014017</t>
        </is>
      </c>
      <c r="B529" t="inlineStr">
        <is>
          <t>INV0013759</t>
        </is>
      </c>
      <c r="C529" t="inlineStr">
        <is>
          <t>MER00649</t>
        </is>
      </c>
      <c r="D529" s="8" t="n">
        <v>46122</v>
      </c>
      <c r="E529" t="n">
        <v>2416.19</v>
      </c>
      <c r="F529" t="inlineStr">
        <is>
          <t>Wallet</t>
        </is>
      </c>
      <c r="G529" t="inlineStr">
        <is>
          <t>PAYLGTSFE7NSV</t>
        </is>
      </c>
      <c r="H529" t="inlineStr">
        <is>
          <t>Success</t>
        </is>
      </c>
      <c r="I529" t="inlineStr">
        <is>
          <t>BNKJ2W8F3KECX9F</t>
        </is>
      </c>
      <c r="J529" s="8" t="n">
        <v>46123</v>
      </c>
    </row>
    <row r="530">
      <c r="A530" t="inlineStr">
        <is>
          <t>PAY0014018</t>
        </is>
      </c>
      <c r="B530" t="inlineStr">
        <is>
          <t>INV0013760</t>
        </is>
      </c>
      <c r="C530" t="inlineStr">
        <is>
          <t>MER00649</t>
        </is>
      </c>
      <c r="D530" s="8" t="n">
        <v>46120</v>
      </c>
      <c r="E530" t="n">
        <v>2556.2</v>
      </c>
      <c r="F530" t="inlineStr">
        <is>
          <t>UPI</t>
        </is>
      </c>
      <c r="G530" t="inlineStr">
        <is>
          <t>PAYWC5EZYSZX4</t>
        </is>
      </c>
      <c r="H530" t="inlineStr">
        <is>
          <t>Success</t>
        </is>
      </c>
      <c r="I530" t="inlineStr">
        <is>
          <t>BNKFQRRC88MPFNG</t>
        </is>
      </c>
      <c r="J530" s="8" t="n">
        <v>46121</v>
      </c>
    </row>
    <row r="531">
      <c r="A531" t="inlineStr">
        <is>
          <t>PAY0014019</t>
        </is>
      </c>
      <c r="B531" t="inlineStr">
        <is>
          <t>INV0013763</t>
        </is>
      </c>
      <c r="C531" t="inlineStr">
        <is>
          <t>MER00649</t>
        </is>
      </c>
      <c r="D531" s="8" t="n">
        <v>46221</v>
      </c>
      <c r="E531" t="n">
        <v>1998.05</v>
      </c>
      <c r="F531" t="inlineStr">
        <is>
          <t>Card</t>
        </is>
      </c>
      <c r="G531" t="inlineStr">
        <is>
          <t>PAYWRCHXH8Q7J</t>
        </is>
      </c>
      <c r="H531" t="inlineStr">
        <is>
          <t>Success</t>
        </is>
      </c>
      <c r="I531" t="inlineStr">
        <is>
          <t>BNKSC7XQM6W77VT</t>
        </is>
      </c>
      <c r="J531" s="8" t="n">
        <v>46222</v>
      </c>
    </row>
    <row r="532">
      <c r="A532" t="inlineStr">
        <is>
          <t>PAY0014020</t>
        </is>
      </c>
      <c r="B532" t="inlineStr">
        <is>
          <t>INV0013764</t>
        </is>
      </c>
      <c r="C532" t="inlineStr">
        <is>
          <t>MER00649</t>
        </is>
      </c>
      <c r="D532" s="8" t="n">
        <v>46243</v>
      </c>
      <c r="E532" t="n">
        <v>1663.8</v>
      </c>
      <c r="F532" t="inlineStr">
        <is>
          <t>UPI</t>
        </is>
      </c>
      <c r="G532" t="inlineStr">
        <is>
          <t>PAYN7UAVWME8R</t>
        </is>
      </c>
      <c r="H532" t="inlineStr">
        <is>
          <t>Success</t>
        </is>
      </c>
      <c r="I532" t="inlineStr">
        <is>
          <t>BNKWVPMQGPHSBJ5</t>
        </is>
      </c>
      <c r="J532" s="8" t="n">
        <v>46244</v>
      </c>
    </row>
    <row r="533">
      <c r="A533" t="inlineStr">
        <is>
          <t>PAY0014021</t>
        </is>
      </c>
      <c r="B533" t="inlineStr">
        <is>
          <t>INV0013765</t>
        </is>
      </c>
      <c r="C533" t="inlineStr">
        <is>
          <t>MER00649</t>
        </is>
      </c>
      <c r="D533" s="8" t="n">
        <v>46265</v>
      </c>
      <c r="E533" t="n">
        <v>2095.33</v>
      </c>
      <c r="F533" t="inlineStr">
        <is>
          <t>UPI</t>
        </is>
      </c>
      <c r="G533" t="inlineStr">
        <is>
          <t>PAYLTGXL5P9VC</t>
        </is>
      </c>
      <c r="H533" t="inlineStr">
        <is>
          <t>Success</t>
        </is>
      </c>
      <c r="I533" t="inlineStr">
        <is>
          <t>BNK3U9CBNK7MG3Z</t>
        </is>
      </c>
      <c r="J533" s="8" t="n">
        <v>46267</v>
      </c>
    </row>
    <row r="534">
      <c r="A534" t="inlineStr">
        <is>
          <t>PAY0014095</t>
        </is>
      </c>
      <c r="B534" t="inlineStr">
        <is>
          <t>INV0014036</t>
        </is>
      </c>
      <c r="C534" t="inlineStr">
        <is>
          <t>MER00662</t>
        </is>
      </c>
      <c r="D534" s="8" t="n">
        <v>45586</v>
      </c>
      <c r="E534" t="n">
        <v>719.75</v>
      </c>
      <c r="F534" t="inlineStr">
        <is>
          <t>Card</t>
        </is>
      </c>
      <c r="G534" t="inlineStr">
        <is>
          <t>PAY5N95JTQG6Z</t>
        </is>
      </c>
      <c r="H534" t="inlineStr">
        <is>
          <t>Success</t>
        </is>
      </c>
      <c r="I534" t="inlineStr">
        <is>
          <t>BNKBUJGZTZG8MT7</t>
        </is>
      </c>
      <c r="J534" s="8" t="n">
        <v>45588</v>
      </c>
    </row>
    <row r="535">
      <c r="A535" t="inlineStr">
        <is>
          <t>PAY0014096</t>
        </is>
      </c>
      <c r="B535" t="inlineStr">
        <is>
          <t>INV0014037</t>
        </is>
      </c>
      <c r="C535" t="inlineStr">
        <is>
          <t>MER00662</t>
        </is>
      </c>
      <c r="D535" s="8" t="n">
        <v>45635</v>
      </c>
      <c r="E535" t="n">
        <v>453.32</v>
      </c>
      <c r="F535" t="inlineStr">
        <is>
          <t>Card</t>
        </is>
      </c>
      <c r="G535" t="inlineStr">
        <is>
          <t>PAY6LR84AB5AY</t>
        </is>
      </c>
      <c r="H535" t="inlineStr">
        <is>
          <t>Success</t>
        </is>
      </c>
      <c r="I535" t="inlineStr">
        <is>
          <t>BNKFUU8EYELFJ6Y</t>
        </is>
      </c>
      <c r="J535" s="8" t="n">
        <v>45636</v>
      </c>
    </row>
    <row r="536">
      <c r="A536" t="inlineStr">
        <is>
          <t>PAY0014097</t>
        </is>
      </c>
      <c r="B536" t="inlineStr">
        <is>
          <t>INV0014038</t>
        </is>
      </c>
      <c r="C536" t="inlineStr">
        <is>
          <t>MER00662</t>
        </is>
      </c>
      <c r="D536" s="8" t="n">
        <v>45669</v>
      </c>
      <c r="E536" t="n">
        <v>777.87</v>
      </c>
      <c r="F536" t="inlineStr">
        <is>
          <t>UPI</t>
        </is>
      </c>
      <c r="G536" t="inlineStr">
        <is>
          <t>PAYF9ZRQHM9MG</t>
        </is>
      </c>
      <c r="H536" t="inlineStr">
        <is>
          <t>Success</t>
        </is>
      </c>
      <c r="I536" t="inlineStr">
        <is>
          <t>BNK5ZCRQQ3GK5GR</t>
        </is>
      </c>
      <c r="J536" s="8" t="n">
        <v>45670</v>
      </c>
    </row>
    <row r="537">
      <c r="A537" t="inlineStr">
        <is>
          <t>PAY0014098</t>
        </is>
      </c>
      <c r="B537" t="inlineStr">
        <is>
          <t>INV0014040</t>
        </is>
      </c>
      <c r="C537" t="inlineStr">
        <is>
          <t>MER00662</t>
        </is>
      </c>
      <c r="D537" s="8" t="n">
        <v>45715</v>
      </c>
      <c r="E537" t="n">
        <v>1077.12</v>
      </c>
      <c r="F537" t="inlineStr">
        <is>
          <t>UPI</t>
        </is>
      </c>
      <c r="G537" t="inlineStr">
        <is>
          <t>PAYB86L7K4537</t>
        </is>
      </c>
      <c r="H537" t="inlineStr">
        <is>
          <t>Success</t>
        </is>
      </c>
      <c r="I537" t="inlineStr">
        <is>
          <t>BNK7H99DR2R85FK</t>
        </is>
      </c>
      <c r="J537" s="8" t="n">
        <v>45718</v>
      </c>
    </row>
    <row r="538">
      <c r="A538" t="inlineStr">
        <is>
          <t>PAY0014099</t>
        </is>
      </c>
      <c r="B538" t="inlineStr">
        <is>
          <t>INV0014041</t>
        </is>
      </c>
      <c r="C538" t="inlineStr">
        <is>
          <t>MER00662</t>
        </is>
      </c>
      <c r="D538" s="8" t="n">
        <v>45750</v>
      </c>
      <c r="E538" t="n">
        <v>1297.45</v>
      </c>
      <c r="F538" t="inlineStr">
        <is>
          <t>Card</t>
        </is>
      </c>
      <c r="G538" t="inlineStr">
        <is>
          <t>PAY2TPAJFDQV5</t>
        </is>
      </c>
      <c r="H538" t="inlineStr">
        <is>
          <t>Success</t>
        </is>
      </c>
      <c r="I538" t="inlineStr">
        <is>
          <t>BNKR8NCRCGUW9MD</t>
        </is>
      </c>
      <c r="J538" s="8" t="n">
        <v>45753</v>
      </c>
    </row>
    <row r="539">
      <c r="A539" t="inlineStr">
        <is>
          <t>PAY0014100</t>
        </is>
      </c>
      <c r="B539" t="inlineStr">
        <is>
          <t>INV0014042</t>
        </is>
      </c>
      <c r="C539" t="inlineStr">
        <is>
          <t>MER00662</t>
        </is>
      </c>
      <c r="D539" s="8" t="n">
        <v>45788</v>
      </c>
      <c r="E539" t="n">
        <v>848.3099999999999</v>
      </c>
      <c r="F539" t="inlineStr">
        <is>
          <t>Wallet</t>
        </is>
      </c>
      <c r="G539" t="inlineStr">
        <is>
          <t>PAYDVN4Q2T937</t>
        </is>
      </c>
      <c r="H539" t="inlineStr">
        <is>
          <t>Success</t>
        </is>
      </c>
      <c r="I539" t="inlineStr">
        <is>
          <t>BNKL94HWYCSHXZ7</t>
        </is>
      </c>
      <c r="J539" s="8" t="n">
        <v>45791</v>
      </c>
    </row>
    <row r="540">
      <c r="A540" t="inlineStr">
        <is>
          <t>PAY0014101</t>
        </is>
      </c>
      <c r="B540" t="inlineStr">
        <is>
          <t>INV0014045</t>
        </is>
      </c>
      <c r="C540" t="inlineStr">
        <is>
          <t>MER00662</t>
        </is>
      </c>
      <c r="D540" s="8" t="n">
        <v>45882</v>
      </c>
      <c r="E540" t="n">
        <v>834.9299999999999</v>
      </c>
      <c r="F540" t="inlineStr">
        <is>
          <t>UPI</t>
        </is>
      </c>
      <c r="G540" t="inlineStr">
        <is>
          <t>PAYD6HXFF8C5B</t>
        </is>
      </c>
      <c r="H540" t="inlineStr">
        <is>
          <t>Success</t>
        </is>
      </c>
      <c r="I540" t="inlineStr">
        <is>
          <t>BNK2ZSZA4TL7K4E</t>
        </is>
      </c>
      <c r="J540" s="8" t="n">
        <v>45883</v>
      </c>
    </row>
    <row r="541">
      <c r="A541" t="inlineStr">
        <is>
          <t>PAY0014102</t>
        </is>
      </c>
      <c r="B541" t="inlineStr">
        <is>
          <t>INV0014047</t>
        </is>
      </c>
      <c r="C541" t="inlineStr">
        <is>
          <t>MER00662</t>
        </is>
      </c>
      <c r="D541" s="8" t="n">
        <v>45943</v>
      </c>
      <c r="E541" t="n">
        <v>975.01</v>
      </c>
      <c r="F541" t="inlineStr">
        <is>
          <t>UPI</t>
        </is>
      </c>
      <c r="G541" t="inlineStr">
        <is>
          <t>PAY4UCLVZSK3G</t>
        </is>
      </c>
      <c r="H541" t="inlineStr">
        <is>
          <t>Success</t>
        </is>
      </c>
      <c r="I541" t="inlineStr">
        <is>
          <t>BNKUCQ3LQL94XQG</t>
        </is>
      </c>
      <c r="J541" s="8" t="n">
        <v>45946</v>
      </c>
    </row>
    <row r="542">
      <c r="A542" t="inlineStr">
        <is>
          <t>PAY0014103</t>
        </is>
      </c>
      <c r="B542" t="inlineStr">
        <is>
          <t>INV0014049</t>
        </is>
      </c>
      <c r="C542" t="inlineStr">
        <is>
          <t>MER00662</t>
        </is>
      </c>
      <c r="D542" s="8" t="n">
        <v>45989</v>
      </c>
      <c r="E542" t="n">
        <v>808.83</v>
      </c>
      <c r="F542" t="inlineStr">
        <is>
          <t>Card</t>
        </is>
      </c>
      <c r="G542" t="inlineStr">
        <is>
          <t>PAYRY3EVT2YFJ</t>
        </is>
      </c>
      <c r="H542" t="inlineStr">
        <is>
          <t>Success</t>
        </is>
      </c>
      <c r="I542" t="inlineStr">
        <is>
          <t>BNKJRY7B9FJQKKJ</t>
        </is>
      </c>
      <c r="J542" s="8" t="n">
        <v>45991</v>
      </c>
    </row>
    <row r="543">
      <c r="A543" t="inlineStr">
        <is>
          <t>PAY0014104</t>
        </is>
      </c>
      <c r="B543" t="inlineStr">
        <is>
          <t>INV0014050</t>
        </is>
      </c>
      <c r="C543" t="inlineStr">
        <is>
          <t>MER00662</t>
        </is>
      </c>
      <c r="D543" s="8" t="n">
        <v>46027</v>
      </c>
      <c r="E543" t="n">
        <v>1499.38</v>
      </c>
      <c r="F543" t="inlineStr">
        <is>
          <t>UPI</t>
        </is>
      </c>
      <c r="G543" t="inlineStr">
        <is>
          <t>PAYXL42R4676E</t>
        </is>
      </c>
      <c r="H543" t="inlineStr">
        <is>
          <t>Success</t>
        </is>
      </c>
      <c r="I543" t="inlineStr">
        <is>
          <t>BNKZ2HKSP2HKRZK</t>
        </is>
      </c>
      <c r="J543" s="8" t="n">
        <v>46030</v>
      </c>
    </row>
    <row r="544">
      <c r="A544" t="inlineStr">
        <is>
          <t>PAY0014105</t>
        </is>
      </c>
      <c r="B544" t="inlineStr">
        <is>
          <t>INV0014052</t>
        </is>
      </c>
      <c r="C544" t="inlineStr">
        <is>
          <t>MER00662</t>
        </is>
      </c>
      <c r="D544" s="8" t="n">
        <v>46087</v>
      </c>
      <c r="E544" t="n">
        <v>1196.57</v>
      </c>
      <c r="F544" t="inlineStr">
        <is>
          <t>UPI</t>
        </is>
      </c>
      <c r="G544" t="inlineStr">
        <is>
          <t>PAYT5V5SHSJG2</t>
        </is>
      </c>
      <c r="H544" t="inlineStr">
        <is>
          <t>Success</t>
        </is>
      </c>
      <c r="I544" t="inlineStr">
        <is>
          <t>BNKJW57SCCKWQ8Z</t>
        </is>
      </c>
      <c r="J544" s="8" t="n">
        <v>46088</v>
      </c>
    </row>
    <row r="545">
      <c r="A545" t="inlineStr">
        <is>
          <t>PAY0014106</t>
        </is>
      </c>
      <c r="B545" t="inlineStr">
        <is>
          <t>INV0014054</t>
        </is>
      </c>
      <c r="C545" t="inlineStr">
        <is>
          <t>MER00662</t>
        </is>
      </c>
      <c r="D545" s="8" t="n">
        <v>46160</v>
      </c>
      <c r="E545" t="n">
        <v>740.6</v>
      </c>
      <c r="F545" t="inlineStr">
        <is>
          <t>COD</t>
        </is>
      </c>
      <c r="G545" t="inlineStr">
        <is>
          <t>PAYT7YQJVGML7</t>
        </is>
      </c>
      <c r="H545" t="inlineStr">
        <is>
          <t>Success</t>
        </is>
      </c>
      <c r="I545" t="inlineStr">
        <is>
          <t>BNK9ZDFMJ8TXHBE</t>
        </is>
      </c>
      <c r="J545" s="8" t="n">
        <v>46161</v>
      </c>
    </row>
    <row r="546">
      <c r="A546" t="inlineStr">
        <is>
          <t>PAY0014107</t>
        </is>
      </c>
      <c r="B546" t="inlineStr">
        <is>
          <t>INV0014055</t>
        </is>
      </c>
      <c r="C546" t="inlineStr">
        <is>
          <t>MER00662</t>
        </is>
      </c>
      <c r="D546" s="8" t="n">
        <v>46183</v>
      </c>
      <c r="E546" t="n">
        <v>1057.95</v>
      </c>
      <c r="F546" t="inlineStr">
        <is>
          <t>Card</t>
        </is>
      </c>
      <c r="G546" t="inlineStr">
        <is>
          <t>PAYKBY5QGP8AB</t>
        </is>
      </c>
      <c r="H546" t="inlineStr">
        <is>
          <t>Success</t>
        </is>
      </c>
      <c r="I546" t="inlineStr">
        <is>
          <t>BNK35GNN3CHXH8W</t>
        </is>
      </c>
      <c r="J546" s="8" t="n">
        <v>46184</v>
      </c>
    </row>
    <row r="547">
      <c r="A547" t="inlineStr">
        <is>
          <t>PAY0014108</t>
        </is>
      </c>
      <c r="B547" t="inlineStr">
        <is>
          <t>INV0014057</t>
        </is>
      </c>
      <c r="C547" t="inlineStr">
        <is>
          <t>MER00662</t>
        </is>
      </c>
      <c r="D547" s="8" t="n">
        <v>46235</v>
      </c>
      <c r="E547" t="n">
        <v>571.46</v>
      </c>
      <c r="F547" t="inlineStr">
        <is>
          <t>UPI</t>
        </is>
      </c>
      <c r="G547" t="inlineStr">
        <is>
          <t>PAY5KBVTECNCD</t>
        </is>
      </c>
      <c r="H547" t="inlineStr">
        <is>
          <t>Success</t>
        </is>
      </c>
      <c r="I547" t="inlineStr">
        <is>
          <t>BNKYKLMNN3LGBYR</t>
        </is>
      </c>
      <c r="J547" s="8" t="n">
        <v>46237</v>
      </c>
    </row>
    <row r="548">
      <c r="A548" t="inlineStr">
        <is>
          <t>PAY0014109</t>
        </is>
      </c>
      <c r="B548" t="inlineStr">
        <is>
          <t>INV0014058</t>
        </is>
      </c>
      <c r="C548" t="inlineStr">
        <is>
          <t>MER00662</t>
        </is>
      </c>
      <c r="D548" s="8" t="n">
        <v>46284</v>
      </c>
      <c r="E548" t="n">
        <v>1172.45</v>
      </c>
      <c r="F548" t="inlineStr">
        <is>
          <t>UPI</t>
        </is>
      </c>
      <c r="G548" t="inlineStr">
        <is>
          <t>PAY9R2ESH5SRR</t>
        </is>
      </c>
      <c r="H548" t="inlineStr">
        <is>
          <t>Success</t>
        </is>
      </c>
      <c r="I548" t="inlineStr">
        <is>
          <t>BNKNHV7DTZBT894</t>
        </is>
      </c>
      <c r="J548" s="8" t="n">
        <v>46287</v>
      </c>
    </row>
    <row r="549">
      <c r="A549" t="inlineStr">
        <is>
          <t>PAY0014110</t>
        </is>
      </c>
      <c r="B549" t="inlineStr">
        <is>
          <t>INV0014059</t>
        </is>
      </c>
      <c r="C549" t="inlineStr">
        <is>
          <t>MER00662</t>
        </is>
      </c>
      <c r="D549" s="8" t="n">
        <v>46308</v>
      </c>
      <c r="E549" t="n">
        <v>1283.36</v>
      </c>
      <c r="F549" t="inlineStr">
        <is>
          <t>UPI</t>
        </is>
      </c>
      <c r="G549" t="inlineStr">
        <is>
          <t>PAY2C4WDBWWEE</t>
        </is>
      </c>
      <c r="H549" t="inlineStr">
        <is>
          <t>Success</t>
        </is>
      </c>
      <c r="I549" t="inlineStr">
        <is>
          <t>BNKYBJBX6A6DAMQ</t>
        </is>
      </c>
      <c r="J549" s="8" t="n">
        <v>46309</v>
      </c>
    </row>
    <row r="550">
      <c r="A550" t="inlineStr">
        <is>
          <t>PAY0014237</t>
        </is>
      </c>
      <c r="B550" t="inlineStr">
        <is>
          <t>INV0014962</t>
        </is>
      </c>
      <c r="C550" t="inlineStr">
        <is>
          <t>MER00707</t>
        </is>
      </c>
      <c r="D550" s="8" t="n">
        <v>45591</v>
      </c>
      <c r="E550" t="n">
        <v>483.27</v>
      </c>
      <c r="F550" t="inlineStr">
        <is>
          <t>UPI</t>
        </is>
      </c>
      <c r="G550" t="inlineStr">
        <is>
          <t>PAYCGPRDDKQDG</t>
        </is>
      </c>
      <c r="H550" t="inlineStr">
        <is>
          <t>Success</t>
        </is>
      </c>
      <c r="I550" t="inlineStr">
        <is>
          <t>BNKGH5MAS548BGF</t>
        </is>
      </c>
      <c r="J550" s="8" t="n">
        <v>45592</v>
      </c>
    </row>
    <row r="551">
      <c r="A551" t="inlineStr">
        <is>
          <t>PAY0014238</t>
        </is>
      </c>
      <c r="B551" t="inlineStr">
        <is>
          <t>INV0014963</t>
        </is>
      </c>
      <c r="C551" t="inlineStr">
        <is>
          <t>MER00707</t>
        </is>
      </c>
      <c r="D551" s="8" t="n">
        <v>45629</v>
      </c>
      <c r="E551" t="n">
        <v>802.35</v>
      </c>
      <c r="F551" t="inlineStr">
        <is>
          <t>UPI</t>
        </is>
      </c>
      <c r="G551" t="inlineStr">
        <is>
          <t>PAY5KVB77WP9S</t>
        </is>
      </c>
      <c r="H551" t="inlineStr">
        <is>
          <t>Success</t>
        </is>
      </c>
      <c r="I551" t="inlineStr">
        <is>
          <t>BNKSN25C3BWHGY8</t>
        </is>
      </c>
      <c r="J551" s="8" t="n">
        <v>45632</v>
      </c>
    </row>
    <row r="552">
      <c r="A552" t="inlineStr">
        <is>
          <t>PAY0014239</t>
        </is>
      </c>
      <c r="B552" t="inlineStr">
        <is>
          <t>INV0014964</t>
        </is>
      </c>
      <c r="C552" t="inlineStr">
        <is>
          <t>MER00707</t>
        </is>
      </c>
      <c r="D552" s="8" t="n">
        <v>45645</v>
      </c>
      <c r="E552" t="n">
        <v>877.16</v>
      </c>
      <c r="F552" t="inlineStr">
        <is>
          <t>UPI</t>
        </is>
      </c>
      <c r="G552" t="inlineStr">
        <is>
          <t>PAYGTM82E6JUP</t>
        </is>
      </c>
      <c r="H552" t="inlineStr">
        <is>
          <t>Success</t>
        </is>
      </c>
      <c r="I552" t="inlineStr">
        <is>
          <t>BNKJHKM6EXU5JLK</t>
        </is>
      </c>
      <c r="J552" s="8" t="n">
        <v>45647</v>
      </c>
    </row>
    <row r="553">
      <c r="A553" t="inlineStr">
        <is>
          <t>PAY0014240</t>
        </is>
      </c>
      <c r="B553" t="inlineStr">
        <is>
          <t>INV0014965</t>
        </is>
      </c>
      <c r="C553" t="inlineStr">
        <is>
          <t>MER00707</t>
        </is>
      </c>
      <c r="D553" s="8" t="n">
        <v>45663</v>
      </c>
      <c r="E553" t="n">
        <v>191.05</v>
      </c>
      <c r="F553" t="inlineStr">
        <is>
          <t>UPI</t>
        </is>
      </c>
      <c r="G553" t="inlineStr">
        <is>
          <t>PAYUWBUXVNZ6E</t>
        </is>
      </c>
      <c r="H553" t="inlineStr">
        <is>
          <t>Success</t>
        </is>
      </c>
      <c r="I553" t="inlineStr">
        <is>
          <t>BNKEP629R9TBE2X</t>
        </is>
      </c>
      <c r="J553" s="8" t="n">
        <v>45665</v>
      </c>
    </row>
    <row r="554">
      <c r="A554" t="inlineStr">
        <is>
          <t>PAY0014241</t>
        </is>
      </c>
      <c r="B554" t="inlineStr">
        <is>
          <t>INV0014967</t>
        </is>
      </c>
      <c r="C554" t="inlineStr">
        <is>
          <t>MER00707</t>
        </is>
      </c>
      <c r="D554" s="8" t="n">
        <v>45733</v>
      </c>
      <c r="E554" t="n">
        <v>2047.58</v>
      </c>
      <c r="F554" t="inlineStr">
        <is>
          <t>UPI</t>
        </is>
      </c>
      <c r="G554" t="inlineStr">
        <is>
          <t>PAYVVBH3PXS8V</t>
        </is>
      </c>
      <c r="H554" t="inlineStr">
        <is>
          <t>Success</t>
        </is>
      </c>
      <c r="I554" t="inlineStr">
        <is>
          <t>BNKL9PKL79M8FGA</t>
        </is>
      </c>
      <c r="J554" s="8" t="n">
        <v>45735</v>
      </c>
    </row>
    <row r="555">
      <c r="A555" t="inlineStr">
        <is>
          <t>PAY0014242</t>
        </is>
      </c>
      <c r="B555" t="inlineStr">
        <is>
          <t>INV0014969</t>
        </is>
      </c>
      <c r="C555" t="inlineStr">
        <is>
          <t>MER00707</t>
        </is>
      </c>
      <c r="D555" s="8" t="n">
        <v>45799</v>
      </c>
      <c r="E555" t="n">
        <v>1163.39</v>
      </c>
      <c r="F555" t="inlineStr">
        <is>
          <t>UPI</t>
        </is>
      </c>
      <c r="G555" t="inlineStr">
        <is>
          <t>PAY7B8D6ML36W</t>
        </is>
      </c>
      <c r="H555" t="inlineStr">
        <is>
          <t>Success</t>
        </is>
      </c>
      <c r="I555" t="inlineStr">
        <is>
          <t>BNK42Q9YWPZWX9B</t>
        </is>
      </c>
      <c r="J555" s="8" t="n">
        <v>45801</v>
      </c>
    </row>
    <row r="556">
      <c r="A556" t="inlineStr">
        <is>
          <t>PAY0014243</t>
        </is>
      </c>
      <c r="B556" t="inlineStr">
        <is>
          <t>INV0014971</t>
        </is>
      </c>
      <c r="C556" t="inlineStr">
        <is>
          <t>MER00707</t>
        </is>
      </c>
      <c r="D556" s="8" t="n">
        <v>45866</v>
      </c>
      <c r="E556" t="n">
        <v>1007.65</v>
      </c>
      <c r="F556" t="inlineStr">
        <is>
          <t>UPI</t>
        </is>
      </c>
      <c r="G556" t="inlineStr">
        <is>
          <t>PAYK8MPZ43WPC</t>
        </is>
      </c>
      <c r="H556" t="inlineStr">
        <is>
          <t>Success</t>
        </is>
      </c>
      <c r="I556" t="inlineStr">
        <is>
          <t>BNKFXPGGFBP2755</t>
        </is>
      </c>
      <c r="J556" s="8" t="n">
        <v>45868</v>
      </c>
    </row>
    <row r="557">
      <c r="A557" t="inlineStr">
        <is>
          <t>PAY0014244</t>
        </is>
      </c>
      <c r="B557" t="inlineStr">
        <is>
          <t>INV0014972</t>
        </is>
      </c>
      <c r="C557" t="inlineStr">
        <is>
          <t>MER00707</t>
        </is>
      </c>
      <c r="D557" s="8" t="n">
        <v>45902</v>
      </c>
      <c r="E557" t="n">
        <v>467.76</v>
      </c>
      <c r="F557" t="inlineStr">
        <is>
          <t>UPI</t>
        </is>
      </c>
      <c r="G557" t="inlineStr">
        <is>
          <t>PAYRDEPAFJ9XK</t>
        </is>
      </c>
      <c r="H557" t="inlineStr">
        <is>
          <t>Success</t>
        </is>
      </c>
      <c r="I557" t="inlineStr">
        <is>
          <t>BNK3NY9T3YALSD7</t>
        </is>
      </c>
      <c r="J557" s="8" t="n">
        <v>45903</v>
      </c>
    </row>
    <row r="558">
      <c r="A558" t="inlineStr">
        <is>
          <t>PAY0014245</t>
        </is>
      </c>
      <c r="B558" t="inlineStr">
        <is>
          <t>INV0014975</t>
        </is>
      </c>
      <c r="C558" t="inlineStr">
        <is>
          <t>MER00707</t>
        </is>
      </c>
      <c r="D558" s="8" t="n">
        <v>45981</v>
      </c>
      <c r="E558" t="n">
        <v>944.08</v>
      </c>
      <c r="F558" t="inlineStr">
        <is>
          <t>UPI</t>
        </is>
      </c>
      <c r="G558" t="inlineStr">
        <is>
          <t>PAY978LLFWKSA</t>
        </is>
      </c>
      <c r="H558" t="inlineStr">
        <is>
          <t>Success</t>
        </is>
      </c>
      <c r="I558" t="inlineStr">
        <is>
          <t>BNKTGLQ7AXH7EHG</t>
        </is>
      </c>
      <c r="J558" s="8" t="n">
        <v>45984</v>
      </c>
    </row>
    <row r="559">
      <c r="A559" t="inlineStr">
        <is>
          <t>PAY0014246</t>
        </is>
      </c>
      <c r="B559" t="inlineStr">
        <is>
          <t>INV0014976</t>
        </is>
      </c>
      <c r="C559" t="inlineStr">
        <is>
          <t>MER00707</t>
        </is>
      </c>
      <c r="D559" s="8" t="n">
        <v>46029</v>
      </c>
      <c r="E559" t="n">
        <v>1646.41</v>
      </c>
      <c r="F559" t="inlineStr">
        <is>
          <t>UPI</t>
        </is>
      </c>
      <c r="G559" t="inlineStr">
        <is>
          <t>PAYT8FFMRLX3W</t>
        </is>
      </c>
      <c r="H559" t="inlineStr">
        <is>
          <t>Success</t>
        </is>
      </c>
      <c r="I559" t="inlineStr">
        <is>
          <t>BNKH3ZYYYWYJ4L3</t>
        </is>
      </c>
      <c r="J559" s="8" t="n">
        <v>46031</v>
      </c>
    </row>
    <row r="560">
      <c r="A560" t="inlineStr">
        <is>
          <t>PAY0014247</t>
        </is>
      </c>
      <c r="B560" t="inlineStr">
        <is>
          <t>INV0014977</t>
        </is>
      </c>
      <c r="C560" t="inlineStr">
        <is>
          <t>MER00707</t>
        </is>
      </c>
      <c r="D560" s="8" t="n">
        <v>46039</v>
      </c>
      <c r="E560" t="n">
        <v>1294.15</v>
      </c>
      <c r="F560" t="inlineStr">
        <is>
          <t>UPI</t>
        </is>
      </c>
      <c r="G560" t="inlineStr">
        <is>
          <t>PAYCZ8JPPF4Y6</t>
        </is>
      </c>
      <c r="H560" t="inlineStr">
        <is>
          <t>Success</t>
        </is>
      </c>
      <c r="I560" t="inlineStr">
        <is>
          <t>BNK8GNUY3LJDQ4G</t>
        </is>
      </c>
      <c r="J560" s="8" t="n">
        <v>46042</v>
      </c>
    </row>
    <row r="561">
      <c r="A561" t="inlineStr">
        <is>
          <t>PAY0014248</t>
        </is>
      </c>
      <c r="B561" t="inlineStr">
        <is>
          <t>INV0014978</t>
        </is>
      </c>
      <c r="C561" t="inlineStr">
        <is>
          <t>MER00707</t>
        </is>
      </c>
      <c r="D561" s="8" t="n">
        <v>46077</v>
      </c>
      <c r="E561" t="n">
        <v>422.81</v>
      </c>
      <c r="F561" t="inlineStr">
        <is>
          <t>UPI</t>
        </is>
      </c>
      <c r="G561" t="inlineStr">
        <is>
          <t>PAYAHRYM4KGTB</t>
        </is>
      </c>
      <c r="H561" t="inlineStr">
        <is>
          <t>Success</t>
        </is>
      </c>
      <c r="I561" t="inlineStr">
        <is>
          <t>BNKP92EDZLNGAF8</t>
        </is>
      </c>
      <c r="J561" s="8" t="n">
        <v>46078</v>
      </c>
    </row>
    <row r="562">
      <c r="A562" t="inlineStr">
        <is>
          <t>PAY0014249</t>
        </is>
      </c>
      <c r="B562" t="inlineStr">
        <is>
          <t>INV0014979</t>
        </is>
      </c>
      <c r="C562" t="inlineStr">
        <is>
          <t>MER00707</t>
        </is>
      </c>
      <c r="D562" s="8" t="n">
        <v>46116</v>
      </c>
      <c r="E562" t="n">
        <v>812.96</v>
      </c>
      <c r="F562" t="inlineStr">
        <is>
          <t>COD</t>
        </is>
      </c>
      <c r="G562" t="inlineStr">
        <is>
          <t>PAYZBY97M73LT</t>
        </is>
      </c>
      <c r="H562" t="inlineStr">
        <is>
          <t>Success</t>
        </is>
      </c>
      <c r="I562" t="inlineStr">
        <is>
          <t>BNKBYS4ZW44HBM5</t>
        </is>
      </c>
      <c r="J562" s="8" t="n">
        <v>46118</v>
      </c>
    </row>
    <row r="563">
      <c r="A563" t="inlineStr">
        <is>
          <t>PAY0014250</t>
        </is>
      </c>
      <c r="B563" t="inlineStr">
        <is>
          <t>INV0014980</t>
        </is>
      </c>
      <c r="C563" t="inlineStr">
        <is>
          <t>MER00707</t>
        </is>
      </c>
      <c r="D563" s="8" t="n">
        <v>46148</v>
      </c>
      <c r="E563" t="n">
        <v>1267.47</v>
      </c>
      <c r="F563" t="inlineStr">
        <is>
          <t>UPI</t>
        </is>
      </c>
      <c r="G563" t="inlineStr">
        <is>
          <t>PAYRJGTEJXAAC</t>
        </is>
      </c>
      <c r="H563" t="inlineStr">
        <is>
          <t>Success</t>
        </is>
      </c>
      <c r="I563" t="inlineStr">
        <is>
          <t>BNKJS7V57Y8QRC5</t>
        </is>
      </c>
      <c r="J563" s="8" t="n">
        <v>46149</v>
      </c>
    </row>
    <row r="564">
      <c r="A564" t="inlineStr">
        <is>
          <t>PAY0014251</t>
        </is>
      </c>
      <c r="B564" t="inlineStr">
        <is>
          <t>INV0014981</t>
        </is>
      </c>
      <c r="C564" t="inlineStr">
        <is>
          <t>MER00707</t>
        </is>
      </c>
      <c r="D564" s="8" t="n">
        <v>46142</v>
      </c>
      <c r="E564" t="n">
        <v>389.2</v>
      </c>
      <c r="F564" t="inlineStr">
        <is>
          <t>UPI</t>
        </is>
      </c>
      <c r="G564" t="inlineStr">
        <is>
          <t>PAYRDB326M4PA</t>
        </is>
      </c>
      <c r="H564" t="inlineStr">
        <is>
          <t>Success</t>
        </is>
      </c>
      <c r="I564" t="inlineStr">
        <is>
          <t>BNKRXXMYT3TFM5F</t>
        </is>
      </c>
      <c r="J564" s="8" t="n">
        <v>46143</v>
      </c>
    </row>
    <row r="565">
      <c r="A565" t="inlineStr">
        <is>
          <t>PAY0014252</t>
        </is>
      </c>
      <c r="B565" t="inlineStr">
        <is>
          <t>INV0014985</t>
        </is>
      </c>
      <c r="C565" t="inlineStr">
        <is>
          <t>MER00707</t>
        </is>
      </c>
      <c r="D565" s="8" t="n">
        <v>46274</v>
      </c>
      <c r="E565" t="n">
        <v>701.13</v>
      </c>
      <c r="F565" t="inlineStr">
        <is>
          <t>NetBanking</t>
        </is>
      </c>
      <c r="G565" t="inlineStr">
        <is>
          <t>PAYE483HZBPT4</t>
        </is>
      </c>
      <c r="H565" t="inlineStr">
        <is>
          <t>Success</t>
        </is>
      </c>
      <c r="I565" t="inlineStr">
        <is>
          <t>BNKKCY8NKBKLJ2U</t>
        </is>
      </c>
      <c r="J565" s="8" t="n">
        <v>46275</v>
      </c>
    </row>
    <row r="566">
      <c r="A566" t="inlineStr">
        <is>
          <t>PAY0014337</t>
        </is>
      </c>
      <c r="B566" t="inlineStr">
        <is>
          <t>INV0015423</t>
        </is>
      </c>
      <c r="C566" t="inlineStr">
        <is>
          <t>MER00728</t>
        </is>
      </c>
      <c r="D566" s="8" t="n">
        <v>45639</v>
      </c>
      <c r="E566" t="n">
        <v>861.21</v>
      </c>
      <c r="F566" t="inlineStr">
        <is>
          <t>UPI</t>
        </is>
      </c>
      <c r="G566" t="inlineStr">
        <is>
          <t>PAYBFP8786KMN</t>
        </is>
      </c>
      <c r="H566" t="inlineStr">
        <is>
          <t>Success</t>
        </is>
      </c>
      <c r="I566" t="inlineStr">
        <is>
          <t>BNKMQXFZF3G8YDF</t>
        </is>
      </c>
      <c r="J566" s="8" t="n">
        <v>45640</v>
      </c>
    </row>
    <row r="567">
      <c r="A567" t="inlineStr">
        <is>
          <t>PAY0014338</t>
        </is>
      </c>
      <c r="B567" t="inlineStr">
        <is>
          <t>INV0015424</t>
        </is>
      </c>
      <c r="C567" t="inlineStr">
        <is>
          <t>MER00728</t>
        </is>
      </c>
      <c r="D567" s="8" t="n">
        <v>45655</v>
      </c>
      <c r="E567" t="n">
        <v>1011.32</v>
      </c>
      <c r="F567" t="inlineStr">
        <is>
          <t>NetBanking</t>
        </is>
      </c>
      <c r="G567" t="inlineStr">
        <is>
          <t>PAYZC4BS7YMA7</t>
        </is>
      </c>
      <c r="H567" t="inlineStr">
        <is>
          <t>Success</t>
        </is>
      </c>
      <c r="I567" t="inlineStr">
        <is>
          <t>BNKHJ3ER6EQSMH6</t>
        </is>
      </c>
      <c r="J567" s="8" t="n">
        <v>45656</v>
      </c>
    </row>
    <row r="568">
      <c r="A568" t="inlineStr">
        <is>
          <t>PAY0014339</t>
        </is>
      </c>
      <c r="B568" t="inlineStr">
        <is>
          <t>INV0015425</t>
        </is>
      </c>
      <c r="C568" t="inlineStr">
        <is>
          <t>MER00728</t>
        </is>
      </c>
      <c r="D568" s="8" t="n">
        <v>45689</v>
      </c>
      <c r="E568" t="n">
        <v>1651.2</v>
      </c>
      <c r="F568" t="inlineStr">
        <is>
          <t>UPI</t>
        </is>
      </c>
      <c r="G568" t="inlineStr">
        <is>
          <t>PAYQRMJN9ZZSF</t>
        </is>
      </c>
      <c r="H568" t="inlineStr">
        <is>
          <t>Success</t>
        </is>
      </c>
      <c r="I568" t="inlineStr">
        <is>
          <t>BNKDD3ZAKYPXZEW</t>
        </is>
      </c>
      <c r="J568" s="8" t="n">
        <v>45691</v>
      </c>
    </row>
    <row r="569">
      <c r="A569" t="inlineStr">
        <is>
          <t>PAY0014340</t>
        </is>
      </c>
      <c r="B569" t="inlineStr">
        <is>
          <t>INV0015426</t>
        </is>
      </c>
      <c r="C569" t="inlineStr">
        <is>
          <t>MER00728</t>
        </is>
      </c>
      <c r="D569" s="8" t="n">
        <v>45725</v>
      </c>
      <c r="E569" t="n">
        <v>674.25</v>
      </c>
      <c r="F569" t="inlineStr">
        <is>
          <t>UPI</t>
        </is>
      </c>
      <c r="G569" t="inlineStr">
        <is>
          <t>PAYLC3VQB9PSG</t>
        </is>
      </c>
      <c r="H569" t="inlineStr">
        <is>
          <t>Success</t>
        </is>
      </c>
      <c r="I569" t="inlineStr">
        <is>
          <t>BNKDA3M2JCKB3UQ</t>
        </is>
      </c>
      <c r="J569" s="8" t="n">
        <v>45726</v>
      </c>
    </row>
    <row r="570">
      <c r="A570" t="inlineStr">
        <is>
          <t>PAY0014341</t>
        </is>
      </c>
      <c r="B570" t="inlineStr">
        <is>
          <t>INV0015428</t>
        </is>
      </c>
      <c r="C570" t="inlineStr">
        <is>
          <t>MER00728</t>
        </is>
      </c>
      <c r="D570" s="8" t="n">
        <v>45782</v>
      </c>
      <c r="E570" t="n">
        <v>1116.93</v>
      </c>
      <c r="F570" t="inlineStr">
        <is>
          <t>NetBanking</t>
        </is>
      </c>
      <c r="G570" t="inlineStr">
        <is>
          <t>PAYDDSMQ9P8AA</t>
        </is>
      </c>
      <c r="H570" t="inlineStr">
        <is>
          <t>Success</t>
        </is>
      </c>
      <c r="I570" t="inlineStr">
        <is>
          <t>BNKE9XDKXFM7V4R</t>
        </is>
      </c>
      <c r="J570" s="8" t="n">
        <v>45783</v>
      </c>
    </row>
    <row r="571">
      <c r="A571" t="inlineStr">
        <is>
          <t>PAY0014342</t>
        </is>
      </c>
      <c r="B571" t="inlineStr">
        <is>
          <t>INV0015433</t>
        </is>
      </c>
      <c r="C571" t="inlineStr">
        <is>
          <t>MER00728</t>
        </is>
      </c>
      <c r="D571" s="8" t="n">
        <v>45915</v>
      </c>
      <c r="E571" t="n">
        <v>1248.64</v>
      </c>
      <c r="F571" t="inlineStr">
        <is>
          <t>UPI</t>
        </is>
      </c>
      <c r="G571" t="inlineStr">
        <is>
          <t>PAYWQ2D4NC7AZ</t>
        </is>
      </c>
      <c r="H571" t="inlineStr">
        <is>
          <t>Success</t>
        </is>
      </c>
      <c r="I571" t="inlineStr">
        <is>
          <t>BNK94GBX5M5ZPMD</t>
        </is>
      </c>
      <c r="J571" s="8" t="n">
        <v>45916</v>
      </c>
    </row>
    <row r="572">
      <c r="A572" t="inlineStr">
        <is>
          <t>PAY0014343</t>
        </is>
      </c>
      <c r="B572" t="inlineStr">
        <is>
          <t>INV0015435</t>
        </is>
      </c>
      <c r="C572" t="inlineStr">
        <is>
          <t>MER00728</t>
        </is>
      </c>
      <c r="D572" s="8" t="n">
        <v>45994</v>
      </c>
      <c r="E572" t="n">
        <v>1367.11</v>
      </c>
      <c r="F572" t="inlineStr">
        <is>
          <t>UPI</t>
        </is>
      </c>
      <c r="G572" t="inlineStr">
        <is>
          <t>PAYUJGNZVBCFA</t>
        </is>
      </c>
      <c r="H572" t="inlineStr">
        <is>
          <t>Success</t>
        </is>
      </c>
      <c r="I572" t="inlineStr">
        <is>
          <t>BNK8Y5RCFU7VWZ2</t>
        </is>
      </c>
      <c r="J572" s="8" t="n">
        <v>45996</v>
      </c>
    </row>
    <row r="573">
      <c r="A573" t="inlineStr">
        <is>
          <t>PAY0014344</t>
        </is>
      </c>
      <c r="B573" t="inlineStr">
        <is>
          <t>INV0015437</t>
        </is>
      </c>
      <c r="C573" t="inlineStr">
        <is>
          <t>MER00728</t>
        </is>
      </c>
      <c r="D573" s="8" t="n">
        <v>46060</v>
      </c>
      <c r="E573" t="n">
        <v>1682.66</v>
      </c>
      <c r="F573" t="inlineStr">
        <is>
          <t>Card</t>
        </is>
      </c>
      <c r="G573" t="inlineStr">
        <is>
          <t>PAY69GWVD5L3G</t>
        </is>
      </c>
      <c r="H573" t="inlineStr">
        <is>
          <t>Success</t>
        </is>
      </c>
      <c r="I573" t="inlineStr">
        <is>
          <t>BNK5EAV9RS4ELNQ</t>
        </is>
      </c>
      <c r="J573" s="8" t="n">
        <v>46061</v>
      </c>
    </row>
    <row r="574">
      <c r="A574" t="inlineStr">
        <is>
          <t>PAY0014345</t>
        </is>
      </c>
      <c r="B574" t="inlineStr">
        <is>
          <t>INV0015439</t>
        </is>
      </c>
      <c r="C574" t="inlineStr">
        <is>
          <t>MER00728</t>
        </is>
      </c>
      <c r="D574" s="8" t="n">
        <v>46127</v>
      </c>
      <c r="E574" t="n">
        <v>1435.54</v>
      </c>
      <c r="F574" t="inlineStr">
        <is>
          <t>UPI</t>
        </is>
      </c>
      <c r="G574" t="inlineStr">
        <is>
          <t>PAYHULHJ2FR8N</t>
        </is>
      </c>
      <c r="H574" t="inlineStr">
        <is>
          <t>Success</t>
        </is>
      </c>
      <c r="I574" t="inlineStr">
        <is>
          <t>BNKFHAM2SP84C29</t>
        </is>
      </c>
      <c r="J574" s="8" t="n">
        <v>46129</v>
      </c>
    </row>
    <row r="575">
      <c r="A575" t="inlineStr">
        <is>
          <t>PAY0014346</t>
        </is>
      </c>
      <c r="B575" t="inlineStr">
        <is>
          <t>INV0015440</t>
        </is>
      </c>
      <c r="C575" t="inlineStr">
        <is>
          <t>MER00728</t>
        </is>
      </c>
      <c r="D575" s="8" t="n">
        <v>46132</v>
      </c>
      <c r="E575" t="n">
        <v>1143.75</v>
      </c>
      <c r="F575" t="inlineStr">
        <is>
          <t>Card</t>
        </is>
      </c>
      <c r="G575" t="inlineStr">
        <is>
          <t>PAYA6WV6SB3BJ</t>
        </is>
      </c>
      <c r="H575" t="inlineStr">
        <is>
          <t>Success</t>
        </is>
      </c>
      <c r="I575" t="inlineStr">
        <is>
          <t>BNKE3WREA4DNXE9</t>
        </is>
      </c>
      <c r="J575" s="8" t="n">
        <v>46133</v>
      </c>
    </row>
    <row r="576">
      <c r="A576" t="inlineStr">
        <is>
          <t>PAY0014347</t>
        </is>
      </c>
      <c r="B576" t="inlineStr">
        <is>
          <t>INV0015441</t>
        </is>
      </c>
      <c r="C576" t="inlineStr">
        <is>
          <t>MER00728</t>
        </is>
      </c>
      <c r="D576" s="8" t="n">
        <v>46192</v>
      </c>
      <c r="E576" t="n">
        <v>1282.27</v>
      </c>
      <c r="F576" t="inlineStr">
        <is>
          <t>UPI</t>
        </is>
      </c>
      <c r="G576" t="inlineStr">
        <is>
          <t>PAYJXFK33XEV3</t>
        </is>
      </c>
      <c r="H576" t="inlineStr">
        <is>
          <t>Failed</t>
        </is>
      </c>
      <c r="I576" t="inlineStr">
        <is>
          <t>BNKZN948J28PPVD</t>
        </is>
      </c>
      <c r="J576" s="8" t="n"/>
    </row>
    <row r="577">
      <c r="A577" t="inlineStr">
        <is>
          <t>PAY0014348</t>
        </is>
      </c>
      <c r="B577" t="inlineStr">
        <is>
          <t>INV0015442</t>
        </is>
      </c>
      <c r="C577" t="inlineStr">
        <is>
          <t>MER00728</t>
        </is>
      </c>
      <c r="D577" s="8" t="n">
        <v>46182</v>
      </c>
      <c r="E577" t="n">
        <v>1564.86</v>
      </c>
      <c r="F577" t="inlineStr">
        <is>
          <t>UPI</t>
        </is>
      </c>
      <c r="G577" t="inlineStr">
        <is>
          <t>PAY4QPQ5GHUMJ</t>
        </is>
      </c>
      <c r="H577" t="inlineStr">
        <is>
          <t>Success</t>
        </is>
      </c>
      <c r="I577" t="inlineStr">
        <is>
          <t>BNK6UYEBMPAB32F</t>
        </is>
      </c>
      <c r="J577" s="8" t="n">
        <v>46185</v>
      </c>
    </row>
    <row r="578">
      <c r="A578" t="inlineStr">
        <is>
          <t>PAY0014349</t>
        </is>
      </c>
      <c r="B578" t="inlineStr">
        <is>
          <t>INV0015444</t>
        </is>
      </c>
      <c r="C578" t="inlineStr">
        <is>
          <t>MER00728</t>
        </is>
      </c>
      <c r="D578" s="8" t="n">
        <v>46281</v>
      </c>
      <c r="E578" t="n">
        <v>1445.09</v>
      </c>
      <c r="F578" t="inlineStr">
        <is>
          <t>UPI</t>
        </is>
      </c>
      <c r="G578" t="inlineStr">
        <is>
          <t>PAYK49X7YM3U3</t>
        </is>
      </c>
      <c r="H578" t="inlineStr">
        <is>
          <t>Success</t>
        </is>
      </c>
      <c r="I578" t="inlineStr">
        <is>
          <t>BNKWT9YQ4ZAVWFJ</t>
        </is>
      </c>
      <c r="J578" s="8" t="n">
        <v>46282</v>
      </c>
    </row>
    <row r="579">
      <c r="A579" t="inlineStr">
        <is>
          <t>PAY0014350</t>
        </is>
      </c>
      <c r="B579" t="inlineStr">
        <is>
          <t>INV0015445</t>
        </is>
      </c>
      <c r="C579" t="inlineStr">
        <is>
          <t>MER00728</t>
        </is>
      </c>
      <c r="D579" s="8" t="n">
        <v>46286</v>
      </c>
      <c r="E579" t="n">
        <v>960.2</v>
      </c>
      <c r="F579" t="inlineStr">
        <is>
          <t>UPI</t>
        </is>
      </c>
      <c r="G579" t="inlineStr">
        <is>
          <t>PAYGLARXBTD6L</t>
        </is>
      </c>
      <c r="H579" t="inlineStr">
        <is>
          <t>Success</t>
        </is>
      </c>
      <c r="I579" t="inlineStr">
        <is>
          <t>BNKWQN5AUA4CQRS</t>
        </is>
      </c>
      <c r="J579" s="8" t="n">
        <v>46288</v>
      </c>
    </row>
    <row r="580">
      <c r="A580" t="inlineStr">
        <is>
          <t>PAY0014465</t>
        </is>
      </c>
      <c r="B580" t="inlineStr">
        <is>
          <t>INV0016142</t>
        </is>
      </c>
      <c r="C580" t="inlineStr">
        <is>
          <t>MER00764</t>
        </is>
      </c>
      <c r="D580" s="8" t="n">
        <v>45590</v>
      </c>
      <c r="E580" t="n">
        <v>460.54</v>
      </c>
      <c r="F580" t="inlineStr">
        <is>
          <t>Card</t>
        </is>
      </c>
      <c r="G580" t="inlineStr">
        <is>
          <t>PAYWYLJ6NRZJP</t>
        </is>
      </c>
      <c r="H580" t="inlineStr">
        <is>
          <t>Success</t>
        </is>
      </c>
      <c r="I580" t="inlineStr">
        <is>
          <t>BNKQY5P6C67A8WX</t>
        </is>
      </c>
      <c r="J580" s="8" t="n">
        <v>45591</v>
      </c>
    </row>
    <row r="581">
      <c r="A581" t="inlineStr">
        <is>
          <t>PAY0014466</t>
        </is>
      </c>
      <c r="B581" t="inlineStr">
        <is>
          <t>INV0016143</t>
        </is>
      </c>
      <c r="C581" t="inlineStr">
        <is>
          <t>MER00764</t>
        </is>
      </c>
      <c r="D581" s="8" t="n">
        <v>45636</v>
      </c>
      <c r="E581" t="n">
        <v>449.53</v>
      </c>
      <c r="F581" t="inlineStr">
        <is>
          <t>UPI</t>
        </is>
      </c>
      <c r="G581" t="inlineStr">
        <is>
          <t>PAYXLLE48ZAEC</t>
        </is>
      </c>
      <c r="H581" t="inlineStr">
        <is>
          <t>Success</t>
        </is>
      </c>
      <c r="I581" t="inlineStr">
        <is>
          <t>BNKW8T5TFRS5CHR</t>
        </is>
      </c>
      <c r="J581" s="8" t="n">
        <v>45638</v>
      </c>
    </row>
    <row r="582">
      <c r="A582" t="inlineStr">
        <is>
          <t>PAY0014467</t>
        </is>
      </c>
      <c r="B582" t="inlineStr">
        <is>
          <t>INV0016144</t>
        </is>
      </c>
      <c r="C582" t="inlineStr">
        <is>
          <t>MER00764</t>
        </is>
      </c>
      <c r="D582" s="8" t="n">
        <v>45635</v>
      </c>
      <c r="E582" t="n">
        <v>727.91</v>
      </c>
      <c r="F582" t="inlineStr">
        <is>
          <t>NetBanking</t>
        </is>
      </c>
      <c r="G582" t="inlineStr">
        <is>
          <t>PAYYCMXXMWTE8</t>
        </is>
      </c>
      <c r="H582" t="inlineStr">
        <is>
          <t>Success</t>
        </is>
      </c>
      <c r="I582" t="inlineStr">
        <is>
          <t>BNK7SHLHVCA5FR3</t>
        </is>
      </c>
      <c r="J582" s="8" t="n">
        <v>45638</v>
      </c>
    </row>
    <row r="583">
      <c r="A583" t="inlineStr">
        <is>
          <t>PAY0014468</t>
        </is>
      </c>
      <c r="B583" t="inlineStr">
        <is>
          <t>INV0016146</t>
        </is>
      </c>
      <c r="C583" t="inlineStr">
        <is>
          <t>MER00764</t>
        </is>
      </c>
      <c r="D583" s="8" t="n">
        <v>45709</v>
      </c>
      <c r="E583" t="n">
        <v>462.31</v>
      </c>
      <c r="F583" t="inlineStr">
        <is>
          <t>UPI</t>
        </is>
      </c>
      <c r="G583" t="inlineStr">
        <is>
          <t>PAYFKKH5SZ25C</t>
        </is>
      </c>
      <c r="H583" t="inlineStr">
        <is>
          <t>Success</t>
        </is>
      </c>
      <c r="I583" t="inlineStr">
        <is>
          <t>BNK2L8V3VTWSMKS</t>
        </is>
      </c>
      <c r="J583" s="8" t="n">
        <v>45710</v>
      </c>
    </row>
    <row r="584">
      <c r="A584" t="inlineStr">
        <is>
          <t>PAY0014469</t>
        </is>
      </c>
      <c r="B584" t="inlineStr">
        <is>
          <t>INV0016148</t>
        </is>
      </c>
      <c r="C584" t="inlineStr">
        <is>
          <t>MER00764</t>
        </is>
      </c>
      <c r="D584" s="8" t="n">
        <v>45765</v>
      </c>
      <c r="E584" t="n">
        <v>763.59</v>
      </c>
      <c r="F584" t="inlineStr">
        <is>
          <t>COD</t>
        </is>
      </c>
      <c r="G584" t="inlineStr">
        <is>
          <t>PAYWQ84RL59W9</t>
        </is>
      </c>
      <c r="H584" t="inlineStr">
        <is>
          <t>Success</t>
        </is>
      </c>
      <c r="I584" t="inlineStr">
        <is>
          <t>BNK7VTD85W9D5AG</t>
        </is>
      </c>
      <c r="J584" s="8" t="n">
        <v>45767</v>
      </c>
    </row>
    <row r="585">
      <c r="A585" t="inlineStr">
        <is>
          <t>PAY0014470</t>
        </is>
      </c>
      <c r="B585" t="inlineStr">
        <is>
          <t>INV0016151</t>
        </is>
      </c>
      <c r="C585" t="inlineStr">
        <is>
          <t>MER00764</t>
        </is>
      </c>
      <c r="D585" s="8" t="n">
        <v>45872</v>
      </c>
      <c r="E585" t="n">
        <v>785.5599999999999</v>
      </c>
      <c r="F585" t="inlineStr">
        <is>
          <t>Card</t>
        </is>
      </c>
      <c r="G585" t="inlineStr">
        <is>
          <t>PAY3L3UEK6SDE</t>
        </is>
      </c>
      <c r="H585" t="inlineStr">
        <is>
          <t>Success</t>
        </is>
      </c>
      <c r="I585" t="inlineStr">
        <is>
          <t>BNKL7XLGDGUEH3U</t>
        </is>
      </c>
      <c r="J585" s="8" t="n">
        <v>45874</v>
      </c>
    </row>
    <row r="586">
      <c r="A586" t="inlineStr">
        <is>
          <t>PAY0014471</t>
        </is>
      </c>
      <c r="B586" t="inlineStr">
        <is>
          <t>INV0016152</t>
        </is>
      </c>
      <c r="C586" t="inlineStr">
        <is>
          <t>MER00764</t>
        </is>
      </c>
      <c r="D586" s="8" t="n">
        <v>45884</v>
      </c>
      <c r="E586" t="n">
        <v>747.12</v>
      </c>
      <c r="F586" t="inlineStr">
        <is>
          <t>UPI</t>
        </is>
      </c>
      <c r="G586" t="inlineStr">
        <is>
          <t>PAYQMPKAJ8G87</t>
        </is>
      </c>
      <c r="H586" t="inlineStr">
        <is>
          <t>Success</t>
        </is>
      </c>
      <c r="I586" t="inlineStr">
        <is>
          <t>BNKYXLSFKE2X7MJ</t>
        </is>
      </c>
      <c r="J586" s="8" t="n">
        <v>45886</v>
      </c>
    </row>
    <row r="587">
      <c r="A587" t="inlineStr">
        <is>
          <t>PAY0014472</t>
        </is>
      </c>
      <c r="B587" t="inlineStr">
        <is>
          <t>INV0016153</t>
        </is>
      </c>
      <c r="C587" t="inlineStr">
        <is>
          <t>MER00764</t>
        </is>
      </c>
      <c r="D587" s="8" t="n">
        <v>45898</v>
      </c>
      <c r="E587" t="n">
        <v>241.07</v>
      </c>
      <c r="F587" t="inlineStr">
        <is>
          <t>COD</t>
        </is>
      </c>
      <c r="G587" t="inlineStr">
        <is>
          <t>PAYV83GV5CZCG</t>
        </is>
      </c>
      <c r="H587" t="inlineStr">
        <is>
          <t>Success</t>
        </is>
      </c>
      <c r="I587" t="inlineStr">
        <is>
          <t>BNKGGU2P9A6VUSM</t>
        </is>
      </c>
      <c r="J587" s="8" t="n">
        <v>45900</v>
      </c>
    </row>
    <row r="588">
      <c r="A588" t="inlineStr">
        <is>
          <t>PAY0014473</t>
        </is>
      </c>
      <c r="B588" t="inlineStr">
        <is>
          <t>INV0016157</t>
        </is>
      </c>
      <c r="C588" t="inlineStr">
        <is>
          <t>MER00764</t>
        </is>
      </c>
      <c r="D588" s="8" t="n">
        <v>46060</v>
      </c>
      <c r="E588" t="n">
        <v>897.05</v>
      </c>
      <c r="F588" t="inlineStr">
        <is>
          <t>Card</t>
        </is>
      </c>
      <c r="G588" t="inlineStr">
        <is>
          <t>PAYKNNMS8XRSJ</t>
        </is>
      </c>
      <c r="H588" t="inlineStr">
        <is>
          <t>Success</t>
        </is>
      </c>
      <c r="I588" t="inlineStr">
        <is>
          <t>BNKHWXSVW9RLHER</t>
        </is>
      </c>
      <c r="J588" s="8" t="n">
        <v>46062</v>
      </c>
    </row>
    <row r="589">
      <c r="A589" t="inlineStr">
        <is>
          <t>PAY0014474</t>
        </is>
      </c>
      <c r="B589" t="inlineStr">
        <is>
          <t>INV0016158</t>
        </is>
      </c>
      <c r="C589" t="inlineStr">
        <is>
          <t>MER00764</t>
        </is>
      </c>
      <c r="D589" s="8" t="n">
        <v>46068</v>
      </c>
      <c r="E589" t="n">
        <v>776.13</v>
      </c>
      <c r="F589" t="inlineStr">
        <is>
          <t>COD</t>
        </is>
      </c>
      <c r="G589" t="inlineStr">
        <is>
          <t>PAY2D6WHJBZJY</t>
        </is>
      </c>
      <c r="H589" t="inlineStr">
        <is>
          <t>Success</t>
        </is>
      </c>
      <c r="I589" t="inlineStr">
        <is>
          <t>BNKQFZHRKKGSRYW</t>
        </is>
      </c>
      <c r="J589" s="8" t="n">
        <v>46071</v>
      </c>
    </row>
    <row r="590">
      <c r="A590" t="inlineStr">
        <is>
          <t>PAY0014475</t>
        </is>
      </c>
      <c r="B590" t="inlineStr">
        <is>
          <t>INV0016160</t>
        </is>
      </c>
      <c r="C590" t="inlineStr">
        <is>
          <t>MER00764</t>
        </is>
      </c>
      <c r="D590" s="8" t="n">
        <v>46136</v>
      </c>
      <c r="E590" t="n">
        <v>664.01</v>
      </c>
      <c r="F590" t="inlineStr">
        <is>
          <t>NetBanking</t>
        </is>
      </c>
      <c r="G590" t="inlineStr">
        <is>
          <t>PAYF9YZT53Y94</t>
        </is>
      </c>
      <c r="H590" t="inlineStr">
        <is>
          <t>Success</t>
        </is>
      </c>
      <c r="I590" t="inlineStr">
        <is>
          <t>BNKUY62QWGC6T4B</t>
        </is>
      </c>
      <c r="J590" s="8" t="n">
        <v>46138</v>
      </c>
    </row>
    <row r="591">
      <c r="A591" t="inlineStr">
        <is>
          <t>PAY0014476</t>
        </is>
      </c>
      <c r="B591" t="inlineStr">
        <is>
          <t>INV0016161</t>
        </is>
      </c>
      <c r="C591" t="inlineStr">
        <is>
          <t>MER00764</t>
        </is>
      </c>
      <c r="D591" s="8" t="n">
        <v>46164</v>
      </c>
      <c r="E591" t="n">
        <v>577.24</v>
      </c>
      <c r="F591" t="inlineStr">
        <is>
          <t>Card</t>
        </is>
      </c>
      <c r="G591" t="inlineStr">
        <is>
          <t>PAY25UJ7NS7Q8</t>
        </is>
      </c>
      <c r="H591" t="inlineStr">
        <is>
          <t>Success</t>
        </is>
      </c>
      <c r="I591" t="inlineStr">
        <is>
          <t>BNK5KVELXJYMAGJ</t>
        </is>
      </c>
      <c r="J591" s="8" t="n">
        <v>46167</v>
      </c>
    </row>
    <row r="592">
      <c r="A592" t="inlineStr">
        <is>
          <t>PAY0014477</t>
        </is>
      </c>
      <c r="B592" t="inlineStr">
        <is>
          <t>INV0016162</t>
        </is>
      </c>
      <c r="C592" t="inlineStr">
        <is>
          <t>MER00764</t>
        </is>
      </c>
      <c r="D592" s="8" t="n">
        <v>46193</v>
      </c>
      <c r="E592" t="n">
        <v>801.6799999999999</v>
      </c>
      <c r="F592" t="inlineStr">
        <is>
          <t>UPI</t>
        </is>
      </c>
      <c r="G592" t="inlineStr">
        <is>
          <t>PAYFNSXDZRJQY</t>
        </is>
      </c>
      <c r="H592" t="inlineStr">
        <is>
          <t>Success</t>
        </is>
      </c>
      <c r="I592" t="inlineStr">
        <is>
          <t>BNKY3SVH6AYJZAL</t>
        </is>
      </c>
      <c r="J592" s="8" t="n">
        <v>46195</v>
      </c>
    </row>
    <row r="593">
      <c r="A593" t="inlineStr">
        <is>
          <t>PAY0014478</t>
        </is>
      </c>
      <c r="B593" t="inlineStr">
        <is>
          <t>INV0016163</t>
        </is>
      </c>
      <c r="C593" t="inlineStr">
        <is>
          <t>MER00764</t>
        </is>
      </c>
      <c r="D593" s="8" t="n">
        <v>46216</v>
      </c>
      <c r="E593" t="n">
        <v>1044.49</v>
      </c>
      <c r="F593" t="inlineStr">
        <is>
          <t>UPI</t>
        </is>
      </c>
      <c r="G593" t="inlineStr">
        <is>
          <t>PAYCTG27CKU6J</t>
        </is>
      </c>
      <c r="H593" t="inlineStr">
        <is>
          <t>Success</t>
        </is>
      </c>
      <c r="I593" t="inlineStr">
        <is>
          <t>BNKDSMMT3D8KK27</t>
        </is>
      </c>
      <c r="J593" s="8" t="n">
        <v>46219</v>
      </c>
    </row>
    <row r="594">
      <c r="A594" t="inlineStr">
        <is>
          <t>PAY0014479</t>
        </is>
      </c>
      <c r="B594" t="inlineStr">
        <is>
          <t>INV0016165</t>
        </is>
      </c>
      <c r="C594" t="inlineStr">
        <is>
          <t>MER00764</t>
        </is>
      </c>
      <c r="D594" s="8" t="n">
        <v>46283</v>
      </c>
      <c r="E594" t="n">
        <v>604.71</v>
      </c>
      <c r="F594" t="inlineStr">
        <is>
          <t>UPI</t>
        </is>
      </c>
      <c r="G594" t="inlineStr">
        <is>
          <t>PAYUBXVAK4HXN</t>
        </is>
      </c>
      <c r="H594" t="inlineStr">
        <is>
          <t>Success</t>
        </is>
      </c>
      <c r="I594" t="inlineStr">
        <is>
          <t>BNK4NJZ8YCKSJKJ</t>
        </is>
      </c>
      <c r="J594" s="8" t="n">
        <v>46286</v>
      </c>
    </row>
    <row r="595">
      <c r="A595" t="inlineStr">
        <is>
          <t>PAY0014890</t>
        </is>
      </c>
      <c r="B595" t="inlineStr">
        <is>
          <t>INV0018227</t>
        </is>
      </c>
      <c r="C595" t="inlineStr">
        <is>
          <t>MER00861</t>
        </is>
      </c>
      <c r="D595" s="8" t="n">
        <v>45573</v>
      </c>
      <c r="E595" t="n">
        <v>1727</v>
      </c>
      <c r="F595" t="inlineStr">
        <is>
          <t>Card</t>
        </is>
      </c>
      <c r="G595" t="inlineStr">
        <is>
          <t>PAYYB92HQGNGS</t>
        </is>
      </c>
      <c r="H595" t="inlineStr">
        <is>
          <t>Success</t>
        </is>
      </c>
      <c r="I595" t="inlineStr">
        <is>
          <t>BNKDYN7GNYUP55P</t>
        </is>
      </c>
      <c r="J595" s="8" t="n">
        <v>45576</v>
      </c>
    </row>
    <row r="596">
      <c r="A596" t="inlineStr">
        <is>
          <t>PAY0014891</t>
        </is>
      </c>
      <c r="B596" t="inlineStr">
        <is>
          <t>INV0018228</t>
        </is>
      </c>
      <c r="C596" t="inlineStr">
        <is>
          <t>MER00861</t>
        </is>
      </c>
      <c r="D596" s="8" t="n">
        <v>45596</v>
      </c>
      <c r="E596" t="n">
        <v>961.1799999999999</v>
      </c>
      <c r="F596" t="inlineStr">
        <is>
          <t>Wallet</t>
        </is>
      </c>
      <c r="G596" t="inlineStr">
        <is>
          <t>PAYB87HTVVCKT</t>
        </is>
      </c>
      <c r="H596" t="inlineStr">
        <is>
          <t>Success</t>
        </is>
      </c>
      <c r="I596" t="inlineStr">
        <is>
          <t>BNKP36ZWQAVJY2A</t>
        </is>
      </c>
      <c r="J596" s="8" t="n">
        <v>45599</v>
      </c>
    </row>
    <row r="597">
      <c r="A597" t="inlineStr">
        <is>
          <t>PAY0014892</t>
        </is>
      </c>
      <c r="B597" t="inlineStr">
        <is>
          <t>INV0018231</t>
        </is>
      </c>
      <c r="C597" t="inlineStr">
        <is>
          <t>MER00861</t>
        </is>
      </c>
      <c r="D597" s="8" t="n">
        <v>45692</v>
      </c>
      <c r="E597" t="n">
        <v>1317.84</v>
      </c>
      <c r="F597" t="inlineStr">
        <is>
          <t>Card</t>
        </is>
      </c>
      <c r="G597" t="inlineStr">
        <is>
          <t>PAY62278MFB6U</t>
        </is>
      </c>
      <c r="H597" t="inlineStr">
        <is>
          <t>Success</t>
        </is>
      </c>
      <c r="I597" t="inlineStr">
        <is>
          <t>BNK3WLBTEEBT24K</t>
        </is>
      </c>
      <c r="J597" s="8" t="n">
        <v>45694</v>
      </c>
    </row>
    <row r="598">
      <c r="A598" t="inlineStr">
        <is>
          <t>PAY0014893</t>
        </is>
      </c>
      <c r="B598" t="inlineStr">
        <is>
          <t>INV0018233</t>
        </is>
      </c>
      <c r="C598" t="inlineStr">
        <is>
          <t>MER00861</t>
        </is>
      </c>
      <c r="D598" s="8" t="n">
        <v>45733</v>
      </c>
      <c r="E598" t="n">
        <v>1216.44</v>
      </c>
      <c r="F598" t="inlineStr">
        <is>
          <t>UPI</t>
        </is>
      </c>
      <c r="G598" t="inlineStr">
        <is>
          <t>PAYZ9ZVAWR3J7</t>
        </is>
      </c>
      <c r="H598" t="inlineStr">
        <is>
          <t>Success</t>
        </is>
      </c>
      <c r="I598" t="inlineStr">
        <is>
          <t>BNKJ9BHLNEEPS28</t>
        </is>
      </c>
      <c r="J598" s="8" t="n">
        <v>45734</v>
      </c>
    </row>
    <row r="599">
      <c r="A599" t="inlineStr">
        <is>
          <t>PAY0014894</t>
        </is>
      </c>
      <c r="B599" t="inlineStr">
        <is>
          <t>INV0018235</t>
        </is>
      </c>
      <c r="C599" t="inlineStr">
        <is>
          <t>MER00861</t>
        </is>
      </c>
      <c r="D599" s="8" t="n">
        <v>45814</v>
      </c>
      <c r="E599" t="n">
        <v>1357.37</v>
      </c>
      <c r="F599" t="inlineStr">
        <is>
          <t>UPI</t>
        </is>
      </c>
      <c r="G599" t="inlineStr">
        <is>
          <t>PAYAVRW65KUBF</t>
        </is>
      </c>
      <c r="H599" t="inlineStr">
        <is>
          <t>Success</t>
        </is>
      </c>
      <c r="I599" t="inlineStr">
        <is>
          <t>BNKNK6WW7TQTFTE</t>
        </is>
      </c>
      <c r="J599" s="8" t="n">
        <v>45817</v>
      </c>
    </row>
    <row r="600">
      <c r="A600" t="inlineStr">
        <is>
          <t>PAY0014895</t>
        </is>
      </c>
      <c r="B600" t="inlineStr">
        <is>
          <t>INV0018240</t>
        </is>
      </c>
      <c r="C600" t="inlineStr">
        <is>
          <t>MER00861</t>
        </is>
      </c>
      <c r="D600" s="8" t="n">
        <v>45945</v>
      </c>
      <c r="E600" t="n">
        <v>1426.68</v>
      </c>
      <c r="F600" t="inlineStr">
        <is>
          <t>NetBanking</t>
        </is>
      </c>
      <c r="G600" t="inlineStr">
        <is>
          <t>PAYJQZLC2V42Y</t>
        </is>
      </c>
      <c r="H600" t="inlineStr">
        <is>
          <t>Success</t>
        </is>
      </c>
      <c r="I600" t="inlineStr">
        <is>
          <t>BNKSNAZ4BBNLATZ</t>
        </is>
      </c>
      <c r="J600" s="8" t="n">
        <v>45946</v>
      </c>
    </row>
    <row r="601">
      <c r="A601" t="inlineStr">
        <is>
          <t>PAY0014896</t>
        </is>
      </c>
      <c r="B601" t="inlineStr">
        <is>
          <t>INV0018241</t>
        </is>
      </c>
      <c r="C601" t="inlineStr">
        <is>
          <t>MER00861</t>
        </is>
      </c>
      <c r="D601" s="8" t="n">
        <v>46003</v>
      </c>
      <c r="E601" t="n">
        <v>1194.04</v>
      </c>
      <c r="F601" t="inlineStr">
        <is>
          <t>UPI</t>
        </is>
      </c>
      <c r="G601" t="inlineStr">
        <is>
          <t>PAYNHWXYTBGN5</t>
        </is>
      </c>
      <c r="H601" t="inlineStr">
        <is>
          <t>Success</t>
        </is>
      </c>
      <c r="I601" t="inlineStr">
        <is>
          <t>BNK45UFM764LG9G</t>
        </is>
      </c>
      <c r="J601" s="8" t="n">
        <v>46006</v>
      </c>
    </row>
    <row r="602">
      <c r="A602" t="inlineStr">
        <is>
          <t>PAY0014897</t>
        </is>
      </c>
      <c r="B602" t="inlineStr">
        <is>
          <t>INV0018242</t>
        </is>
      </c>
      <c r="C602" t="inlineStr">
        <is>
          <t>MER00861</t>
        </is>
      </c>
      <c r="D602" s="8" t="n">
        <v>46026</v>
      </c>
      <c r="E602" t="n">
        <v>2684.71</v>
      </c>
      <c r="F602" t="inlineStr">
        <is>
          <t>UPI</t>
        </is>
      </c>
      <c r="G602" t="inlineStr">
        <is>
          <t>PAY8LL7KVFY9C</t>
        </is>
      </c>
      <c r="H602" t="inlineStr">
        <is>
          <t>Success</t>
        </is>
      </c>
      <c r="I602" t="inlineStr">
        <is>
          <t>BNKLS6XW2XQ55ZS</t>
        </is>
      </c>
      <c r="J602" s="8" t="n">
        <v>46029</v>
      </c>
    </row>
    <row r="603">
      <c r="A603" t="inlineStr">
        <is>
          <t>PAY0014898</t>
        </is>
      </c>
      <c r="B603" t="inlineStr">
        <is>
          <t>INV0018243</t>
        </is>
      </c>
      <c r="C603" t="inlineStr">
        <is>
          <t>MER00861</t>
        </is>
      </c>
      <c r="D603" s="8" t="n">
        <v>46058</v>
      </c>
      <c r="E603" t="n">
        <v>1366.35</v>
      </c>
      <c r="F603" t="inlineStr">
        <is>
          <t>NetBanking</t>
        </is>
      </c>
      <c r="G603" t="inlineStr">
        <is>
          <t>PAYD9ZA4B7ZY2</t>
        </is>
      </c>
      <c r="H603" t="inlineStr">
        <is>
          <t>Success</t>
        </is>
      </c>
      <c r="I603" t="inlineStr">
        <is>
          <t>BNKKTGR7J2MAJDR</t>
        </is>
      </c>
      <c r="J603" s="8" t="n">
        <v>46060</v>
      </c>
    </row>
    <row r="604">
      <c r="A604" t="inlineStr">
        <is>
          <t>PAY0014899</t>
        </is>
      </c>
      <c r="B604" t="inlineStr">
        <is>
          <t>INV0018245</t>
        </is>
      </c>
      <c r="C604" t="inlineStr">
        <is>
          <t>MER00861</t>
        </is>
      </c>
      <c r="D604" s="8" t="n">
        <v>46121</v>
      </c>
      <c r="E604" t="n">
        <v>1371.68</v>
      </c>
      <c r="F604" t="inlineStr">
        <is>
          <t>Card</t>
        </is>
      </c>
      <c r="G604" t="inlineStr">
        <is>
          <t>PAYS9NWN37ANV</t>
        </is>
      </c>
      <c r="H604" t="inlineStr">
        <is>
          <t>Success</t>
        </is>
      </c>
      <c r="I604" t="inlineStr">
        <is>
          <t>BNKDAKMBXU372R3</t>
        </is>
      </c>
      <c r="J604" s="8" t="n">
        <v>46124</v>
      </c>
    </row>
    <row r="605">
      <c r="A605" t="inlineStr">
        <is>
          <t>PAY0014900</t>
        </is>
      </c>
      <c r="B605" t="inlineStr">
        <is>
          <t>INV0018246</t>
        </is>
      </c>
      <c r="C605" t="inlineStr">
        <is>
          <t>MER00861</t>
        </is>
      </c>
      <c r="D605" s="8" t="n">
        <v>46138</v>
      </c>
      <c r="E605" t="n">
        <v>657.66</v>
      </c>
      <c r="F605" t="inlineStr">
        <is>
          <t>UPI</t>
        </is>
      </c>
      <c r="G605" t="inlineStr">
        <is>
          <t>PAY45J4BF9HQ2</t>
        </is>
      </c>
      <c r="H605" t="inlineStr">
        <is>
          <t>Success</t>
        </is>
      </c>
      <c r="I605" t="inlineStr">
        <is>
          <t>BNKMJDLZYH3CUTV</t>
        </is>
      </c>
      <c r="J605" s="8" t="n">
        <v>46141</v>
      </c>
    </row>
    <row r="606">
      <c r="A606" t="inlineStr">
        <is>
          <t>PAY0014901</t>
        </is>
      </c>
      <c r="B606" t="inlineStr">
        <is>
          <t>INV0018247</t>
        </is>
      </c>
      <c r="C606" t="inlineStr">
        <is>
          <t>MER00861</t>
        </is>
      </c>
      <c r="D606" s="8" t="n">
        <v>46170</v>
      </c>
      <c r="E606" t="n">
        <v>1738.9</v>
      </c>
      <c r="F606" t="inlineStr">
        <is>
          <t>UPI</t>
        </is>
      </c>
      <c r="G606" t="inlineStr">
        <is>
          <t>PAYYSCNFKQP9E</t>
        </is>
      </c>
      <c r="H606" t="inlineStr">
        <is>
          <t>Success</t>
        </is>
      </c>
      <c r="I606" t="inlineStr">
        <is>
          <t>BNK8XCKRG45DQUD</t>
        </is>
      </c>
      <c r="J606" s="8" t="n">
        <v>46173</v>
      </c>
    </row>
    <row r="607">
      <c r="A607" t="inlineStr">
        <is>
          <t>PAY0014902</t>
        </is>
      </c>
      <c r="B607" t="inlineStr">
        <is>
          <t>INV0018248</t>
        </is>
      </c>
      <c r="C607" t="inlineStr">
        <is>
          <t>MER00861</t>
        </is>
      </c>
      <c r="D607" s="8" t="n">
        <v>46204</v>
      </c>
      <c r="E607" t="n">
        <v>1332.7</v>
      </c>
      <c r="F607" t="inlineStr">
        <is>
          <t>NetBanking</t>
        </is>
      </c>
      <c r="G607" t="inlineStr">
        <is>
          <t>PAYRWXBKSH2ZZ</t>
        </is>
      </c>
      <c r="H607" t="inlineStr">
        <is>
          <t>Success</t>
        </is>
      </c>
      <c r="I607" t="inlineStr">
        <is>
          <t>BNKGCKLT4464WD6</t>
        </is>
      </c>
      <c r="J607" s="8" t="n">
        <v>46207</v>
      </c>
    </row>
    <row r="608">
      <c r="A608" t="inlineStr">
        <is>
          <t>PAY0014903</t>
        </is>
      </c>
      <c r="B608" t="inlineStr">
        <is>
          <t>INV0018249</t>
        </is>
      </c>
      <c r="C608" t="inlineStr">
        <is>
          <t>MER00861</t>
        </is>
      </c>
      <c r="D608" s="8" t="n">
        <v>46234</v>
      </c>
      <c r="E608" t="n">
        <v>1188.85</v>
      </c>
      <c r="F608" t="inlineStr">
        <is>
          <t>COD</t>
        </is>
      </c>
      <c r="G608" t="inlineStr">
        <is>
          <t>PAYTARCP5G3Q4</t>
        </is>
      </c>
      <c r="H608" t="inlineStr">
        <is>
          <t>Success</t>
        </is>
      </c>
      <c r="I608" t="inlineStr">
        <is>
          <t>BNKE5FBYTWRBME8</t>
        </is>
      </c>
      <c r="J608" s="8" t="n">
        <v>46237</v>
      </c>
    </row>
    <row r="609">
      <c r="A609" t="inlineStr">
        <is>
          <t>PAY0015053</t>
        </is>
      </c>
      <c r="B609" t="inlineStr">
        <is>
          <t>INV0019118</t>
        </is>
      </c>
      <c r="C609" t="inlineStr">
        <is>
          <t>MER00902</t>
        </is>
      </c>
      <c r="D609" s="8" t="n">
        <v>45631</v>
      </c>
      <c r="E609" t="n">
        <v>549.79</v>
      </c>
      <c r="F609" t="inlineStr">
        <is>
          <t>Card</t>
        </is>
      </c>
      <c r="G609" t="inlineStr">
        <is>
          <t>PAYJSBXB8AKUC</t>
        </is>
      </c>
      <c r="H609" t="inlineStr">
        <is>
          <t>Success</t>
        </is>
      </c>
      <c r="I609" t="inlineStr">
        <is>
          <t>BNKWUKAPKMHQWN6</t>
        </is>
      </c>
      <c r="J609" s="8" t="n">
        <v>45633</v>
      </c>
    </row>
    <row r="610">
      <c r="A610" t="inlineStr">
        <is>
          <t>PAY0015054</t>
        </is>
      </c>
      <c r="B610" t="inlineStr">
        <is>
          <t>INV0019120</t>
        </is>
      </c>
      <c r="C610" t="inlineStr">
        <is>
          <t>MER00902</t>
        </is>
      </c>
      <c r="D610" s="8" t="n">
        <v>45678</v>
      </c>
      <c r="E610" t="n">
        <v>824.6799999999999</v>
      </c>
      <c r="F610" t="inlineStr">
        <is>
          <t>UPI</t>
        </is>
      </c>
      <c r="G610" t="inlineStr">
        <is>
          <t>PAYLKF8GKFA5T</t>
        </is>
      </c>
      <c r="H610" t="inlineStr">
        <is>
          <t>Success</t>
        </is>
      </c>
      <c r="I610" t="inlineStr">
        <is>
          <t>BNKM2WTLDL9UQAT</t>
        </is>
      </c>
      <c r="J610" s="8" t="n">
        <v>45681</v>
      </c>
    </row>
    <row r="611">
      <c r="A611" t="inlineStr">
        <is>
          <t>PAY0015055</t>
        </is>
      </c>
      <c r="B611" t="inlineStr">
        <is>
          <t>INV0019123</t>
        </is>
      </c>
      <c r="C611" t="inlineStr">
        <is>
          <t>MER00902</t>
        </is>
      </c>
      <c r="D611" s="8" t="n">
        <v>45747</v>
      </c>
      <c r="E611" t="n">
        <v>420.75</v>
      </c>
      <c r="F611" t="inlineStr">
        <is>
          <t>UPI</t>
        </is>
      </c>
      <c r="G611" t="inlineStr">
        <is>
          <t>PAY7NCZNWNJPH</t>
        </is>
      </c>
      <c r="H611" t="inlineStr">
        <is>
          <t>Success</t>
        </is>
      </c>
      <c r="I611" t="inlineStr">
        <is>
          <t>BNKAQEDKZK29ARA</t>
        </is>
      </c>
      <c r="J611" s="8" t="n">
        <v>45750</v>
      </c>
    </row>
    <row r="612">
      <c r="A612" t="inlineStr">
        <is>
          <t>PAY0015056</t>
        </is>
      </c>
      <c r="B612" t="inlineStr">
        <is>
          <t>INV0019126</t>
        </is>
      </c>
      <c r="C612" t="inlineStr">
        <is>
          <t>MER00902</t>
        </is>
      </c>
      <c r="D612" s="8" t="n">
        <v>45854</v>
      </c>
      <c r="E612" t="n">
        <v>401.92</v>
      </c>
      <c r="F612" t="inlineStr">
        <is>
          <t>UPI</t>
        </is>
      </c>
      <c r="G612" t="inlineStr">
        <is>
          <t>PAY6KVV2SKKR9</t>
        </is>
      </c>
      <c r="H612" t="inlineStr">
        <is>
          <t>Success</t>
        </is>
      </c>
      <c r="I612" t="inlineStr">
        <is>
          <t>BNKSPY7WMT9278S</t>
        </is>
      </c>
      <c r="J612" s="8" t="n">
        <v>45857</v>
      </c>
    </row>
    <row r="613">
      <c r="A613" t="inlineStr">
        <is>
          <t>PAY0015057</t>
        </is>
      </c>
      <c r="B613" t="inlineStr">
        <is>
          <t>INV0019128</t>
        </is>
      </c>
      <c r="C613" t="inlineStr">
        <is>
          <t>MER00902</t>
        </is>
      </c>
      <c r="D613" s="8" t="n">
        <v>45907</v>
      </c>
      <c r="E613" t="n">
        <v>619.75</v>
      </c>
      <c r="F613" t="inlineStr">
        <is>
          <t>UPI</t>
        </is>
      </c>
      <c r="G613" t="inlineStr">
        <is>
          <t>PAYKZRQLGKK8Q</t>
        </is>
      </c>
      <c r="H613" t="inlineStr">
        <is>
          <t>Success</t>
        </is>
      </c>
      <c r="I613" t="inlineStr">
        <is>
          <t>BNKDRQWJMF8AGP5</t>
        </is>
      </c>
      <c r="J613" s="8" t="n">
        <v>45910</v>
      </c>
    </row>
    <row r="614">
      <c r="A614" t="inlineStr">
        <is>
          <t>PAY0015058</t>
        </is>
      </c>
      <c r="B614" t="inlineStr">
        <is>
          <t>INV0019129</t>
        </is>
      </c>
      <c r="C614" t="inlineStr">
        <is>
          <t>MER00902</t>
        </is>
      </c>
      <c r="D614" s="8" t="n">
        <v>45952</v>
      </c>
      <c r="E614" t="n">
        <v>1173.1</v>
      </c>
      <c r="F614" t="inlineStr">
        <is>
          <t>UPI</t>
        </is>
      </c>
      <c r="G614" t="inlineStr">
        <is>
          <t>PAYMUJ56NC655</t>
        </is>
      </c>
      <c r="H614" t="inlineStr">
        <is>
          <t>Success</t>
        </is>
      </c>
      <c r="I614" t="inlineStr">
        <is>
          <t>BNK529H4VCR2P4C</t>
        </is>
      </c>
      <c r="J614" s="8" t="n">
        <v>45955</v>
      </c>
    </row>
    <row r="615">
      <c r="A615" t="inlineStr">
        <is>
          <t>PAY0015059</t>
        </is>
      </c>
      <c r="B615" t="inlineStr">
        <is>
          <t>INV0019130</t>
        </is>
      </c>
      <c r="C615" t="inlineStr">
        <is>
          <t>MER00902</t>
        </is>
      </c>
      <c r="D615" s="8" t="n">
        <v>45989</v>
      </c>
      <c r="E615" t="n">
        <v>384.53</v>
      </c>
      <c r="F615" t="inlineStr">
        <is>
          <t>UPI</t>
        </is>
      </c>
      <c r="G615" t="inlineStr">
        <is>
          <t>PAYYCJRP5XXHW</t>
        </is>
      </c>
      <c r="H615" t="inlineStr">
        <is>
          <t>Success</t>
        </is>
      </c>
      <c r="I615" t="inlineStr">
        <is>
          <t>BNK8SL8TBCWG2EP</t>
        </is>
      </c>
      <c r="J615" s="8" t="n">
        <v>45992</v>
      </c>
    </row>
    <row r="616">
      <c r="A616" t="inlineStr">
        <is>
          <t>PAY0015060</t>
        </is>
      </c>
      <c r="B616" t="inlineStr">
        <is>
          <t>INV0019133</t>
        </is>
      </c>
      <c r="C616" t="inlineStr">
        <is>
          <t>MER00902</t>
        </is>
      </c>
      <c r="D616" s="8" t="n">
        <v>46086</v>
      </c>
      <c r="E616" t="n">
        <v>335.54</v>
      </c>
      <c r="F616" t="inlineStr">
        <is>
          <t>Card</t>
        </is>
      </c>
      <c r="G616" t="inlineStr">
        <is>
          <t>PAYFTZPL2ZAWY</t>
        </is>
      </c>
      <c r="H616" t="inlineStr">
        <is>
          <t>Success</t>
        </is>
      </c>
      <c r="I616" t="inlineStr">
        <is>
          <t>BNKHSFS9KU3TJ3B</t>
        </is>
      </c>
      <c r="J616" s="8" t="n">
        <v>46089</v>
      </c>
    </row>
    <row r="617">
      <c r="A617" t="inlineStr">
        <is>
          <t>PAY0015061</t>
        </is>
      </c>
      <c r="B617" t="inlineStr">
        <is>
          <t>INV0019135</t>
        </is>
      </c>
      <c r="C617" t="inlineStr">
        <is>
          <t>MER00902</t>
        </is>
      </c>
      <c r="D617" s="8" t="n">
        <v>46146</v>
      </c>
      <c r="E617" t="n">
        <v>588.6</v>
      </c>
      <c r="F617" t="inlineStr">
        <is>
          <t>UPI</t>
        </is>
      </c>
      <c r="G617" t="inlineStr">
        <is>
          <t>PAY4MTE545M26</t>
        </is>
      </c>
      <c r="H617" t="inlineStr">
        <is>
          <t>Success</t>
        </is>
      </c>
      <c r="I617" t="inlineStr">
        <is>
          <t>BNKQJUYQLGVRFKU</t>
        </is>
      </c>
      <c r="J617" s="8" t="n">
        <v>46148</v>
      </c>
    </row>
    <row r="618">
      <c r="A618" t="inlineStr">
        <is>
          <t>PAY0015062</t>
        </is>
      </c>
      <c r="B618" t="inlineStr">
        <is>
          <t>INV0019136</t>
        </is>
      </c>
      <c r="C618" t="inlineStr">
        <is>
          <t>MER00902</t>
        </is>
      </c>
      <c r="D618" s="8" t="n">
        <v>46161</v>
      </c>
      <c r="E618" t="n">
        <v>545.96</v>
      </c>
      <c r="F618" t="inlineStr">
        <is>
          <t>UPI</t>
        </is>
      </c>
      <c r="G618" t="inlineStr">
        <is>
          <t>PAYY2L5Z45XMY</t>
        </is>
      </c>
      <c r="H618" t="inlineStr">
        <is>
          <t>Success</t>
        </is>
      </c>
      <c r="I618" t="inlineStr">
        <is>
          <t>BNKDTNTZM7DLSEX</t>
        </is>
      </c>
      <c r="J618" s="8" t="n">
        <v>46163</v>
      </c>
    </row>
    <row r="619">
      <c r="A619" t="inlineStr">
        <is>
          <t>PAY0015063</t>
        </is>
      </c>
      <c r="B619" t="inlineStr">
        <is>
          <t>INV0019137</t>
        </is>
      </c>
      <c r="C619" t="inlineStr">
        <is>
          <t>MER00902</t>
        </is>
      </c>
      <c r="D619" s="8" t="n">
        <v>46173</v>
      </c>
      <c r="E619" t="n">
        <v>871.65</v>
      </c>
      <c r="F619" t="inlineStr">
        <is>
          <t>UPI</t>
        </is>
      </c>
      <c r="G619" t="inlineStr">
        <is>
          <t>PAY8B7QN6PVMG</t>
        </is>
      </c>
      <c r="H619" t="inlineStr">
        <is>
          <t>Success</t>
        </is>
      </c>
      <c r="I619" t="inlineStr">
        <is>
          <t>BNK74YQV74Z7UDA</t>
        </is>
      </c>
      <c r="J619" s="8" t="n">
        <v>46176</v>
      </c>
    </row>
    <row r="620">
      <c r="A620" t="inlineStr">
        <is>
          <t>PAY0015064</t>
        </is>
      </c>
      <c r="B620" t="inlineStr">
        <is>
          <t>INV0019138</t>
        </is>
      </c>
      <c r="C620" t="inlineStr">
        <is>
          <t>MER00902</t>
        </is>
      </c>
      <c r="D620" s="8" t="n">
        <v>46202</v>
      </c>
      <c r="E620" t="n">
        <v>1086.78</v>
      </c>
      <c r="F620" t="inlineStr">
        <is>
          <t>UPI</t>
        </is>
      </c>
      <c r="G620" t="inlineStr">
        <is>
          <t>PAYUHCGFFY93H</t>
        </is>
      </c>
      <c r="H620" t="inlineStr">
        <is>
          <t>Success</t>
        </is>
      </c>
      <c r="I620" t="inlineStr">
        <is>
          <t>BNK696E3C4JRC6N</t>
        </is>
      </c>
      <c r="J620" s="8" t="n">
        <v>46205</v>
      </c>
    </row>
    <row r="621">
      <c r="A621" t="inlineStr">
        <is>
          <t>PAY0015065</t>
        </is>
      </c>
      <c r="B621" t="inlineStr">
        <is>
          <t>INV0019140</t>
        </is>
      </c>
      <c r="C621" t="inlineStr">
        <is>
          <t>MER00902</t>
        </is>
      </c>
      <c r="D621" s="8" t="n">
        <v>46288</v>
      </c>
      <c r="E621" t="n">
        <v>626.3</v>
      </c>
      <c r="F621" t="inlineStr">
        <is>
          <t>COD</t>
        </is>
      </c>
      <c r="G621" t="inlineStr">
        <is>
          <t>PAY399N4J53A6</t>
        </is>
      </c>
      <c r="H621" t="inlineStr">
        <is>
          <t>Success</t>
        </is>
      </c>
      <c r="I621" t="inlineStr">
        <is>
          <t>BNK2TVTBUKPNAB5</t>
        </is>
      </c>
      <c r="J621" s="8" t="n">
        <v>46291</v>
      </c>
    </row>
    <row r="622">
      <c r="A622" t="inlineStr">
        <is>
          <t>PAY0015385</t>
        </is>
      </c>
      <c r="B622" t="inlineStr">
        <is>
          <t>INV0002949</t>
        </is>
      </c>
      <c r="C622" t="inlineStr">
        <is>
          <t>MER00139</t>
        </is>
      </c>
      <c r="D622" s="8" t="n">
        <v>45713</v>
      </c>
      <c r="E622" t="n">
        <v>1080.79</v>
      </c>
      <c r="F622" t="inlineStr">
        <is>
          <t>UPI</t>
        </is>
      </c>
      <c r="G622" t="inlineStr">
        <is>
          <t>PAY9Q6USZN4ZU</t>
        </is>
      </c>
      <c r="H622" t="inlineStr">
        <is>
          <t>Success</t>
        </is>
      </c>
      <c r="I622" t="inlineStr">
        <is>
          <t>BNK9RD487TLY6Z2</t>
        </is>
      </c>
      <c r="J622" s="8" t="n">
        <v>45714</v>
      </c>
    </row>
    <row r="623">
      <c r="A623" t="inlineStr">
        <is>
          <t>PAY0015386</t>
        </is>
      </c>
      <c r="B623" t="inlineStr">
        <is>
          <t>INV0002955</t>
        </is>
      </c>
      <c r="C623" t="inlineStr">
        <is>
          <t>MER00139</t>
        </is>
      </c>
      <c r="D623" s="8" t="n">
        <v>45889</v>
      </c>
      <c r="E623" t="n">
        <v>706.05</v>
      </c>
      <c r="F623" t="inlineStr">
        <is>
          <t>Card</t>
        </is>
      </c>
      <c r="G623" t="inlineStr">
        <is>
          <t>PAYZR6NJ4VYEZ</t>
        </is>
      </c>
      <c r="H623" t="inlineStr">
        <is>
          <t>Success</t>
        </is>
      </c>
      <c r="I623" t="inlineStr">
        <is>
          <t>BNKF9P26QY2FMPH</t>
        </is>
      </c>
      <c r="J623" s="8" t="n">
        <v>45892</v>
      </c>
    </row>
    <row r="624">
      <c r="A624" t="inlineStr">
        <is>
          <t>PAY0015387</t>
        </is>
      </c>
      <c r="B624" t="inlineStr">
        <is>
          <t>INV0002958</t>
        </is>
      </c>
      <c r="C624" t="inlineStr">
        <is>
          <t>MER00139</t>
        </is>
      </c>
      <c r="D624" s="8" t="n">
        <v>46020</v>
      </c>
      <c r="E624" t="n">
        <v>439.83</v>
      </c>
      <c r="F624" t="inlineStr">
        <is>
          <t>NetBanking</t>
        </is>
      </c>
      <c r="G624" t="inlineStr">
        <is>
          <t>PAYWK3VCKBWCR</t>
        </is>
      </c>
      <c r="H624" t="inlineStr">
        <is>
          <t>Success</t>
        </is>
      </c>
      <c r="I624" t="inlineStr">
        <is>
          <t>BNK7VA3TG7NQXCM</t>
        </is>
      </c>
      <c r="J624" s="8" t="n">
        <v>46022</v>
      </c>
    </row>
    <row r="625">
      <c r="A625" t="inlineStr">
        <is>
          <t>PAY0015388</t>
        </is>
      </c>
      <c r="B625" t="inlineStr">
        <is>
          <t>INV0002963</t>
        </is>
      </c>
      <c r="C625" t="inlineStr">
        <is>
          <t>MER00139</t>
        </is>
      </c>
      <c r="D625" s="8" t="n">
        <v>46169</v>
      </c>
      <c r="E625" t="n">
        <v>1384.04</v>
      </c>
      <c r="F625" t="inlineStr">
        <is>
          <t>UPI</t>
        </is>
      </c>
      <c r="G625" t="inlineStr">
        <is>
          <t>PAYWSNYKMHZMU</t>
        </is>
      </c>
      <c r="H625" t="inlineStr">
        <is>
          <t>Success</t>
        </is>
      </c>
      <c r="I625" t="inlineStr">
        <is>
          <t>BNKXZF9JVZLLLAG</t>
        </is>
      </c>
      <c r="J625" s="8" t="n">
        <v>46170</v>
      </c>
    </row>
    <row r="626">
      <c r="A626" t="inlineStr">
        <is>
          <t>PAY0015389</t>
        </is>
      </c>
      <c r="B626" t="inlineStr">
        <is>
          <t>INV0002964</t>
        </is>
      </c>
      <c r="C626" t="inlineStr">
        <is>
          <t>MER00139</t>
        </is>
      </c>
      <c r="D626" s="8" t="n">
        <v>46179</v>
      </c>
      <c r="E626" t="n">
        <v>566.0700000000001</v>
      </c>
      <c r="F626" t="inlineStr">
        <is>
          <t>UPI</t>
        </is>
      </c>
      <c r="G626" t="inlineStr">
        <is>
          <t>PAY7UXYHJH9J2</t>
        </is>
      </c>
      <c r="H626" t="inlineStr">
        <is>
          <t>Success</t>
        </is>
      </c>
      <c r="I626" t="inlineStr">
        <is>
          <t>BNKDQ9ADZACTYCG</t>
        </is>
      </c>
      <c r="J626" s="8" t="n">
        <v>46182</v>
      </c>
    </row>
    <row r="627">
      <c r="A627" t="inlineStr">
        <is>
          <t>PAY0015606</t>
        </is>
      </c>
      <c r="B627" t="inlineStr">
        <is>
          <t>INV0007299</t>
        </is>
      </c>
      <c r="C627" t="inlineStr">
        <is>
          <t>MER00346</t>
        </is>
      </c>
      <c r="D627" s="8" t="n">
        <v>45711</v>
      </c>
      <c r="E627" t="n">
        <v>207</v>
      </c>
      <c r="F627" t="inlineStr">
        <is>
          <t>UPI</t>
        </is>
      </c>
      <c r="G627" t="inlineStr">
        <is>
          <t>PAYBA6P2A2CJ6</t>
        </is>
      </c>
      <c r="H627" t="inlineStr">
        <is>
          <t>Success</t>
        </is>
      </c>
      <c r="I627" t="inlineStr">
        <is>
          <t>BNKQMN4T69WDSZC</t>
        </is>
      </c>
      <c r="J627" s="8" t="n">
        <v>45712</v>
      </c>
    </row>
    <row r="628">
      <c r="A628" t="inlineStr">
        <is>
          <t>PAY0015607</t>
        </is>
      </c>
      <c r="B628" t="inlineStr">
        <is>
          <t>INV0007300</t>
        </is>
      </c>
      <c r="C628" t="inlineStr">
        <is>
          <t>MER00346</t>
        </is>
      </c>
      <c r="D628" s="8" t="n">
        <v>45750</v>
      </c>
      <c r="E628" t="n">
        <v>73.81999999999999</v>
      </c>
      <c r="F628" t="inlineStr">
        <is>
          <t>Card</t>
        </is>
      </c>
      <c r="G628" t="inlineStr">
        <is>
          <t>PAYPURV8HNA5W</t>
        </is>
      </c>
      <c r="H628" t="inlineStr">
        <is>
          <t>Success</t>
        </is>
      </c>
      <c r="I628" t="inlineStr">
        <is>
          <t>BNKTG5ET9T4C6KE</t>
        </is>
      </c>
      <c r="J628" s="8" t="n">
        <v>45752</v>
      </c>
    </row>
    <row r="629">
      <c r="A629" t="inlineStr">
        <is>
          <t>PAY0015608</t>
        </is>
      </c>
      <c r="B629" t="inlineStr">
        <is>
          <t>INV0007303</t>
        </is>
      </c>
      <c r="C629" t="inlineStr">
        <is>
          <t>MER00346</t>
        </is>
      </c>
      <c r="D629" s="8" t="n">
        <v>45843</v>
      </c>
      <c r="E629" t="n">
        <v>36.36</v>
      </c>
      <c r="F629" t="inlineStr">
        <is>
          <t>UPI</t>
        </is>
      </c>
      <c r="G629" t="inlineStr">
        <is>
          <t>PAYP42EC56WGM</t>
        </is>
      </c>
      <c r="H629" t="inlineStr">
        <is>
          <t>Success</t>
        </is>
      </c>
      <c r="I629" t="inlineStr">
        <is>
          <t>BNK8Q22JVEBU8CY</t>
        </is>
      </c>
      <c r="J629" s="8" t="n">
        <v>45844</v>
      </c>
    </row>
    <row r="630">
      <c r="A630" t="inlineStr">
        <is>
          <t>PAY0015609</t>
        </is>
      </c>
      <c r="B630" t="inlineStr">
        <is>
          <t>INV0007305</t>
        </is>
      </c>
      <c r="C630" t="inlineStr">
        <is>
          <t>MER00346</t>
        </is>
      </c>
      <c r="D630" s="8" t="n">
        <v>45916</v>
      </c>
      <c r="E630" t="n">
        <v>28.4</v>
      </c>
      <c r="F630" t="inlineStr">
        <is>
          <t>COD</t>
        </is>
      </c>
      <c r="G630" t="inlineStr">
        <is>
          <t>PAY8DD668ERUF</t>
        </is>
      </c>
      <c r="H630" t="inlineStr">
        <is>
          <t>Success</t>
        </is>
      </c>
      <c r="I630" t="inlineStr">
        <is>
          <t>BNKNA95UBG4B5SQ</t>
        </is>
      </c>
      <c r="J630" s="8" t="n">
        <v>45919</v>
      </c>
    </row>
    <row r="631">
      <c r="A631" t="inlineStr">
        <is>
          <t>PAY0015610</t>
        </is>
      </c>
      <c r="B631" t="inlineStr">
        <is>
          <t>INV0007311</t>
        </is>
      </c>
      <c r="C631" t="inlineStr">
        <is>
          <t>MER00346</t>
        </is>
      </c>
      <c r="D631" s="8" t="n">
        <v>46088</v>
      </c>
      <c r="E631" t="n">
        <v>179.83</v>
      </c>
      <c r="F631" t="inlineStr">
        <is>
          <t>COD</t>
        </is>
      </c>
      <c r="G631" t="inlineStr">
        <is>
          <t>PAY8YQ2WGBJ4P</t>
        </is>
      </c>
      <c r="H631" t="inlineStr">
        <is>
          <t>Success</t>
        </is>
      </c>
      <c r="I631" t="inlineStr">
        <is>
          <t>BNKRAUNSQ7WTJN5</t>
        </is>
      </c>
      <c r="J631" s="8" t="n">
        <v>46091</v>
      </c>
    </row>
    <row r="632">
      <c r="A632" t="inlineStr">
        <is>
          <t>PAY0015611</t>
        </is>
      </c>
      <c r="B632" t="inlineStr">
        <is>
          <t>INV0007315</t>
        </is>
      </c>
      <c r="C632" t="inlineStr">
        <is>
          <t>MER00346</t>
        </is>
      </c>
      <c r="D632" s="8" t="n">
        <v>46218</v>
      </c>
      <c r="E632" t="n">
        <v>50.59</v>
      </c>
      <c r="F632" t="inlineStr">
        <is>
          <t>Card</t>
        </is>
      </c>
      <c r="G632" t="inlineStr">
        <is>
          <t>PAYVG7XSX96MK</t>
        </is>
      </c>
      <c r="H632" t="inlineStr">
        <is>
          <t>Success</t>
        </is>
      </c>
      <c r="I632" t="inlineStr">
        <is>
          <t>BNK6XWV463YUJJV</t>
        </is>
      </c>
      <c r="J632" s="8" t="n">
        <v>46219</v>
      </c>
    </row>
    <row r="633">
      <c r="A633" t="inlineStr">
        <is>
          <t>PAY0015612</t>
        </is>
      </c>
      <c r="B633" t="inlineStr">
        <is>
          <t>INV0007316</t>
        </is>
      </c>
      <c r="C633" t="inlineStr">
        <is>
          <t>MER00346</t>
        </is>
      </c>
      <c r="D633" s="8" t="n">
        <v>46234</v>
      </c>
      <c r="E633" t="n">
        <v>121.2</v>
      </c>
      <c r="F633" t="inlineStr">
        <is>
          <t>UPI</t>
        </is>
      </c>
      <c r="G633" t="inlineStr">
        <is>
          <t>PAY8WRSPLSY69</t>
        </is>
      </c>
      <c r="H633" t="inlineStr">
        <is>
          <t>Success</t>
        </is>
      </c>
      <c r="I633" t="inlineStr">
        <is>
          <t>BNKFQB4ALYH3QPB</t>
        </is>
      </c>
      <c r="J633" s="8" t="n">
        <v>46235</v>
      </c>
    </row>
    <row r="634">
      <c r="A634" t="inlineStr">
        <is>
          <t>PAY0015744</t>
        </is>
      </c>
      <c r="B634" t="inlineStr">
        <is>
          <t>INV0010170</t>
        </is>
      </c>
      <c r="C634" t="inlineStr">
        <is>
          <t>MER00480</t>
        </is>
      </c>
      <c r="D634" s="8" t="n">
        <v>46141</v>
      </c>
      <c r="E634" t="n">
        <v>1736.55</v>
      </c>
      <c r="F634" t="inlineStr">
        <is>
          <t>Card</t>
        </is>
      </c>
      <c r="G634" t="inlineStr">
        <is>
          <t>PAYQ4M9PRUQWA</t>
        </is>
      </c>
      <c r="H634" t="inlineStr">
        <is>
          <t>Success</t>
        </is>
      </c>
      <c r="I634" t="inlineStr">
        <is>
          <t>BNKLNDXRJV9M8HH</t>
        </is>
      </c>
      <c r="J634" s="8" t="n">
        <v>46142</v>
      </c>
    </row>
    <row r="635">
      <c r="A635" t="inlineStr">
        <is>
          <t>PAY0015745</t>
        </is>
      </c>
      <c r="B635" t="inlineStr">
        <is>
          <t>INV0010172</t>
        </is>
      </c>
      <c r="C635" t="inlineStr">
        <is>
          <t>MER00480</t>
        </is>
      </c>
      <c r="D635" s="8" t="n">
        <v>46204</v>
      </c>
      <c r="E635" t="n">
        <v>694.55</v>
      </c>
      <c r="F635" t="inlineStr">
        <is>
          <t>UPI</t>
        </is>
      </c>
      <c r="G635" t="inlineStr">
        <is>
          <t>PAY478U8G4X9P</t>
        </is>
      </c>
      <c r="H635" t="inlineStr">
        <is>
          <t>Success</t>
        </is>
      </c>
      <c r="I635" t="inlineStr">
        <is>
          <t>BNKQS6HHS72E4S6</t>
        </is>
      </c>
      <c r="J635" s="8" t="n">
        <v>46206</v>
      </c>
    </row>
    <row r="636">
      <c r="A636" t="inlineStr">
        <is>
          <t>PAY0015906</t>
        </is>
      </c>
      <c r="B636" t="inlineStr">
        <is>
          <t>INV0013750</t>
        </is>
      </c>
      <c r="C636" t="inlineStr">
        <is>
          <t>MER00649</t>
        </is>
      </c>
      <c r="D636" s="8" t="n">
        <v>45824</v>
      </c>
      <c r="E636" t="n">
        <v>1050.44</v>
      </c>
      <c r="F636" t="inlineStr">
        <is>
          <t>Card</t>
        </is>
      </c>
      <c r="G636" t="inlineStr">
        <is>
          <t>PAYJU5BHE8HAZ</t>
        </is>
      </c>
      <c r="H636" t="inlineStr">
        <is>
          <t>Success</t>
        </is>
      </c>
      <c r="I636" t="inlineStr">
        <is>
          <t>BNKCS2S48EQ32ME</t>
        </is>
      </c>
      <c r="J636" s="8" t="n">
        <v>45827</v>
      </c>
    </row>
    <row r="637">
      <c r="A637" t="inlineStr">
        <is>
          <t>PAY0015907</t>
        </is>
      </c>
      <c r="B637" t="inlineStr">
        <is>
          <t>INV0013751</t>
        </is>
      </c>
      <c r="C637" t="inlineStr">
        <is>
          <t>MER00649</t>
        </is>
      </c>
      <c r="D637" s="8" t="n">
        <v>45868</v>
      </c>
      <c r="E637" t="n">
        <v>900.3099999999999</v>
      </c>
      <c r="F637" t="inlineStr">
        <is>
          <t>UPI</t>
        </is>
      </c>
      <c r="G637" t="inlineStr">
        <is>
          <t>PAYUCF4AD77TA</t>
        </is>
      </c>
      <c r="H637" t="inlineStr">
        <is>
          <t>Success</t>
        </is>
      </c>
      <c r="I637" t="inlineStr">
        <is>
          <t>BNKAZUEQY5Y4B3U</t>
        </is>
      </c>
      <c r="J637" s="8" t="n">
        <v>45869</v>
      </c>
    </row>
    <row r="638">
      <c r="A638" t="inlineStr">
        <is>
          <t>PAY0015908</t>
        </is>
      </c>
      <c r="B638" t="inlineStr">
        <is>
          <t>INV0013758</t>
        </is>
      </c>
      <c r="C638" t="inlineStr">
        <is>
          <t>MER00649</t>
        </is>
      </c>
      <c r="D638" s="8" t="n">
        <v>46054</v>
      </c>
      <c r="E638" t="n">
        <v>771.63</v>
      </c>
      <c r="F638" t="inlineStr">
        <is>
          <t>Wallet</t>
        </is>
      </c>
      <c r="G638" t="inlineStr">
        <is>
          <t>PAYNZG9X4GZ6U</t>
        </is>
      </c>
      <c r="H638" t="inlineStr">
        <is>
          <t>Success</t>
        </is>
      </c>
      <c r="I638" t="inlineStr">
        <is>
          <t>BNKTTCPUDST2825</t>
        </is>
      </c>
      <c r="J638" s="8" t="n">
        <v>46056</v>
      </c>
    </row>
    <row r="639">
      <c r="A639" t="inlineStr">
        <is>
          <t>PAY0015909</t>
        </is>
      </c>
      <c r="B639" t="inlineStr">
        <is>
          <t>INV0013761</t>
        </is>
      </c>
      <c r="C639" t="inlineStr">
        <is>
          <t>MER00649</t>
        </is>
      </c>
      <c r="D639" s="8" t="n">
        <v>46162</v>
      </c>
      <c r="E639" t="n">
        <v>1031.44</v>
      </c>
      <c r="F639" t="inlineStr">
        <is>
          <t>Card</t>
        </is>
      </c>
      <c r="G639" t="inlineStr">
        <is>
          <t>PAYBCGEGB536G</t>
        </is>
      </c>
      <c r="H639" t="inlineStr">
        <is>
          <t>Success</t>
        </is>
      </c>
      <c r="I639" t="inlineStr">
        <is>
          <t>BNKV64QYE3L4J4E</t>
        </is>
      </c>
      <c r="J639" s="8" t="n">
        <v>46164</v>
      </c>
    </row>
    <row r="640">
      <c r="A640" t="inlineStr">
        <is>
          <t>PAY0015910</t>
        </is>
      </c>
      <c r="B640" t="inlineStr">
        <is>
          <t>INV0013762</t>
        </is>
      </c>
      <c r="C640" t="inlineStr">
        <is>
          <t>MER00649</t>
        </is>
      </c>
      <c r="D640" s="8" t="n">
        <v>46206</v>
      </c>
      <c r="E640" t="n">
        <v>690.79</v>
      </c>
      <c r="F640" t="inlineStr">
        <is>
          <t>Card</t>
        </is>
      </c>
      <c r="G640" t="inlineStr">
        <is>
          <t>PAY44NQP7HAUD</t>
        </is>
      </c>
      <c r="H640" t="inlineStr">
        <is>
          <t>Success</t>
        </is>
      </c>
      <c r="I640" t="inlineStr">
        <is>
          <t>BNKYYAP3MEA5HSK</t>
        </is>
      </c>
      <c r="J640" s="8" t="n">
        <v>46208</v>
      </c>
    </row>
    <row r="641">
      <c r="A641" t="inlineStr">
        <is>
          <t>PAY0015932</t>
        </is>
      </c>
      <c r="B641" t="inlineStr">
        <is>
          <t>INV0014039</t>
        </is>
      </c>
      <c r="C641" t="inlineStr">
        <is>
          <t>MER00662</t>
        </is>
      </c>
      <c r="D641" s="8" t="n">
        <v>45688</v>
      </c>
      <c r="E641" t="n">
        <v>707.5</v>
      </c>
      <c r="F641" t="inlineStr">
        <is>
          <t>Card</t>
        </is>
      </c>
      <c r="G641" t="inlineStr">
        <is>
          <t>PAY5KA4EEXXJ6</t>
        </is>
      </c>
      <c r="H641" t="inlineStr">
        <is>
          <t>Success</t>
        </is>
      </c>
      <c r="I641" t="inlineStr">
        <is>
          <t>BNKAZJDLDLKUHUM</t>
        </is>
      </c>
      <c r="J641" s="8" t="n">
        <v>45691</v>
      </c>
    </row>
    <row r="642">
      <c r="A642" t="inlineStr">
        <is>
          <t>PAY0015933</t>
        </is>
      </c>
      <c r="B642" t="inlineStr">
        <is>
          <t>INV0014043</t>
        </is>
      </c>
      <c r="C642" t="inlineStr">
        <is>
          <t>MER00662</t>
        </is>
      </c>
      <c r="D642" s="8" t="n">
        <v>45806</v>
      </c>
      <c r="E642" t="n">
        <v>315.16</v>
      </c>
      <c r="F642" t="inlineStr">
        <is>
          <t>Wallet</t>
        </is>
      </c>
      <c r="G642" t="inlineStr">
        <is>
          <t>PAYXWGSPFDUFY</t>
        </is>
      </c>
      <c r="H642" t="inlineStr">
        <is>
          <t>Success</t>
        </is>
      </c>
      <c r="I642" t="inlineStr">
        <is>
          <t>BNKCX7WZZ657UA9</t>
        </is>
      </c>
      <c r="J642" s="8" t="n">
        <v>45808</v>
      </c>
    </row>
    <row r="643">
      <c r="A643" t="inlineStr">
        <is>
          <t>PAY0015934</t>
        </is>
      </c>
      <c r="B643" t="inlineStr">
        <is>
          <t>INV0014046</t>
        </is>
      </c>
      <c r="C643" t="inlineStr">
        <is>
          <t>MER00662</t>
        </is>
      </c>
      <c r="D643" s="8" t="n">
        <v>45906</v>
      </c>
      <c r="E643" t="n">
        <v>411.38</v>
      </c>
      <c r="F643" t="inlineStr">
        <is>
          <t>UPI</t>
        </is>
      </c>
      <c r="G643" t="inlineStr">
        <is>
          <t>PAY3WNYXJEU7A</t>
        </is>
      </c>
      <c r="H643" t="inlineStr">
        <is>
          <t>Success</t>
        </is>
      </c>
      <c r="I643" t="inlineStr">
        <is>
          <t>BNKBE3AQNSVV8GB</t>
        </is>
      </c>
      <c r="J643" s="8" t="n">
        <v>45908</v>
      </c>
    </row>
    <row r="644">
      <c r="A644" t="inlineStr">
        <is>
          <t>PAY0015935</t>
        </is>
      </c>
      <c r="B644" t="inlineStr">
        <is>
          <t>INV0014051</t>
        </is>
      </c>
      <c r="C644" t="inlineStr">
        <is>
          <t>MER00662</t>
        </is>
      </c>
      <c r="D644" s="8" t="n">
        <v>46054</v>
      </c>
      <c r="E644" t="n">
        <v>681.33</v>
      </c>
      <c r="F644" t="inlineStr">
        <is>
          <t>UPI</t>
        </is>
      </c>
      <c r="G644" t="inlineStr">
        <is>
          <t>PAYUGKVXDR9X5</t>
        </is>
      </c>
      <c r="H644" t="inlineStr">
        <is>
          <t>Success</t>
        </is>
      </c>
      <c r="I644" t="inlineStr">
        <is>
          <t>BNKS9S53YQQLMRK</t>
        </is>
      </c>
      <c r="J644" s="8" t="n">
        <v>46057</v>
      </c>
    </row>
    <row r="645">
      <c r="A645" t="inlineStr">
        <is>
          <t>PAY0015936</t>
        </is>
      </c>
      <c r="B645" t="inlineStr">
        <is>
          <t>INV0014056</t>
        </is>
      </c>
      <c r="C645" t="inlineStr">
        <is>
          <t>MER00662</t>
        </is>
      </c>
      <c r="D645" s="8" t="n">
        <v>46232</v>
      </c>
      <c r="E645" t="n">
        <v>312.19</v>
      </c>
      <c r="F645" t="inlineStr">
        <is>
          <t>UPI</t>
        </is>
      </c>
      <c r="G645" t="inlineStr">
        <is>
          <t>PAY7J22WRGPTF</t>
        </is>
      </c>
      <c r="H645" t="inlineStr">
        <is>
          <t>Success</t>
        </is>
      </c>
      <c r="I645" t="inlineStr">
        <is>
          <t>BNKWF8QDEGBXE28</t>
        </is>
      </c>
      <c r="J645" s="8" t="n">
        <v>46234</v>
      </c>
    </row>
    <row r="646">
      <c r="A646" t="inlineStr">
        <is>
          <t>PAY0015973</t>
        </is>
      </c>
      <c r="B646" t="inlineStr">
        <is>
          <t>INV0014966</t>
        </is>
      </c>
      <c r="C646" t="inlineStr">
        <is>
          <t>MER00707</t>
        </is>
      </c>
      <c r="D646" s="8" t="n">
        <v>45711</v>
      </c>
      <c r="E646" t="n">
        <v>142.38</v>
      </c>
      <c r="F646" t="inlineStr">
        <is>
          <t>UPI</t>
        </is>
      </c>
      <c r="G646" t="inlineStr">
        <is>
          <t>PAYR45NCYURXS</t>
        </is>
      </c>
      <c r="H646" t="inlineStr">
        <is>
          <t>Success</t>
        </is>
      </c>
      <c r="I646" t="inlineStr">
        <is>
          <t>BNK653Y9UFKXMVK</t>
        </is>
      </c>
      <c r="J646" s="8" t="n">
        <v>45714</v>
      </c>
    </row>
    <row r="647">
      <c r="A647" t="inlineStr">
        <is>
          <t>PAY0015974</t>
        </is>
      </c>
      <c r="B647" t="inlineStr">
        <is>
          <t>INV0014968</t>
        </is>
      </c>
      <c r="C647" t="inlineStr">
        <is>
          <t>MER00707</t>
        </is>
      </c>
      <c r="D647" s="8" t="n">
        <v>45760</v>
      </c>
      <c r="E647" t="n">
        <v>118.04</v>
      </c>
      <c r="F647" t="inlineStr">
        <is>
          <t>UPI</t>
        </is>
      </c>
      <c r="G647" t="inlineStr">
        <is>
          <t>PAYVZUK527LWU</t>
        </is>
      </c>
      <c r="H647" t="inlineStr">
        <is>
          <t>Success</t>
        </is>
      </c>
      <c r="I647" t="inlineStr">
        <is>
          <t>BNKSSRGUH7FVS4S</t>
        </is>
      </c>
      <c r="J647" s="8" t="n">
        <v>45763</v>
      </c>
    </row>
    <row r="648">
      <c r="A648" t="inlineStr">
        <is>
          <t>PAY0015975</t>
        </is>
      </c>
      <c r="B648" t="inlineStr">
        <is>
          <t>INV0014970</t>
        </is>
      </c>
      <c r="C648" t="inlineStr">
        <is>
          <t>MER00707</t>
        </is>
      </c>
      <c r="D648" s="8" t="n">
        <v>45825</v>
      </c>
      <c r="E648" t="n">
        <v>416.66</v>
      </c>
      <c r="F648" t="inlineStr">
        <is>
          <t>UPI</t>
        </is>
      </c>
      <c r="G648" t="inlineStr">
        <is>
          <t>PAYGWQP7NXHUS</t>
        </is>
      </c>
      <c r="H648" t="inlineStr">
        <is>
          <t>Success</t>
        </is>
      </c>
      <c r="I648" t="inlineStr">
        <is>
          <t>BNKZYZJM699MWV2</t>
        </is>
      </c>
      <c r="J648" s="8" t="n">
        <v>45826</v>
      </c>
    </row>
    <row r="649">
      <c r="A649" t="inlineStr">
        <is>
          <t>PAY0015976</t>
        </is>
      </c>
      <c r="B649" t="inlineStr">
        <is>
          <t>INV0014984</t>
        </is>
      </c>
      <c r="C649" t="inlineStr">
        <is>
          <t>MER00707</t>
        </is>
      </c>
      <c r="D649" s="8" t="n">
        <v>46249</v>
      </c>
      <c r="E649" t="n">
        <v>276.59</v>
      </c>
      <c r="F649" t="inlineStr">
        <is>
          <t>UPI</t>
        </is>
      </c>
      <c r="G649" t="inlineStr">
        <is>
          <t>PAYMFWS5TEPNS</t>
        </is>
      </c>
      <c r="H649" t="inlineStr">
        <is>
          <t>Success</t>
        </is>
      </c>
      <c r="I649" t="inlineStr">
        <is>
          <t>BNK9RXAF4PGXYD2</t>
        </is>
      </c>
      <c r="J649" s="8" t="n">
        <v>46252</v>
      </c>
    </row>
    <row r="650">
      <c r="A650" t="inlineStr">
        <is>
          <t>PAY0015996</t>
        </is>
      </c>
      <c r="B650" t="inlineStr">
        <is>
          <t>INV0015422</t>
        </is>
      </c>
      <c r="C650" t="inlineStr">
        <is>
          <t>MER00728</t>
        </is>
      </c>
      <c r="D650" s="8" t="n">
        <v>45609</v>
      </c>
      <c r="E650" t="n">
        <v>560.21</v>
      </c>
      <c r="F650" t="inlineStr">
        <is>
          <t>Card</t>
        </is>
      </c>
      <c r="G650" t="inlineStr">
        <is>
          <t>PAY2U4WJ5VUWT</t>
        </is>
      </c>
      <c r="H650" t="inlineStr">
        <is>
          <t>Success</t>
        </is>
      </c>
      <c r="I650" t="inlineStr">
        <is>
          <t>BNKR5MJDZQZY9EW</t>
        </is>
      </c>
      <c r="J650" s="8" t="n">
        <v>45611</v>
      </c>
    </row>
    <row r="651">
      <c r="A651" t="inlineStr">
        <is>
          <t>PAY0015997</t>
        </is>
      </c>
      <c r="B651" t="inlineStr">
        <is>
          <t>INV0015430</t>
        </is>
      </c>
      <c r="C651" t="inlineStr">
        <is>
          <t>MER00728</t>
        </is>
      </c>
      <c r="D651" s="8" t="n">
        <v>45844</v>
      </c>
      <c r="E651" t="n">
        <v>607.34</v>
      </c>
      <c r="F651" t="inlineStr">
        <is>
          <t>UPI</t>
        </is>
      </c>
      <c r="G651" t="inlineStr">
        <is>
          <t>PAY9JXN62RU4K</t>
        </is>
      </c>
      <c r="H651" t="inlineStr">
        <is>
          <t>Success</t>
        </is>
      </c>
      <c r="I651" t="inlineStr">
        <is>
          <t>BNKJWPZC42DHKHS</t>
        </is>
      </c>
      <c r="J651" s="8" t="n">
        <v>45845</v>
      </c>
    </row>
    <row r="652">
      <c r="A652" t="inlineStr">
        <is>
          <t>PAY0015998</t>
        </is>
      </c>
      <c r="B652" t="inlineStr">
        <is>
          <t>INV0015434</t>
        </is>
      </c>
      <c r="C652" t="inlineStr">
        <is>
          <t>MER00728</t>
        </is>
      </c>
      <c r="D652" s="8" t="n">
        <v>45955</v>
      </c>
      <c r="E652" t="n">
        <v>401.61</v>
      </c>
      <c r="F652" t="inlineStr">
        <is>
          <t>NetBanking</t>
        </is>
      </c>
      <c r="G652" t="inlineStr">
        <is>
          <t>PAYAH465TSCZU</t>
        </is>
      </c>
      <c r="H652" t="inlineStr">
        <is>
          <t>Success</t>
        </is>
      </c>
      <c r="I652" t="inlineStr">
        <is>
          <t>BNK84Z8RCQZ8BN3</t>
        </is>
      </c>
      <c r="J652" s="8" t="n">
        <v>45958</v>
      </c>
    </row>
    <row r="653">
      <c r="A653" t="inlineStr">
        <is>
          <t>PAY0015999</t>
        </is>
      </c>
      <c r="B653" t="inlineStr">
        <is>
          <t>INV0015436</t>
        </is>
      </c>
      <c r="C653" t="inlineStr">
        <is>
          <t>MER00728</t>
        </is>
      </c>
      <c r="D653" s="8" t="n">
        <v>46018</v>
      </c>
      <c r="E653" t="n">
        <v>842.4299999999999</v>
      </c>
      <c r="F653" t="inlineStr">
        <is>
          <t>UPI</t>
        </is>
      </c>
      <c r="G653" t="inlineStr">
        <is>
          <t>PAYGACSPHVY72</t>
        </is>
      </c>
      <c r="H653" t="inlineStr">
        <is>
          <t>Success</t>
        </is>
      </c>
      <c r="I653" t="inlineStr">
        <is>
          <t>BNKEQEJPQ5GAQY8</t>
        </is>
      </c>
      <c r="J653" s="8" t="n">
        <v>46021</v>
      </c>
    </row>
    <row r="654">
      <c r="A654" t="inlineStr">
        <is>
          <t>PAY0016000</t>
        </is>
      </c>
      <c r="B654" t="inlineStr">
        <is>
          <t>INV0015438</t>
        </is>
      </c>
      <c r="C654" t="inlineStr">
        <is>
          <t>MER00728</t>
        </is>
      </c>
      <c r="D654" s="8" t="n">
        <v>46087</v>
      </c>
      <c r="E654" t="n">
        <v>359.79</v>
      </c>
      <c r="F654" t="inlineStr">
        <is>
          <t>UPI</t>
        </is>
      </c>
      <c r="G654" t="inlineStr">
        <is>
          <t>PAYRNHKY3RQ38</t>
        </is>
      </c>
      <c r="H654" t="inlineStr">
        <is>
          <t>Success</t>
        </is>
      </c>
      <c r="I654" t="inlineStr">
        <is>
          <t>BNKGKTSAR45TAZ5</t>
        </is>
      </c>
      <c r="J654" s="8" t="n">
        <v>46089</v>
      </c>
    </row>
    <row r="655">
      <c r="A655" t="inlineStr">
        <is>
          <t>PAY0016041</t>
        </is>
      </c>
      <c r="B655" t="inlineStr">
        <is>
          <t>INV0016147</t>
        </is>
      </c>
      <c r="C655" t="inlineStr">
        <is>
          <t>MER00764</t>
        </is>
      </c>
      <c r="D655" s="8" t="n">
        <v>45730</v>
      </c>
      <c r="E655" t="n">
        <v>208.87</v>
      </c>
      <c r="F655" t="inlineStr">
        <is>
          <t>Wallet</t>
        </is>
      </c>
      <c r="G655" t="inlineStr">
        <is>
          <t>PAYZPQQSHP6TG</t>
        </is>
      </c>
      <c r="H655" t="inlineStr">
        <is>
          <t>Success</t>
        </is>
      </c>
      <c r="I655" t="inlineStr">
        <is>
          <t>BNKR9ADU67AJFL9</t>
        </is>
      </c>
      <c r="J655" s="8" t="n">
        <v>45731</v>
      </c>
    </row>
    <row r="656">
      <c r="A656" t="inlineStr">
        <is>
          <t>PAY0016042</t>
        </is>
      </c>
      <c r="B656" t="inlineStr">
        <is>
          <t>INV0016149</t>
        </is>
      </c>
      <c r="C656" t="inlineStr">
        <is>
          <t>MER00764</t>
        </is>
      </c>
      <c r="D656" s="8" t="n">
        <v>45796</v>
      </c>
      <c r="E656" t="n">
        <v>281.29</v>
      </c>
      <c r="F656" t="inlineStr">
        <is>
          <t>NetBanking</t>
        </is>
      </c>
      <c r="G656" t="inlineStr">
        <is>
          <t>PAY66WPFV9YK2</t>
        </is>
      </c>
      <c r="H656" t="inlineStr">
        <is>
          <t>Success</t>
        </is>
      </c>
      <c r="I656" t="inlineStr">
        <is>
          <t>BNK2VW4D75JQTK9</t>
        </is>
      </c>
      <c r="J656" s="8" t="n">
        <v>45797</v>
      </c>
    </row>
    <row r="657">
      <c r="A657" t="inlineStr">
        <is>
          <t>PAY0016043</t>
        </is>
      </c>
      <c r="B657" t="inlineStr">
        <is>
          <t>INV0016150</t>
        </is>
      </c>
      <c r="C657" t="inlineStr">
        <is>
          <t>MER00764</t>
        </is>
      </c>
      <c r="D657" s="8" t="n">
        <v>45824</v>
      </c>
      <c r="E657" t="n">
        <v>347.86</v>
      </c>
      <c r="F657" t="inlineStr">
        <is>
          <t>Card</t>
        </is>
      </c>
      <c r="G657" t="inlineStr">
        <is>
          <t>PAYW3ZMZRMNKV</t>
        </is>
      </c>
      <c r="H657" t="inlineStr">
        <is>
          <t>Success</t>
        </is>
      </c>
      <c r="I657" t="inlineStr">
        <is>
          <t>BNKHSNHBPNS6DL5</t>
        </is>
      </c>
      <c r="J657" s="8" t="n">
        <v>45826</v>
      </c>
    </row>
    <row r="658">
      <c r="A658" t="inlineStr">
        <is>
          <t>PAY0016044</t>
        </is>
      </c>
      <c r="B658" t="inlineStr">
        <is>
          <t>INV0016154</t>
        </is>
      </c>
      <c r="C658" t="inlineStr">
        <is>
          <t>MER00764</t>
        </is>
      </c>
      <c r="D658" s="8" t="n">
        <v>45949</v>
      </c>
      <c r="E658" t="n">
        <v>146.88</v>
      </c>
      <c r="F658" t="inlineStr">
        <is>
          <t>COD</t>
        </is>
      </c>
      <c r="G658" t="inlineStr">
        <is>
          <t>PAYDGS5JPEBBS</t>
        </is>
      </c>
      <c r="H658" t="inlineStr">
        <is>
          <t>Success</t>
        </is>
      </c>
      <c r="I658" t="inlineStr">
        <is>
          <t>BNKBX6CTQGLJUQR</t>
        </is>
      </c>
      <c r="J658" s="8" t="n">
        <v>45952</v>
      </c>
    </row>
    <row r="659">
      <c r="A659" t="inlineStr">
        <is>
          <t>PAY0016045</t>
        </is>
      </c>
      <c r="B659" t="inlineStr">
        <is>
          <t>INV0016155</t>
        </is>
      </c>
      <c r="C659" t="inlineStr">
        <is>
          <t>MER00764</t>
        </is>
      </c>
      <c r="D659" s="8" t="n">
        <v>45977</v>
      </c>
      <c r="E659" t="n">
        <v>420.47</v>
      </c>
      <c r="F659" t="inlineStr">
        <is>
          <t>UPI</t>
        </is>
      </c>
      <c r="G659" t="inlineStr">
        <is>
          <t>PAYTH64TUD4BY</t>
        </is>
      </c>
      <c r="H659" t="inlineStr">
        <is>
          <t>Success</t>
        </is>
      </c>
      <c r="I659" t="inlineStr">
        <is>
          <t>BNK6UUZSG4MD9XF</t>
        </is>
      </c>
      <c r="J659" s="8" t="n">
        <v>45979</v>
      </c>
    </row>
    <row r="660">
      <c r="A660" t="inlineStr">
        <is>
          <t>PAY0016046</t>
        </is>
      </c>
      <c r="B660" t="inlineStr">
        <is>
          <t>INV0016164</t>
        </is>
      </c>
      <c r="C660" t="inlineStr">
        <is>
          <t>MER00764</t>
        </is>
      </c>
      <c r="D660" s="8" t="n">
        <v>46248</v>
      </c>
      <c r="E660" t="n">
        <v>583.11</v>
      </c>
      <c r="F660" t="inlineStr">
        <is>
          <t>Wallet</t>
        </is>
      </c>
      <c r="G660" t="inlineStr">
        <is>
          <t>PAYM62SXG2E25</t>
        </is>
      </c>
      <c r="H660" t="inlineStr">
        <is>
          <t>Success</t>
        </is>
      </c>
      <c r="I660" t="inlineStr">
        <is>
          <t>BNKU9CCG64VTRGS</t>
        </is>
      </c>
      <c r="J660" s="8" t="n">
        <v>46249</v>
      </c>
    </row>
    <row r="661">
      <c r="A661" t="inlineStr">
        <is>
          <t>PAY0016170</t>
        </is>
      </c>
      <c r="B661" t="inlineStr">
        <is>
          <t>INV0018229</t>
        </is>
      </c>
      <c r="C661" t="inlineStr">
        <is>
          <t>MER00861</t>
        </is>
      </c>
      <c r="D661" s="8" t="n">
        <v>45648</v>
      </c>
      <c r="E661" t="n">
        <v>976.79</v>
      </c>
      <c r="F661" t="inlineStr">
        <is>
          <t>UPI</t>
        </is>
      </c>
      <c r="G661" t="inlineStr">
        <is>
          <t>PAYTFEZPEH4QM</t>
        </is>
      </c>
      <c r="H661" t="inlineStr">
        <is>
          <t>Success</t>
        </is>
      </c>
      <c r="I661" t="inlineStr">
        <is>
          <t>BNKGM2DBXWX6HYT</t>
        </is>
      </c>
      <c r="J661" s="8" t="n">
        <v>45651</v>
      </c>
    </row>
    <row r="662">
      <c r="A662" t="inlineStr">
        <is>
          <t>PAY0016171</t>
        </is>
      </c>
      <c r="B662" t="inlineStr">
        <is>
          <t>INV0018236</t>
        </is>
      </c>
      <c r="C662" t="inlineStr">
        <is>
          <t>MER00861</t>
        </is>
      </c>
      <c r="D662" s="8" t="n">
        <v>45851</v>
      </c>
      <c r="E662" t="n">
        <v>714.1</v>
      </c>
      <c r="F662" t="inlineStr">
        <is>
          <t>UPI</t>
        </is>
      </c>
      <c r="G662" t="inlineStr">
        <is>
          <t>PAYRPJFETBJTE</t>
        </is>
      </c>
      <c r="H662" t="inlineStr">
        <is>
          <t>Success</t>
        </is>
      </c>
      <c r="I662" t="inlineStr">
        <is>
          <t>BNK2W7PSZD8U4LP</t>
        </is>
      </c>
      <c r="J662" s="8" t="n">
        <v>45853</v>
      </c>
    </row>
    <row r="663">
      <c r="A663" t="inlineStr">
        <is>
          <t>PAY0016172</t>
        </is>
      </c>
      <c r="B663" t="inlineStr">
        <is>
          <t>INV0018239</t>
        </is>
      </c>
      <c r="C663" t="inlineStr">
        <is>
          <t>MER00861</t>
        </is>
      </c>
      <c r="D663" s="8" t="n">
        <v>45949</v>
      </c>
      <c r="E663" t="n">
        <v>633.6799999999999</v>
      </c>
      <c r="F663" t="inlineStr">
        <is>
          <t>UPI</t>
        </is>
      </c>
      <c r="G663" t="inlineStr">
        <is>
          <t>PAYRDH6LCSWEN</t>
        </is>
      </c>
      <c r="H663" t="inlineStr">
        <is>
          <t>Success</t>
        </is>
      </c>
      <c r="I663" t="inlineStr">
        <is>
          <t>BNKAQJNQN8U7RZ9</t>
        </is>
      </c>
      <c r="J663" s="8" t="n">
        <v>45952</v>
      </c>
    </row>
    <row r="664">
      <c r="A664" t="inlineStr">
        <is>
          <t>PAY0016173</t>
        </is>
      </c>
      <c r="B664" t="inlineStr">
        <is>
          <t>INV0018244</t>
        </is>
      </c>
      <c r="C664" t="inlineStr">
        <is>
          <t>MER00861</t>
        </is>
      </c>
      <c r="D664" s="8" t="n">
        <v>46095</v>
      </c>
      <c r="E664" t="n">
        <v>572.02</v>
      </c>
      <c r="F664" t="inlineStr">
        <is>
          <t>Card</t>
        </is>
      </c>
      <c r="G664" t="inlineStr">
        <is>
          <t>PAY6ZRE7HCFHW</t>
        </is>
      </c>
      <c r="H664" t="inlineStr">
        <is>
          <t>Success</t>
        </is>
      </c>
      <c r="I664" t="inlineStr">
        <is>
          <t>BNKU8TVGQGZNJVK</t>
        </is>
      </c>
      <c r="J664" s="8" t="n">
        <v>46096</v>
      </c>
    </row>
    <row r="665">
      <c r="A665" t="inlineStr">
        <is>
          <t>PAY0016174</t>
        </is>
      </c>
      <c r="B665" t="inlineStr">
        <is>
          <t>INV0018250</t>
        </is>
      </c>
      <c r="C665" t="inlineStr">
        <is>
          <t>MER00861</t>
        </is>
      </c>
      <c r="D665" s="8" t="n">
        <v>46268</v>
      </c>
      <c r="E665" t="n">
        <v>986.87</v>
      </c>
      <c r="F665" t="inlineStr">
        <is>
          <t>UPI</t>
        </is>
      </c>
      <c r="G665" t="inlineStr">
        <is>
          <t>PAY73BXAG65D6</t>
        </is>
      </c>
      <c r="H665" t="inlineStr">
        <is>
          <t>Success</t>
        </is>
      </c>
      <c r="I665" t="inlineStr">
        <is>
          <t>BNKXM8MPST5FCES</t>
        </is>
      </c>
      <c r="J665" s="8" t="n">
        <v>46271</v>
      </c>
    </row>
    <row r="666">
      <c r="A666" t="inlineStr">
        <is>
          <t>PAY0016222</t>
        </is>
      </c>
      <c r="B666" t="inlineStr">
        <is>
          <t>INV0019119</t>
        </is>
      </c>
      <c r="C666" t="inlineStr">
        <is>
          <t>MER00902</t>
        </is>
      </c>
      <c r="D666" s="8" t="n">
        <v>45639</v>
      </c>
      <c r="E666" t="n">
        <v>383.59</v>
      </c>
      <c r="F666" t="inlineStr">
        <is>
          <t>Wallet</t>
        </is>
      </c>
      <c r="G666" t="inlineStr">
        <is>
          <t>PAYKBCHJRTSBW</t>
        </is>
      </c>
      <c r="H666" t="inlineStr">
        <is>
          <t>Success</t>
        </is>
      </c>
      <c r="I666" t="inlineStr">
        <is>
          <t>BNKS3ULERS6SJHL</t>
        </is>
      </c>
      <c r="J666" s="8" t="n">
        <v>45640</v>
      </c>
    </row>
    <row r="667">
      <c r="A667" t="inlineStr">
        <is>
          <t>PAY0016223</t>
        </is>
      </c>
      <c r="B667" t="inlineStr">
        <is>
          <t>INV0019121</t>
        </is>
      </c>
      <c r="C667" t="inlineStr">
        <is>
          <t>MER00902</t>
        </is>
      </c>
      <c r="D667" s="8" t="n">
        <v>45708</v>
      </c>
      <c r="E667" t="n">
        <v>270.11</v>
      </c>
      <c r="F667" t="inlineStr">
        <is>
          <t>UPI</t>
        </is>
      </c>
      <c r="G667" t="inlineStr">
        <is>
          <t>PAYV4PK68ECKM</t>
        </is>
      </c>
      <c r="H667" t="inlineStr">
        <is>
          <t>Success</t>
        </is>
      </c>
      <c r="I667" t="inlineStr">
        <is>
          <t>BNK94KK3JEZNNF5</t>
        </is>
      </c>
      <c r="J667" s="8" t="n">
        <v>45711</v>
      </c>
    </row>
    <row r="668">
      <c r="A668" t="inlineStr">
        <is>
          <t>PAY0016224</t>
        </is>
      </c>
      <c r="B668" t="inlineStr">
        <is>
          <t>INV0019122</t>
        </is>
      </c>
      <c r="C668" t="inlineStr">
        <is>
          <t>MER00902</t>
        </is>
      </c>
      <c r="D668" s="8" t="n">
        <v>45731</v>
      </c>
      <c r="E668" t="n">
        <v>335.22</v>
      </c>
      <c r="F668" t="inlineStr">
        <is>
          <t>UPI</t>
        </is>
      </c>
      <c r="G668" t="inlineStr">
        <is>
          <t>PAYVBDA6X6V8Z</t>
        </is>
      </c>
      <c r="H668" t="inlineStr">
        <is>
          <t>Success</t>
        </is>
      </c>
      <c r="I668" t="inlineStr">
        <is>
          <t>BNKSK2Q2AY6MMPJ</t>
        </is>
      </c>
      <c r="J668" s="8" t="n">
        <v>45734</v>
      </c>
    </row>
    <row r="669">
      <c r="A669" t="inlineStr">
        <is>
          <t>PAY0016225</t>
        </is>
      </c>
      <c r="B669" t="inlineStr">
        <is>
          <t>INV0019124</t>
        </is>
      </c>
      <c r="C669" t="inlineStr">
        <is>
          <t>MER00902</t>
        </is>
      </c>
      <c r="D669" s="8" t="n">
        <v>45799</v>
      </c>
      <c r="E669" t="n">
        <v>189.66</v>
      </c>
      <c r="F669" t="inlineStr">
        <is>
          <t>NetBanking</t>
        </is>
      </c>
      <c r="G669" t="inlineStr">
        <is>
          <t>PAYC776V7XTEA</t>
        </is>
      </c>
      <c r="H669" t="inlineStr">
        <is>
          <t>Success</t>
        </is>
      </c>
      <c r="I669" t="inlineStr">
        <is>
          <t>BNKN5LMCWTCRMVY</t>
        </is>
      </c>
      <c r="J669" s="8" t="n">
        <v>45801</v>
      </c>
    </row>
    <row r="670">
      <c r="A670" t="inlineStr">
        <is>
          <t>PAY0016226</t>
        </is>
      </c>
      <c r="B670" t="inlineStr">
        <is>
          <t>INV0019127</t>
        </is>
      </c>
      <c r="C670" t="inlineStr">
        <is>
          <t>MER00902</t>
        </is>
      </c>
      <c r="D670" s="8" t="n">
        <v>45887</v>
      </c>
      <c r="E670" t="n">
        <v>389.79</v>
      </c>
      <c r="F670" t="inlineStr">
        <is>
          <t>Wallet</t>
        </is>
      </c>
      <c r="G670" t="inlineStr">
        <is>
          <t>PAYAAJQYPE3H8</t>
        </is>
      </c>
      <c r="H670" t="inlineStr">
        <is>
          <t>Success</t>
        </is>
      </c>
      <c r="I670" t="inlineStr">
        <is>
          <t>BNKPE854CQJUX55</t>
        </is>
      </c>
      <c r="J670" s="8" t="n">
        <v>45889</v>
      </c>
    </row>
    <row r="671">
      <c r="A671" t="inlineStr">
        <is>
          <t>PAY0016227</t>
        </is>
      </c>
      <c r="B671" t="inlineStr">
        <is>
          <t>INV0019132</t>
        </is>
      </c>
      <c r="C671" t="inlineStr">
        <is>
          <t>MER00902</t>
        </is>
      </c>
      <c r="D671" s="8" t="n">
        <v>46052</v>
      </c>
      <c r="E671" t="n">
        <v>400.41</v>
      </c>
      <c r="F671" t="inlineStr">
        <is>
          <t>Card</t>
        </is>
      </c>
      <c r="G671" t="inlineStr">
        <is>
          <t>PAYHXL9L4WK9J</t>
        </is>
      </c>
      <c r="H671" t="inlineStr">
        <is>
          <t>Success</t>
        </is>
      </c>
      <c r="I671" t="inlineStr">
        <is>
          <t>BNKRU8LEJ2QVTBN</t>
        </is>
      </c>
      <c r="J671" s="8" t="n">
        <v>46055</v>
      </c>
    </row>
    <row r="672">
      <c r="A672" t="inlineStr">
        <is>
          <t>PAY0016228</t>
        </is>
      </c>
      <c r="B672" t="inlineStr">
        <is>
          <t>INV0019134</t>
        </is>
      </c>
      <c r="C672" t="inlineStr">
        <is>
          <t>MER00902</t>
        </is>
      </c>
      <c r="D672" s="8" t="n">
        <v>46085</v>
      </c>
      <c r="E672" t="n">
        <v>717.98</v>
      </c>
      <c r="F672" t="inlineStr">
        <is>
          <t>UPI</t>
        </is>
      </c>
      <c r="G672" t="inlineStr">
        <is>
          <t>PAYCNNA59WQPW</t>
        </is>
      </c>
      <c r="H672" t="inlineStr">
        <is>
          <t>Success</t>
        </is>
      </c>
      <c r="I672" t="inlineStr">
        <is>
          <t>BNKW9662XQJNLX9</t>
        </is>
      </c>
      <c r="J672" s="8" t="n">
        <v>46087</v>
      </c>
    </row>
    <row r="673">
      <c r="A673" t="inlineStr">
        <is>
          <t>PAY0016389</t>
        </is>
      </c>
      <c r="B673" t="inlineStr">
        <is>
          <t>INV0002955</t>
        </is>
      </c>
      <c r="C673" t="inlineStr">
        <is>
          <t>MER00139</t>
        </is>
      </c>
      <c r="D673" s="8" t="n">
        <v>45891</v>
      </c>
      <c r="E673" t="n">
        <v>858.4400000000001</v>
      </c>
      <c r="F673" t="inlineStr">
        <is>
          <t>Card</t>
        </is>
      </c>
      <c r="G673" t="inlineStr">
        <is>
          <t>PAYM9A9JN9ESU</t>
        </is>
      </c>
      <c r="H673" t="inlineStr">
        <is>
          <t>Success</t>
        </is>
      </c>
      <c r="I673" t="inlineStr">
        <is>
          <t>BNKNWJ9LDS8KYHB</t>
        </is>
      </c>
      <c r="J673" s="8" t="n">
        <v>45892</v>
      </c>
    </row>
    <row r="674">
      <c r="A674" t="inlineStr">
        <is>
          <t>PAY0016390</t>
        </is>
      </c>
      <c r="B674" t="inlineStr">
        <is>
          <t>INV0002963</t>
        </is>
      </c>
      <c r="C674" t="inlineStr">
        <is>
          <t>MER00139</t>
        </is>
      </c>
      <c r="D674" s="8" t="n">
        <v>46166</v>
      </c>
      <c r="E674" t="n">
        <v>1413.04</v>
      </c>
      <c r="F674" t="inlineStr">
        <is>
          <t>Wallet</t>
        </is>
      </c>
      <c r="G674" t="inlineStr">
        <is>
          <t>PAY55SLFKVPK7</t>
        </is>
      </c>
      <c r="H674" t="inlineStr">
        <is>
          <t>Success</t>
        </is>
      </c>
      <c r="I674" t="inlineStr">
        <is>
          <t>BNKHD3KQND4VD92</t>
        </is>
      </c>
      <c r="J674" s="8" t="n">
        <v>46168</v>
      </c>
    </row>
    <row r="675">
      <c r="A675" t="inlineStr">
        <is>
          <t>PAY0016391</t>
        </is>
      </c>
      <c r="B675" t="inlineStr">
        <is>
          <t>INV0002964</t>
        </is>
      </c>
      <c r="C675" t="inlineStr">
        <is>
          <t>MER00139</t>
        </is>
      </c>
      <c r="D675" s="8" t="n">
        <v>46198</v>
      </c>
      <c r="E675" t="n">
        <v>1221.32</v>
      </c>
      <c r="F675" t="inlineStr">
        <is>
          <t>Card</t>
        </is>
      </c>
      <c r="G675" t="inlineStr">
        <is>
          <t>PAYEPNFHR6L6Y</t>
        </is>
      </c>
      <c r="H675" t="inlineStr">
        <is>
          <t>Success</t>
        </is>
      </c>
      <c r="I675" t="inlineStr">
        <is>
          <t>BNKXSKCPMPYNDR7</t>
        </is>
      </c>
      <c r="J675" s="8" t="n">
        <v>46199</v>
      </c>
    </row>
    <row r="676">
      <c r="A676" t="inlineStr">
        <is>
          <t>PAY0016541</t>
        </is>
      </c>
      <c r="B676" t="inlineStr">
        <is>
          <t>INV0007299</t>
        </is>
      </c>
      <c r="C676" t="inlineStr">
        <is>
          <t>MER00346</t>
        </is>
      </c>
      <c r="D676" s="8" t="n">
        <v>45719</v>
      </c>
      <c r="E676" t="n">
        <v>193.42</v>
      </c>
      <c r="F676" t="inlineStr">
        <is>
          <t>UPI</t>
        </is>
      </c>
      <c r="G676" t="inlineStr">
        <is>
          <t>PAYTA3ACZ2WCD</t>
        </is>
      </c>
      <c r="H676" t="inlineStr">
        <is>
          <t>Success</t>
        </is>
      </c>
      <c r="I676" t="inlineStr">
        <is>
          <t>BNKCTSVNUBC42UK</t>
        </is>
      </c>
      <c r="J676" s="8" t="n">
        <v>45721</v>
      </c>
    </row>
    <row r="677">
      <c r="A677" t="inlineStr">
        <is>
          <t>PAY0016542</t>
        </is>
      </c>
      <c r="B677" t="inlineStr">
        <is>
          <t>INV0007300</t>
        </is>
      </c>
      <c r="C677" t="inlineStr">
        <is>
          <t>MER00346</t>
        </is>
      </c>
      <c r="D677" s="8" t="n">
        <v>45762</v>
      </c>
      <c r="E677" t="n">
        <v>89.15000000000001</v>
      </c>
      <c r="F677" t="inlineStr">
        <is>
          <t>Card</t>
        </is>
      </c>
      <c r="G677" t="inlineStr">
        <is>
          <t>PAYGFMQZ4FZSA</t>
        </is>
      </c>
      <c r="H677" t="inlineStr">
        <is>
          <t>Success</t>
        </is>
      </c>
      <c r="I677" t="inlineStr">
        <is>
          <t>BNKG9F9X8YCAV6D</t>
        </is>
      </c>
      <c r="J677" s="8" t="n">
        <v>45763</v>
      </c>
    </row>
    <row r="678">
      <c r="A678" t="inlineStr">
        <is>
          <t>PAY0016543</t>
        </is>
      </c>
      <c r="B678" t="inlineStr">
        <is>
          <t>INV0007303</t>
        </is>
      </c>
      <c r="C678" t="inlineStr">
        <is>
          <t>MER00346</t>
        </is>
      </c>
      <c r="D678" s="8" t="n">
        <v>45864</v>
      </c>
      <c r="E678" t="n">
        <v>53.72</v>
      </c>
      <c r="F678" t="inlineStr">
        <is>
          <t>NetBanking</t>
        </is>
      </c>
      <c r="G678" t="inlineStr">
        <is>
          <t>PAYXLN6JWQZJP</t>
        </is>
      </c>
      <c r="H678" t="inlineStr">
        <is>
          <t>Success</t>
        </is>
      </c>
      <c r="I678" t="inlineStr">
        <is>
          <t>BNKH3KFKEKPH2RF</t>
        </is>
      </c>
      <c r="J678" s="8" t="n">
        <v>45865</v>
      </c>
    </row>
    <row r="679">
      <c r="A679" t="inlineStr">
        <is>
          <t>PAY0016544</t>
        </is>
      </c>
      <c r="B679" t="inlineStr">
        <is>
          <t>INV0007305</t>
        </is>
      </c>
      <c r="C679" t="inlineStr">
        <is>
          <t>MER00346</t>
        </is>
      </c>
      <c r="D679" s="8" t="n">
        <v>45910</v>
      </c>
      <c r="E679" t="n">
        <v>51.36</v>
      </c>
      <c r="F679" t="inlineStr">
        <is>
          <t>Card</t>
        </is>
      </c>
      <c r="G679" t="inlineStr">
        <is>
          <t>PAY2LQU7HYLV7</t>
        </is>
      </c>
      <c r="H679" t="inlineStr">
        <is>
          <t>Success</t>
        </is>
      </c>
      <c r="I679" t="inlineStr">
        <is>
          <t>BNKB8E55GZGG5DE</t>
        </is>
      </c>
      <c r="J679" s="8" t="n">
        <v>45912</v>
      </c>
    </row>
    <row r="680">
      <c r="A680" t="inlineStr">
        <is>
          <t>PAY0016545</t>
        </is>
      </c>
      <c r="B680" t="inlineStr">
        <is>
          <t>INV0007311</t>
        </is>
      </c>
      <c r="C680" t="inlineStr">
        <is>
          <t>MER00346</t>
        </is>
      </c>
      <c r="D680" s="8" t="n">
        <v>46113</v>
      </c>
      <c r="E680" t="n">
        <v>78.28</v>
      </c>
      <c r="F680" t="inlineStr">
        <is>
          <t>NetBanking</t>
        </is>
      </c>
      <c r="G680" t="inlineStr">
        <is>
          <t>PAYG8FKVERYRG</t>
        </is>
      </c>
      <c r="H680" t="inlineStr">
        <is>
          <t>Success</t>
        </is>
      </c>
      <c r="I680" t="inlineStr">
        <is>
          <t>BNKYZ55LMEWEML5</t>
        </is>
      </c>
      <c r="J680" s="8" t="n">
        <v>46115</v>
      </c>
    </row>
    <row r="681">
      <c r="A681" t="inlineStr">
        <is>
          <t>PAY0016546</t>
        </is>
      </c>
      <c r="B681" t="inlineStr">
        <is>
          <t>INV0007315</t>
        </is>
      </c>
      <c r="C681" t="inlineStr">
        <is>
          <t>MER00346</t>
        </is>
      </c>
      <c r="D681" s="8" t="n">
        <v>46222</v>
      </c>
      <c r="E681" t="n">
        <v>44.85</v>
      </c>
      <c r="F681" t="inlineStr">
        <is>
          <t>UPI</t>
        </is>
      </c>
      <c r="G681" t="inlineStr">
        <is>
          <t>PAYLJSKQRKNU9</t>
        </is>
      </c>
      <c r="H681" t="inlineStr">
        <is>
          <t>Success</t>
        </is>
      </c>
      <c r="I681" t="inlineStr">
        <is>
          <t>BNKPZWUCLAJDPY7</t>
        </is>
      </c>
      <c r="J681" s="8" t="n">
        <v>46223</v>
      </c>
    </row>
    <row r="682">
      <c r="A682" t="inlineStr">
        <is>
          <t>PAY0016547</t>
        </is>
      </c>
      <c r="B682" t="inlineStr">
        <is>
          <t>INV0007316</t>
        </is>
      </c>
      <c r="C682" t="inlineStr">
        <is>
          <t>MER00346</t>
        </is>
      </c>
      <c r="D682" s="8" t="n">
        <v>46265</v>
      </c>
      <c r="E682" t="n">
        <v>81.84</v>
      </c>
      <c r="F682" t="inlineStr">
        <is>
          <t>UPI</t>
        </is>
      </c>
      <c r="G682" t="inlineStr">
        <is>
          <t>PAYDVUQQSK4JH</t>
        </is>
      </c>
      <c r="H682" t="inlineStr">
        <is>
          <t>Success</t>
        </is>
      </c>
      <c r="I682" t="inlineStr">
        <is>
          <t>BNKYJ4BWYGPEDR7</t>
        </is>
      </c>
      <c r="J682" s="8" t="n">
        <v>46266</v>
      </c>
    </row>
    <row r="683">
      <c r="A683" t="inlineStr">
        <is>
          <t>PAY0016643</t>
        </is>
      </c>
      <c r="B683" t="inlineStr">
        <is>
          <t>INV0010170</t>
        </is>
      </c>
      <c r="C683" t="inlineStr">
        <is>
          <t>MER00480</t>
        </is>
      </c>
      <c r="D683" s="8" t="n">
        <v>46150</v>
      </c>
      <c r="E683" t="n">
        <v>1167.89</v>
      </c>
      <c r="F683" t="inlineStr">
        <is>
          <t>UPI</t>
        </is>
      </c>
      <c r="G683" t="inlineStr">
        <is>
          <t>PAYN97Q6QDX52</t>
        </is>
      </c>
      <c r="H683" t="inlineStr">
        <is>
          <t>Success</t>
        </is>
      </c>
      <c r="I683" t="inlineStr">
        <is>
          <t>BNKDDEYQN2G5A9T</t>
        </is>
      </c>
      <c r="J683" s="8" t="n">
        <v>46151</v>
      </c>
    </row>
    <row r="684">
      <c r="A684" t="inlineStr">
        <is>
          <t>PAY0016644</t>
        </is>
      </c>
      <c r="B684" t="inlineStr">
        <is>
          <t>INV0010172</t>
        </is>
      </c>
      <c r="C684" t="inlineStr">
        <is>
          <t>MER00480</t>
        </is>
      </c>
      <c r="D684" s="8" t="n">
        <v>46204</v>
      </c>
      <c r="E684" t="n">
        <v>1305.47</v>
      </c>
      <c r="F684" t="inlineStr">
        <is>
          <t>UPI</t>
        </is>
      </c>
      <c r="G684" t="inlineStr">
        <is>
          <t>PAY8SSYJ3JETW</t>
        </is>
      </c>
      <c r="H684" t="inlineStr">
        <is>
          <t>Success</t>
        </is>
      </c>
      <c r="I684" t="inlineStr">
        <is>
          <t>BNK67ZU5Y58DUYR</t>
        </is>
      </c>
      <c r="J684" s="8" t="n">
        <v>46205</v>
      </c>
    </row>
    <row r="685">
      <c r="A685" t="inlineStr">
        <is>
          <t>PAY0016754</t>
        </is>
      </c>
      <c r="B685" t="inlineStr">
        <is>
          <t>INV0013758</t>
        </is>
      </c>
      <c r="C685" t="inlineStr">
        <is>
          <t>MER00649</t>
        </is>
      </c>
      <c r="D685" s="8" t="n">
        <v>46077</v>
      </c>
      <c r="E685" t="n">
        <v>1729.13</v>
      </c>
      <c r="F685" t="inlineStr">
        <is>
          <t>Card</t>
        </is>
      </c>
      <c r="G685" t="inlineStr">
        <is>
          <t>PAY2HP78LJGQY</t>
        </is>
      </c>
      <c r="H685" t="inlineStr">
        <is>
          <t>Success</t>
        </is>
      </c>
      <c r="I685" t="inlineStr">
        <is>
          <t>BNKBDMMGLZWAMJG</t>
        </is>
      </c>
      <c r="J685" s="8" t="n">
        <v>46080</v>
      </c>
    </row>
    <row r="686">
      <c r="A686" t="inlineStr">
        <is>
          <t>PAY0016755</t>
        </is>
      </c>
      <c r="B686" t="inlineStr">
        <is>
          <t>INV0013762</t>
        </is>
      </c>
      <c r="C686" t="inlineStr">
        <is>
          <t>MER00649</t>
        </is>
      </c>
      <c r="D686" s="8" t="n">
        <v>46218</v>
      </c>
      <c r="E686" t="n">
        <v>704.48</v>
      </c>
      <c r="F686" t="inlineStr">
        <is>
          <t>UPI</t>
        </is>
      </c>
      <c r="G686" t="inlineStr">
        <is>
          <t>PAYXPRAJUUM6T</t>
        </is>
      </c>
      <c r="H686" t="inlineStr">
        <is>
          <t>Success</t>
        </is>
      </c>
      <c r="I686" t="inlineStr">
        <is>
          <t>BNKEX28WLDTDFVS</t>
        </is>
      </c>
      <c r="J686" s="8" t="n">
        <v>46221</v>
      </c>
    </row>
    <row r="687">
      <c r="A687" t="inlineStr">
        <is>
          <t>PAY0016765</t>
        </is>
      </c>
      <c r="B687" t="inlineStr">
        <is>
          <t>INV0014039</t>
        </is>
      </c>
      <c r="C687" t="inlineStr">
        <is>
          <t>MER00662</t>
        </is>
      </c>
      <c r="D687" s="8" t="n">
        <v>45703</v>
      </c>
      <c r="E687" t="n">
        <v>709.14</v>
      </c>
      <c r="F687" t="inlineStr">
        <is>
          <t>NetBanking</t>
        </is>
      </c>
      <c r="G687" t="inlineStr">
        <is>
          <t>PAYUW2BX4KMM7</t>
        </is>
      </c>
      <c r="H687" t="inlineStr">
        <is>
          <t>Success</t>
        </is>
      </c>
      <c r="I687" t="inlineStr">
        <is>
          <t>BNK3PEFQ8SCNB7U</t>
        </is>
      </c>
      <c r="J687" s="8" t="n">
        <v>45704</v>
      </c>
    </row>
    <row r="688">
      <c r="A688" t="inlineStr">
        <is>
          <t>PAY0016766</t>
        </is>
      </c>
      <c r="B688" t="inlineStr">
        <is>
          <t>INV0014043</t>
        </is>
      </c>
      <c r="C688" t="inlineStr">
        <is>
          <t>MER00662</t>
        </is>
      </c>
      <c r="D688" s="8" t="n">
        <v>45821</v>
      </c>
      <c r="E688" t="n">
        <v>598.71</v>
      </c>
      <c r="F688" t="inlineStr">
        <is>
          <t>Card</t>
        </is>
      </c>
      <c r="G688" t="inlineStr">
        <is>
          <t>PAYC4U8M577X6</t>
        </is>
      </c>
      <c r="H688" t="inlineStr">
        <is>
          <t>Success</t>
        </is>
      </c>
      <c r="I688" t="inlineStr">
        <is>
          <t>BNKTPFR99YU3Z6Z</t>
        </is>
      </c>
      <c r="J688" s="8" t="n">
        <v>45824</v>
      </c>
    </row>
    <row r="689">
      <c r="A689" t="inlineStr">
        <is>
          <t>PAY0016767</t>
        </is>
      </c>
      <c r="B689" t="inlineStr">
        <is>
          <t>INV0014046</t>
        </is>
      </c>
      <c r="C689" t="inlineStr">
        <is>
          <t>MER00662</t>
        </is>
      </c>
      <c r="D689" s="8" t="n">
        <v>45939</v>
      </c>
      <c r="E689" t="n">
        <v>343.6</v>
      </c>
      <c r="F689" t="inlineStr">
        <is>
          <t>UPI</t>
        </is>
      </c>
      <c r="G689" t="inlineStr">
        <is>
          <t>PAYWPSN397X9T</t>
        </is>
      </c>
      <c r="H689" t="inlineStr">
        <is>
          <t>Success</t>
        </is>
      </c>
      <c r="I689" t="inlineStr">
        <is>
          <t>BNK8SHTMRL8HT8H</t>
        </is>
      </c>
      <c r="J689" s="8" t="n">
        <v>45942</v>
      </c>
    </row>
    <row r="690">
      <c r="A690" t="inlineStr">
        <is>
          <t>PAY0016768</t>
        </is>
      </c>
      <c r="B690" t="inlineStr">
        <is>
          <t>INV0014051</t>
        </is>
      </c>
      <c r="C690" t="inlineStr">
        <is>
          <t>MER00662</t>
        </is>
      </c>
      <c r="D690" s="8" t="n">
        <v>46081</v>
      </c>
      <c r="E690" t="n">
        <v>438.45</v>
      </c>
      <c r="F690" t="inlineStr">
        <is>
          <t>UPI</t>
        </is>
      </c>
      <c r="G690" t="inlineStr">
        <is>
          <t>PAYSCSYNULAKR</t>
        </is>
      </c>
      <c r="H690" t="inlineStr">
        <is>
          <t>Success</t>
        </is>
      </c>
      <c r="I690" t="inlineStr">
        <is>
          <t>BNKHU7YV5JH3BER</t>
        </is>
      </c>
      <c r="J690" s="8" t="n">
        <v>46082</v>
      </c>
    </row>
    <row r="691">
      <c r="A691" t="inlineStr">
        <is>
          <t>PAY0016769</t>
        </is>
      </c>
      <c r="B691" t="inlineStr">
        <is>
          <t>INV0014056</t>
        </is>
      </c>
      <c r="C691" t="inlineStr">
        <is>
          <t>MER00662</t>
        </is>
      </c>
      <c r="D691" s="8" t="n">
        <v>46234</v>
      </c>
      <c r="E691" t="n">
        <v>722.74</v>
      </c>
      <c r="F691" t="inlineStr">
        <is>
          <t>NetBanking</t>
        </is>
      </c>
      <c r="G691" t="inlineStr">
        <is>
          <t>PAYF3UPDST4QK</t>
        </is>
      </c>
      <c r="H691" t="inlineStr">
        <is>
          <t>Success</t>
        </is>
      </c>
      <c r="I691" t="inlineStr">
        <is>
          <t>BNKTUMJB8ABDMWS</t>
        </is>
      </c>
      <c r="J691" s="8" t="n">
        <v>46237</v>
      </c>
    </row>
    <row r="692">
      <c r="A692" t="inlineStr">
        <is>
          <t>PAY0016795</t>
        </is>
      </c>
      <c r="B692" t="inlineStr">
        <is>
          <t>INV0014966</t>
        </is>
      </c>
      <c r="C692" t="inlineStr">
        <is>
          <t>MER00707</t>
        </is>
      </c>
      <c r="D692" s="8" t="n">
        <v>45724</v>
      </c>
      <c r="E692" t="n">
        <v>202.6</v>
      </c>
      <c r="F692" t="inlineStr">
        <is>
          <t>UPI</t>
        </is>
      </c>
      <c r="G692" t="inlineStr">
        <is>
          <t>PAYCZ2XL8PVCK</t>
        </is>
      </c>
      <c r="H692" t="inlineStr">
        <is>
          <t>Success</t>
        </is>
      </c>
      <c r="I692" t="inlineStr">
        <is>
          <t>BNKVRARZQ7JD46T</t>
        </is>
      </c>
      <c r="J692" s="8" t="n">
        <v>45726</v>
      </c>
    </row>
    <row r="693">
      <c r="A693" t="inlineStr">
        <is>
          <t>PAY0016796</t>
        </is>
      </c>
      <c r="B693" t="inlineStr">
        <is>
          <t>INV0014968</t>
        </is>
      </c>
      <c r="C693" t="inlineStr">
        <is>
          <t>MER00707</t>
        </is>
      </c>
      <c r="D693" s="8" t="n">
        <v>45777</v>
      </c>
      <c r="E693" t="n">
        <v>81.52</v>
      </c>
      <c r="F693" t="inlineStr">
        <is>
          <t>NetBanking</t>
        </is>
      </c>
      <c r="G693" t="inlineStr">
        <is>
          <t>PAYRYTPNQG3F5</t>
        </is>
      </c>
      <c r="H693" t="inlineStr">
        <is>
          <t>Success</t>
        </is>
      </c>
      <c r="I693" t="inlineStr">
        <is>
          <t>BNKP9GQH6UF3HYK</t>
        </is>
      </c>
      <c r="J693" s="8" t="n">
        <v>45779</v>
      </c>
    </row>
    <row r="694">
      <c r="A694" t="inlineStr">
        <is>
          <t>PAY0016797</t>
        </is>
      </c>
      <c r="B694" t="inlineStr">
        <is>
          <t>INV0014970</t>
        </is>
      </c>
      <c r="C694" t="inlineStr">
        <is>
          <t>MER00707</t>
        </is>
      </c>
      <c r="D694" s="8" t="n">
        <v>45847</v>
      </c>
      <c r="E694" t="n">
        <v>224.22</v>
      </c>
      <c r="F694" t="inlineStr">
        <is>
          <t>UPI</t>
        </is>
      </c>
      <c r="G694" t="inlineStr">
        <is>
          <t>PAYLB5AGH58QX</t>
        </is>
      </c>
      <c r="H694" t="inlineStr">
        <is>
          <t>Success</t>
        </is>
      </c>
      <c r="I694" t="inlineStr">
        <is>
          <t>BNKC9M75ZZ6NGS6</t>
        </is>
      </c>
      <c r="J694" s="8" t="n">
        <v>45848</v>
      </c>
    </row>
    <row r="695">
      <c r="A695" t="inlineStr">
        <is>
          <t>PAY0016798</t>
        </is>
      </c>
      <c r="B695" t="inlineStr">
        <is>
          <t>INV0014984</t>
        </is>
      </c>
      <c r="C695" t="inlineStr">
        <is>
          <t>MER00707</t>
        </is>
      </c>
      <c r="D695" s="8" t="n">
        <v>46275</v>
      </c>
      <c r="E695" t="n">
        <v>403.04</v>
      </c>
      <c r="F695" t="inlineStr">
        <is>
          <t>UPI</t>
        </is>
      </c>
      <c r="G695" t="inlineStr">
        <is>
          <t>PAY5BUCN6KRKT</t>
        </is>
      </c>
      <c r="H695" t="inlineStr">
        <is>
          <t>Success</t>
        </is>
      </c>
      <c r="I695" t="inlineStr">
        <is>
          <t>BNKRL8WS5VSN28X</t>
        </is>
      </c>
      <c r="J695" s="8" t="n">
        <v>46278</v>
      </c>
    </row>
    <row r="696">
      <c r="A696" t="inlineStr">
        <is>
          <t>PAY0016809</t>
        </is>
      </c>
      <c r="B696" t="inlineStr">
        <is>
          <t>INV0015430</t>
        </is>
      </c>
      <c r="C696" t="inlineStr">
        <is>
          <t>MER00728</t>
        </is>
      </c>
      <c r="D696" s="8" t="n">
        <v>45843</v>
      </c>
      <c r="E696" t="n">
        <v>614.9</v>
      </c>
      <c r="F696" t="inlineStr">
        <is>
          <t>COD</t>
        </is>
      </c>
      <c r="G696" t="inlineStr">
        <is>
          <t>PAYM7QXVWW55Q</t>
        </is>
      </c>
      <c r="H696" t="inlineStr">
        <is>
          <t>Success</t>
        </is>
      </c>
      <c r="I696" t="inlineStr">
        <is>
          <t>BNKMYDQEX2J8V3K</t>
        </is>
      </c>
      <c r="J696" s="8" t="n">
        <v>45845</v>
      </c>
    </row>
    <row r="697">
      <c r="A697" t="inlineStr">
        <is>
          <t>PAY0016810</t>
        </is>
      </c>
      <c r="B697" t="inlineStr">
        <is>
          <t>INV0015436</t>
        </is>
      </c>
      <c r="C697" t="inlineStr">
        <is>
          <t>MER00728</t>
        </is>
      </c>
      <c r="D697" s="8" t="n">
        <v>46036</v>
      </c>
      <c r="E697" t="n">
        <v>850.78</v>
      </c>
      <c r="F697" t="inlineStr">
        <is>
          <t>UPI</t>
        </is>
      </c>
      <c r="G697" t="inlineStr">
        <is>
          <t>PAYL2FRBPCVEG</t>
        </is>
      </c>
      <c r="H697" t="inlineStr">
        <is>
          <t>Success</t>
        </is>
      </c>
      <c r="I697" t="inlineStr">
        <is>
          <t>BNKL53VDR5JRLDM</t>
        </is>
      </c>
      <c r="J697" s="8" t="n">
        <v>46039</v>
      </c>
    </row>
    <row r="698">
      <c r="A698" t="inlineStr">
        <is>
          <t>PAY0016811</t>
        </is>
      </c>
      <c r="B698" t="inlineStr">
        <is>
          <t>INV0015438</t>
        </is>
      </c>
      <c r="C698" t="inlineStr">
        <is>
          <t>MER00728</t>
        </is>
      </c>
      <c r="D698" s="8" t="n">
        <v>46103</v>
      </c>
      <c r="E698" t="n">
        <v>554.59</v>
      </c>
      <c r="F698" t="inlineStr">
        <is>
          <t>UPI</t>
        </is>
      </c>
      <c r="G698" t="inlineStr">
        <is>
          <t>PAYMQ7VFBACT2</t>
        </is>
      </c>
      <c r="H698" t="inlineStr">
        <is>
          <t>Success</t>
        </is>
      </c>
      <c r="I698" t="inlineStr">
        <is>
          <t>BNK8639V8X53YRN</t>
        </is>
      </c>
      <c r="J698" s="8" t="n">
        <v>46105</v>
      </c>
    </row>
    <row r="699">
      <c r="A699" t="inlineStr">
        <is>
          <t>PAY0016839</t>
        </is>
      </c>
      <c r="B699" t="inlineStr">
        <is>
          <t>INV0016149</t>
        </is>
      </c>
      <c r="C699" t="inlineStr">
        <is>
          <t>MER00764</t>
        </is>
      </c>
      <c r="D699" s="8" t="n">
        <v>45823</v>
      </c>
      <c r="E699" t="n">
        <v>283.93</v>
      </c>
      <c r="F699" t="inlineStr">
        <is>
          <t>UPI</t>
        </is>
      </c>
      <c r="G699" t="inlineStr">
        <is>
          <t>PAY3ED5SKBUXW</t>
        </is>
      </c>
      <c r="H699" t="inlineStr">
        <is>
          <t>Success</t>
        </is>
      </c>
      <c r="I699" t="inlineStr">
        <is>
          <t>BNKB2NKVJ3MEUHM</t>
        </is>
      </c>
      <c r="J699" s="8" t="n">
        <v>45825</v>
      </c>
    </row>
    <row r="700">
      <c r="A700" t="inlineStr">
        <is>
          <t>PAY0016840</t>
        </is>
      </c>
      <c r="B700" t="inlineStr">
        <is>
          <t>INV0016154</t>
        </is>
      </c>
      <c r="C700" t="inlineStr">
        <is>
          <t>MER00764</t>
        </is>
      </c>
      <c r="D700" s="8" t="n">
        <v>45944</v>
      </c>
      <c r="E700" t="n">
        <v>245.64</v>
      </c>
      <c r="F700" t="inlineStr">
        <is>
          <t>Card</t>
        </is>
      </c>
      <c r="G700" t="inlineStr">
        <is>
          <t>PAYJDLBZRDGZN</t>
        </is>
      </c>
      <c r="H700" t="inlineStr">
        <is>
          <t>Success</t>
        </is>
      </c>
      <c r="I700" t="inlineStr">
        <is>
          <t>BNK2VZEFFHSK6FZ</t>
        </is>
      </c>
      <c r="J700" s="8" t="n">
        <v>45945</v>
      </c>
    </row>
    <row r="701">
      <c r="A701" t="inlineStr">
        <is>
          <t>PAY0016841</t>
        </is>
      </c>
      <c r="B701" t="inlineStr">
        <is>
          <t>INV0016155</t>
        </is>
      </c>
      <c r="C701" t="inlineStr">
        <is>
          <t>MER00764</t>
        </is>
      </c>
      <c r="D701" s="8" t="n">
        <v>45998</v>
      </c>
      <c r="E701" t="n">
        <v>368.51</v>
      </c>
      <c r="F701" t="inlineStr">
        <is>
          <t>UPI</t>
        </is>
      </c>
      <c r="G701" t="inlineStr">
        <is>
          <t>PAYKZYXVZ8XPT</t>
        </is>
      </c>
      <c r="H701" t="inlineStr">
        <is>
          <t>Failed</t>
        </is>
      </c>
      <c r="I701" t="inlineStr">
        <is>
          <t>BNKUCDPZWA6G79H</t>
        </is>
      </c>
      <c r="J701" s="8" t="n"/>
    </row>
    <row r="702">
      <c r="A702" t="inlineStr">
        <is>
          <t>PAY0016842</t>
        </is>
      </c>
      <c r="B702" t="inlineStr">
        <is>
          <t>INV0016164</t>
        </is>
      </c>
      <c r="C702" t="inlineStr">
        <is>
          <t>MER00764</t>
        </is>
      </c>
      <c r="D702" s="8" t="n">
        <v>46273</v>
      </c>
      <c r="E702" t="n">
        <v>363.95</v>
      </c>
      <c r="F702" t="inlineStr">
        <is>
          <t>Card</t>
        </is>
      </c>
      <c r="G702" t="inlineStr">
        <is>
          <t>PAYF88P5ZSKZJ</t>
        </is>
      </c>
      <c r="H702" t="inlineStr">
        <is>
          <t>Success</t>
        </is>
      </c>
      <c r="I702" t="inlineStr">
        <is>
          <t>BNK999GBC9L6B4S</t>
        </is>
      </c>
      <c r="J702" s="8" t="n">
        <v>46274</v>
      </c>
    </row>
    <row r="703">
      <c r="A703" t="inlineStr">
        <is>
          <t>PAY0016912</t>
        </is>
      </c>
      <c r="B703" t="inlineStr">
        <is>
          <t>INV0018239</t>
        </is>
      </c>
      <c r="C703" t="inlineStr">
        <is>
          <t>MER00861</t>
        </is>
      </c>
      <c r="D703" s="8" t="n">
        <v>45947</v>
      </c>
      <c r="E703" t="n">
        <v>344.27</v>
      </c>
      <c r="F703" t="inlineStr">
        <is>
          <t>UPI</t>
        </is>
      </c>
      <c r="G703" t="inlineStr">
        <is>
          <t>PAY3VZJFZMSEZ</t>
        </is>
      </c>
      <c r="H703" t="inlineStr">
        <is>
          <t>Success</t>
        </is>
      </c>
      <c r="I703" t="inlineStr">
        <is>
          <t>BNK6T2SQ7VZ5WZ7</t>
        </is>
      </c>
      <c r="J703" s="8" t="n">
        <v>45949</v>
      </c>
    </row>
    <row r="704">
      <c r="A704" t="inlineStr">
        <is>
          <t>PAY0016913</t>
        </is>
      </c>
      <c r="B704" t="inlineStr">
        <is>
          <t>INV0018244</t>
        </is>
      </c>
      <c r="C704" t="inlineStr">
        <is>
          <t>MER00861</t>
        </is>
      </c>
      <c r="D704" s="8" t="n">
        <v>46109</v>
      </c>
      <c r="E704" t="n">
        <v>1100.02</v>
      </c>
      <c r="F704" t="inlineStr">
        <is>
          <t>UPI</t>
        </is>
      </c>
      <c r="G704" t="inlineStr">
        <is>
          <t>PAYDSGBP96X34</t>
        </is>
      </c>
      <c r="H704" t="inlineStr">
        <is>
          <t>Success</t>
        </is>
      </c>
      <c r="I704" t="inlineStr">
        <is>
          <t>BNKLMSZTW8533ML</t>
        </is>
      </c>
      <c r="J704" s="8" t="n">
        <v>46110</v>
      </c>
    </row>
    <row r="705">
      <c r="A705" t="inlineStr">
        <is>
          <t>PAY0016914</t>
        </is>
      </c>
      <c r="B705" t="inlineStr">
        <is>
          <t>INV0018250</t>
        </is>
      </c>
      <c r="C705" t="inlineStr">
        <is>
          <t>MER00861</t>
        </is>
      </c>
      <c r="D705" s="8" t="n">
        <v>46300</v>
      </c>
      <c r="E705" t="n">
        <v>601.74</v>
      </c>
      <c r="F705" t="inlineStr">
        <is>
          <t>Wallet</t>
        </is>
      </c>
      <c r="G705" t="inlineStr">
        <is>
          <t>PAYEUWCZV3PXJ</t>
        </is>
      </c>
      <c r="H705" t="inlineStr">
        <is>
          <t>Success</t>
        </is>
      </c>
      <c r="I705" t="inlineStr">
        <is>
          <t>BNKB7WVBCPVUKV5</t>
        </is>
      </c>
      <c r="J705" s="8" t="n">
        <v>46302</v>
      </c>
    </row>
    <row r="706">
      <c r="A706" t="inlineStr">
        <is>
          <t>PAY0016944</t>
        </is>
      </c>
      <c r="B706" t="inlineStr">
        <is>
          <t>INV0019119</t>
        </is>
      </c>
      <c r="C706" t="inlineStr">
        <is>
          <t>MER00902</t>
        </is>
      </c>
      <c r="D706" s="8" t="n">
        <v>45667</v>
      </c>
      <c r="E706" t="n">
        <v>319.83</v>
      </c>
      <c r="F706" t="inlineStr">
        <is>
          <t>UPI</t>
        </is>
      </c>
      <c r="G706" t="inlineStr">
        <is>
          <t>PAYQUXABN6BXU</t>
        </is>
      </c>
      <c r="H706" t="inlineStr">
        <is>
          <t>Success</t>
        </is>
      </c>
      <c r="I706" t="inlineStr">
        <is>
          <t>BNKVCQKKTW8VBY6</t>
        </is>
      </c>
      <c r="J706" s="8" t="n">
        <v>45670</v>
      </c>
    </row>
    <row r="707">
      <c r="A707" t="inlineStr">
        <is>
          <t>PAY0016945</t>
        </is>
      </c>
      <c r="B707" t="inlineStr">
        <is>
          <t>INV0019121</t>
        </is>
      </c>
      <c r="C707" t="inlineStr">
        <is>
          <t>MER00902</t>
        </is>
      </c>
      <c r="D707" s="8" t="n">
        <v>45720</v>
      </c>
      <c r="E707" t="n">
        <v>249.17</v>
      </c>
      <c r="F707" t="inlineStr">
        <is>
          <t>UPI</t>
        </is>
      </c>
      <c r="G707" t="inlineStr">
        <is>
          <t>PAYZGZC4ZHK67</t>
        </is>
      </c>
      <c r="H707" t="inlineStr">
        <is>
          <t>Success</t>
        </is>
      </c>
      <c r="I707" t="inlineStr">
        <is>
          <t>BNK7EJ4KPMHZMW2</t>
        </is>
      </c>
      <c r="J707" s="8" t="n">
        <v>45722</v>
      </c>
    </row>
    <row r="708">
      <c r="A708" t="inlineStr">
        <is>
          <t>PAY0016946</t>
        </is>
      </c>
      <c r="B708" t="inlineStr">
        <is>
          <t>INV0019122</t>
        </is>
      </c>
      <c r="C708" t="inlineStr">
        <is>
          <t>MER00902</t>
        </is>
      </c>
      <c r="D708" s="8" t="n">
        <v>45743</v>
      </c>
      <c r="E708" t="n">
        <v>206.36</v>
      </c>
      <c r="F708" t="inlineStr">
        <is>
          <t>UPI</t>
        </is>
      </c>
      <c r="G708" t="inlineStr">
        <is>
          <t>PAYZKPPEJTPGT</t>
        </is>
      </c>
      <c r="H708" t="inlineStr">
        <is>
          <t>Success</t>
        </is>
      </c>
      <c r="I708" t="inlineStr">
        <is>
          <t>BNKE3VXAQ5JKUUV</t>
        </is>
      </c>
      <c r="J708" s="8" t="n">
        <v>45744</v>
      </c>
    </row>
    <row r="709">
      <c r="A709" t="inlineStr">
        <is>
          <t>PAY0016947</t>
        </is>
      </c>
      <c r="B709" t="inlineStr">
        <is>
          <t>INV0019132</t>
        </is>
      </c>
      <c r="C709" t="inlineStr">
        <is>
          <t>MER00902</t>
        </is>
      </c>
      <c r="D709" s="8" t="n">
        <v>46067</v>
      </c>
      <c r="E709" t="n">
        <v>223.43</v>
      </c>
      <c r="F709" t="inlineStr">
        <is>
          <t>Card</t>
        </is>
      </c>
      <c r="G709" t="inlineStr">
        <is>
          <t>PAY5FDBG5TUHN</t>
        </is>
      </c>
      <c r="H709" t="inlineStr">
        <is>
          <t>Success</t>
        </is>
      </c>
      <c r="I709" t="inlineStr">
        <is>
          <t>BNKVWFF3XDDNBAQ</t>
        </is>
      </c>
      <c r="J709" s="8" t="n">
        <v>46069</v>
      </c>
    </row>
    <row r="710">
      <c r="A710" t="inlineStr">
        <is>
          <t>PAY0017045</t>
        </is>
      </c>
      <c r="B710" t="inlineStr">
        <is>
          <t>INV0001105</t>
        </is>
      </c>
      <c r="C710" t="inlineStr">
        <is>
          <t>MER00055</t>
        </is>
      </c>
      <c r="D710" s="8" t="n">
        <v>45710</v>
      </c>
      <c r="E710" t="n">
        <v>640.67</v>
      </c>
      <c r="F710" t="inlineStr">
        <is>
          <t>UPI</t>
        </is>
      </c>
      <c r="G710" t="inlineStr">
        <is>
          <t>PAY3KX3G9NKKS</t>
        </is>
      </c>
      <c r="H710" t="inlineStr">
        <is>
          <t>Success</t>
        </is>
      </c>
      <c r="I710" t="inlineStr">
        <is>
          <t>BNKQECT44X4XCS7</t>
        </is>
      </c>
      <c r="J710" s="8" t="n">
        <v>45713</v>
      </c>
    </row>
    <row r="711">
      <c r="A711" t="inlineStr">
        <is>
          <t>PAY0017046</t>
        </is>
      </c>
      <c r="B711" t="inlineStr">
        <is>
          <t>INV0001107</t>
        </is>
      </c>
      <c r="C711" t="inlineStr">
        <is>
          <t>MER00055</t>
        </is>
      </c>
      <c r="D711" s="8" t="n">
        <v>45809</v>
      </c>
      <c r="E711" t="n">
        <v>436.67</v>
      </c>
      <c r="F711" t="inlineStr">
        <is>
          <t>Card</t>
        </is>
      </c>
      <c r="G711" t="inlineStr">
        <is>
          <t>PAYYKRLAY3UWT</t>
        </is>
      </c>
      <c r="H711" t="inlineStr">
        <is>
          <t>Success</t>
        </is>
      </c>
      <c r="I711" t="inlineStr">
        <is>
          <t>BNK3PT5VBV9QZ8B</t>
        </is>
      </c>
      <c r="J711" s="8" t="n">
        <v>45811</v>
      </c>
    </row>
    <row r="712">
      <c r="A712" t="inlineStr">
        <is>
          <t>PAY0017047</t>
        </is>
      </c>
      <c r="B712" t="inlineStr">
        <is>
          <t>INV0001108</t>
        </is>
      </c>
      <c r="C712" t="inlineStr">
        <is>
          <t>MER00055</t>
        </is>
      </c>
      <c r="D712" s="8" t="n">
        <v>45875</v>
      </c>
      <c r="E712" t="n">
        <v>817.4299999999999</v>
      </c>
      <c r="F712" t="inlineStr">
        <is>
          <t>UPI</t>
        </is>
      </c>
      <c r="G712" t="inlineStr">
        <is>
          <t>PAYXJZG475NE9</t>
        </is>
      </c>
      <c r="H712" t="inlineStr">
        <is>
          <t>Success</t>
        </is>
      </c>
      <c r="I712" t="inlineStr">
        <is>
          <t>BNK2YDE3QMMCX5Q</t>
        </is>
      </c>
      <c r="J712" s="8" t="n">
        <v>45878</v>
      </c>
    </row>
    <row r="713">
      <c r="A713" t="inlineStr">
        <is>
          <t>PAY0017048</t>
        </is>
      </c>
      <c r="B713" t="inlineStr">
        <is>
          <t>INV0001113</t>
        </is>
      </c>
      <c r="C713" t="inlineStr">
        <is>
          <t>MER00055</t>
        </is>
      </c>
      <c r="D713" s="8" t="n">
        <v>46009</v>
      </c>
      <c r="E713" t="n">
        <v>429.76</v>
      </c>
      <c r="F713" t="inlineStr">
        <is>
          <t>Wallet</t>
        </is>
      </c>
      <c r="G713" t="inlineStr">
        <is>
          <t>PAYSMKMPNHMWE</t>
        </is>
      </c>
      <c r="H713" t="inlineStr">
        <is>
          <t>Success</t>
        </is>
      </c>
      <c r="I713" t="inlineStr">
        <is>
          <t>BNKT88EBXM6CYRU</t>
        </is>
      </c>
      <c r="J713" s="8" t="n">
        <v>46012</v>
      </c>
    </row>
    <row r="714">
      <c r="A714" t="inlineStr">
        <is>
          <t>PAY0017049</t>
        </is>
      </c>
      <c r="B714" t="inlineStr">
        <is>
          <t>INV0001115</t>
        </is>
      </c>
      <c r="C714" t="inlineStr">
        <is>
          <t>MER00055</t>
        </is>
      </c>
      <c r="D714" s="8" t="n">
        <v>46064</v>
      </c>
      <c r="E714" t="n">
        <v>481.02</v>
      </c>
      <c r="F714" t="inlineStr">
        <is>
          <t>NetBanking</t>
        </is>
      </c>
      <c r="G714" t="inlineStr">
        <is>
          <t>PAY4A6LXGFJ73</t>
        </is>
      </c>
      <c r="H714" t="inlineStr">
        <is>
          <t>Success</t>
        </is>
      </c>
      <c r="I714" t="inlineStr">
        <is>
          <t>BNKBMS8LEGHF7G5</t>
        </is>
      </c>
      <c r="J714" s="8" t="n">
        <v>46067</v>
      </c>
    </row>
    <row r="715">
      <c r="A715" t="inlineStr">
        <is>
          <t>PAY0017050</t>
        </is>
      </c>
      <c r="B715" t="inlineStr">
        <is>
          <t>INV0001116</t>
        </is>
      </c>
      <c r="C715" t="inlineStr">
        <is>
          <t>MER00055</t>
        </is>
      </c>
      <c r="D715" s="8" t="n">
        <v>46075</v>
      </c>
      <c r="E715" t="n">
        <v>1447.06</v>
      </c>
      <c r="F715" t="inlineStr">
        <is>
          <t>NetBanking</t>
        </is>
      </c>
      <c r="G715" t="inlineStr">
        <is>
          <t>PAYRUXCVK7D2Y</t>
        </is>
      </c>
      <c r="H715" t="inlineStr">
        <is>
          <t>Success</t>
        </is>
      </c>
      <c r="I715" t="inlineStr">
        <is>
          <t>BNKTYKRBHHPM76X</t>
        </is>
      </c>
      <c r="J715" s="8" t="n">
        <v>46076</v>
      </c>
    </row>
    <row r="716">
      <c r="A716" t="inlineStr">
        <is>
          <t>PAY0017051</t>
        </is>
      </c>
      <c r="B716" t="inlineStr">
        <is>
          <t>INV0001117</t>
        </is>
      </c>
      <c r="C716" t="inlineStr">
        <is>
          <t>MER00055</t>
        </is>
      </c>
      <c r="D716" s="8" t="n">
        <v>46097</v>
      </c>
      <c r="E716" t="n">
        <v>1090.59</v>
      </c>
      <c r="F716" t="inlineStr">
        <is>
          <t>UPI</t>
        </is>
      </c>
      <c r="G716" t="inlineStr">
        <is>
          <t>PAYDXVKTRKQE3</t>
        </is>
      </c>
      <c r="H716" t="inlineStr">
        <is>
          <t>Success</t>
        </is>
      </c>
      <c r="I716" t="inlineStr">
        <is>
          <t>BNKJ778TNX92SD7</t>
        </is>
      </c>
      <c r="J716" s="8" t="n">
        <v>46100</v>
      </c>
    </row>
    <row r="717">
      <c r="A717" t="inlineStr">
        <is>
          <t>PAY0017052</t>
        </is>
      </c>
      <c r="B717" t="inlineStr">
        <is>
          <t>INV0001118</t>
        </is>
      </c>
      <c r="C717" t="inlineStr">
        <is>
          <t>MER00055</t>
        </is>
      </c>
      <c r="D717" s="8" t="n">
        <v>46171</v>
      </c>
      <c r="E717" t="n">
        <v>1023.28</v>
      </c>
      <c r="F717" t="inlineStr">
        <is>
          <t>Card</t>
        </is>
      </c>
      <c r="G717" t="inlineStr">
        <is>
          <t>PAYVVGHUB3X63</t>
        </is>
      </c>
      <c r="H717" t="inlineStr">
        <is>
          <t>Success</t>
        </is>
      </c>
      <c r="I717" t="inlineStr">
        <is>
          <t>BNK5AV9PGLT2FKP</t>
        </is>
      </c>
      <c r="J717" s="8" t="n">
        <v>46172</v>
      </c>
    </row>
    <row r="718">
      <c r="A718" t="inlineStr">
        <is>
          <t>PAY0017053</t>
        </is>
      </c>
      <c r="B718" t="inlineStr">
        <is>
          <t>INV0001119</t>
        </is>
      </c>
      <c r="C718" t="inlineStr">
        <is>
          <t>MER00055</t>
        </is>
      </c>
      <c r="D718" s="8" t="n">
        <v>46181</v>
      </c>
      <c r="E718" t="n">
        <v>2045.09</v>
      </c>
      <c r="F718" t="inlineStr">
        <is>
          <t>Card</t>
        </is>
      </c>
      <c r="G718" t="inlineStr">
        <is>
          <t>PAY6REEXC2X9P</t>
        </is>
      </c>
      <c r="H718" t="inlineStr">
        <is>
          <t>Success</t>
        </is>
      </c>
      <c r="I718" t="inlineStr">
        <is>
          <t>BNK28DSJWSBV6GZ</t>
        </is>
      </c>
      <c r="J718" s="8" t="n">
        <v>46184</v>
      </c>
    </row>
    <row r="719">
      <c r="A719" t="inlineStr">
        <is>
          <t>PAY0017054</t>
        </is>
      </c>
      <c r="B719" t="inlineStr">
        <is>
          <t>INV0001123</t>
        </is>
      </c>
      <c r="C719" t="inlineStr">
        <is>
          <t>MER00055</t>
        </is>
      </c>
      <c r="D719" s="8" t="n">
        <v>46299</v>
      </c>
      <c r="E719" t="n">
        <v>1061.89</v>
      </c>
      <c r="F719" t="inlineStr">
        <is>
          <t>Card</t>
        </is>
      </c>
      <c r="G719" t="inlineStr">
        <is>
          <t>PAYC3P64SJAP4</t>
        </is>
      </c>
      <c r="H719" t="inlineStr">
        <is>
          <t>Success</t>
        </is>
      </c>
      <c r="I719" t="inlineStr">
        <is>
          <t>BNKBWQ4LU6V995F</t>
        </is>
      </c>
      <c r="J719" s="8" t="n">
        <v>46301</v>
      </c>
    </row>
    <row r="720">
      <c r="A720" t="inlineStr">
        <is>
          <t>PAY0017155</t>
        </is>
      </c>
      <c r="B720" t="inlineStr">
        <is>
          <t>INV0002969</t>
        </is>
      </c>
      <c r="C720" t="inlineStr">
        <is>
          <t>MER00140</t>
        </is>
      </c>
      <c r="D720" s="8" t="n">
        <v>45599</v>
      </c>
      <c r="E720" t="n">
        <v>272.89</v>
      </c>
      <c r="F720" t="inlineStr">
        <is>
          <t>UPI</t>
        </is>
      </c>
      <c r="G720" t="inlineStr">
        <is>
          <t>PAYFJQ7E8A3KM</t>
        </is>
      </c>
      <c r="H720" t="inlineStr">
        <is>
          <t>Success</t>
        </is>
      </c>
      <c r="I720" t="inlineStr">
        <is>
          <t>BNKCVX63UF87D6N</t>
        </is>
      </c>
      <c r="J720" s="8" t="n">
        <v>45601</v>
      </c>
    </row>
    <row r="721">
      <c r="A721" t="inlineStr">
        <is>
          <t>PAY0017156</t>
        </is>
      </c>
      <c r="B721" t="inlineStr">
        <is>
          <t>INV0002970</t>
        </is>
      </c>
      <c r="C721" t="inlineStr">
        <is>
          <t>MER00140</t>
        </is>
      </c>
      <c r="D721" s="8" t="n">
        <v>45630</v>
      </c>
      <c r="E721" t="n">
        <v>259.91</v>
      </c>
      <c r="F721" t="inlineStr">
        <is>
          <t>UPI</t>
        </is>
      </c>
      <c r="G721" t="inlineStr">
        <is>
          <t>PAYAV6XDQCGTX</t>
        </is>
      </c>
      <c r="H721" t="inlineStr">
        <is>
          <t>Success</t>
        </is>
      </c>
      <c r="I721" t="inlineStr">
        <is>
          <t>BNKMA6NFPRMZGAU</t>
        </is>
      </c>
      <c r="J721" s="8" t="n">
        <v>45631</v>
      </c>
    </row>
    <row r="722">
      <c r="A722" t="inlineStr">
        <is>
          <t>PAY0017157</t>
        </is>
      </c>
      <c r="B722" t="inlineStr">
        <is>
          <t>INV0002971</t>
        </is>
      </c>
      <c r="C722" t="inlineStr">
        <is>
          <t>MER00140</t>
        </is>
      </c>
      <c r="D722" s="8" t="n">
        <v>45630</v>
      </c>
      <c r="E722" t="n">
        <v>753.9400000000001</v>
      </c>
      <c r="F722" t="inlineStr">
        <is>
          <t>UPI</t>
        </is>
      </c>
      <c r="G722" t="inlineStr">
        <is>
          <t>PAYUC67HE5VLU</t>
        </is>
      </c>
      <c r="H722" t="inlineStr">
        <is>
          <t>Success</t>
        </is>
      </c>
      <c r="I722" t="inlineStr">
        <is>
          <t>BNKF5VQ7H588ZET</t>
        </is>
      </c>
      <c r="J722" s="8" t="n">
        <v>45633</v>
      </c>
    </row>
    <row r="723">
      <c r="A723" t="inlineStr">
        <is>
          <t>PAY0017158</t>
        </is>
      </c>
      <c r="B723" t="inlineStr">
        <is>
          <t>INV0002972</t>
        </is>
      </c>
      <c r="C723" t="inlineStr">
        <is>
          <t>MER00140</t>
        </is>
      </c>
      <c r="D723" s="8" t="n">
        <v>45687</v>
      </c>
      <c r="E723" t="n">
        <v>808.55</v>
      </c>
      <c r="F723" t="inlineStr">
        <is>
          <t>NetBanking</t>
        </is>
      </c>
      <c r="G723" t="inlineStr">
        <is>
          <t>PAY78DTAX9AGS</t>
        </is>
      </c>
      <c r="H723" t="inlineStr">
        <is>
          <t>Success</t>
        </is>
      </c>
      <c r="I723" t="inlineStr">
        <is>
          <t>BNK7RA6GXNZDKUV</t>
        </is>
      </c>
      <c r="J723" s="8" t="n">
        <v>45688</v>
      </c>
    </row>
    <row r="724">
      <c r="A724" t="inlineStr">
        <is>
          <t>PAY0017159</t>
        </is>
      </c>
      <c r="B724" t="inlineStr">
        <is>
          <t>INV0002973</t>
        </is>
      </c>
      <c r="C724" t="inlineStr">
        <is>
          <t>MER00140</t>
        </is>
      </c>
      <c r="D724" s="8" t="n">
        <v>45721</v>
      </c>
      <c r="E724" t="n">
        <v>264.6</v>
      </c>
      <c r="F724" t="inlineStr">
        <is>
          <t>UPI</t>
        </is>
      </c>
      <c r="G724" t="inlineStr">
        <is>
          <t>PAYFKF8S79AR6</t>
        </is>
      </c>
      <c r="H724" t="inlineStr">
        <is>
          <t>Success</t>
        </is>
      </c>
      <c r="I724" t="inlineStr">
        <is>
          <t>BNKVVFTDFMAT8B3</t>
        </is>
      </c>
      <c r="J724" s="8" t="n">
        <v>45723</v>
      </c>
    </row>
    <row r="725">
      <c r="A725" t="inlineStr">
        <is>
          <t>PAY0017160</t>
        </is>
      </c>
      <c r="B725" t="inlineStr">
        <is>
          <t>INV0002974</t>
        </is>
      </c>
      <c r="C725" t="inlineStr">
        <is>
          <t>MER00140</t>
        </is>
      </c>
      <c r="D725" s="8" t="n">
        <v>45743</v>
      </c>
      <c r="E725" t="n">
        <v>344.25</v>
      </c>
      <c r="F725" t="inlineStr">
        <is>
          <t>Card</t>
        </is>
      </c>
      <c r="G725" t="inlineStr">
        <is>
          <t>PAYUBY79YW54S</t>
        </is>
      </c>
      <c r="H725" t="inlineStr">
        <is>
          <t>Success</t>
        </is>
      </c>
      <c r="I725" t="inlineStr">
        <is>
          <t>BNKY3VRAXWC5BMP</t>
        </is>
      </c>
      <c r="J725" s="8" t="n">
        <v>45744</v>
      </c>
    </row>
    <row r="726">
      <c r="A726" t="inlineStr">
        <is>
          <t>PAY0017161</t>
        </is>
      </c>
      <c r="B726" t="inlineStr">
        <is>
          <t>INV0002975</t>
        </is>
      </c>
      <c r="C726" t="inlineStr">
        <is>
          <t>MER00140</t>
        </is>
      </c>
      <c r="D726" s="8" t="n">
        <v>45758</v>
      </c>
      <c r="E726" t="n">
        <v>334.26</v>
      </c>
      <c r="F726" t="inlineStr">
        <is>
          <t>UPI</t>
        </is>
      </c>
      <c r="G726" t="inlineStr">
        <is>
          <t>PAY9F6ZR2AFST</t>
        </is>
      </c>
      <c r="H726" t="inlineStr">
        <is>
          <t>Failed</t>
        </is>
      </c>
      <c r="I726" t="inlineStr">
        <is>
          <t>BNK9728CWG6FF6H</t>
        </is>
      </c>
      <c r="J726" s="8" t="n"/>
    </row>
    <row r="727">
      <c r="A727" t="inlineStr">
        <is>
          <t>PAY0017162</t>
        </is>
      </c>
      <c r="B727" t="inlineStr">
        <is>
          <t>INV0002981</t>
        </is>
      </c>
      <c r="C727" t="inlineStr">
        <is>
          <t>MER00140</t>
        </is>
      </c>
      <c r="D727" s="8" t="n">
        <v>45936</v>
      </c>
      <c r="E727" t="n">
        <v>601.09</v>
      </c>
      <c r="F727" t="inlineStr">
        <is>
          <t>UPI</t>
        </is>
      </c>
      <c r="G727" t="inlineStr">
        <is>
          <t>PAYW2C9K8YGQV</t>
        </is>
      </c>
      <c r="H727" t="inlineStr">
        <is>
          <t>Success</t>
        </is>
      </c>
      <c r="I727" t="inlineStr">
        <is>
          <t>BNKDFDX6SV8Z7RC</t>
        </is>
      </c>
      <c r="J727" s="8" t="n">
        <v>45939</v>
      </c>
    </row>
    <row r="728">
      <c r="A728" t="inlineStr">
        <is>
          <t>PAY0017163</t>
        </is>
      </c>
      <c r="B728" t="inlineStr">
        <is>
          <t>INV0002983</t>
        </is>
      </c>
      <c r="C728" t="inlineStr">
        <is>
          <t>MER00140</t>
        </is>
      </c>
      <c r="D728" s="8" t="n">
        <v>45983</v>
      </c>
      <c r="E728" t="n">
        <v>615.52</v>
      </c>
      <c r="F728" t="inlineStr">
        <is>
          <t>UPI</t>
        </is>
      </c>
      <c r="G728" t="inlineStr">
        <is>
          <t>PAYW22PFHAXA6</t>
        </is>
      </c>
      <c r="H728" t="inlineStr">
        <is>
          <t>Success</t>
        </is>
      </c>
      <c r="I728" t="inlineStr">
        <is>
          <t>BNK3EJYVCTWFJ29</t>
        </is>
      </c>
      <c r="J728" s="8" t="n">
        <v>45985</v>
      </c>
    </row>
    <row r="729">
      <c r="A729" t="inlineStr">
        <is>
          <t>PAY0017164</t>
        </is>
      </c>
      <c r="B729" t="inlineStr">
        <is>
          <t>INV0002984</t>
        </is>
      </c>
      <c r="C729" t="inlineStr">
        <is>
          <t>MER00140</t>
        </is>
      </c>
      <c r="D729" s="8" t="n">
        <v>46053</v>
      </c>
      <c r="E729" t="n">
        <v>1637.13</v>
      </c>
      <c r="F729" t="inlineStr">
        <is>
          <t>Wallet</t>
        </is>
      </c>
      <c r="G729" t="inlineStr">
        <is>
          <t>PAY7JX9A8KCEZ</t>
        </is>
      </c>
      <c r="H729" t="inlineStr">
        <is>
          <t>Success</t>
        </is>
      </c>
      <c r="I729" t="inlineStr">
        <is>
          <t>BNK45BG69T92WYY</t>
        </is>
      </c>
      <c r="J729" s="8" t="n">
        <v>46055</v>
      </c>
    </row>
    <row r="730">
      <c r="A730" t="inlineStr">
        <is>
          <t>PAY0017165</t>
        </is>
      </c>
      <c r="B730" t="inlineStr">
        <is>
          <t>INV0002986</t>
        </is>
      </c>
      <c r="C730" t="inlineStr">
        <is>
          <t>MER00140</t>
        </is>
      </c>
      <c r="D730" s="8" t="n">
        <v>46112</v>
      </c>
      <c r="E730" t="n">
        <v>581.67</v>
      </c>
      <c r="F730" t="inlineStr">
        <is>
          <t>UPI</t>
        </is>
      </c>
      <c r="G730" t="inlineStr">
        <is>
          <t>PAYDH6KSRLK9S</t>
        </is>
      </c>
      <c r="H730" t="inlineStr">
        <is>
          <t>Success</t>
        </is>
      </c>
      <c r="I730" t="inlineStr">
        <is>
          <t>BNK5Z6JDPKHQ8FG</t>
        </is>
      </c>
      <c r="J730" s="8" t="n">
        <v>46113</v>
      </c>
    </row>
    <row r="731">
      <c r="A731" t="inlineStr">
        <is>
          <t>PAY0017166</t>
        </is>
      </c>
      <c r="B731" t="inlineStr">
        <is>
          <t>INV0002987</t>
        </is>
      </c>
      <c r="C731" t="inlineStr">
        <is>
          <t>MER00140</t>
        </is>
      </c>
      <c r="D731" s="8" t="n">
        <v>46158</v>
      </c>
      <c r="E731" t="n">
        <v>757.64</v>
      </c>
      <c r="F731" t="inlineStr">
        <is>
          <t>Card</t>
        </is>
      </c>
      <c r="G731" t="inlineStr">
        <is>
          <t>PAYU7D2JR9QCV</t>
        </is>
      </c>
      <c r="H731" t="inlineStr">
        <is>
          <t>Success</t>
        </is>
      </c>
      <c r="I731" t="inlineStr">
        <is>
          <t>BNKYAEJA4D37VX4</t>
        </is>
      </c>
      <c r="J731" s="8" t="n">
        <v>46160</v>
      </c>
    </row>
    <row r="732">
      <c r="A732" t="inlineStr">
        <is>
          <t>PAY0017167</t>
        </is>
      </c>
      <c r="B732" t="inlineStr">
        <is>
          <t>INV0002988</t>
        </is>
      </c>
      <c r="C732" t="inlineStr">
        <is>
          <t>MER00140</t>
        </is>
      </c>
      <c r="D732" s="8" t="n">
        <v>46133</v>
      </c>
      <c r="E732" t="n">
        <v>1078.19</v>
      </c>
      <c r="F732" t="inlineStr">
        <is>
          <t>UPI</t>
        </is>
      </c>
      <c r="G732" t="inlineStr">
        <is>
          <t>PAYY9KU8NFEKK</t>
        </is>
      </c>
      <c r="H732" t="inlineStr">
        <is>
          <t>Success</t>
        </is>
      </c>
      <c r="I732" t="inlineStr">
        <is>
          <t>BNKPMUSSBNWXLLK</t>
        </is>
      </c>
      <c r="J732" s="8" t="n">
        <v>46135</v>
      </c>
    </row>
    <row r="733">
      <c r="A733" t="inlineStr">
        <is>
          <t>PAY0017168</t>
        </is>
      </c>
      <c r="B733" t="inlineStr">
        <is>
          <t>INV0002989</t>
        </is>
      </c>
      <c r="C733" t="inlineStr">
        <is>
          <t>MER00140</t>
        </is>
      </c>
      <c r="D733" s="8" t="n">
        <v>46218</v>
      </c>
      <c r="E733" t="n">
        <v>511.03</v>
      </c>
      <c r="F733" t="inlineStr">
        <is>
          <t>UPI</t>
        </is>
      </c>
      <c r="G733" t="inlineStr">
        <is>
          <t>PAYMSLZ76U4PD</t>
        </is>
      </c>
      <c r="H733" t="inlineStr">
        <is>
          <t>Success</t>
        </is>
      </c>
      <c r="I733" t="inlineStr">
        <is>
          <t>BNKZYV6F6MWL7WZ</t>
        </is>
      </c>
      <c r="J733" s="8" t="n">
        <v>46220</v>
      </c>
    </row>
    <row r="734">
      <c r="A734" t="inlineStr">
        <is>
          <t>PAY0017169</t>
        </is>
      </c>
      <c r="B734" t="inlineStr">
        <is>
          <t>INV0002991</t>
        </is>
      </c>
      <c r="C734" t="inlineStr">
        <is>
          <t>MER00140</t>
        </is>
      </c>
      <c r="D734" s="8" t="n">
        <v>46294</v>
      </c>
      <c r="E734" t="n">
        <v>589.73</v>
      </c>
      <c r="F734" t="inlineStr">
        <is>
          <t>UPI</t>
        </is>
      </c>
      <c r="G734" t="inlineStr">
        <is>
          <t>PAYH569P2BBJT</t>
        </is>
      </c>
      <c r="H734" t="inlineStr">
        <is>
          <t>Success</t>
        </is>
      </c>
      <c r="I734" t="inlineStr">
        <is>
          <t>BNK576B37ZDE5TU</t>
        </is>
      </c>
      <c r="J734" s="8" t="n">
        <v>46295</v>
      </c>
    </row>
    <row r="735">
      <c r="A735" t="inlineStr">
        <is>
          <t>PAY0017182</t>
        </is>
      </c>
      <c r="B735" t="inlineStr">
        <is>
          <t>INV0003305</t>
        </is>
      </c>
      <c r="C735" t="inlineStr">
        <is>
          <t>MER00156</t>
        </is>
      </c>
      <c r="D735" s="8" t="n">
        <v>45748</v>
      </c>
      <c r="E735" t="n">
        <v>15.08</v>
      </c>
      <c r="F735" t="inlineStr">
        <is>
          <t>Card</t>
        </is>
      </c>
      <c r="G735" t="inlineStr">
        <is>
          <t>PAYPVG829L9ZX</t>
        </is>
      </c>
      <c r="H735" t="inlineStr">
        <is>
          <t>Success</t>
        </is>
      </c>
      <c r="I735" t="inlineStr">
        <is>
          <t>BNKUYP67TKD8YHF</t>
        </is>
      </c>
      <c r="J735" s="8" t="n">
        <v>45749</v>
      </c>
    </row>
    <row r="736">
      <c r="A736" t="inlineStr">
        <is>
          <t>PAY0017183</t>
        </is>
      </c>
      <c r="B736" t="inlineStr">
        <is>
          <t>INV0003306</t>
        </is>
      </c>
      <c r="C736" t="inlineStr">
        <is>
          <t>MER00156</t>
        </is>
      </c>
      <c r="D736" s="8" t="n">
        <v>45796</v>
      </c>
      <c r="E736" t="n">
        <v>273.49</v>
      </c>
      <c r="F736" t="inlineStr">
        <is>
          <t>UPI</t>
        </is>
      </c>
      <c r="G736" t="inlineStr">
        <is>
          <t>PAYPXAV23ZP34</t>
        </is>
      </c>
      <c r="H736" t="inlineStr">
        <is>
          <t>Success</t>
        </is>
      </c>
      <c r="I736" t="inlineStr">
        <is>
          <t>BNKYSDRT4Q6H3EY</t>
        </is>
      </c>
      <c r="J736" s="8" t="n">
        <v>45798</v>
      </c>
    </row>
    <row r="737">
      <c r="A737" t="inlineStr">
        <is>
          <t>PAY0017184</t>
        </is>
      </c>
      <c r="B737" t="inlineStr">
        <is>
          <t>INV0003307</t>
        </is>
      </c>
      <c r="C737" t="inlineStr">
        <is>
          <t>MER00156</t>
        </is>
      </c>
      <c r="D737" s="8" t="n">
        <v>45798</v>
      </c>
      <c r="E737" t="n">
        <v>55.94</v>
      </c>
      <c r="F737" t="inlineStr">
        <is>
          <t>UPI</t>
        </is>
      </c>
      <c r="G737" t="inlineStr">
        <is>
          <t>PAY5ZNEZVBYGU</t>
        </is>
      </c>
      <c r="H737" t="inlineStr">
        <is>
          <t>Success</t>
        </is>
      </c>
      <c r="I737" t="inlineStr">
        <is>
          <t>BNK4LA6MV7BMVMC</t>
        </is>
      </c>
      <c r="J737" s="8" t="n">
        <v>45799</v>
      </c>
    </row>
    <row r="738">
      <c r="A738" t="inlineStr">
        <is>
          <t>PAY0017185</t>
        </is>
      </c>
      <c r="B738" t="inlineStr">
        <is>
          <t>INV0003308</t>
        </is>
      </c>
      <c r="C738" t="inlineStr">
        <is>
          <t>MER00156</t>
        </is>
      </c>
      <c r="D738" s="8" t="n">
        <v>45839</v>
      </c>
      <c r="E738" t="n">
        <v>235.65</v>
      </c>
      <c r="F738" t="inlineStr">
        <is>
          <t>UPI</t>
        </is>
      </c>
      <c r="G738" t="inlineStr">
        <is>
          <t>PAYEACMQS4EB9</t>
        </is>
      </c>
      <c r="H738" t="inlineStr">
        <is>
          <t>Success</t>
        </is>
      </c>
      <c r="I738" t="inlineStr">
        <is>
          <t>BNK7XDVKKL89R74</t>
        </is>
      </c>
      <c r="J738" s="8" t="n">
        <v>45840</v>
      </c>
    </row>
    <row r="739">
      <c r="A739" t="inlineStr">
        <is>
          <t>PAY0017186</t>
        </is>
      </c>
      <c r="B739" t="inlineStr">
        <is>
          <t>INV0003309</t>
        </is>
      </c>
      <c r="C739" t="inlineStr">
        <is>
          <t>MER00156</t>
        </is>
      </c>
      <c r="D739" s="8" t="n">
        <v>45881</v>
      </c>
      <c r="E739" t="n">
        <v>121.79</v>
      </c>
      <c r="F739" t="inlineStr">
        <is>
          <t>UPI</t>
        </is>
      </c>
      <c r="G739" t="inlineStr">
        <is>
          <t>PAY78PZF56EVH</t>
        </is>
      </c>
      <c r="H739" t="inlineStr">
        <is>
          <t>Success</t>
        </is>
      </c>
      <c r="I739" t="inlineStr">
        <is>
          <t>BNKH7GKKCNN8HWC</t>
        </is>
      </c>
      <c r="J739" s="8" t="n">
        <v>45883</v>
      </c>
    </row>
    <row r="740">
      <c r="A740" t="inlineStr">
        <is>
          <t>PAY0017187</t>
        </is>
      </c>
      <c r="B740" t="inlineStr">
        <is>
          <t>INV0003312</t>
        </is>
      </c>
      <c r="C740" t="inlineStr">
        <is>
          <t>MER00156</t>
        </is>
      </c>
      <c r="D740" s="8" t="n">
        <v>45978</v>
      </c>
      <c r="E740" t="n">
        <v>194.7</v>
      </c>
      <c r="F740" t="inlineStr">
        <is>
          <t>UPI</t>
        </is>
      </c>
      <c r="G740" t="inlineStr">
        <is>
          <t>PAYL9A3GEG7TZ</t>
        </is>
      </c>
      <c r="H740" t="inlineStr">
        <is>
          <t>Success</t>
        </is>
      </c>
      <c r="I740" t="inlineStr">
        <is>
          <t>BNK852ARLA3PBSQ</t>
        </is>
      </c>
      <c r="J740" s="8" t="n">
        <v>45981</v>
      </c>
    </row>
    <row r="741">
      <c r="A741" t="inlineStr">
        <is>
          <t>PAY0017188</t>
        </is>
      </c>
      <c r="B741" t="inlineStr">
        <is>
          <t>INV0003315</t>
        </is>
      </c>
      <c r="C741" t="inlineStr">
        <is>
          <t>MER00156</t>
        </is>
      </c>
      <c r="D741" s="8" t="n">
        <v>46051</v>
      </c>
      <c r="E741" t="n">
        <v>93.77</v>
      </c>
      <c r="F741" t="inlineStr">
        <is>
          <t>Card</t>
        </is>
      </c>
      <c r="G741" t="inlineStr">
        <is>
          <t>PAYCM3ZLDAL42</t>
        </is>
      </c>
      <c r="H741" t="inlineStr">
        <is>
          <t>Success</t>
        </is>
      </c>
      <c r="I741" t="inlineStr">
        <is>
          <t>BNKZWP7AMHN9DPA</t>
        </is>
      </c>
      <c r="J741" s="8" t="n">
        <v>46053</v>
      </c>
    </row>
    <row r="742">
      <c r="A742" t="inlineStr">
        <is>
          <t>PAY0017189</t>
        </is>
      </c>
      <c r="B742" t="inlineStr">
        <is>
          <t>INV0003316</t>
        </is>
      </c>
      <c r="C742" t="inlineStr">
        <is>
          <t>MER00156</t>
        </is>
      </c>
      <c r="D742" s="8" t="n">
        <v>46068</v>
      </c>
      <c r="E742" t="n">
        <v>253.22</v>
      </c>
      <c r="F742" t="inlineStr">
        <is>
          <t>UPI</t>
        </is>
      </c>
      <c r="G742" t="inlineStr">
        <is>
          <t>PAYD4PLCSRAZN</t>
        </is>
      </c>
      <c r="H742" t="inlineStr">
        <is>
          <t>Success</t>
        </is>
      </c>
      <c r="I742" t="inlineStr">
        <is>
          <t>BNKST49NBXGBKQD</t>
        </is>
      </c>
      <c r="J742" s="8" t="n">
        <v>46071</v>
      </c>
    </row>
    <row r="743">
      <c r="A743" t="inlineStr">
        <is>
          <t>PAY0017190</t>
        </is>
      </c>
      <c r="B743" t="inlineStr">
        <is>
          <t>INV0003321</t>
        </is>
      </c>
      <c r="C743" t="inlineStr">
        <is>
          <t>MER00156</t>
        </is>
      </c>
      <c r="D743" s="8" t="n">
        <v>46226</v>
      </c>
      <c r="E743" t="n">
        <v>363.62</v>
      </c>
      <c r="F743" t="inlineStr">
        <is>
          <t>NetBanking</t>
        </is>
      </c>
      <c r="G743" t="inlineStr">
        <is>
          <t>PAYUAPBSGLUXQ</t>
        </is>
      </c>
      <c r="H743" t="inlineStr">
        <is>
          <t>Success</t>
        </is>
      </c>
      <c r="I743" t="inlineStr">
        <is>
          <t>BNKPUZZ88NYTNNF</t>
        </is>
      </c>
      <c r="J743" s="8" t="n">
        <v>46227</v>
      </c>
    </row>
    <row r="744">
      <c r="A744" t="inlineStr">
        <is>
          <t>PAY0017191</t>
        </is>
      </c>
      <c r="B744" t="inlineStr">
        <is>
          <t>INV0003322</t>
        </is>
      </c>
      <c r="C744" t="inlineStr">
        <is>
          <t>MER00156</t>
        </is>
      </c>
      <c r="D744" s="8" t="n">
        <v>46283</v>
      </c>
      <c r="E744" t="n">
        <v>94.38</v>
      </c>
      <c r="F744" t="inlineStr">
        <is>
          <t>Card</t>
        </is>
      </c>
      <c r="G744" t="inlineStr">
        <is>
          <t>PAYRK2ZNPGAKA</t>
        </is>
      </c>
      <c r="H744" t="inlineStr">
        <is>
          <t>Success</t>
        </is>
      </c>
      <c r="I744" t="inlineStr">
        <is>
          <t>BNKE545HLQ4S9QQ</t>
        </is>
      </c>
      <c r="J744" s="8" t="n">
        <v>46285</v>
      </c>
    </row>
    <row r="745">
      <c r="A745" t="inlineStr">
        <is>
          <t>PAY0017235</t>
        </is>
      </c>
      <c r="B745" t="inlineStr">
        <is>
          <t>INV0003903</t>
        </is>
      </c>
      <c r="C745" t="inlineStr">
        <is>
          <t>MER00184</t>
        </is>
      </c>
      <c r="D745" s="8" t="n">
        <v>45595</v>
      </c>
      <c r="E745" t="n">
        <v>963.14</v>
      </c>
      <c r="F745" t="inlineStr">
        <is>
          <t>UPI</t>
        </is>
      </c>
      <c r="G745" t="inlineStr">
        <is>
          <t>PAY456CLTZ6W7</t>
        </is>
      </c>
      <c r="H745" t="inlineStr">
        <is>
          <t>Success</t>
        </is>
      </c>
      <c r="I745" t="inlineStr">
        <is>
          <t>BNK963S5SVXVZWA</t>
        </is>
      </c>
      <c r="J745" s="8" t="n">
        <v>45596</v>
      </c>
    </row>
    <row r="746">
      <c r="A746" t="inlineStr">
        <is>
          <t>PAY0017236</t>
        </is>
      </c>
      <c r="B746" t="inlineStr">
        <is>
          <t>INV0003904</t>
        </is>
      </c>
      <c r="C746" t="inlineStr">
        <is>
          <t>MER00184</t>
        </is>
      </c>
      <c r="D746" s="8" t="n">
        <v>45622</v>
      </c>
      <c r="E746" t="n">
        <v>477.98</v>
      </c>
      <c r="F746" t="inlineStr">
        <is>
          <t>UPI</t>
        </is>
      </c>
      <c r="G746" t="inlineStr">
        <is>
          <t>PAYGTSNT4JYMH</t>
        </is>
      </c>
      <c r="H746" t="inlineStr">
        <is>
          <t>Success</t>
        </is>
      </c>
      <c r="I746" t="inlineStr">
        <is>
          <t>BNK9UKF3MBMY739</t>
        </is>
      </c>
      <c r="J746" s="8" t="n">
        <v>45625</v>
      </c>
    </row>
    <row r="747">
      <c r="A747" t="inlineStr">
        <is>
          <t>PAY0017237</t>
        </is>
      </c>
      <c r="B747" t="inlineStr">
        <is>
          <t>INV0003905</t>
        </is>
      </c>
      <c r="C747" t="inlineStr">
        <is>
          <t>MER00184</t>
        </is>
      </c>
      <c r="D747" s="8" t="n">
        <v>45659</v>
      </c>
      <c r="E747" t="n">
        <v>1410.5</v>
      </c>
      <c r="F747" t="inlineStr">
        <is>
          <t>UPI</t>
        </is>
      </c>
      <c r="G747" t="inlineStr">
        <is>
          <t>PAYY4L7TJNWHG</t>
        </is>
      </c>
      <c r="H747" t="inlineStr">
        <is>
          <t>Success</t>
        </is>
      </c>
      <c r="I747" t="inlineStr">
        <is>
          <t>BNK5CUTUFTTFB9U</t>
        </is>
      </c>
      <c r="J747" s="8" t="n">
        <v>45661</v>
      </c>
    </row>
    <row r="748">
      <c r="A748" t="inlineStr">
        <is>
          <t>PAY0017238</t>
        </is>
      </c>
      <c r="B748" t="inlineStr">
        <is>
          <t>INV0003906</t>
        </is>
      </c>
      <c r="C748" t="inlineStr">
        <is>
          <t>MER00184</t>
        </is>
      </c>
      <c r="D748" s="8" t="n">
        <v>45689</v>
      </c>
      <c r="E748" t="n">
        <v>1058.9</v>
      </c>
      <c r="F748" t="inlineStr">
        <is>
          <t>UPI</t>
        </is>
      </c>
      <c r="G748" t="inlineStr">
        <is>
          <t>PAY56V7G5DJ36</t>
        </is>
      </c>
      <c r="H748" t="inlineStr">
        <is>
          <t>Success</t>
        </is>
      </c>
      <c r="I748" t="inlineStr">
        <is>
          <t>BNKPZGPCTW7YM6C</t>
        </is>
      </c>
      <c r="J748" s="8" t="n">
        <v>45692</v>
      </c>
    </row>
    <row r="749">
      <c r="A749" t="inlineStr">
        <is>
          <t>PAY0017239</t>
        </is>
      </c>
      <c r="B749" t="inlineStr">
        <is>
          <t>INV0003911</t>
        </is>
      </c>
      <c r="C749" t="inlineStr">
        <is>
          <t>MER00184</t>
        </is>
      </c>
      <c r="D749" s="8" t="n">
        <v>45825</v>
      </c>
      <c r="E749" t="n">
        <v>1080.01</v>
      </c>
      <c r="F749" t="inlineStr">
        <is>
          <t>UPI</t>
        </is>
      </c>
      <c r="G749" t="inlineStr">
        <is>
          <t>PAY43NJATDARW</t>
        </is>
      </c>
      <c r="H749" t="inlineStr">
        <is>
          <t>Success</t>
        </is>
      </c>
      <c r="I749" t="inlineStr">
        <is>
          <t>BNK5GLHV2UK9VW6</t>
        </is>
      </c>
      <c r="J749" s="8" t="n">
        <v>45827</v>
      </c>
    </row>
    <row r="750">
      <c r="A750" t="inlineStr">
        <is>
          <t>PAY0017240</t>
        </is>
      </c>
      <c r="B750" t="inlineStr">
        <is>
          <t>INV0003913</t>
        </is>
      </c>
      <c r="C750" t="inlineStr">
        <is>
          <t>MER00184</t>
        </is>
      </c>
      <c r="D750" s="8" t="n">
        <v>45903</v>
      </c>
      <c r="E750" t="n">
        <v>813.55</v>
      </c>
      <c r="F750" t="inlineStr">
        <is>
          <t>Card</t>
        </is>
      </c>
      <c r="G750" t="inlineStr">
        <is>
          <t>PAYFSZC7TGQXE</t>
        </is>
      </c>
      <c r="H750" t="inlineStr">
        <is>
          <t>Failed</t>
        </is>
      </c>
      <c r="I750" t="inlineStr">
        <is>
          <t>BNK3AJ946BLBEHH</t>
        </is>
      </c>
      <c r="J750" s="8" t="n"/>
    </row>
    <row r="751">
      <c r="A751" t="inlineStr">
        <is>
          <t>PAY0017241</t>
        </is>
      </c>
      <c r="B751" t="inlineStr">
        <is>
          <t>INV0003915</t>
        </is>
      </c>
      <c r="C751" t="inlineStr">
        <is>
          <t>MER00184</t>
        </is>
      </c>
      <c r="D751" s="8" t="n">
        <v>45947</v>
      </c>
      <c r="E751" t="n">
        <v>1099.52</v>
      </c>
      <c r="F751" t="inlineStr">
        <is>
          <t>UPI</t>
        </is>
      </c>
      <c r="G751" t="inlineStr">
        <is>
          <t>PAYRTMM5GARSU</t>
        </is>
      </c>
      <c r="H751" t="inlineStr">
        <is>
          <t>Success</t>
        </is>
      </c>
      <c r="I751" t="inlineStr">
        <is>
          <t>BNKNSY9Y6G538CV</t>
        </is>
      </c>
      <c r="J751" s="8" t="n">
        <v>45948</v>
      </c>
    </row>
    <row r="752">
      <c r="A752" t="inlineStr">
        <is>
          <t>PAY0017251</t>
        </is>
      </c>
      <c r="B752" t="inlineStr">
        <is>
          <t>INV0004012</t>
        </is>
      </c>
      <c r="C752" t="inlineStr">
        <is>
          <t>MER00189</t>
        </is>
      </c>
      <c r="D752" s="8" t="n">
        <v>45624</v>
      </c>
      <c r="E752" t="n">
        <v>189.85</v>
      </c>
      <c r="F752" t="inlineStr">
        <is>
          <t>Wallet</t>
        </is>
      </c>
      <c r="G752" t="inlineStr">
        <is>
          <t>PAYQ7MVLLGSQ2</t>
        </is>
      </c>
      <c r="H752" t="inlineStr">
        <is>
          <t>Success</t>
        </is>
      </c>
      <c r="I752" t="inlineStr">
        <is>
          <t>BNKH8XSH6C8GAFC</t>
        </is>
      </c>
      <c r="J752" s="8" t="n">
        <v>45626</v>
      </c>
    </row>
    <row r="753">
      <c r="A753" t="inlineStr">
        <is>
          <t>PAY0017252</t>
        </is>
      </c>
      <c r="B753" t="inlineStr">
        <is>
          <t>INV0004016</t>
        </is>
      </c>
      <c r="C753" t="inlineStr">
        <is>
          <t>MER00189</t>
        </is>
      </c>
      <c r="D753" s="8" t="n">
        <v>45734</v>
      </c>
      <c r="E753" t="n">
        <v>225.44</v>
      </c>
      <c r="F753" t="inlineStr">
        <is>
          <t>Wallet</t>
        </is>
      </c>
      <c r="G753" t="inlineStr">
        <is>
          <t>PAYZFV6948S35</t>
        </is>
      </c>
      <c r="H753" t="inlineStr">
        <is>
          <t>Success</t>
        </is>
      </c>
      <c r="I753" t="inlineStr">
        <is>
          <t>BNKH62KU2288R2V</t>
        </is>
      </c>
      <c r="J753" s="8" t="n">
        <v>45735</v>
      </c>
    </row>
    <row r="754">
      <c r="A754" t="inlineStr">
        <is>
          <t>PAY0017253</t>
        </is>
      </c>
      <c r="B754" t="inlineStr">
        <is>
          <t>INV0004019</t>
        </is>
      </c>
      <c r="C754" t="inlineStr">
        <is>
          <t>MER00189</t>
        </is>
      </c>
      <c r="D754" s="8" t="n">
        <v>45818</v>
      </c>
      <c r="E754" t="n">
        <v>85.02</v>
      </c>
      <c r="F754" t="inlineStr">
        <is>
          <t>UPI</t>
        </is>
      </c>
      <c r="G754" t="inlineStr">
        <is>
          <t>PAY2YW69K3GJB</t>
        </is>
      </c>
      <c r="H754" t="inlineStr">
        <is>
          <t>Success</t>
        </is>
      </c>
      <c r="I754" t="inlineStr">
        <is>
          <t>BNKZK4S7G7VM7PG</t>
        </is>
      </c>
      <c r="J754" s="8" t="n">
        <v>45820</v>
      </c>
    </row>
    <row r="755">
      <c r="A755" t="inlineStr">
        <is>
          <t>PAY0017254</t>
        </is>
      </c>
      <c r="B755" t="inlineStr">
        <is>
          <t>INV0004023</t>
        </is>
      </c>
      <c r="C755" t="inlineStr">
        <is>
          <t>MER00189</t>
        </is>
      </c>
      <c r="D755" s="8" t="n">
        <v>45966</v>
      </c>
      <c r="E755" t="n">
        <v>216.62</v>
      </c>
      <c r="F755" t="inlineStr">
        <is>
          <t>Card</t>
        </is>
      </c>
      <c r="G755" t="inlineStr">
        <is>
          <t>PAYL3YHAZG9ZR</t>
        </is>
      </c>
      <c r="H755" t="inlineStr">
        <is>
          <t>Success</t>
        </is>
      </c>
      <c r="I755" t="inlineStr">
        <is>
          <t>BNKFS4N8XC3AGYZ</t>
        </is>
      </c>
      <c r="J755" s="8" t="n">
        <v>45969</v>
      </c>
    </row>
    <row r="756">
      <c r="A756" t="inlineStr">
        <is>
          <t>PAY0017255</t>
        </is>
      </c>
      <c r="B756" t="inlineStr">
        <is>
          <t>INV0004024</t>
        </is>
      </c>
      <c r="C756" t="inlineStr">
        <is>
          <t>MER00189</t>
        </is>
      </c>
      <c r="D756" s="8" t="n">
        <v>45998</v>
      </c>
      <c r="E756" t="n">
        <v>262.15</v>
      </c>
      <c r="F756" t="inlineStr">
        <is>
          <t>UPI</t>
        </is>
      </c>
      <c r="G756" t="inlineStr">
        <is>
          <t>PAYZU26UF9VPU</t>
        </is>
      </c>
      <c r="H756" t="inlineStr">
        <is>
          <t>Success</t>
        </is>
      </c>
      <c r="I756" t="inlineStr">
        <is>
          <t>BNKYJVECR9TBYV7</t>
        </is>
      </c>
      <c r="J756" s="8" t="n">
        <v>46000</v>
      </c>
    </row>
    <row r="757">
      <c r="A757" t="inlineStr">
        <is>
          <t>PAY0017256</t>
        </is>
      </c>
      <c r="B757" t="inlineStr">
        <is>
          <t>INV0004025</t>
        </is>
      </c>
      <c r="C757" t="inlineStr">
        <is>
          <t>MER00189</t>
        </is>
      </c>
      <c r="D757" s="8" t="n">
        <v>46018</v>
      </c>
      <c r="E757" t="n">
        <v>392.61</v>
      </c>
      <c r="F757" t="inlineStr">
        <is>
          <t>UPI</t>
        </is>
      </c>
      <c r="G757" t="inlineStr">
        <is>
          <t>PAY7X3P82HZ3K</t>
        </is>
      </c>
      <c r="H757" t="inlineStr">
        <is>
          <t>Success</t>
        </is>
      </c>
      <c r="I757" t="inlineStr">
        <is>
          <t>BNKV9WKT5HZ7HFW</t>
        </is>
      </c>
      <c r="J757" s="8" t="n">
        <v>46021</v>
      </c>
    </row>
    <row r="758">
      <c r="A758" t="inlineStr">
        <is>
          <t>PAY0017257</t>
        </is>
      </c>
      <c r="B758" t="inlineStr">
        <is>
          <t>INV0004026</t>
        </is>
      </c>
      <c r="C758" t="inlineStr">
        <is>
          <t>MER00189</t>
        </is>
      </c>
      <c r="D758" s="8" t="n">
        <v>46045</v>
      </c>
      <c r="E758" t="n">
        <v>152.64</v>
      </c>
      <c r="F758" t="inlineStr">
        <is>
          <t>UPI</t>
        </is>
      </c>
      <c r="G758" t="inlineStr">
        <is>
          <t>PAY6VAQ9AGFX3</t>
        </is>
      </c>
      <c r="H758" t="inlineStr">
        <is>
          <t>Success</t>
        </is>
      </c>
      <c r="I758" t="inlineStr">
        <is>
          <t>BNKYVG9FYMX9EEL</t>
        </is>
      </c>
      <c r="J758" s="8" t="n">
        <v>46048</v>
      </c>
    </row>
    <row r="759">
      <c r="A759" t="inlineStr">
        <is>
          <t>PAY0017258</t>
        </is>
      </c>
      <c r="B759" t="inlineStr">
        <is>
          <t>INV0004027</t>
        </is>
      </c>
      <c r="C759" t="inlineStr">
        <is>
          <t>MER00189</t>
        </is>
      </c>
      <c r="D759" s="8" t="n">
        <v>46073</v>
      </c>
      <c r="E759" t="n">
        <v>130.86</v>
      </c>
      <c r="F759" t="inlineStr">
        <is>
          <t>Card</t>
        </is>
      </c>
      <c r="G759" t="inlineStr">
        <is>
          <t>PAYG6F245A45K</t>
        </is>
      </c>
      <c r="H759" t="inlineStr">
        <is>
          <t>Success</t>
        </is>
      </c>
      <c r="I759" t="inlineStr">
        <is>
          <t>BNKK2MW2XUANLGZ</t>
        </is>
      </c>
      <c r="J759" s="8" t="n">
        <v>46074</v>
      </c>
    </row>
    <row r="760">
      <c r="A760" t="inlineStr">
        <is>
          <t>PAY0017259</t>
        </is>
      </c>
      <c r="B760" t="inlineStr">
        <is>
          <t>INV0004032</t>
        </is>
      </c>
      <c r="C760" t="inlineStr">
        <is>
          <t>MER00189</t>
        </is>
      </c>
      <c r="D760" s="8" t="n">
        <v>46237</v>
      </c>
      <c r="E760" t="n">
        <v>151.5</v>
      </c>
      <c r="F760" t="inlineStr">
        <is>
          <t>Wallet</t>
        </is>
      </c>
      <c r="G760" t="inlineStr">
        <is>
          <t>PAY8GMA4DYR29</t>
        </is>
      </c>
      <c r="H760" t="inlineStr">
        <is>
          <t>Success</t>
        </is>
      </c>
      <c r="I760" t="inlineStr">
        <is>
          <t>BNK9JECPZPV2HAW</t>
        </is>
      </c>
      <c r="J760" s="8" t="n">
        <v>46238</v>
      </c>
    </row>
    <row r="761">
      <c r="A761" t="inlineStr">
        <is>
          <t>PAY0017260</t>
        </is>
      </c>
      <c r="B761" t="inlineStr">
        <is>
          <t>INV0004033</t>
        </is>
      </c>
      <c r="C761" t="inlineStr">
        <is>
          <t>MER00189</t>
        </is>
      </c>
      <c r="D761" s="8" t="n">
        <v>46263</v>
      </c>
      <c r="E761" t="n">
        <v>188</v>
      </c>
      <c r="F761" t="inlineStr">
        <is>
          <t>UPI</t>
        </is>
      </c>
      <c r="G761" t="inlineStr">
        <is>
          <t>PAYENYG9TU8KT</t>
        </is>
      </c>
      <c r="H761" t="inlineStr">
        <is>
          <t>Success</t>
        </is>
      </c>
      <c r="I761" t="inlineStr">
        <is>
          <t>BNK3QGHC89TTSVH</t>
        </is>
      </c>
      <c r="J761" s="8" t="n">
        <v>46264</v>
      </c>
    </row>
    <row r="762">
      <c r="A762" t="inlineStr">
        <is>
          <t>PAY0017283</t>
        </is>
      </c>
      <c r="B762" t="inlineStr">
        <is>
          <t>INV0004313</t>
        </is>
      </c>
      <c r="C762" t="inlineStr">
        <is>
          <t>MER00203</t>
        </is>
      </c>
      <c r="D762" s="8" t="n">
        <v>45598</v>
      </c>
      <c r="E762" t="n">
        <v>1848.2</v>
      </c>
      <c r="F762" t="inlineStr">
        <is>
          <t>NetBanking</t>
        </is>
      </c>
      <c r="G762" t="inlineStr">
        <is>
          <t>PAYHY5JXMNBHD</t>
        </is>
      </c>
      <c r="H762" t="inlineStr">
        <is>
          <t>Success</t>
        </is>
      </c>
      <c r="I762" t="inlineStr">
        <is>
          <t>BNKFZZAV9YY4K7X</t>
        </is>
      </c>
      <c r="J762" s="8" t="n">
        <v>45600</v>
      </c>
    </row>
    <row r="763">
      <c r="A763" t="inlineStr">
        <is>
          <t>PAY0017284</t>
        </is>
      </c>
      <c r="B763" t="inlineStr">
        <is>
          <t>INV0004314</t>
        </is>
      </c>
      <c r="C763" t="inlineStr">
        <is>
          <t>MER00203</t>
        </is>
      </c>
      <c r="D763" s="8" t="n">
        <v>45619</v>
      </c>
      <c r="E763" t="n">
        <v>2979.42</v>
      </c>
      <c r="F763" t="inlineStr">
        <is>
          <t>Card</t>
        </is>
      </c>
      <c r="G763" t="inlineStr">
        <is>
          <t>PAY6NH6KRBYER</t>
        </is>
      </c>
      <c r="H763" t="inlineStr">
        <is>
          <t>Success</t>
        </is>
      </c>
      <c r="I763" t="inlineStr">
        <is>
          <t>BNK3EFWP9QT296Z</t>
        </is>
      </c>
      <c r="J763" s="8" t="n">
        <v>45622</v>
      </c>
    </row>
    <row r="764">
      <c r="A764" t="inlineStr">
        <is>
          <t>PAY0017285</t>
        </is>
      </c>
      <c r="B764" t="inlineStr">
        <is>
          <t>INV0004315</t>
        </is>
      </c>
      <c r="C764" t="inlineStr">
        <is>
          <t>MER00203</t>
        </is>
      </c>
      <c r="D764" s="8" t="n">
        <v>45665</v>
      </c>
      <c r="E764" t="n">
        <v>1941.41</v>
      </c>
      <c r="F764" t="inlineStr">
        <is>
          <t>UPI</t>
        </is>
      </c>
      <c r="G764" t="inlineStr">
        <is>
          <t>PAYSAREZEV3UB</t>
        </is>
      </c>
      <c r="H764" t="inlineStr">
        <is>
          <t>Success</t>
        </is>
      </c>
      <c r="I764" t="inlineStr">
        <is>
          <t>BNKKPAKGCAHG4K3</t>
        </is>
      </c>
      <c r="J764" s="8" t="n">
        <v>45667</v>
      </c>
    </row>
    <row r="765">
      <c r="A765" t="inlineStr">
        <is>
          <t>PAY0017286</t>
        </is>
      </c>
      <c r="B765" t="inlineStr">
        <is>
          <t>INV0004317</t>
        </is>
      </c>
      <c r="C765" t="inlineStr">
        <is>
          <t>MER00203</t>
        </is>
      </c>
      <c r="D765" s="8" t="n">
        <v>45741</v>
      </c>
      <c r="E765" t="n">
        <v>2418.86</v>
      </c>
      <c r="F765" t="inlineStr">
        <is>
          <t>UPI</t>
        </is>
      </c>
      <c r="G765" t="inlineStr">
        <is>
          <t>PAYB5B5Z6NHCV</t>
        </is>
      </c>
      <c r="H765" t="inlineStr">
        <is>
          <t>Success</t>
        </is>
      </c>
      <c r="I765" t="inlineStr">
        <is>
          <t>BNKD82LDCRX33CY</t>
        </is>
      </c>
      <c r="J765" s="8" t="n">
        <v>45743</v>
      </c>
    </row>
    <row r="766">
      <c r="A766" t="inlineStr">
        <is>
          <t>PAY0017287</t>
        </is>
      </c>
      <c r="B766" t="inlineStr">
        <is>
          <t>INV0004323</t>
        </is>
      </c>
      <c r="C766" t="inlineStr">
        <is>
          <t>MER00203</t>
        </is>
      </c>
      <c r="D766" s="8" t="n">
        <v>45895</v>
      </c>
      <c r="E766" t="n">
        <v>1952.7</v>
      </c>
      <c r="F766" t="inlineStr">
        <is>
          <t>UPI</t>
        </is>
      </c>
      <c r="G766" t="inlineStr">
        <is>
          <t>PAYUHQAMFJ7SD</t>
        </is>
      </c>
      <c r="H766" t="inlineStr">
        <is>
          <t>Success</t>
        </is>
      </c>
      <c r="I766" t="inlineStr">
        <is>
          <t>BNKRHVMVK3E46PV</t>
        </is>
      </c>
      <c r="J766" s="8" t="n">
        <v>45898</v>
      </c>
    </row>
    <row r="767">
      <c r="A767" t="inlineStr">
        <is>
          <t>PAY0017288</t>
        </is>
      </c>
      <c r="B767" t="inlineStr">
        <is>
          <t>INV0004324</t>
        </is>
      </c>
      <c r="C767" t="inlineStr">
        <is>
          <t>MER00203</t>
        </is>
      </c>
      <c r="D767" s="8" t="n">
        <v>45934</v>
      </c>
      <c r="E767" t="n">
        <v>1918.79</v>
      </c>
      <c r="F767" t="inlineStr">
        <is>
          <t>Card</t>
        </is>
      </c>
      <c r="G767" t="inlineStr">
        <is>
          <t>PAY9XNBZZUP57</t>
        </is>
      </c>
      <c r="H767" t="inlineStr">
        <is>
          <t>Failed</t>
        </is>
      </c>
      <c r="I767" t="inlineStr">
        <is>
          <t>BNKEVGUX3BQ7XH8</t>
        </is>
      </c>
      <c r="J767" s="8" t="n"/>
    </row>
    <row r="768">
      <c r="A768" t="inlineStr">
        <is>
          <t>PAY0017289</t>
        </is>
      </c>
      <c r="B768" t="inlineStr">
        <is>
          <t>INV0004326</t>
        </is>
      </c>
      <c r="C768" t="inlineStr">
        <is>
          <t>MER00203</t>
        </is>
      </c>
      <c r="D768" s="8" t="n">
        <v>46014</v>
      </c>
      <c r="E768" t="n">
        <v>1230.91</v>
      </c>
      <c r="F768" t="inlineStr">
        <is>
          <t>UPI</t>
        </is>
      </c>
      <c r="G768" t="inlineStr">
        <is>
          <t>PAYXMJTEBMCYK</t>
        </is>
      </c>
      <c r="H768" t="inlineStr">
        <is>
          <t>Success</t>
        </is>
      </c>
      <c r="I768" t="inlineStr">
        <is>
          <t>BNKBB2QWBH5RX5E</t>
        </is>
      </c>
      <c r="J768" s="8" t="n">
        <v>46016</v>
      </c>
    </row>
    <row r="769">
      <c r="A769" t="inlineStr">
        <is>
          <t>PAY0017290</t>
        </is>
      </c>
      <c r="B769" t="inlineStr">
        <is>
          <t>INV0004328</t>
        </is>
      </c>
      <c r="C769" t="inlineStr">
        <is>
          <t>MER00203</t>
        </is>
      </c>
      <c r="D769" s="8" t="n">
        <v>46029</v>
      </c>
      <c r="E769" t="n">
        <v>3952.16</v>
      </c>
      <c r="F769" t="inlineStr">
        <is>
          <t>UPI</t>
        </is>
      </c>
      <c r="G769" t="inlineStr">
        <is>
          <t>PAY2G9RZ6NU7E</t>
        </is>
      </c>
      <c r="H769" t="inlineStr">
        <is>
          <t>Success</t>
        </is>
      </c>
      <c r="I769" t="inlineStr">
        <is>
          <t>BNKLWP5LZVJ8NKV</t>
        </is>
      </c>
      <c r="J769" s="8" t="n">
        <v>46032</v>
      </c>
    </row>
    <row r="770">
      <c r="A770" t="inlineStr">
        <is>
          <t>PAY0017291</t>
        </is>
      </c>
      <c r="B770" t="inlineStr">
        <is>
          <t>INV0004330</t>
        </is>
      </c>
      <c r="C770" t="inlineStr">
        <is>
          <t>MER00203</t>
        </is>
      </c>
      <c r="D770" s="8" t="n">
        <v>46102</v>
      </c>
      <c r="E770" t="n">
        <v>3511.89</v>
      </c>
      <c r="F770" t="inlineStr">
        <is>
          <t>Wallet</t>
        </is>
      </c>
      <c r="G770" t="inlineStr">
        <is>
          <t>PAYXZWE9ZSATH</t>
        </is>
      </c>
      <c r="H770" t="inlineStr">
        <is>
          <t>Success</t>
        </is>
      </c>
      <c r="I770" t="inlineStr">
        <is>
          <t>BNKHCXCAASWS8TC</t>
        </is>
      </c>
      <c r="J770" s="8" t="n">
        <v>46105</v>
      </c>
    </row>
    <row r="771">
      <c r="A771" t="inlineStr">
        <is>
          <t>PAY0017292</t>
        </is>
      </c>
      <c r="B771" t="inlineStr">
        <is>
          <t>INV0004336</t>
        </is>
      </c>
      <c r="C771" t="inlineStr">
        <is>
          <t>MER00203</t>
        </is>
      </c>
      <c r="D771" s="8" t="n">
        <v>46288</v>
      </c>
      <c r="E771" t="n">
        <v>2143.22</v>
      </c>
      <c r="F771" t="inlineStr">
        <is>
          <t>UPI</t>
        </is>
      </c>
      <c r="G771" t="inlineStr">
        <is>
          <t>PAYYTV53BTRC4</t>
        </is>
      </c>
      <c r="H771" t="inlineStr">
        <is>
          <t>Success</t>
        </is>
      </c>
      <c r="I771" t="inlineStr">
        <is>
          <t>BNKU7VVD5TJ52B6</t>
        </is>
      </c>
      <c r="J771" s="8" t="n">
        <v>46291</v>
      </c>
    </row>
    <row r="772">
      <c r="A772" t="inlineStr">
        <is>
          <t>PAY0017501</t>
        </is>
      </c>
      <c r="B772" t="inlineStr">
        <is>
          <t>INV0007479</t>
        </is>
      </c>
      <c r="C772" t="inlineStr">
        <is>
          <t>MER00355</t>
        </is>
      </c>
      <c r="D772" s="8" t="n">
        <v>45648</v>
      </c>
      <c r="E772" t="n">
        <v>429.48</v>
      </c>
      <c r="F772" t="inlineStr">
        <is>
          <t>NetBanking</t>
        </is>
      </c>
      <c r="G772" t="inlineStr">
        <is>
          <t>PAYT2R378LU2R</t>
        </is>
      </c>
      <c r="H772" t="inlineStr">
        <is>
          <t>Success</t>
        </is>
      </c>
      <c r="I772" t="inlineStr">
        <is>
          <t>BNKZ83KW7T3J2BD</t>
        </is>
      </c>
      <c r="J772" s="8" t="n">
        <v>45650</v>
      </c>
    </row>
    <row r="773">
      <c r="A773" t="inlineStr">
        <is>
          <t>PAY0017502</t>
        </is>
      </c>
      <c r="B773" t="inlineStr">
        <is>
          <t>INV0007482</t>
        </is>
      </c>
      <c r="C773" t="inlineStr">
        <is>
          <t>MER00355</t>
        </is>
      </c>
      <c r="D773" s="8" t="n">
        <v>45747</v>
      </c>
      <c r="E773" t="n">
        <v>322.43</v>
      </c>
      <c r="F773" t="inlineStr">
        <is>
          <t>UPI</t>
        </is>
      </c>
      <c r="G773" t="inlineStr">
        <is>
          <t>PAYUD6V2PF9HM</t>
        </is>
      </c>
      <c r="H773" t="inlineStr">
        <is>
          <t>Success</t>
        </is>
      </c>
      <c r="I773" t="inlineStr">
        <is>
          <t>BNKMNRB9RKMUGMU</t>
        </is>
      </c>
      <c r="J773" s="8" t="n">
        <v>45748</v>
      </c>
    </row>
    <row r="774">
      <c r="A774" t="inlineStr">
        <is>
          <t>PAY0017503</t>
        </is>
      </c>
      <c r="B774" t="inlineStr">
        <is>
          <t>INV0007487</t>
        </is>
      </c>
      <c r="C774" t="inlineStr">
        <is>
          <t>MER00355</t>
        </is>
      </c>
      <c r="D774" s="8" t="n">
        <v>45874</v>
      </c>
      <c r="E774" t="n">
        <v>190.92</v>
      </c>
      <c r="F774" t="inlineStr">
        <is>
          <t>COD</t>
        </is>
      </c>
      <c r="G774" t="inlineStr">
        <is>
          <t>PAYJLUUTQ5HCV</t>
        </is>
      </c>
      <c r="H774" t="inlineStr">
        <is>
          <t>Success</t>
        </is>
      </c>
      <c r="I774" t="inlineStr">
        <is>
          <t>BNKQN86RERSDW6D</t>
        </is>
      </c>
      <c r="J774" s="8" t="n">
        <v>45875</v>
      </c>
    </row>
    <row r="775">
      <c r="A775" t="inlineStr">
        <is>
          <t>PAY0017504</t>
        </is>
      </c>
      <c r="B775" t="inlineStr">
        <is>
          <t>INV0007494</t>
        </is>
      </c>
      <c r="C775" t="inlineStr">
        <is>
          <t>MER00355</t>
        </is>
      </c>
      <c r="D775" s="8" t="n">
        <v>46106</v>
      </c>
      <c r="E775" t="n">
        <v>218.71</v>
      </c>
      <c r="F775" t="inlineStr">
        <is>
          <t>COD</t>
        </is>
      </c>
      <c r="G775" t="inlineStr">
        <is>
          <t>PAYLJNWG3TY52</t>
        </is>
      </c>
      <c r="H775" t="inlineStr">
        <is>
          <t>Success</t>
        </is>
      </c>
      <c r="I775" t="inlineStr">
        <is>
          <t>BNK433Y896VPAG5</t>
        </is>
      </c>
      <c r="J775" s="8" t="n">
        <v>46108</v>
      </c>
    </row>
    <row r="776">
      <c r="A776" t="inlineStr">
        <is>
          <t>PAY0017505</t>
        </is>
      </c>
      <c r="B776" t="inlineStr">
        <is>
          <t>INV0007496</t>
        </is>
      </c>
      <c r="C776" t="inlineStr">
        <is>
          <t>MER00355</t>
        </is>
      </c>
      <c r="D776" s="8" t="n">
        <v>46180</v>
      </c>
      <c r="E776" t="n">
        <v>318.73</v>
      </c>
      <c r="F776" t="inlineStr">
        <is>
          <t>NetBanking</t>
        </is>
      </c>
      <c r="G776" t="inlineStr">
        <is>
          <t>PAY3PQE7U6H5L</t>
        </is>
      </c>
      <c r="H776" t="inlineStr">
        <is>
          <t>Success</t>
        </is>
      </c>
      <c r="I776" t="inlineStr">
        <is>
          <t>BNKHZ46HLYY7W3M</t>
        </is>
      </c>
      <c r="J776" s="8" t="n">
        <v>46183</v>
      </c>
    </row>
    <row r="777">
      <c r="A777" t="inlineStr">
        <is>
          <t>PAY0017506</t>
        </is>
      </c>
      <c r="B777" t="inlineStr">
        <is>
          <t>INV0007497</t>
        </is>
      </c>
      <c r="C777" t="inlineStr">
        <is>
          <t>MER00355</t>
        </is>
      </c>
      <c r="D777" s="8" t="n">
        <v>46195</v>
      </c>
      <c r="E777" t="n">
        <v>611.64</v>
      </c>
      <c r="F777" t="inlineStr">
        <is>
          <t>Card</t>
        </is>
      </c>
      <c r="G777" t="inlineStr">
        <is>
          <t>PAYH238U8PB6L</t>
        </is>
      </c>
      <c r="H777" t="inlineStr">
        <is>
          <t>Success</t>
        </is>
      </c>
      <c r="I777" t="inlineStr">
        <is>
          <t>BNKFFVDTB3AE6QX</t>
        </is>
      </c>
      <c r="J777" s="8" t="n">
        <v>46198</v>
      </c>
    </row>
    <row r="778">
      <c r="A778" t="inlineStr">
        <is>
          <t>PAY0017507</t>
        </is>
      </c>
      <c r="B778" t="inlineStr">
        <is>
          <t>INV0007498</t>
        </is>
      </c>
      <c r="C778" t="inlineStr">
        <is>
          <t>MER00355</t>
        </is>
      </c>
      <c r="D778" s="8" t="n">
        <v>46238</v>
      </c>
      <c r="E778" t="n">
        <v>870.26</v>
      </c>
      <c r="F778" t="inlineStr">
        <is>
          <t>UPI</t>
        </is>
      </c>
      <c r="G778" t="inlineStr">
        <is>
          <t>PAYESEFCVRFNB</t>
        </is>
      </c>
      <c r="H778" t="inlineStr">
        <is>
          <t>Success</t>
        </is>
      </c>
      <c r="I778" t="inlineStr">
        <is>
          <t>BNKD8LQBVMR7Y4M</t>
        </is>
      </c>
      <c r="J778" s="8" t="n">
        <v>46240</v>
      </c>
    </row>
    <row r="779">
      <c r="A779" t="inlineStr">
        <is>
          <t>PAY0017508</t>
        </is>
      </c>
      <c r="B779" t="inlineStr">
        <is>
          <t>INV0007499</t>
        </is>
      </c>
      <c r="C779" t="inlineStr">
        <is>
          <t>MER00355</t>
        </is>
      </c>
      <c r="D779" s="8" t="n">
        <v>46269</v>
      </c>
      <c r="E779" t="n">
        <v>253.04</v>
      </c>
      <c r="F779" t="inlineStr">
        <is>
          <t>UPI</t>
        </is>
      </c>
      <c r="G779" t="inlineStr">
        <is>
          <t>PAYP7B5TL8K27</t>
        </is>
      </c>
      <c r="H779" t="inlineStr">
        <is>
          <t>Success</t>
        </is>
      </c>
      <c r="I779" t="inlineStr">
        <is>
          <t>BNKJPQAYZN583LD</t>
        </is>
      </c>
      <c r="J779" s="8" t="n">
        <v>46272</v>
      </c>
    </row>
    <row r="780">
      <c r="A780" t="inlineStr">
        <is>
          <t>PAY0017509</t>
        </is>
      </c>
      <c r="B780" t="inlineStr">
        <is>
          <t>INV0007500</t>
        </is>
      </c>
      <c r="C780" t="inlineStr">
        <is>
          <t>MER00355</t>
        </is>
      </c>
      <c r="D780" s="8" t="n">
        <v>46300</v>
      </c>
      <c r="E780" t="n">
        <v>305.54</v>
      </c>
      <c r="F780" t="inlineStr">
        <is>
          <t>Card</t>
        </is>
      </c>
      <c r="G780" t="inlineStr">
        <is>
          <t>PAYYTWAS72LUS</t>
        </is>
      </c>
      <c r="H780" t="inlineStr">
        <is>
          <t>Success</t>
        </is>
      </c>
      <c r="I780" t="inlineStr">
        <is>
          <t>BNKNWTCL8YNWERR</t>
        </is>
      </c>
      <c r="J780" s="8" t="n">
        <v>46301</v>
      </c>
    </row>
    <row r="781">
      <c r="A781" t="inlineStr">
        <is>
          <t>PAY0017950</t>
        </is>
      </c>
      <c r="B781" t="inlineStr">
        <is>
          <t>INV0015047</t>
        </is>
      </c>
      <c r="C781" t="inlineStr">
        <is>
          <t>MER00711</t>
        </is>
      </c>
      <c r="D781" s="8" t="n">
        <v>45616</v>
      </c>
      <c r="E781" t="n">
        <v>3430.93</v>
      </c>
      <c r="F781" t="inlineStr">
        <is>
          <t>UPI</t>
        </is>
      </c>
      <c r="G781" t="inlineStr">
        <is>
          <t>PAYZHK9RYCD83</t>
        </is>
      </c>
      <c r="H781" t="inlineStr">
        <is>
          <t>Success</t>
        </is>
      </c>
      <c r="I781" t="inlineStr">
        <is>
          <t>BNKW3EFXDGU7JM8</t>
        </is>
      </c>
      <c r="J781" s="8" t="n">
        <v>45617</v>
      </c>
    </row>
    <row r="782">
      <c r="A782" t="inlineStr">
        <is>
          <t>PAY0017951</t>
        </is>
      </c>
      <c r="B782" t="inlineStr">
        <is>
          <t>INV0015048</t>
        </is>
      </c>
      <c r="C782" t="inlineStr">
        <is>
          <t>MER00711</t>
        </is>
      </c>
      <c r="D782" s="8" t="n">
        <v>45656</v>
      </c>
      <c r="E782" t="n">
        <v>4310.63</v>
      </c>
      <c r="F782" t="inlineStr">
        <is>
          <t>UPI</t>
        </is>
      </c>
      <c r="G782" t="inlineStr">
        <is>
          <t>PAYD66TRQ2XCH</t>
        </is>
      </c>
      <c r="H782" t="inlineStr">
        <is>
          <t>Success</t>
        </is>
      </c>
      <c r="I782" t="inlineStr">
        <is>
          <t>BNK262Z8P97UUG7</t>
        </is>
      </c>
      <c r="J782" s="8" t="n">
        <v>45658</v>
      </c>
    </row>
    <row r="783">
      <c r="A783" t="inlineStr">
        <is>
          <t>PAY0017952</t>
        </is>
      </c>
      <c r="B783" t="inlineStr">
        <is>
          <t>INV0015049</t>
        </is>
      </c>
      <c r="C783" t="inlineStr">
        <is>
          <t>MER00711</t>
        </is>
      </c>
      <c r="D783" s="8" t="n">
        <v>45700</v>
      </c>
      <c r="E783" t="n">
        <v>5392.86</v>
      </c>
      <c r="F783" t="inlineStr">
        <is>
          <t>Card</t>
        </is>
      </c>
      <c r="G783" t="inlineStr">
        <is>
          <t>PAYT2Q3UMUF9G</t>
        </is>
      </c>
      <c r="H783" t="inlineStr">
        <is>
          <t>Success</t>
        </is>
      </c>
      <c r="I783" t="inlineStr">
        <is>
          <t>BNK3FWFST2MR4XS</t>
        </is>
      </c>
      <c r="J783" s="8" t="n">
        <v>45703</v>
      </c>
    </row>
    <row r="784">
      <c r="A784" t="inlineStr">
        <is>
          <t>PAY0017953</t>
        </is>
      </c>
      <c r="B784" t="inlineStr">
        <is>
          <t>INV0015051</t>
        </is>
      </c>
      <c r="C784" t="inlineStr">
        <is>
          <t>MER00711</t>
        </is>
      </c>
      <c r="D784" s="8" t="n">
        <v>45764</v>
      </c>
      <c r="E784" t="n">
        <v>5266.94</v>
      </c>
      <c r="F784" t="inlineStr">
        <is>
          <t>UPI</t>
        </is>
      </c>
      <c r="G784" t="inlineStr">
        <is>
          <t>PAYKSHE289638</t>
        </is>
      </c>
      <c r="H784" t="inlineStr">
        <is>
          <t>Success</t>
        </is>
      </c>
      <c r="I784" t="inlineStr">
        <is>
          <t>BNKTHMMX5SR9CDP</t>
        </is>
      </c>
      <c r="J784" s="8" t="n">
        <v>45767</v>
      </c>
    </row>
    <row r="785">
      <c r="A785" t="inlineStr">
        <is>
          <t>PAY0017954</t>
        </is>
      </c>
      <c r="B785" t="inlineStr">
        <is>
          <t>INV0015063</t>
        </is>
      </c>
      <c r="C785" t="inlineStr">
        <is>
          <t>MER00711</t>
        </is>
      </c>
      <c r="D785" s="8" t="n">
        <v>46104</v>
      </c>
      <c r="E785" t="n">
        <v>4990.05</v>
      </c>
      <c r="F785" t="inlineStr">
        <is>
          <t>UPI</t>
        </is>
      </c>
      <c r="G785" t="inlineStr">
        <is>
          <t>PAY222Z4WX27V</t>
        </is>
      </c>
      <c r="H785" t="inlineStr">
        <is>
          <t>Success</t>
        </is>
      </c>
      <c r="I785" t="inlineStr">
        <is>
          <t>BNKUZKR8EZVSDQD</t>
        </is>
      </c>
      <c r="J785" s="8" t="n">
        <v>46106</v>
      </c>
    </row>
    <row r="786">
      <c r="A786" t="inlineStr">
        <is>
          <t>PAY0017955</t>
        </is>
      </c>
      <c r="B786" t="inlineStr">
        <is>
          <t>INV0015064</t>
        </is>
      </c>
      <c r="C786" t="inlineStr">
        <is>
          <t>MER00711</t>
        </is>
      </c>
      <c r="D786" s="8" t="n">
        <v>46151</v>
      </c>
      <c r="E786" t="n">
        <v>4622.51</v>
      </c>
      <c r="F786" t="inlineStr">
        <is>
          <t>Wallet</t>
        </is>
      </c>
      <c r="G786" t="inlineStr">
        <is>
          <t>PAYUN65ZCLQS9</t>
        </is>
      </c>
      <c r="H786" t="inlineStr">
        <is>
          <t>Success</t>
        </is>
      </c>
      <c r="I786" t="inlineStr">
        <is>
          <t>BNKRE4UHV9AAJC2</t>
        </is>
      </c>
      <c r="J786" s="8" t="n">
        <v>46154</v>
      </c>
    </row>
    <row r="787">
      <c r="A787" t="inlineStr">
        <is>
          <t>PAY0017956</t>
        </is>
      </c>
      <c r="B787" t="inlineStr">
        <is>
          <t>INV0015066</t>
        </is>
      </c>
      <c r="C787" t="inlineStr">
        <is>
          <t>MER00711</t>
        </is>
      </c>
      <c r="D787" s="8" t="n">
        <v>46222</v>
      </c>
      <c r="E787" t="n">
        <v>3244.66</v>
      </c>
      <c r="F787" t="inlineStr">
        <is>
          <t>Card</t>
        </is>
      </c>
      <c r="G787" t="inlineStr">
        <is>
          <t>PAYZG5QR5VCAY</t>
        </is>
      </c>
      <c r="H787" t="inlineStr">
        <is>
          <t>Success</t>
        </is>
      </c>
      <c r="I787" t="inlineStr">
        <is>
          <t>BNKV6A8DQX4CE65</t>
        </is>
      </c>
      <c r="J787" s="8" t="n">
        <v>46225</v>
      </c>
    </row>
    <row r="788">
      <c r="A788" t="inlineStr">
        <is>
          <t>PAY0017987</t>
        </is>
      </c>
      <c r="B788" t="inlineStr">
        <is>
          <t>INV0015376</t>
        </is>
      </c>
      <c r="C788" t="inlineStr">
        <is>
          <t>MER00726</t>
        </is>
      </c>
      <c r="D788" s="8" t="n">
        <v>45641</v>
      </c>
      <c r="E788" t="n">
        <v>117.19</v>
      </c>
      <c r="F788" t="inlineStr">
        <is>
          <t>NetBanking</t>
        </is>
      </c>
      <c r="G788" t="inlineStr">
        <is>
          <t>PAY4YSJ69D8T9</t>
        </is>
      </c>
      <c r="H788" t="inlineStr">
        <is>
          <t>Success</t>
        </is>
      </c>
      <c r="I788" t="inlineStr">
        <is>
          <t>BNKR9SE9KT2P4CK</t>
        </is>
      </c>
      <c r="J788" s="8" t="n">
        <v>45644</v>
      </c>
    </row>
    <row r="789">
      <c r="A789" t="inlineStr">
        <is>
          <t>PAY0017988</t>
        </is>
      </c>
      <c r="B789" t="inlineStr">
        <is>
          <t>INV0015379</t>
        </is>
      </c>
      <c r="C789" t="inlineStr">
        <is>
          <t>MER00726</t>
        </is>
      </c>
      <c r="D789" s="8" t="n">
        <v>45721</v>
      </c>
      <c r="E789" t="n">
        <v>178.29</v>
      </c>
      <c r="F789" t="inlineStr">
        <is>
          <t>UPI</t>
        </is>
      </c>
      <c r="G789" t="inlineStr">
        <is>
          <t>PAYLPY6TRMCJR</t>
        </is>
      </c>
      <c r="H789" t="inlineStr">
        <is>
          <t>Success</t>
        </is>
      </c>
      <c r="I789" t="inlineStr">
        <is>
          <t>BNKL5ESR9LFFQ8V</t>
        </is>
      </c>
      <c r="J789" s="8" t="n">
        <v>45723</v>
      </c>
    </row>
    <row r="790">
      <c r="A790" t="inlineStr">
        <is>
          <t>PAY0017989</t>
        </is>
      </c>
      <c r="B790" t="inlineStr">
        <is>
          <t>INV0015380</t>
        </is>
      </c>
      <c r="C790" t="inlineStr">
        <is>
          <t>MER00726</t>
        </is>
      </c>
      <c r="D790" s="8" t="n">
        <v>45766</v>
      </c>
      <c r="E790" t="n">
        <v>94.34999999999999</v>
      </c>
      <c r="F790" t="inlineStr">
        <is>
          <t>Card</t>
        </is>
      </c>
      <c r="G790" t="inlineStr">
        <is>
          <t>PAY5RY95GVR2N</t>
        </is>
      </c>
      <c r="H790" t="inlineStr">
        <is>
          <t>Success</t>
        </is>
      </c>
      <c r="I790" t="inlineStr">
        <is>
          <t>BNK83RLSDE39JCJ</t>
        </is>
      </c>
      <c r="J790" s="8" t="n">
        <v>45768</v>
      </c>
    </row>
    <row r="791">
      <c r="A791" t="inlineStr">
        <is>
          <t>PAY0017990</t>
        </is>
      </c>
      <c r="B791" t="inlineStr">
        <is>
          <t>INV0015381</t>
        </is>
      </c>
      <c r="C791" t="inlineStr">
        <is>
          <t>MER00726</t>
        </is>
      </c>
      <c r="D791" s="8" t="n">
        <v>45792</v>
      </c>
      <c r="E791" t="n">
        <v>115.55</v>
      </c>
      <c r="F791" t="inlineStr">
        <is>
          <t>Card</t>
        </is>
      </c>
      <c r="G791" t="inlineStr">
        <is>
          <t>PAYQZ6MRMCTC6</t>
        </is>
      </c>
      <c r="H791" t="inlineStr">
        <is>
          <t>Success</t>
        </is>
      </c>
      <c r="I791" t="inlineStr">
        <is>
          <t>BNKMRS7376N3CXL</t>
        </is>
      </c>
      <c r="J791" s="8" t="n">
        <v>45795</v>
      </c>
    </row>
    <row r="792">
      <c r="A792" t="inlineStr">
        <is>
          <t>PAY0017991</t>
        </is>
      </c>
      <c r="B792" t="inlineStr">
        <is>
          <t>INV0015382</t>
        </is>
      </c>
      <c r="C792" t="inlineStr">
        <is>
          <t>MER00726</t>
        </is>
      </c>
      <c r="D792" s="8" t="n">
        <v>45790</v>
      </c>
      <c r="E792" t="n">
        <v>56.57</v>
      </c>
      <c r="F792" t="inlineStr">
        <is>
          <t>UPI</t>
        </is>
      </c>
      <c r="G792" t="inlineStr">
        <is>
          <t>PAY9C4EBHRXWV</t>
        </is>
      </c>
      <c r="H792" t="inlineStr">
        <is>
          <t>Success</t>
        </is>
      </c>
      <c r="I792" t="inlineStr">
        <is>
          <t>BNKB3E84X993AC9</t>
        </is>
      </c>
      <c r="J792" s="8" t="n">
        <v>45792</v>
      </c>
    </row>
    <row r="793">
      <c r="A793" t="inlineStr">
        <is>
          <t>PAY0017992</t>
        </is>
      </c>
      <c r="B793" t="inlineStr">
        <is>
          <t>INV0015384</t>
        </is>
      </c>
      <c r="C793" t="inlineStr">
        <is>
          <t>MER00726</t>
        </is>
      </c>
      <c r="D793" s="8" t="n">
        <v>45885</v>
      </c>
      <c r="E793" t="n">
        <v>118.73</v>
      </c>
      <c r="F793" t="inlineStr">
        <is>
          <t>NetBanking</t>
        </is>
      </c>
      <c r="G793" t="inlineStr">
        <is>
          <t>PAY6TVBQGZX44</t>
        </is>
      </c>
      <c r="H793" t="inlineStr">
        <is>
          <t>Success</t>
        </is>
      </c>
      <c r="I793" t="inlineStr">
        <is>
          <t>BNKCY25NNGX5YUU</t>
        </is>
      </c>
      <c r="J793" s="8" t="n">
        <v>45887</v>
      </c>
    </row>
    <row r="794">
      <c r="A794" t="inlineStr">
        <is>
          <t>PAY0017993</t>
        </is>
      </c>
      <c r="B794" t="inlineStr">
        <is>
          <t>INV0015385</t>
        </is>
      </c>
      <c r="C794" t="inlineStr">
        <is>
          <t>MER00726</t>
        </is>
      </c>
      <c r="D794" s="8" t="n">
        <v>45905</v>
      </c>
      <c r="E794" t="n">
        <v>149.81</v>
      </c>
      <c r="F794" t="inlineStr">
        <is>
          <t>UPI</t>
        </is>
      </c>
      <c r="G794" t="inlineStr">
        <is>
          <t>PAYBBHB9YXSQ9</t>
        </is>
      </c>
      <c r="H794" t="inlineStr">
        <is>
          <t>Success</t>
        </is>
      </c>
      <c r="I794" t="inlineStr">
        <is>
          <t>BNKE6U3Q7B8FPPU</t>
        </is>
      </c>
      <c r="J794" s="8" t="n">
        <v>45907</v>
      </c>
    </row>
    <row r="795">
      <c r="A795" t="inlineStr">
        <is>
          <t>PAY0017994</t>
        </is>
      </c>
      <c r="B795" t="inlineStr">
        <is>
          <t>INV0015386</t>
        </is>
      </c>
      <c r="C795" t="inlineStr">
        <is>
          <t>MER00726</t>
        </is>
      </c>
      <c r="D795" s="8" t="n">
        <v>45924</v>
      </c>
      <c r="E795" t="n">
        <v>108.03</v>
      </c>
      <c r="F795" t="inlineStr">
        <is>
          <t>UPI</t>
        </is>
      </c>
      <c r="G795" t="inlineStr">
        <is>
          <t>PAYDSWFV39PNY</t>
        </is>
      </c>
      <c r="H795" t="inlineStr">
        <is>
          <t>Success</t>
        </is>
      </c>
      <c r="I795" t="inlineStr">
        <is>
          <t>BNKEUNAV7R74HPQ</t>
        </is>
      </c>
      <c r="J795" s="8" t="n">
        <v>45927</v>
      </c>
    </row>
    <row r="796">
      <c r="A796" t="inlineStr">
        <is>
          <t>PAY0017995</t>
        </is>
      </c>
      <c r="B796" t="inlineStr">
        <is>
          <t>INV0015389</t>
        </is>
      </c>
      <c r="C796" t="inlineStr">
        <is>
          <t>MER00726</t>
        </is>
      </c>
      <c r="D796" s="8" t="n">
        <v>46023</v>
      </c>
      <c r="E796" t="n">
        <v>268.76</v>
      </c>
      <c r="F796" t="inlineStr">
        <is>
          <t>NetBanking</t>
        </is>
      </c>
      <c r="G796" t="inlineStr">
        <is>
          <t>PAYW66D68YWRZ</t>
        </is>
      </c>
      <c r="H796" t="inlineStr">
        <is>
          <t>Success</t>
        </is>
      </c>
      <c r="I796" t="inlineStr">
        <is>
          <t>BNKDGEM8NB5LMNB</t>
        </is>
      </c>
      <c r="J796" s="8" t="n">
        <v>46024</v>
      </c>
    </row>
    <row r="797">
      <c r="A797" t="inlineStr">
        <is>
          <t>PAY0017996</t>
        </is>
      </c>
      <c r="B797" t="inlineStr">
        <is>
          <t>INV0015390</t>
        </is>
      </c>
      <c r="C797" t="inlineStr">
        <is>
          <t>MER00726</t>
        </is>
      </c>
      <c r="D797" s="8" t="n">
        <v>46078</v>
      </c>
      <c r="E797" t="n">
        <v>350.25</v>
      </c>
      <c r="F797" t="inlineStr">
        <is>
          <t>UPI</t>
        </is>
      </c>
      <c r="G797" t="inlineStr">
        <is>
          <t>PAYW26JHZL3Z5</t>
        </is>
      </c>
      <c r="H797" t="inlineStr">
        <is>
          <t>Success</t>
        </is>
      </c>
      <c r="I797" t="inlineStr">
        <is>
          <t>BNK56J6S9KE7ZUE</t>
        </is>
      </c>
      <c r="J797" s="8" t="n">
        <v>46079</v>
      </c>
    </row>
    <row r="798">
      <c r="A798" t="inlineStr">
        <is>
          <t>PAY0017997</t>
        </is>
      </c>
      <c r="B798" t="inlineStr">
        <is>
          <t>INV0015391</t>
        </is>
      </c>
      <c r="C798" t="inlineStr">
        <is>
          <t>MER00726</t>
        </is>
      </c>
      <c r="D798" s="8" t="n">
        <v>46105</v>
      </c>
      <c r="E798" t="n">
        <v>80</v>
      </c>
      <c r="F798" t="inlineStr">
        <is>
          <t>Card</t>
        </is>
      </c>
      <c r="G798" t="inlineStr">
        <is>
          <t>PAYXCDZWQS26Y</t>
        </is>
      </c>
      <c r="H798" t="inlineStr">
        <is>
          <t>Success</t>
        </is>
      </c>
      <c r="I798" t="inlineStr">
        <is>
          <t>BNKQJQW6RYGLZL3</t>
        </is>
      </c>
      <c r="J798" s="8" t="n">
        <v>46108</v>
      </c>
    </row>
    <row r="799">
      <c r="A799" t="inlineStr">
        <is>
          <t>PAY0017998</t>
        </is>
      </c>
      <c r="B799" t="inlineStr">
        <is>
          <t>INV0015395</t>
        </is>
      </c>
      <c r="C799" t="inlineStr">
        <is>
          <t>MER00726</t>
        </is>
      </c>
      <c r="D799" s="8" t="n">
        <v>46197</v>
      </c>
      <c r="E799" t="n">
        <v>89.11</v>
      </c>
      <c r="F799" t="inlineStr">
        <is>
          <t>UPI</t>
        </is>
      </c>
      <c r="G799" t="inlineStr">
        <is>
          <t>PAY8XM7CHH97V</t>
        </is>
      </c>
      <c r="H799" t="inlineStr">
        <is>
          <t>Success</t>
        </is>
      </c>
      <c r="I799" t="inlineStr">
        <is>
          <t>BNKYUV3VQNBAVF9</t>
        </is>
      </c>
      <c r="J799" s="8" t="n">
        <v>46200</v>
      </c>
    </row>
    <row r="800">
      <c r="A800" t="inlineStr">
        <is>
          <t>PAY0018329</t>
        </is>
      </c>
      <c r="B800" t="inlineStr">
        <is>
          <t>INV0001101</t>
        </is>
      </c>
      <c r="C800" t="inlineStr">
        <is>
          <t>MER00055</t>
        </is>
      </c>
      <c r="D800" s="8" t="n">
        <v>45591</v>
      </c>
      <c r="E800" t="n">
        <v>366.86</v>
      </c>
      <c r="F800" t="inlineStr">
        <is>
          <t>UPI</t>
        </is>
      </c>
      <c r="G800" t="inlineStr">
        <is>
          <t>PAY3J3FQQDARX</t>
        </is>
      </c>
      <c r="H800" t="inlineStr">
        <is>
          <t>Success</t>
        </is>
      </c>
      <c r="I800" t="inlineStr">
        <is>
          <t>BNKKK35LZ9QTVKZ</t>
        </is>
      </c>
      <c r="J800" s="8" t="n">
        <v>45593</v>
      </c>
    </row>
    <row r="801">
      <c r="A801" t="inlineStr">
        <is>
          <t>PAY0018330</t>
        </is>
      </c>
      <c r="B801" t="inlineStr">
        <is>
          <t>INV0001104</t>
        </is>
      </c>
      <c r="C801" t="inlineStr">
        <is>
          <t>MER00055</t>
        </is>
      </c>
      <c r="D801" s="8" t="n">
        <v>45697</v>
      </c>
      <c r="E801" t="n">
        <v>506.19</v>
      </c>
      <c r="F801" t="inlineStr">
        <is>
          <t>UPI</t>
        </is>
      </c>
      <c r="G801" t="inlineStr">
        <is>
          <t>PAY6YRTYDEHYH</t>
        </is>
      </c>
      <c r="H801" t="inlineStr">
        <is>
          <t>Success</t>
        </is>
      </c>
      <c r="I801" t="inlineStr">
        <is>
          <t>BNKCUU6SWSQ8V9P</t>
        </is>
      </c>
      <c r="J801" s="8" t="n">
        <v>45700</v>
      </c>
    </row>
    <row r="802">
      <c r="A802" t="inlineStr">
        <is>
          <t>PAY0018331</t>
        </is>
      </c>
      <c r="B802" t="inlineStr">
        <is>
          <t>INV0001106</t>
        </is>
      </c>
      <c r="C802" t="inlineStr">
        <is>
          <t>MER00055</t>
        </is>
      </c>
      <c r="D802" s="8" t="n">
        <v>45770</v>
      </c>
      <c r="E802" t="n">
        <v>254.4</v>
      </c>
      <c r="F802" t="inlineStr">
        <is>
          <t>UPI</t>
        </is>
      </c>
      <c r="G802" t="inlineStr">
        <is>
          <t>PAY657HN5GLBJ</t>
        </is>
      </c>
      <c r="H802" t="inlineStr">
        <is>
          <t>Success</t>
        </is>
      </c>
      <c r="I802" t="inlineStr">
        <is>
          <t>BNK69KU2UNSEYGU</t>
        </is>
      </c>
      <c r="J802" s="8" t="n">
        <v>45773</v>
      </c>
    </row>
    <row r="803">
      <c r="A803" t="inlineStr">
        <is>
          <t>PAY0018332</t>
        </is>
      </c>
      <c r="B803" t="inlineStr">
        <is>
          <t>INV0001110</t>
        </is>
      </c>
      <c r="C803" t="inlineStr">
        <is>
          <t>MER00055</t>
        </is>
      </c>
      <c r="D803" s="8" t="n">
        <v>45890</v>
      </c>
      <c r="E803" t="n">
        <v>264.78</v>
      </c>
      <c r="F803" t="inlineStr">
        <is>
          <t>UPI</t>
        </is>
      </c>
      <c r="G803" t="inlineStr">
        <is>
          <t>PAYELQKXQZEMS</t>
        </is>
      </c>
      <c r="H803" t="inlineStr">
        <is>
          <t>Success</t>
        </is>
      </c>
      <c r="I803" t="inlineStr">
        <is>
          <t>BNKG2CKD3WY2EFL</t>
        </is>
      </c>
      <c r="J803" s="8" t="n">
        <v>45892</v>
      </c>
    </row>
    <row r="804">
      <c r="A804" t="inlineStr">
        <is>
          <t>PAY0018333</t>
        </is>
      </c>
      <c r="B804" t="inlineStr">
        <is>
          <t>INV0001111</t>
        </is>
      </c>
      <c r="C804" t="inlineStr">
        <is>
          <t>MER00055</t>
        </is>
      </c>
      <c r="D804" s="8" t="n">
        <v>45948</v>
      </c>
      <c r="E804" t="n">
        <v>278.46</v>
      </c>
      <c r="F804" t="inlineStr">
        <is>
          <t>UPI</t>
        </is>
      </c>
      <c r="G804" t="inlineStr">
        <is>
          <t>PAY87VQGYMQ7B</t>
        </is>
      </c>
      <c r="H804" t="inlineStr">
        <is>
          <t>Success</t>
        </is>
      </c>
      <c r="I804" t="inlineStr">
        <is>
          <t>BNKUS7L4RV647BV</t>
        </is>
      </c>
      <c r="J804" s="8" t="n">
        <v>45951</v>
      </c>
    </row>
    <row r="805">
      <c r="A805" t="inlineStr">
        <is>
          <t>PAY0018334</t>
        </is>
      </c>
      <c r="B805" t="inlineStr">
        <is>
          <t>INV0001121</t>
        </is>
      </c>
      <c r="C805" t="inlineStr">
        <is>
          <t>MER00055</t>
        </is>
      </c>
      <c r="D805" s="8" t="n">
        <v>46227</v>
      </c>
      <c r="E805" t="n">
        <v>625.89</v>
      </c>
      <c r="F805" t="inlineStr">
        <is>
          <t>UPI</t>
        </is>
      </c>
      <c r="G805" t="inlineStr">
        <is>
          <t>PAYVQ28F6EQG3</t>
        </is>
      </c>
      <c r="H805" t="inlineStr">
        <is>
          <t>Success</t>
        </is>
      </c>
      <c r="I805" t="inlineStr">
        <is>
          <t>BNKMN5HABE8L9LX</t>
        </is>
      </c>
      <c r="J805" s="8" t="n">
        <v>46230</v>
      </c>
    </row>
    <row r="806">
      <c r="A806" t="inlineStr">
        <is>
          <t>PAY0018335</t>
        </is>
      </c>
      <c r="B806" t="inlineStr">
        <is>
          <t>INV0001122</t>
        </is>
      </c>
      <c r="C806" t="inlineStr">
        <is>
          <t>MER00055</t>
        </is>
      </c>
      <c r="D806" s="8" t="n">
        <v>46275</v>
      </c>
      <c r="E806" t="n">
        <v>974.4299999999999</v>
      </c>
      <c r="F806" t="inlineStr">
        <is>
          <t>UPI</t>
        </is>
      </c>
      <c r="G806" t="inlineStr">
        <is>
          <t>PAY2QYFHE7MNM</t>
        </is>
      </c>
      <c r="H806" t="inlineStr">
        <is>
          <t>Failed</t>
        </is>
      </c>
      <c r="I806" t="inlineStr">
        <is>
          <t>BNKVPKAKK5JCWNR</t>
        </is>
      </c>
      <c r="J806" s="8" t="n"/>
    </row>
    <row r="807">
      <c r="A807" t="inlineStr">
        <is>
          <t>PAY0018397</t>
        </is>
      </c>
      <c r="B807" t="inlineStr">
        <is>
          <t>INV0002976</t>
        </is>
      </c>
      <c r="C807" t="inlineStr">
        <is>
          <t>MER00140</t>
        </is>
      </c>
      <c r="D807" s="8" t="n">
        <v>45780</v>
      </c>
      <c r="E807" t="n">
        <v>165.22</v>
      </c>
      <c r="F807" t="inlineStr">
        <is>
          <t>UPI</t>
        </is>
      </c>
      <c r="G807" t="inlineStr">
        <is>
          <t>PAYHH228PUHW7</t>
        </is>
      </c>
      <c r="H807" t="inlineStr">
        <is>
          <t>Success</t>
        </is>
      </c>
      <c r="I807" t="inlineStr">
        <is>
          <t>BNKW5VFYEEABSX7</t>
        </is>
      </c>
      <c r="J807" s="8" t="n">
        <v>45782</v>
      </c>
    </row>
    <row r="808">
      <c r="A808" t="inlineStr">
        <is>
          <t>PAY0018398</t>
        </is>
      </c>
      <c r="B808" t="inlineStr">
        <is>
          <t>INV0002978</t>
        </is>
      </c>
      <c r="C808" t="inlineStr">
        <is>
          <t>MER00140</t>
        </is>
      </c>
      <c r="D808" s="8" t="n">
        <v>45833</v>
      </c>
      <c r="E808" t="n">
        <v>173.69</v>
      </c>
      <c r="F808" t="inlineStr">
        <is>
          <t>UPI</t>
        </is>
      </c>
      <c r="G808" t="inlineStr">
        <is>
          <t>PAYZB8Z4VKZB5</t>
        </is>
      </c>
      <c r="H808" t="inlineStr">
        <is>
          <t>Success</t>
        </is>
      </c>
      <c r="I808" t="inlineStr">
        <is>
          <t>BNKTNQHD7BB23MM</t>
        </is>
      </c>
      <c r="J808" s="8" t="n">
        <v>45835</v>
      </c>
    </row>
    <row r="809">
      <c r="A809" t="inlineStr">
        <is>
          <t>PAY0018399</t>
        </is>
      </c>
      <c r="B809" t="inlineStr">
        <is>
          <t>INV0002980</t>
        </is>
      </c>
      <c r="C809" t="inlineStr">
        <is>
          <t>MER00140</t>
        </is>
      </c>
      <c r="D809" s="8" t="n">
        <v>45897</v>
      </c>
      <c r="E809" t="n">
        <v>102.54</v>
      </c>
      <c r="F809" t="inlineStr">
        <is>
          <t>Card</t>
        </is>
      </c>
      <c r="G809" t="inlineStr">
        <is>
          <t>PAYSMUXE9FMMW</t>
        </is>
      </c>
      <c r="H809" t="inlineStr">
        <is>
          <t>Success</t>
        </is>
      </c>
      <c r="I809" t="inlineStr">
        <is>
          <t>BNKC5DSMZXDB5Y6</t>
        </is>
      </c>
      <c r="J809" s="8" t="n">
        <v>45900</v>
      </c>
    </row>
    <row r="810">
      <c r="A810" t="inlineStr">
        <is>
          <t>PAY0018400</t>
        </is>
      </c>
      <c r="B810" t="inlineStr">
        <is>
          <t>INV0002985</t>
        </is>
      </c>
      <c r="C810" t="inlineStr">
        <is>
          <t>MER00140</t>
        </is>
      </c>
      <c r="D810" s="8" t="n">
        <v>46074</v>
      </c>
      <c r="E810" t="n">
        <v>330.57</v>
      </c>
      <c r="F810" t="inlineStr">
        <is>
          <t>UPI</t>
        </is>
      </c>
      <c r="G810" t="inlineStr">
        <is>
          <t>PAY7ZEFW4K6SZ</t>
        </is>
      </c>
      <c r="H810" t="inlineStr">
        <is>
          <t>Failed</t>
        </is>
      </c>
      <c r="I810" t="inlineStr">
        <is>
          <t>BNKQ6TLP2T8693N</t>
        </is>
      </c>
      <c r="J810" s="8" t="n"/>
    </row>
    <row r="811">
      <c r="A811" t="inlineStr">
        <is>
          <t>PAY0018407</t>
        </is>
      </c>
      <c r="B811" t="inlineStr">
        <is>
          <t>INV0003310</t>
        </is>
      </c>
      <c r="C811" t="inlineStr">
        <is>
          <t>MER00156</t>
        </is>
      </c>
      <c r="D811" s="8" t="n">
        <v>45931</v>
      </c>
      <c r="E811" t="n">
        <v>130.5</v>
      </c>
      <c r="F811" t="inlineStr">
        <is>
          <t>UPI</t>
        </is>
      </c>
      <c r="G811" t="inlineStr">
        <is>
          <t>PAYD4EQHWBK9D</t>
        </is>
      </c>
      <c r="H811" t="inlineStr">
        <is>
          <t>Success</t>
        </is>
      </c>
      <c r="I811" t="inlineStr">
        <is>
          <t>BNKJXA5W4BDS2JY</t>
        </is>
      </c>
      <c r="J811" s="8" t="n">
        <v>45934</v>
      </c>
    </row>
    <row r="812">
      <c r="A812" t="inlineStr">
        <is>
          <t>PAY0018408</t>
        </is>
      </c>
      <c r="B812" t="inlineStr">
        <is>
          <t>INV0003317</t>
        </is>
      </c>
      <c r="C812" t="inlineStr">
        <is>
          <t>MER00156</t>
        </is>
      </c>
      <c r="D812" s="8" t="n">
        <v>46113</v>
      </c>
      <c r="E812" t="n">
        <v>218.34</v>
      </c>
      <c r="F812" t="inlineStr">
        <is>
          <t>UPI</t>
        </is>
      </c>
      <c r="G812" t="inlineStr">
        <is>
          <t>PAY3PQN3ZR5DM</t>
        </is>
      </c>
      <c r="H812" t="inlineStr">
        <is>
          <t>Success</t>
        </is>
      </c>
      <c r="I812" t="inlineStr">
        <is>
          <t>BNK5MNSC3FXH6NW</t>
        </is>
      </c>
      <c r="J812" s="8" t="n">
        <v>46115</v>
      </c>
    </row>
    <row r="813">
      <c r="A813" t="inlineStr">
        <is>
          <t>PAY0018409</t>
        </is>
      </c>
      <c r="B813" t="inlineStr">
        <is>
          <t>INV0003323</t>
        </is>
      </c>
      <c r="C813" t="inlineStr">
        <is>
          <t>MER00156</t>
        </is>
      </c>
      <c r="D813" s="8" t="n">
        <v>46296</v>
      </c>
      <c r="E813" t="n">
        <v>116.47</v>
      </c>
      <c r="F813" t="inlineStr">
        <is>
          <t>UPI</t>
        </is>
      </c>
      <c r="G813" t="inlineStr">
        <is>
          <t>PAYQNMDJSJQ6R</t>
        </is>
      </c>
      <c r="H813" t="inlineStr">
        <is>
          <t>Success</t>
        </is>
      </c>
      <c r="I813" t="inlineStr">
        <is>
          <t>BNK334FLZFNYUFV</t>
        </is>
      </c>
      <c r="J813" s="8" t="n">
        <v>46298</v>
      </c>
    </row>
    <row r="814">
      <c r="A814" t="inlineStr">
        <is>
          <t>PAY0018451</t>
        </is>
      </c>
      <c r="B814" t="inlineStr">
        <is>
          <t>INV0003907</t>
        </is>
      </c>
      <c r="C814" t="inlineStr">
        <is>
          <t>MER00184</t>
        </is>
      </c>
      <c r="D814" s="8" t="n">
        <v>45732</v>
      </c>
      <c r="E814" t="n">
        <v>188.52</v>
      </c>
      <c r="F814" t="inlineStr">
        <is>
          <t>UPI</t>
        </is>
      </c>
      <c r="G814" t="inlineStr">
        <is>
          <t>PAYFGVK34MRGS</t>
        </is>
      </c>
      <c r="H814" t="inlineStr">
        <is>
          <t>Success</t>
        </is>
      </c>
      <c r="I814" t="inlineStr">
        <is>
          <t>BNKE6K5L3UYTQ7J</t>
        </is>
      </c>
      <c r="J814" s="8" t="n">
        <v>45735</v>
      </c>
    </row>
    <row r="815">
      <c r="A815" t="inlineStr">
        <is>
          <t>PAY0018452</t>
        </is>
      </c>
      <c r="B815" t="inlineStr">
        <is>
          <t>INV0003909</t>
        </is>
      </c>
      <c r="C815" t="inlineStr">
        <is>
          <t>MER00184</t>
        </is>
      </c>
      <c r="D815" s="8" t="n">
        <v>45760</v>
      </c>
      <c r="E815" t="n">
        <v>563.59</v>
      </c>
      <c r="F815" t="inlineStr">
        <is>
          <t>UPI</t>
        </is>
      </c>
      <c r="G815" t="inlineStr">
        <is>
          <t>PAYMNESRMBT4K</t>
        </is>
      </c>
      <c r="H815" t="inlineStr">
        <is>
          <t>Success</t>
        </is>
      </c>
      <c r="I815" t="inlineStr">
        <is>
          <t>BNK2QBWL6WUJP7H</t>
        </is>
      </c>
      <c r="J815" s="8" t="n">
        <v>45761</v>
      </c>
    </row>
    <row r="816">
      <c r="A816" t="inlineStr">
        <is>
          <t>PAY0018453</t>
        </is>
      </c>
      <c r="B816" t="inlineStr">
        <is>
          <t>INV0003910</t>
        </is>
      </c>
      <c r="C816" t="inlineStr">
        <is>
          <t>MER00184</t>
        </is>
      </c>
      <c r="D816" s="8" t="n">
        <v>45798</v>
      </c>
      <c r="E816" t="n">
        <v>491.22</v>
      </c>
      <c r="F816" t="inlineStr">
        <is>
          <t>UPI</t>
        </is>
      </c>
      <c r="G816" t="inlineStr">
        <is>
          <t>PAYYSYW329GGX</t>
        </is>
      </c>
      <c r="H816" t="inlineStr">
        <is>
          <t>Success</t>
        </is>
      </c>
      <c r="I816" t="inlineStr">
        <is>
          <t>BNKNXYMJ2TJ3YXF</t>
        </is>
      </c>
      <c r="J816" s="8" t="n">
        <v>45801</v>
      </c>
    </row>
    <row r="817">
      <c r="A817" t="inlineStr">
        <is>
          <t>PAY0018454</t>
        </is>
      </c>
      <c r="B817" t="inlineStr">
        <is>
          <t>INV0003914</t>
        </is>
      </c>
      <c r="C817" t="inlineStr">
        <is>
          <t>MER00184</t>
        </is>
      </c>
      <c r="D817" s="8" t="n">
        <v>45962</v>
      </c>
      <c r="E817" t="n">
        <v>280.51</v>
      </c>
      <c r="F817" t="inlineStr">
        <is>
          <t>UPI</t>
        </is>
      </c>
      <c r="G817" t="inlineStr">
        <is>
          <t>PAYQHZPM6PJEH</t>
        </is>
      </c>
      <c r="H817" t="inlineStr">
        <is>
          <t>Success</t>
        </is>
      </c>
      <c r="I817" t="inlineStr">
        <is>
          <t>BNKPM34SWXVC5PF</t>
        </is>
      </c>
      <c r="J817" s="8" t="n">
        <v>45963</v>
      </c>
    </row>
    <row r="818">
      <c r="A818" t="inlineStr">
        <is>
          <t>PAY0018460</t>
        </is>
      </c>
      <c r="B818" t="inlineStr">
        <is>
          <t>INV0004014</t>
        </is>
      </c>
      <c r="C818" t="inlineStr">
        <is>
          <t>MER00189</t>
        </is>
      </c>
      <c r="D818" s="8" t="n">
        <v>45678</v>
      </c>
      <c r="E818" t="n">
        <v>265.93</v>
      </c>
      <c r="F818" t="inlineStr">
        <is>
          <t>COD</t>
        </is>
      </c>
      <c r="G818" t="inlineStr">
        <is>
          <t>PAYMCBAAEZM9Q</t>
        </is>
      </c>
      <c r="H818" t="inlineStr">
        <is>
          <t>Success</t>
        </is>
      </c>
      <c r="I818" t="inlineStr">
        <is>
          <t>BNK4UVEPKKUCAY7</t>
        </is>
      </c>
      <c r="J818" s="8" t="n">
        <v>45679</v>
      </c>
    </row>
    <row r="819">
      <c r="A819" t="inlineStr">
        <is>
          <t>PAY0018461</t>
        </is>
      </c>
      <c r="B819" t="inlineStr">
        <is>
          <t>INV0004017</t>
        </is>
      </c>
      <c r="C819" t="inlineStr">
        <is>
          <t>MER00189</t>
        </is>
      </c>
      <c r="D819" s="8" t="n">
        <v>45767</v>
      </c>
      <c r="E819" t="n">
        <v>63.68</v>
      </c>
      <c r="F819" t="inlineStr">
        <is>
          <t>UPI</t>
        </is>
      </c>
      <c r="G819" t="inlineStr">
        <is>
          <t>PAYSLF5JLV5FU</t>
        </is>
      </c>
      <c r="H819" t="inlineStr">
        <is>
          <t>Success</t>
        </is>
      </c>
      <c r="I819" t="inlineStr">
        <is>
          <t>BNK9WQJPEKSVVCU</t>
        </is>
      </c>
      <c r="J819" s="8" t="n">
        <v>45768</v>
      </c>
    </row>
    <row r="820">
      <c r="A820" t="inlineStr">
        <is>
          <t>PAY0018462</t>
        </is>
      </c>
      <c r="B820" t="inlineStr">
        <is>
          <t>INV0004020</t>
        </is>
      </c>
      <c r="C820" t="inlineStr">
        <is>
          <t>MER00189</t>
        </is>
      </c>
      <c r="D820" s="8" t="n">
        <v>45860</v>
      </c>
      <c r="E820" t="n">
        <v>51.98</v>
      </c>
      <c r="F820" t="inlineStr">
        <is>
          <t>UPI</t>
        </is>
      </c>
      <c r="G820" t="inlineStr">
        <is>
          <t>PAY2U9632PLF8</t>
        </is>
      </c>
      <c r="H820" t="inlineStr">
        <is>
          <t>Success</t>
        </is>
      </c>
      <c r="I820" t="inlineStr">
        <is>
          <t>BNK69GPMZMH6XAG</t>
        </is>
      </c>
      <c r="J820" s="8" t="n">
        <v>45861</v>
      </c>
    </row>
    <row r="821">
      <c r="A821" t="inlineStr">
        <is>
          <t>PAY0018463</t>
        </is>
      </c>
      <c r="B821" t="inlineStr">
        <is>
          <t>INV0004031</t>
        </is>
      </c>
      <c r="C821" t="inlineStr">
        <is>
          <t>MER00189</t>
        </is>
      </c>
      <c r="D821" s="8" t="n">
        <v>46183</v>
      </c>
      <c r="E821" t="n">
        <v>134.24</v>
      </c>
      <c r="F821" t="inlineStr">
        <is>
          <t>UPI</t>
        </is>
      </c>
      <c r="G821" t="inlineStr">
        <is>
          <t>PAY6X7XLNS2Q7</t>
        </is>
      </c>
      <c r="H821" t="inlineStr">
        <is>
          <t>Success</t>
        </is>
      </c>
      <c r="I821" t="inlineStr">
        <is>
          <t>BNKFQXCFZVU6LUH</t>
        </is>
      </c>
      <c r="J821" s="8" t="n">
        <v>46186</v>
      </c>
    </row>
    <row r="822">
      <c r="A822" t="inlineStr">
        <is>
          <t>PAY0018477</t>
        </is>
      </c>
      <c r="B822" t="inlineStr">
        <is>
          <t>INV0004318</t>
        </is>
      </c>
      <c r="C822" t="inlineStr">
        <is>
          <t>MER00203</t>
        </is>
      </c>
      <c r="D822" s="8" t="n">
        <v>45775</v>
      </c>
      <c r="E822" t="n">
        <v>1085.77</v>
      </c>
      <c r="F822" t="inlineStr">
        <is>
          <t>NetBanking</t>
        </is>
      </c>
      <c r="G822" t="inlineStr">
        <is>
          <t>PAYPES4PPW8D5</t>
        </is>
      </c>
      <c r="H822" t="inlineStr">
        <is>
          <t>Success</t>
        </is>
      </c>
      <c r="I822" t="inlineStr">
        <is>
          <t>BNKUZ58RRSRWSV9</t>
        </is>
      </c>
      <c r="J822" s="8" t="n">
        <v>45777</v>
      </c>
    </row>
    <row r="823">
      <c r="A823" t="inlineStr">
        <is>
          <t>PAY0018478</t>
        </is>
      </c>
      <c r="B823" t="inlineStr">
        <is>
          <t>INV0004319</t>
        </is>
      </c>
      <c r="C823" t="inlineStr">
        <is>
          <t>MER00203</t>
        </is>
      </c>
      <c r="D823" s="8" t="n">
        <v>45809</v>
      </c>
      <c r="E823" t="n">
        <v>729.92</v>
      </c>
      <c r="F823" t="inlineStr">
        <is>
          <t>UPI</t>
        </is>
      </c>
      <c r="G823" t="inlineStr">
        <is>
          <t>PAYFG8REGY3SD</t>
        </is>
      </c>
      <c r="H823" t="inlineStr">
        <is>
          <t>Success</t>
        </is>
      </c>
      <c r="I823" t="inlineStr">
        <is>
          <t>BNKKZUM7JDH7LS8</t>
        </is>
      </c>
      <c r="J823" s="8" t="n">
        <v>45810</v>
      </c>
    </row>
    <row r="824">
      <c r="A824" t="inlineStr">
        <is>
          <t>PAY0018479</t>
        </is>
      </c>
      <c r="B824" t="inlineStr">
        <is>
          <t>INV0004325</t>
        </is>
      </c>
      <c r="C824" t="inlineStr">
        <is>
          <t>MER00203</t>
        </is>
      </c>
      <c r="D824" s="8" t="n">
        <v>45973</v>
      </c>
      <c r="E824" t="n">
        <v>828.9</v>
      </c>
      <c r="F824" t="inlineStr">
        <is>
          <t>NetBanking</t>
        </is>
      </c>
      <c r="G824" t="inlineStr">
        <is>
          <t>PAYHAUJTU2TA3</t>
        </is>
      </c>
      <c r="H824" t="inlineStr">
        <is>
          <t>Failed</t>
        </is>
      </c>
      <c r="I824" t="inlineStr">
        <is>
          <t>BNK5UVRL7YPHM4Y</t>
        </is>
      </c>
      <c r="J824" s="8" t="n"/>
    </row>
    <row r="825">
      <c r="A825" t="inlineStr">
        <is>
          <t>PAY0018480</t>
        </is>
      </c>
      <c r="B825" t="inlineStr">
        <is>
          <t>INV0004327</t>
        </is>
      </c>
      <c r="C825" t="inlineStr">
        <is>
          <t>MER00203</t>
        </is>
      </c>
      <c r="D825" s="8" t="n">
        <v>46040</v>
      </c>
      <c r="E825" t="n">
        <v>1278.91</v>
      </c>
      <c r="F825" t="inlineStr">
        <is>
          <t>Card</t>
        </is>
      </c>
      <c r="G825" t="inlineStr">
        <is>
          <t>PAYWF9ZA8VJXC</t>
        </is>
      </c>
      <c r="H825" t="inlineStr">
        <is>
          <t>Success</t>
        </is>
      </c>
      <c r="I825" t="inlineStr">
        <is>
          <t>BNKBT2D4FK8A7WC</t>
        </is>
      </c>
      <c r="J825" s="8" t="n">
        <v>46043</v>
      </c>
    </row>
    <row r="826">
      <c r="A826" t="inlineStr">
        <is>
          <t>PAY0018481</t>
        </is>
      </c>
      <c r="B826" t="inlineStr">
        <is>
          <t>INV0004329</t>
        </is>
      </c>
      <c r="C826" t="inlineStr">
        <is>
          <t>MER00203</t>
        </is>
      </c>
      <c r="D826" s="8" t="n">
        <v>46093</v>
      </c>
      <c r="E826" t="n">
        <v>371.41</v>
      </c>
      <c r="F826" t="inlineStr">
        <is>
          <t>Card</t>
        </is>
      </c>
      <c r="G826" t="inlineStr">
        <is>
          <t>PAYGUMF7VCK22</t>
        </is>
      </c>
      <c r="H826" t="inlineStr">
        <is>
          <t>Success</t>
        </is>
      </c>
      <c r="I826" t="inlineStr">
        <is>
          <t>BNKNE35X3Q56T4S</t>
        </is>
      </c>
      <c r="J826" s="8" t="n">
        <v>46096</v>
      </c>
    </row>
    <row r="827">
      <c r="A827" t="inlineStr">
        <is>
          <t>PAY0018482</t>
        </is>
      </c>
      <c r="B827" t="inlineStr">
        <is>
          <t>INV0004331</t>
        </is>
      </c>
      <c r="C827" t="inlineStr">
        <is>
          <t>MER00203</t>
        </is>
      </c>
      <c r="D827" s="8" t="n">
        <v>46142</v>
      </c>
      <c r="E827" t="n">
        <v>503.63</v>
      </c>
      <c r="F827" t="inlineStr">
        <is>
          <t>Wallet</t>
        </is>
      </c>
      <c r="G827" t="inlineStr">
        <is>
          <t>PAYASTC46F4S9</t>
        </is>
      </c>
      <c r="H827" t="inlineStr">
        <is>
          <t>Success</t>
        </is>
      </c>
      <c r="I827" t="inlineStr">
        <is>
          <t>BNKUBP5NV9LVXZM</t>
        </is>
      </c>
      <c r="J827" s="8" t="n">
        <v>46145</v>
      </c>
    </row>
    <row r="828">
      <c r="A828" t="inlineStr">
        <is>
          <t>PAY0018483</t>
        </is>
      </c>
      <c r="B828" t="inlineStr">
        <is>
          <t>INV0004333</t>
        </is>
      </c>
      <c r="C828" t="inlineStr">
        <is>
          <t>MER00203</t>
        </is>
      </c>
      <c r="D828" s="8" t="n">
        <v>46222</v>
      </c>
      <c r="E828" t="n">
        <v>1907.27</v>
      </c>
      <c r="F828" t="inlineStr">
        <is>
          <t>UPI</t>
        </is>
      </c>
      <c r="G828" t="inlineStr">
        <is>
          <t>PAY5U8A38NXVP</t>
        </is>
      </c>
      <c r="H828" t="inlineStr">
        <is>
          <t>Success</t>
        </is>
      </c>
      <c r="I828" t="inlineStr">
        <is>
          <t>BNKMKVM3TVWELPF</t>
        </is>
      </c>
      <c r="J828" s="8" t="n">
        <v>46224</v>
      </c>
    </row>
    <row r="829">
      <c r="A829" t="inlineStr">
        <is>
          <t>PAY0018653</t>
        </is>
      </c>
      <c r="B829" t="inlineStr">
        <is>
          <t>INV0007478</t>
        </is>
      </c>
      <c r="C829" t="inlineStr">
        <is>
          <t>MER00355</t>
        </is>
      </c>
      <c r="D829" s="8" t="n">
        <v>45613</v>
      </c>
      <c r="E829" t="n">
        <v>115.63</v>
      </c>
      <c r="F829" t="inlineStr">
        <is>
          <t>Wallet</t>
        </is>
      </c>
      <c r="G829" t="inlineStr">
        <is>
          <t>PAYDB8UP6YMSE</t>
        </is>
      </c>
      <c r="H829" t="inlineStr">
        <is>
          <t>Success</t>
        </is>
      </c>
      <c r="I829" t="inlineStr">
        <is>
          <t>BNKRHQUZTN4URBU</t>
        </is>
      </c>
      <c r="J829" s="8" t="n">
        <v>45615</v>
      </c>
    </row>
    <row r="830">
      <c r="A830" t="inlineStr">
        <is>
          <t>PAY0018654</t>
        </is>
      </c>
      <c r="B830" t="inlineStr">
        <is>
          <t>INV0007483</t>
        </is>
      </c>
      <c r="C830" t="inlineStr">
        <is>
          <t>MER00355</t>
        </is>
      </c>
      <c r="D830" s="8" t="n">
        <v>45767</v>
      </c>
      <c r="E830" t="n">
        <v>67.26000000000001</v>
      </c>
      <c r="F830" t="inlineStr">
        <is>
          <t>UPI</t>
        </is>
      </c>
      <c r="G830" t="inlineStr">
        <is>
          <t>PAYZLM2KDY2N5</t>
        </is>
      </c>
      <c r="H830" t="inlineStr">
        <is>
          <t>Success</t>
        </is>
      </c>
      <c r="I830" t="inlineStr">
        <is>
          <t>BNKSH2MJ2YF5PH8</t>
        </is>
      </c>
      <c r="J830" s="8" t="n">
        <v>45768</v>
      </c>
    </row>
    <row r="831">
      <c r="A831" t="inlineStr">
        <is>
          <t>PAY0018655</t>
        </is>
      </c>
      <c r="B831" t="inlineStr">
        <is>
          <t>INV0007488</t>
        </is>
      </c>
      <c r="C831" t="inlineStr">
        <is>
          <t>MER00355</t>
        </is>
      </c>
      <c r="D831" s="8" t="n">
        <v>45910</v>
      </c>
      <c r="E831" t="n">
        <v>189.59</v>
      </c>
      <c r="F831" t="inlineStr">
        <is>
          <t>Wallet</t>
        </is>
      </c>
      <c r="G831" t="inlineStr">
        <is>
          <t>PAYHS9V253E4R</t>
        </is>
      </c>
      <c r="H831" t="inlineStr">
        <is>
          <t>Success</t>
        </is>
      </c>
      <c r="I831" t="inlineStr">
        <is>
          <t>BNKMREJMT87BKQS</t>
        </is>
      </c>
      <c r="J831" s="8" t="n">
        <v>45911</v>
      </c>
    </row>
    <row r="832">
      <c r="A832" t="inlineStr">
        <is>
          <t>PAY0018656</t>
        </is>
      </c>
      <c r="B832" t="inlineStr">
        <is>
          <t>INV0007491</t>
        </is>
      </c>
      <c r="C832" t="inlineStr">
        <is>
          <t>MER00355</t>
        </is>
      </c>
      <c r="D832" s="8" t="n">
        <v>46019</v>
      </c>
      <c r="E832" t="n">
        <v>316.62</v>
      </c>
      <c r="F832" t="inlineStr">
        <is>
          <t>UPI</t>
        </is>
      </c>
      <c r="G832" t="inlineStr">
        <is>
          <t>PAYYDEJXAXT5Z</t>
        </is>
      </c>
      <c r="H832" t="inlineStr">
        <is>
          <t>Success</t>
        </is>
      </c>
      <c r="I832" t="inlineStr">
        <is>
          <t>BNKHEBLCAP89653</t>
        </is>
      </c>
      <c r="J832" s="8" t="n">
        <v>46022</v>
      </c>
    </row>
    <row r="833">
      <c r="A833" t="inlineStr">
        <is>
          <t>PAY0018946</t>
        </is>
      </c>
      <c r="B833" t="inlineStr">
        <is>
          <t>INV0015050</t>
        </is>
      </c>
      <c r="C833" t="inlineStr">
        <is>
          <t>MER00711</t>
        </is>
      </c>
      <c r="D833" s="8" t="n">
        <v>45709</v>
      </c>
      <c r="E833" t="n">
        <v>1680.16</v>
      </c>
      <c r="F833" t="inlineStr">
        <is>
          <t>UPI</t>
        </is>
      </c>
      <c r="G833" t="inlineStr">
        <is>
          <t>PAY43LYMP2R96</t>
        </is>
      </c>
      <c r="H833" t="inlineStr">
        <is>
          <t>Success</t>
        </is>
      </c>
      <c r="I833" t="inlineStr">
        <is>
          <t>BNKGCPJRUFSCF5W</t>
        </is>
      </c>
      <c r="J833" s="8" t="n">
        <v>45710</v>
      </c>
    </row>
    <row r="834">
      <c r="A834" t="inlineStr">
        <is>
          <t>PAY0018947</t>
        </is>
      </c>
      <c r="B834" t="inlineStr">
        <is>
          <t>INV0015052</t>
        </is>
      </c>
      <c r="C834" t="inlineStr">
        <is>
          <t>MER00711</t>
        </is>
      </c>
      <c r="D834" s="8" t="n">
        <v>45773</v>
      </c>
      <c r="E834" t="n">
        <v>1720.82</v>
      </c>
      <c r="F834" t="inlineStr">
        <is>
          <t>Wallet</t>
        </is>
      </c>
      <c r="G834" t="inlineStr">
        <is>
          <t>PAYCLL4GFHR8Y</t>
        </is>
      </c>
      <c r="H834" t="inlineStr">
        <is>
          <t>Success</t>
        </is>
      </c>
      <c r="I834" t="inlineStr">
        <is>
          <t>BNKZMRDK3R7TRJ6</t>
        </is>
      </c>
      <c r="J834" s="8" t="n">
        <v>45775</v>
      </c>
    </row>
    <row r="835">
      <c r="A835" t="inlineStr">
        <is>
          <t>PAY0018948</t>
        </is>
      </c>
      <c r="B835" t="inlineStr">
        <is>
          <t>INV0015053</t>
        </is>
      </c>
      <c r="C835" t="inlineStr">
        <is>
          <t>MER00711</t>
        </is>
      </c>
      <c r="D835" s="8" t="n">
        <v>45823</v>
      </c>
      <c r="E835" t="n">
        <v>1656.8</v>
      </c>
      <c r="F835" t="inlineStr">
        <is>
          <t>UPI</t>
        </is>
      </c>
      <c r="G835" t="inlineStr">
        <is>
          <t>PAYSUPXDW4JSU</t>
        </is>
      </c>
      <c r="H835" t="inlineStr">
        <is>
          <t>Success</t>
        </is>
      </c>
      <c r="I835" t="inlineStr">
        <is>
          <t>BNK8XYQ286L6CBF</t>
        </is>
      </c>
      <c r="J835" s="8" t="n">
        <v>45826</v>
      </c>
    </row>
    <row r="836">
      <c r="A836" t="inlineStr">
        <is>
          <t>PAY0018949</t>
        </is>
      </c>
      <c r="B836" t="inlineStr">
        <is>
          <t>INV0015054</t>
        </is>
      </c>
      <c r="C836" t="inlineStr">
        <is>
          <t>MER00711</t>
        </is>
      </c>
      <c r="D836" s="8" t="n">
        <v>45837</v>
      </c>
      <c r="E836" t="n">
        <v>850.6900000000001</v>
      </c>
      <c r="F836" t="inlineStr">
        <is>
          <t>UPI</t>
        </is>
      </c>
      <c r="G836" t="inlineStr">
        <is>
          <t>PAY9D3XFWUXLG</t>
        </is>
      </c>
      <c r="H836" t="inlineStr">
        <is>
          <t>Success</t>
        </is>
      </c>
      <c r="I836" t="inlineStr">
        <is>
          <t>BNKA9E7XDDXA79M</t>
        </is>
      </c>
      <c r="J836" s="8" t="n">
        <v>45840</v>
      </c>
    </row>
    <row r="837">
      <c r="A837" t="inlineStr">
        <is>
          <t>PAY0018950</t>
        </is>
      </c>
      <c r="B837" t="inlineStr">
        <is>
          <t>INV0015056</t>
        </is>
      </c>
      <c r="C837" t="inlineStr">
        <is>
          <t>MER00711</t>
        </is>
      </c>
      <c r="D837" s="8" t="n">
        <v>45870</v>
      </c>
      <c r="E837" t="n">
        <v>1377.79</v>
      </c>
      <c r="F837" t="inlineStr">
        <is>
          <t>Card</t>
        </is>
      </c>
      <c r="G837" t="inlineStr">
        <is>
          <t>PAY3SKXD43NMR</t>
        </is>
      </c>
      <c r="H837" t="inlineStr">
        <is>
          <t>Success</t>
        </is>
      </c>
      <c r="I837" t="inlineStr">
        <is>
          <t>BNKHVCJV3MU94S4</t>
        </is>
      </c>
      <c r="J837" s="8" t="n">
        <v>45871</v>
      </c>
    </row>
    <row r="838">
      <c r="A838" t="inlineStr">
        <is>
          <t>PAY0018951</t>
        </is>
      </c>
      <c r="B838" t="inlineStr">
        <is>
          <t>INV0015058</t>
        </is>
      </c>
      <c r="C838" t="inlineStr">
        <is>
          <t>MER00711</t>
        </is>
      </c>
      <c r="D838" s="8" t="n">
        <v>45970</v>
      </c>
      <c r="E838" t="n">
        <v>1635.95</v>
      </c>
      <c r="F838" t="inlineStr">
        <is>
          <t>UPI</t>
        </is>
      </c>
      <c r="G838" t="inlineStr">
        <is>
          <t>PAYRTLJ7Z82A6</t>
        </is>
      </c>
      <c r="H838" t="inlineStr">
        <is>
          <t>Success</t>
        </is>
      </c>
      <c r="I838" t="inlineStr">
        <is>
          <t>BNKDWAJBVU9A3SL</t>
        </is>
      </c>
      <c r="J838" s="8" t="n">
        <v>45971</v>
      </c>
    </row>
    <row r="839">
      <c r="A839" t="inlineStr">
        <is>
          <t>PAY0018952</t>
        </is>
      </c>
      <c r="B839" t="inlineStr">
        <is>
          <t>INV0015059</t>
        </is>
      </c>
      <c r="C839" t="inlineStr">
        <is>
          <t>MER00711</t>
        </is>
      </c>
      <c r="D839" s="8" t="n">
        <v>45988</v>
      </c>
      <c r="E839" t="n">
        <v>1298.84</v>
      </c>
      <c r="F839" t="inlineStr">
        <is>
          <t>UPI</t>
        </is>
      </c>
      <c r="G839" t="inlineStr">
        <is>
          <t>PAYG94XY6NVTH</t>
        </is>
      </c>
      <c r="H839" t="inlineStr">
        <is>
          <t>Success</t>
        </is>
      </c>
      <c r="I839" t="inlineStr">
        <is>
          <t>BNKYXHQ2AZC7VTP</t>
        </is>
      </c>
      <c r="J839" s="8" t="n">
        <v>45990</v>
      </c>
    </row>
    <row r="840">
      <c r="A840" t="inlineStr">
        <is>
          <t>PAY0018953</t>
        </is>
      </c>
      <c r="B840" t="inlineStr">
        <is>
          <t>INV0015060</t>
        </is>
      </c>
      <c r="C840" t="inlineStr">
        <is>
          <t>MER00711</t>
        </is>
      </c>
      <c r="D840" s="8" t="n">
        <v>46017</v>
      </c>
      <c r="E840" t="n">
        <v>3381.61</v>
      </c>
      <c r="F840" t="inlineStr">
        <is>
          <t>UPI</t>
        </is>
      </c>
      <c r="G840" t="inlineStr">
        <is>
          <t>PAYR4K38JCYDR</t>
        </is>
      </c>
      <c r="H840" t="inlineStr">
        <is>
          <t>Success</t>
        </is>
      </c>
      <c r="I840" t="inlineStr">
        <is>
          <t>BNK2ZEQXQNVQ47W</t>
        </is>
      </c>
      <c r="J840" s="8" t="n">
        <v>46020</v>
      </c>
    </row>
    <row r="841">
      <c r="A841" t="inlineStr">
        <is>
          <t>PAY0018954</t>
        </is>
      </c>
      <c r="B841" t="inlineStr">
        <is>
          <t>INV0015061</t>
        </is>
      </c>
      <c r="C841" t="inlineStr">
        <is>
          <t>MER00711</t>
        </is>
      </c>
      <c r="D841" s="8" t="n">
        <v>46052</v>
      </c>
      <c r="E841" t="n">
        <v>3237.09</v>
      </c>
      <c r="F841" t="inlineStr">
        <is>
          <t>Wallet</t>
        </is>
      </c>
      <c r="G841" t="inlineStr">
        <is>
          <t>PAY59LYZ8JPCX</t>
        </is>
      </c>
      <c r="H841" t="inlineStr">
        <is>
          <t>Success</t>
        </is>
      </c>
      <c r="I841" t="inlineStr">
        <is>
          <t>BNKEEWNV7RMNUXS</t>
        </is>
      </c>
      <c r="J841" s="8" t="n">
        <v>46053</v>
      </c>
    </row>
    <row r="842">
      <c r="A842" t="inlineStr">
        <is>
          <t>PAY0018955</t>
        </is>
      </c>
      <c r="B842" t="inlineStr">
        <is>
          <t>INV0015065</t>
        </is>
      </c>
      <c r="C842" t="inlineStr">
        <is>
          <t>MER00711</t>
        </is>
      </c>
      <c r="D842" s="8" t="n">
        <v>46173</v>
      </c>
      <c r="E842" t="n">
        <v>2794.06</v>
      </c>
      <c r="F842" t="inlineStr">
        <is>
          <t>UPI</t>
        </is>
      </c>
      <c r="G842" t="inlineStr">
        <is>
          <t>PAYE2VVGE9U3H</t>
        </is>
      </c>
      <c r="H842" t="inlineStr">
        <is>
          <t>Success</t>
        </is>
      </c>
      <c r="I842" t="inlineStr">
        <is>
          <t>BNKPNEUKFQFL28N</t>
        </is>
      </c>
      <c r="J842" s="8" t="n">
        <v>46175</v>
      </c>
    </row>
    <row r="843">
      <c r="A843" t="inlineStr">
        <is>
          <t>PAY0018974</t>
        </is>
      </c>
      <c r="B843" t="inlineStr">
        <is>
          <t>INV0015377</t>
        </is>
      </c>
      <c r="C843" t="inlineStr">
        <is>
          <t>MER00726</t>
        </is>
      </c>
      <c r="D843" s="8" t="n">
        <v>45651</v>
      </c>
      <c r="E843" t="n">
        <v>59.15</v>
      </c>
      <c r="F843" t="inlineStr">
        <is>
          <t>NetBanking</t>
        </is>
      </c>
      <c r="G843" t="inlineStr">
        <is>
          <t>PAYR7ZZSSAVSZ</t>
        </is>
      </c>
      <c r="H843" t="inlineStr">
        <is>
          <t>Success</t>
        </is>
      </c>
      <c r="I843" t="inlineStr">
        <is>
          <t>BNK5JHYX9EVSSQ3</t>
        </is>
      </c>
      <c r="J843" s="8" t="n">
        <v>45652</v>
      </c>
    </row>
    <row r="844">
      <c r="A844" t="inlineStr">
        <is>
          <t>PAY0018975</t>
        </is>
      </c>
      <c r="B844" t="inlineStr">
        <is>
          <t>INV0015383</t>
        </is>
      </c>
      <c r="C844" t="inlineStr">
        <is>
          <t>MER00726</t>
        </is>
      </c>
      <c r="D844" s="8" t="n">
        <v>45829</v>
      </c>
      <c r="E844" t="n">
        <v>39.43</v>
      </c>
      <c r="F844" t="inlineStr">
        <is>
          <t>Card</t>
        </is>
      </c>
      <c r="G844" t="inlineStr">
        <is>
          <t>PAYZR84WPQEXV</t>
        </is>
      </c>
      <c r="H844" t="inlineStr">
        <is>
          <t>Success</t>
        </is>
      </c>
      <c r="I844" t="inlineStr">
        <is>
          <t>BNKTYMDVRQV8EK6</t>
        </is>
      </c>
      <c r="J844" s="8" t="n">
        <v>45831</v>
      </c>
    </row>
    <row r="845">
      <c r="A845" t="inlineStr">
        <is>
          <t>PAY0018976</t>
        </is>
      </c>
      <c r="B845" t="inlineStr">
        <is>
          <t>INV0015387</t>
        </is>
      </c>
      <c r="C845" t="inlineStr">
        <is>
          <t>MER00726</t>
        </is>
      </c>
      <c r="D845" s="8" t="n">
        <v>45999</v>
      </c>
      <c r="E845" t="n">
        <v>27.85</v>
      </c>
      <c r="F845" t="inlineStr">
        <is>
          <t>NetBanking</t>
        </is>
      </c>
      <c r="G845" t="inlineStr">
        <is>
          <t>PAYTZVQU7VY4G</t>
        </is>
      </c>
      <c r="H845" t="inlineStr">
        <is>
          <t>Success</t>
        </is>
      </c>
      <c r="I845" t="inlineStr">
        <is>
          <t>BNKKUFLT6AZQAFE</t>
        </is>
      </c>
      <c r="J845" s="8" t="n">
        <v>46000</v>
      </c>
    </row>
    <row r="846">
      <c r="A846" t="inlineStr">
        <is>
          <t>PAY0018977</t>
        </is>
      </c>
      <c r="B846" t="inlineStr">
        <is>
          <t>INV0015392</t>
        </is>
      </c>
      <c r="C846" t="inlineStr">
        <is>
          <t>MER00726</t>
        </is>
      </c>
      <c r="D846" s="8" t="n">
        <v>46110</v>
      </c>
      <c r="E846" t="n">
        <v>106.06</v>
      </c>
      <c r="F846" t="inlineStr">
        <is>
          <t>UPI</t>
        </is>
      </c>
      <c r="G846" t="inlineStr">
        <is>
          <t>PAYMWPPL9FABE</t>
        </is>
      </c>
      <c r="H846" t="inlineStr">
        <is>
          <t>Success</t>
        </is>
      </c>
      <c r="I846" t="inlineStr">
        <is>
          <t>BNKL4GTQRRCPE6X</t>
        </is>
      </c>
      <c r="J846" s="8" t="n">
        <v>46111</v>
      </c>
    </row>
    <row r="847">
      <c r="A847" t="inlineStr">
        <is>
          <t>PAY0018978</t>
        </is>
      </c>
      <c r="B847" t="inlineStr">
        <is>
          <t>INV0015397</t>
        </is>
      </c>
      <c r="C847" t="inlineStr">
        <is>
          <t>MER00726</t>
        </is>
      </c>
      <c r="D847" s="8" t="n">
        <v>46276</v>
      </c>
      <c r="E847" t="n">
        <v>23.12</v>
      </c>
      <c r="F847" t="inlineStr">
        <is>
          <t>UPI</t>
        </is>
      </c>
      <c r="G847" t="inlineStr">
        <is>
          <t>PAYAL6HUFAN96</t>
        </is>
      </c>
      <c r="H847" t="inlineStr">
        <is>
          <t>Success</t>
        </is>
      </c>
      <c r="I847" t="inlineStr">
        <is>
          <t>BNKWJ8YCV3F3UE6</t>
        </is>
      </c>
      <c r="J847" s="8" t="n">
        <v>46277</v>
      </c>
    </row>
    <row r="848">
      <c r="A848" t="inlineStr">
        <is>
          <t>PAY0018979</t>
        </is>
      </c>
      <c r="B848" t="inlineStr">
        <is>
          <t>INV0015398</t>
        </is>
      </c>
      <c r="C848" t="inlineStr">
        <is>
          <t>MER00726</t>
        </is>
      </c>
      <c r="D848" s="8" t="n">
        <v>46278</v>
      </c>
      <c r="E848" t="n">
        <v>140.25</v>
      </c>
      <c r="F848" t="inlineStr">
        <is>
          <t>Wallet</t>
        </is>
      </c>
      <c r="G848" t="inlineStr">
        <is>
          <t>PAYJKCCFNF99J</t>
        </is>
      </c>
      <c r="H848" t="inlineStr">
        <is>
          <t>Success</t>
        </is>
      </c>
      <c r="I848" t="inlineStr">
        <is>
          <t>BNKDCTD39D4W2C4</t>
        </is>
      </c>
      <c r="J848" s="8" t="n">
        <v>46279</v>
      </c>
    </row>
    <row r="849">
      <c r="A849" t="inlineStr">
        <is>
          <t>PAY0019195</t>
        </is>
      </c>
      <c r="B849" t="inlineStr">
        <is>
          <t>INV0001104</t>
        </is>
      </c>
      <c r="C849" t="inlineStr">
        <is>
          <t>MER00055</t>
        </is>
      </c>
      <c r="D849" s="8" t="n">
        <v>45682</v>
      </c>
      <c r="E849" t="n">
        <v>234.98</v>
      </c>
      <c r="F849" t="inlineStr">
        <is>
          <t>Card</t>
        </is>
      </c>
      <c r="G849" t="inlineStr">
        <is>
          <t>PAY9SLF6VCXZR</t>
        </is>
      </c>
      <c r="H849" t="inlineStr">
        <is>
          <t>Success</t>
        </is>
      </c>
      <c r="I849" t="inlineStr">
        <is>
          <t>BNKFGMXUWW2DTM7</t>
        </is>
      </c>
      <c r="J849" s="8" t="n">
        <v>45685</v>
      </c>
    </row>
    <row r="850">
      <c r="A850" t="inlineStr">
        <is>
          <t>PAY0019196</t>
        </is>
      </c>
      <c r="B850" t="inlineStr">
        <is>
          <t>INV0001106</t>
        </is>
      </c>
      <c r="C850" t="inlineStr">
        <is>
          <t>MER00055</t>
        </is>
      </c>
      <c r="D850" s="8" t="n">
        <v>45812</v>
      </c>
      <c r="E850" t="n">
        <v>145.38</v>
      </c>
      <c r="F850" t="inlineStr">
        <is>
          <t>UPI</t>
        </is>
      </c>
      <c r="G850" t="inlineStr">
        <is>
          <t>PAYM842NEHTT6</t>
        </is>
      </c>
      <c r="H850" t="inlineStr">
        <is>
          <t>Success</t>
        </is>
      </c>
      <c r="I850" t="inlineStr">
        <is>
          <t>BNKWLJ5R2ENARED</t>
        </is>
      </c>
      <c r="J850" s="8" t="n">
        <v>45814</v>
      </c>
    </row>
    <row r="851">
      <c r="A851" t="inlineStr">
        <is>
          <t>PAY0019197</t>
        </is>
      </c>
      <c r="B851" t="inlineStr">
        <is>
          <t>INV0001111</t>
        </is>
      </c>
      <c r="C851" t="inlineStr">
        <is>
          <t>MER00055</t>
        </is>
      </c>
      <c r="D851" s="8" t="n">
        <v>45928</v>
      </c>
      <c r="E851" t="n">
        <v>120.24</v>
      </c>
      <c r="F851" t="inlineStr">
        <is>
          <t>Card</t>
        </is>
      </c>
      <c r="G851" t="inlineStr">
        <is>
          <t>PAYJHL3JFK2CX</t>
        </is>
      </c>
      <c r="H851" t="inlineStr">
        <is>
          <t>Success</t>
        </is>
      </c>
      <c r="I851" t="inlineStr">
        <is>
          <t>BNK4ZA8488BF8SX</t>
        </is>
      </c>
      <c r="J851" s="8" t="n">
        <v>45929</v>
      </c>
    </row>
    <row r="852">
      <c r="A852" t="inlineStr">
        <is>
          <t>PAY0019198</t>
        </is>
      </c>
      <c r="B852" t="inlineStr">
        <is>
          <t>INV0001121</t>
        </is>
      </c>
      <c r="C852" t="inlineStr">
        <is>
          <t>MER00055</t>
        </is>
      </c>
      <c r="D852" s="8" t="n">
        <v>46277</v>
      </c>
      <c r="E852" t="n">
        <v>1055.83</v>
      </c>
      <c r="F852" t="inlineStr">
        <is>
          <t>Card</t>
        </is>
      </c>
      <c r="G852" t="inlineStr">
        <is>
          <t>PAY7A59V3ZXH7</t>
        </is>
      </c>
      <c r="H852" t="inlineStr">
        <is>
          <t>Success</t>
        </is>
      </c>
      <c r="I852" t="inlineStr">
        <is>
          <t>BNKGRPW94PAH9YS</t>
        </is>
      </c>
      <c r="J852" s="8" t="n">
        <v>46280</v>
      </c>
    </row>
    <row r="853">
      <c r="A853" t="inlineStr">
        <is>
          <t>PAY0019222</t>
        </is>
      </c>
      <c r="B853" t="inlineStr">
        <is>
          <t>INV0002978</t>
        </is>
      </c>
      <c r="C853" t="inlineStr">
        <is>
          <t>MER00140</t>
        </is>
      </c>
      <c r="D853" s="8" t="n">
        <v>45875</v>
      </c>
      <c r="E853" t="n">
        <v>360.13</v>
      </c>
      <c r="F853" t="inlineStr">
        <is>
          <t>UPI</t>
        </is>
      </c>
      <c r="G853" t="inlineStr">
        <is>
          <t>PAYHRHDQR84MS</t>
        </is>
      </c>
      <c r="H853" t="inlineStr">
        <is>
          <t>Success</t>
        </is>
      </c>
      <c r="I853" t="inlineStr">
        <is>
          <t>BNKH6V5F9ME724F</t>
        </is>
      </c>
      <c r="J853" s="8" t="n">
        <v>45877</v>
      </c>
    </row>
    <row r="854">
      <c r="A854" t="inlineStr">
        <is>
          <t>PAY0019223</t>
        </is>
      </c>
      <c r="B854" t="inlineStr">
        <is>
          <t>INV0002980</t>
        </is>
      </c>
      <c r="C854" t="inlineStr">
        <is>
          <t>MER00140</t>
        </is>
      </c>
      <c r="D854" s="8" t="n">
        <v>45938</v>
      </c>
      <c r="E854" t="n">
        <v>143.34</v>
      </c>
      <c r="F854" t="inlineStr">
        <is>
          <t>UPI</t>
        </is>
      </c>
      <c r="G854" t="inlineStr">
        <is>
          <t>PAY48XTM29G8N</t>
        </is>
      </c>
      <c r="H854" t="inlineStr">
        <is>
          <t>Success</t>
        </is>
      </c>
      <c r="I854" t="inlineStr">
        <is>
          <t>BNKCERTB3UW4Y92</t>
        </is>
      </c>
      <c r="J854" s="8" t="n">
        <v>45939</v>
      </c>
    </row>
    <row r="855">
      <c r="A855" t="inlineStr">
        <is>
          <t>PAY0019227</t>
        </is>
      </c>
      <c r="B855" t="inlineStr">
        <is>
          <t>INV0003310</t>
        </is>
      </c>
      <c r="C855" t="inlineStr">
        <is>
          <t>MER00156</t>
        </is>
      </c>
      <c r="D855" s="8" t="n">
        <v>45906</v>
      </c>
      <c r="E855" t="n">
        <v>93.88</v>
      </c>
      <c r="F855" t="inlineStr">
        <is>
          <t>UPI</t>
        </is>
      </c>
      <c r="G855" t="inlineStr">
        <is>
          <t>PAYXU7NWMQC42</t>
        </is>
      </c>
      <c r="H855" t="inlineStr">
        <is>
          <t>Success</t>
        </is>
      </c>
      <c r="I855" t="inlineStr">
        <is>
          <t>BNKNNMH5JAHFSAW</t>
        </is>
      </c>
      <c r="J855" s="8" t="n">
        <v>45909</v>
      </c>
    </row>
    <row r="856">
      <c r="A856" t="inlineStr">
        <is>
          <t>PAY0019228</t>
        </is>
      </c>
      <c r="B856" t="inlineStr">
        <is>
          <t>INV0003317</t>
        </is>
      </c>
      <c r="C856" t="inlineStr">
        <is>
          <t>MER00156</t>
        </is>
      </c>
      <c r="D856" s="8" t="n">
        <v>46143</v>
      </c>
      <c r="E856" t="n">
        <v>213.32</v>
      </c>
      <c r="F856" t="inlineStr">
        <is>
          <t>Card</t>
        </is>
      </c>
      <c r="G856" t="inlineStr">
        <is>
          <t>PAYMRUMF92JDZ</t>
        </is>
      </c>
      <c r="H856" t="inlineStr">
        <is>
          <t>Success</t>
        </is>
      </c>
      <c r="I856" t="inlineStr">
        <is>
          <t>BNKKQW59Q3XA84Q</t>
        </is>
      </c>
      <c r="J856" s="8" t="n">
        <v>46144</v>
      </c>
    </row>
    <row r="857">
      <c r="A857" t="inlineStr">
        <is>
          <t>PAY0019229</t>
        </is>
      </c>
      <c r="B857" t="inlineStr">
        <is>
          <t>INV0003323</t>
        </is>
      </c>
      <c r="C857" t="inlineStr">
        <is>
          <t>MER00156</t>
        </is>
      </c>
      <c r="D857" s="8" t="n">
        <v>46315</v>
      </c>
      <c r="E857" t="n">
        <v>89.53</v>
      </c>
      <c r="F857" t="inlineStr">
        <is>
          <t>UPI</t>
        </is>
      </c>
      <c r="G857" t="inlineStr">
        <is>
          <t>PAYPXH5XRYHS8</t>
        </is>
      </c>
      <c r="H857" t="inlineStr">
        <is>
          <t>Failed</t>
        </is>
      </c>
      <c r="I857" t="inlineStr">
        <is>
          <t>BNKYQ3CWBG6EVDE</t>
        </is>
      </c>
      <c r="J857" s="8" t="n"/>
    </row>
    <row r="858">
      <c r="A858" t="inlineStr">
        <is>
          <t>PAY0019238</t>
        </is>
      </c>
      <c r="B858" t="inlineStr">
        <is>
          <t>INV0003909</t>
        </is>
      </c>
      <c r="C858" t="inlineStr">
        <is>
          <t>MER00184</t>
        </is>
      </c>
      <c r="D858" s="8" t="n">
        <v>45815</v>
      </c>
      <c r="E858" t="n">
        <v>434.82</v>
      </c>
      <c r="F858" t="inlineStr">
        <is>
          <t>NetBanking</t>
        </is>
      </c>
      <c r="G858" t="inlineStr">
        <is>
          <t>PAYQ38QPWQ9JK</t>
        </is>
      </c>
      <c r="H858" t="inlineStr">
        <is>
          <t>Success</t>
        </is>
      </c>
      <c r="I858" t="inlineStr">
        <is>
          <t>BNKPPQD944Y4MYF</t>
        </is>
      </c>
      <c r="J858" s="8" t="n">
        <v>45816</v>
      </c>
    </row>
    <row r="859">
      <c r="A859" t="inlineStr">
        <is>
          <t>PAY0019239</t>
        </is>
      </c>
      <c r="B859" t="inlineStr">
        <is>
          <t>INV0003914</t>
        </is>
      </c>
      <c r="C859" t="inlineStr">
        <is>
          <t>MER00184</t>
        </is>
      </c>
      <c r="D859" s="8" t="n">
        <v>45948</v>
      </c>
      <c r="E859" t="n">
        <v>347.57</v>
      </c>
      <c r="F859" t="inlineStr">
        <is>
          <t>Card</t>
        </is>
      </c>
      <c r="G859" t="inlineStr">
        <is>
          <t>PAYF9EL7HSY3S</t>
        </is>
      </c>
      <c r="H859" t="inlineStr">
        <is>
          <t>Success</t>
        </is>
      </c>
      <c r="I859" t="inlineStr">
        <is>
          <t>BNKL5A6AK2SY4DB</t>
        </is>
      </c>
      <c r="J859" s="8" t="n">
        <v>45951</v>
      </c>
    </row>
    <row r="860">
      <c r="A860" t="inlineStr">
        <is>
          <t>PAY0019242</t>
        </is>
      </c>
      <c r="B860" t="inlineStr">
        <is>
          <t>INV0004014</t>
        </is>
      </c>
      <c r="C860" t="inlineStr">
        <is>
          <t>MER00189</t>
        </is>
      </c>
      <c r="D860" s="8" t="n">
        <v>45740</v>
      </c>
      <c r="E860" t="n">
        <v>336.45</v>
      </c>
      <c r="F860" t="inlineStr">
        <is>
          <t>Wallet</t>
        </is>
      </c>
      <c r="G860" t="inlineStr">
        <is>
          <t>PAYXNGC2ZWKSX</t>
        </is>
      </c>
      <c r="H860" t="inlineStr">
        <is>
          <t>Success</t>
        </is>
      </c>
      <c r="I860" t="inlineStr">
        <is>
          <t>BNK7J67NRNYR9DR</t>
        </is>
      </c>
      <c r="J860" s="8" t="n">
        <v>45741</v>
      </c>
    </row>
    <row r="861">
      <c r="A861" t="inlineStr">
        <is>
          <t>PAY0019243</t>
        </is>
      </c>
      <c r="B861" t="inlineStr">
        <is>
          <t>INV0004017</t>
        </is>
      </c>
      <c r="C861" t="inlineStr">
        <is>
          <t>MER00189</t>
        </is>
      </c>
      <c r="D861" s="8" t="n">
        <v>45766</v>
      </c>
      <c r="E861" t="n">
        <v>55.71</v>
      </c>
      <c r="F861" t="inlineStr">
        <is>
          <t>UPI</t>
        </is>
      </c>
      <c r="G861" t="inlineStr">
        <is>
          <t>PAYLS2KS9XUV8</t>
        </is>
      </c>
      <c r="H861" t="inlineStr">
        <is>
          <t>Success</t>
        </is>
      </c>
      <c r="I861" t="inlineStr">
        <is>
          <t>BNKEEJRSKKLVKGX</t>
        </is>
      </c>
      <c r="J861" s="8" t="n">
        <v>45768</v>
      </c>
    </row>
    <row r="862">
      <c r="A862" t="inlineStr">
        <is>
          <t>PAY0019244</t>
        </is>
      </c>
      <c r="B862" t="inlineStr">
        <is>
          <t>INV0004020</t>
        </is>
      </c>
      <c r="C862" t="inlineStr">
        <is>
          <t>MER00189</t>
        </is>
      </c>
      <c r="D862" s="8" t="n">
        <v>45896</v>
      </c>
      <c r="E862" t="n">
        <v>56.84</v>
      </c>
      <c r="F862" t="inlineStr">
        <is>
          <t>UPI</t>
        </is>
      </c>
      <c r="G862" t="inlineStr">
        <is>
          <t>PAY6VBAKXGP5W</t>
        </is>
      </c>
      <c r="H862" t="inlineStr">
        <is>
          <t>Success</t>
        </is>
      </c>
      <c r="I862" t="inlineStr">
        <is>
          <t>BNKJVSBY8C2CYRN</t>
        </is>
      </c>
      <c r="J862" s="8" t="n">
        <v>45898</v>
      </c>
    </row>
    <row r="863">
      <c r="A863" t="inlineStr">
        <is>
          <t>PAY0019245</t>
        </is>
      </c>
      <c r="B863" t="inlineStr">
        <is>
          <t>INV0004031</t>
        </is>
      </c>
      <c r="C863" t="inlineStr">
        <is>
          <t>MER00189</t>
        </is>
      </c>
      <c r="D863" s="8" t="n">
        <v>46195</v>
      </c>
      <c r="E863" t="n">
        <v>98.69</v>
      </c>
      <c r="F863" t="inlineStr">
        <is>
          <t>NetBanking</t>
        </is>
      </c>
      <c r="G863" t="inlineStr">
        <is>
          <t>PAYENQR68US5V</t>
        </is>
      </c>
      <c r="H863" t="inlineStr">
        <is>
          <t>Success</t>
        </is>
      </c>
      <c r="I863" t="inlineStr">
        <is>
          <t>BNKC38ES6DPX5LH</t>
        </is>
      </c>
      <c r="J863" s="8" t="n">
        <v>46198</v>
      </c>
    </row>
    <row r="864">
      <c r="A864" t="inlineStr">
        <is>
          <t>PAY0019251</t>
        </is>
      </c>
      <c r="B864" t="inlineStr">
        <is>
          <t>INV0004329</t>
        </is>
      </c>
      <c r="C864" t="inlineStr">
        <is>
          <t>MER00203</t>
        </is>
      </c>
      <c r="D864" s="8" t="n">
        <v>46100</v>
      </c>
      <c r="E864" t="n">
        <v>563.89</v>
      </c>
      <c r="F864" t="inlineStr">
        <is>
          <t>UPI</t>
        </is>
      </c>
      <c r="G864" t="inlineStr">
        <is>
          <t>PAYRYYBAALB4J</t>
        </is>
      </c>
      <c r="H864" t="inlineStr">
        <is>
          <t>Success</t>
        </is>
      </c>
      <c r="I864" t="inlineStr">
        <is>
          <t>BNKGHRNSUSKMKS2</t>
        </is>
      </c>
      <c r="J864" s="8" t="n">
        <v>46101</v>
      </c>
    </row>
    <row r="865">
      <c r="A865" t="inlineStr">
        <is>
          <t>PAY0019252</t>
        </is>
      </c>
      <c r="B865" t="inlineStr">
        <is>
          <t>INV0004333</t>
        </is>
      </c>
      <c r="C865" t="inlineStr">
        <is>
          <t>MER00203</t>
        </is>
      </c>
      <c r="D865" s="8" t="n">
        <v>46226</v>
      </c>
      <c r="E865" t="n">
        <v>2295.48</v>
      </c>
      <c r="F865" t="inlineStr">
        <is>
          <t>Wallet</t>
        </is>
      </c>
      <c r="G865" t="inlineStr">
        <is>
          <t>PAY5TMC7U2H2E</t>
        </is>
      </c>
      <c r="H865" t="inlineStr">
        <is>
          <t>Success</t>
        </is>
      </c>
      <c r="I865" t="inlineStr">
        <is>
          <t>BNKHLLE5J526LD5</t>
        </is>
      </c>
      <c r="J865" s="8" t="n">
        <v>46227</v>
      </c>
    </row>
    <row r="866">
      <c r="A866" t="inlineStr">
        <is>
          <t>PAY0019301</t>
        </is>
      </c>
      <c r="B866" t="inlineStr">
        <is>
          <t>INV0007488</t>
        </is>
      </c>
      <c r="C866" t="inlineStr">
        <is>
          <t>MER00355</t>
        </is>
      </c>
      <c r="D866" s="8" t="n">
        <v>45929</v>
      </c>
      <c r="E866" t="n">
        <v>221.19</v>
      </c>
      <c r="F866" t="inlineStr">
        <is>
          <t>UPI</t>
        </is>
      </c>
      <c r="G866" t="inlineStr">
        <is>
          <t>PAY98N5JUDVPF</t>
        </is>
      </c>
      <c r="H866" t="inlineStr">
        <is>
          <t>Success</t>
        </is>
      </c>
      <c r="I866" t="inlineStr">
        <is>
          <t>BNKDKFAGC85Q9NN</t>
        </is>
      </c>
      <c r="J866" s="8" t="n">
        <v>45931</v>
      </c>
    </row>
    <row r="867">
      <c r="A867" t="inlineStr">
        <is>
          <t>PAY0019302</t>
        </is>
      </c>
      <c r="B867" t="inlineStr">
        <is>
          <t>INV0007491</t>
        </is>
      </c>
      <c r="C867" t="inlineStr">
        <is>
          <t>MER00355</t>
        </is>
      </c>
      <c r="D867" s="8" t="n">
        <v>46024</v>
      </c>
      <c r="E867" t="n">
        <v>401.41</v>
      </c>
      <c r="F867" t="inlineStr">
        <is>
          <t>UPI</t>
        </is>
      </c>
      <c r="G867" t="inlineStr">
        <is>
          <t>PAYGWPYZ8JPTK</t>
        </is>
      </c>
      <c r="H867" t="inlineStr">
        <is>
          <t>Success</t>
        </is>
      </c>
      <c r="I867" t="inlineStr">
        <is>
          <t>BNKZRT55CN9J9FX</t>
        </is>
      </c>
      <c r="J867" s="8" t="n">
        <v>46025</v>
      </c>
    </row>
    <row r="868">
      <c r="A868" t="inlineStr">
        <is>
          <t>PAY0019401</t>
        </is>
      </c>
      <c r="B868" t="inlineStr">
        <is>
          <t>INV0015061</t>
        </is>
      </c>
      <c r="C868" t="inlineStr">
        <is>
          <t>MER00711</t>
        </is>
      </c>
      <c r="D868" s="8" t="n">
        <v>46085</v>
      </c>
      <c r="E868" t="n">
        <v>2525.98</v>
      </c>
      <c r="F868" t="inlineStr">
        <is>
          <t>UPI</t>
        </is>
      </c>
      <c r="G868" t="inlineStr">
        <is>
          <t>PAYMDS2UDX8D7</t>
        </is>
      </c>
      <c r="H868" t="inlineStr">
        <is>
          <t>Success</t>
        </is>
      </c>
      <c r="I868" t="inlineStr">
        <is>
          <t>BNKBBX2MDFQ5AZL</t>
        </is>
      </c>
      <c r="J868" s="8" t="n">
        <v>46088</v>
      </c>
    </row>
    <row r="869">
      <c r="A869" t="inlineStr">
        <is>
          <t>PAY0019409</t>
        </is>
      </c>
      <c r="B869" t="inlineStr">
        <is>
          <t>INV0015398</t>
        </is>
      </c>
      <c r="C869" t="inlineStr">
        <is>
          <t>MER00726</t>
        </is>
      </c>
      <c r="D869" s="8" t="n">
        <v>46325</v>
      </c>
      <c r="E869" t="n">
        <v>73.90000000000001</v>
      </c>
      <c r="F869" t="inlineStr">
        <is>
          <t>UPI</t>
        </is>
      </c>
      <c r="G869" t="inlineStr">
        <is>
          <t>PAYESPRT4WL2R</t>
        </is>
      </c>
      <c r="H869" t="inlineStr">
        <is>
          <t>Success</t>
        </is>
      </c>
      <c r="I869" t="inlineStr">
        <is>
          <t>BNKXJMERBZ6FV34</t>
        </is>
      </c>
      <c r="J869" s="8" t="n">
        <v>46326</v>
      </c>
    </row>
    <row r="870">
      <c r="A870" t="inlineStr">
        <is>
          <t>PAY0019483</t>
        </is>
      </c>
      <c r="B870" t="inlineStr">
        <is>
          <t>INV0015440</t>
        </is>
      </c>
      <c r="C870" t="inlineStr">
        <is>
          <t>MER00728</t>
        </is>
      </c>
      <c r="D870" s="8" t="n">
        <v>46132</v>
      </c>
      <c r="E870" t="n">
        <v>1143.75</v>
      </c>
      <c r="F870" t="inlineStr">
        <is>
          <t>Card</t>
        </is>
      </c>
      <c r="G870" t="inlineStr">
        <is>
          <t>PAYMCNGMCB8D2</t>
        </is>
      </c>
      <c r="H870" t="inlineStr">
        <is>
          <t>Success</t>
        </is>
      </c>
      <c r="I870" t="inlineStr">
        <is>
          <t>BNKUT47LNQ2CRD7</t>
        </is>
      </c>
      <c r="J870" s="8" t="n">
        <v>46133</v>
      </c>
    </row>
    <row r="871">
      <c r="A871" t="inlineStr">
        <is>
          <t>PAY0019488</t>
        </is>
      </c>
      <c r="B871" t="inlineStr">
        <is>
          <t>INV0018120</t>
        </is>
      </c>
      <c r="C871" t="inlineStr">
        <is>
          <t>MER00856</t>
        </is>
      </c>
      <c r="D871" s="8" t="n">
        <v>45566</v>
      </c>
      <c r="E871" t="n">
        <v>33.94</v>
      </c>
      <c r="F871" t="inlineStr">
        <is>
          <t>UPI</t>
        </is>
      </c>
      <c r="G871" t="inlineStr">
        <is>
          <t>PAYKSRJE5UGM4</t>
        </is>
      </c>
      <c r="H871" t="inlineStr">
        <is>
          <t>Success</t>
        </is>
      </c>
      <c r="I871" t="inlineStr">
        <is>
          <t>BNKLEJFB56Y6SXP</t>
        </is>
      </c>
      <c r="J871" s="8" t="n">
        <v>45567</v>
      </c>
    </row>
    <row r="872">
      <c r="A872" t="inlineStr">
        <is>
          <t>PAY0019489</t>
        </is>
      </c>
      <c r="B872" t="inlineStr">
        <is>
          <t>INV0012097</t>
        </is>
      </c>
      <c r="C872" t="inlineStr">
        <is>
          <t>MER00572</t>
        </is>
      </c>
      <c r="D872" s="8" t="n">
        <v>45718</v>
      </c>
      <c r="E872" t="n">
        <v>3174.26</v>
      </c>
      <c r="F872" t="inlineStr">
        <is>
          <t>Card</t>
        </is>
      </c>
      <c r="G872" t="inlineStr">
        <is>
          <t>PAYH7BDDRRJEW</t>
        </is>
      </c>
      <c r="H872" t="inlineStr">
        <is>
          <t>Success</t>
        </is>
      </c>
      <c r="I872" t="inlineStr">
        <is>
          <t>BNK2EQQ8XJDZQ6V</t>
        </is>
      </c>
      <c r="J872" s="8" t="n">
        <v>45719</v>
      </c>
    </row>
    <row r="873">
      <c r="A873" t="inlineStr">
        <is>
          <t>PAY0019494</t>
        </is>
      </c>
      <c r="B873" t="inlineStr">
        <is>
          <t>INV0004318</t>
        </is>
      </c>
      <c r="C873" t="inlineStr">
        <is>
          <t>MER00203</t>
        </is>
      </c>
      <c r="D873" s="8" t="n">
        <v>45777</v>
      </c>
      <c r="E873" t="n">
        <v>1085.77</v>
      </c>
      <c r="F873" t="inlineStr">
        <is>
          <t>NetBanking</t>
        </is>
      </c>
      <c r="G873" t="inlineStr">
        <is>
          <t>PAYZLEK7J27EK</t>
        </is>
      </c>
      <c r="H873" t="inlineStr">
        <is>
          <t>Success</t>
        </is>
      </c>
      <c r="I873" t="inlineStr">
        <is>
          <t>BNK2M37HQKVDQSG</t>
        </is>
      </c>
      <c r="J873" s="8" t="n">
        <v>45777</v>
      </c>
    </row>
    <row r="874">
      <c r="A874" t="inlineStr">
        <is>
          <t>PAY0019552</t>
        </is>
      </c>
      <c r="B874" t="inlineStr">
        <is>
          <t>INV0014966</t>
        </is>
      </c>
      <c r="C874" t="inlineStr">
        <is>
          <t>MER00707</t>
        </is>
      </c>
      <c r="D874" s="8" t="n">
        <v>45713</v>
      </c>
      <c r="E874" t="n">
        <v>142.38</v>
      </c>
      <c r="F874" t="inlineStr">
        <is>
          <t>UPI</t>
        </is>
      </c>
      <c r="G874" t="inlineStr">
        <is>
          <t>PAYRR9LEW84E9</t>
        </is>
      </c>
      <c r="H874" t="inlineStr">
        <is>
          <t>Success</t>
        </is>
      </c>
      <c r="I874" t="inlineStr">
        <is>
          <t>BNK82D68ASQQCN4</t>
        </is>
      </c>
      <c r="J874" s="8" t="n">
        <v>45714</v>
      </c>
    </row>
    <row r="875">
      <c r="A875" t="inlineStr">
        <is>
          <t>PAY0019602</t>
        </is>
      </c>
      <c r="B875" t="inlineStr">
        <is>
          <t>INV0008135</t>
        </is>
      </c>
      <c r="C875" t="inlineStr">
        <is>
          <t>MER00386</t>
        </is>
      </c>
      <c r="D875" s="8" t="n">
        <v>46214</v>
      </c>
      <c r="E875" t="n">
        <v>494.34</v>
      </c>
      <c r="F875" t="inlineStr">
        <is>
          <t>UPI</t>
        </is>
      </c>
      <c r="G875" t="inlineStr">
        <is>
          <t>PAY8RN66UY4JT</t>
        </is>
      </c>
      <c r="H875" t="inlineStr">
        <is>
          <t>Success</t>
        </is>
      </c>
      <c r="I875" t="inlineStr">
        <is>
          <t>BNKKVB62GYL5UXD</t>
        </is>
      </c>
      <c r="J875" s="8" t="n">
        <v>46216</v>
      </c>
    </row>
    <row r="876">
      <c r="A876" t="inlineStr">
        <is>
          <t>PAY0019631</t>
        </is>
      </c>
      <c r="B876" t="inlineStr">
        <is>
          <t>INV0004331</t>
        </is>
      </c>
      <c r="C876" t="inlineStr">
        <is>
          <t>MER00203</t>
        </is>
      </c>
      <c r="D876" s="8" t="n">
        <v>46143</v>
      </c>
      <c r="E876" t="n">
        <v>503.63</v>
      </c>
      <c r="F876" t="inlineStr">
        <is>
          <t>Wallet</t>
        </is>
      </c>
      <c r="G876" t="inlineStr">
        <is>
          <t>PAY84FQ4R4KGZ</t>
        </is>
      </c>
      <c r="H876" t="inlineStr">
        <is>
          <t>Success</t>
        </is>
      </c>
      <c r="I876" t="inlineStr">
        <is>
          <t>BNKGW62LGWZBXEU</t>
        </is>
      </c>
      <c r="J876" s="8" t="n">
        <v>46145</v>
      </c>
    </row>
    <row r="877">
      <c r="A877" t="inlineStr">
        <is>
          <t>PAY0019632</t>
        </is>
      </c>
      <c r="B877" t="inlineStr">
        <is>
          <t>INV0001544</t>
        </is>
      </c>
      <c r="C877" t="inlineStr">
        <is>
          <t>MER00074</t>
        </is>
      </c>
      <c r="D877" s="8" t="n">
        <v>45737</v>
      </c>
      <c r="E877" t="n">
        <v>819.3099999999999</v>
      </c>
      <c r="F877" t="inlineStr">
        <is>
          <t>UPI</t>
        </is>
      </c>
      <c r="G877" t="inlineStr">
        <is>
          <t>PAYD8TYNGXNW5</t>
        </is>
      </c>
      <c r="H877" t="inlineStr">
        <is>
          <t>Success</t>
        </is>
      </c>
      <c r="I877" t="inlineStr">
        <is>
          <t>BNK9R3LJECN8VQD</t>
        </is>
      </c>
      <c r="J877" s="8" t="n">
        <v>45739</v>
      </c>
    </row>
    <row r="878">
      <c r="A878" t="inlineStr">
        <is>
          <t>PAY0019678</t>
        </is>
      </c>
      <c r="B878" t="inlineStr">
        <is>
          <t>INV0011221</t>
        </is>
      </c>
      <c r="C878" t="inlineStr">
        <is>
          <t>MER00530</t>
        </is>
      </c>
      <c r="D878" s="8" t="n">
        <v>46001</v>
      </c>
      <c r="E878" t="n">
        <v>399.11</v>
      </c>
      <c r="F878" t="inlineStr">
        <is>
          <t>NetBanking</t>
        </is>
      </c>
      <c r="G878" t="inlineStr">
        <is>
          <t>PAY5WM33LHHDL</t>
        </is>
      </c>
      <c r="H878" t="inlineStr">
        <is>
          <t>Success</t>
        </is>
      </c>
      <c r="I878" t="inlineStr">
        <is>
          <t>BNK93AU2B6J3CZF</t>
        </is>
      </c>
      <c r="J878" s="8" t="n">
        <v>46002</v>
      </c>
    </row>
    <row r="879">
      <c r="A879" t="inlineStr">
        <is>
          <t>PAY0019689</t>
        </is>
      </c>
      <c r="B879" t="inlineStr">
        <is>
          <t>INV0018250</t>
        </is>
      </c>
      <c r="C879" t="inlineStr">
        <is>
          <t>MER00861</t>
        </is>
      </c>
      <c r="D879" s="8" t="n">
        <v>46301</v>
      </c>
      <c r="E879" t="n">
        <v>601.74</v>
      </c>
      <c r="F879" t="inlineStr">
        <is>
          <t>Wallet</t>
        </is>
      </c>
      <c r="G879" t="inlineStr">
        <is>
          <t>PAYQEVFSLBNTB</t>
        </is>
      </c>
      <c r="H879" t="inlineStr">
        <is>
          <t>Success</t>
        </is>
      </c>
      <c r="I879" t="inlineStr">
        <is>
          <t>BNKPTNZGQTHX9A3</t>
        </is>
      </c>
      <c r="J879" s="8" t="n">
        <v>46302</v>
      </c>
    </row>
    <row r="880">
      <c r="A880" t="inlineStr">
        <is>
          <t>PAY0019706</t>
        </is>
      </c>
      <c r="B880" t="inlineStr">
        <is>
          <t>INV0015052</t>
        </is>
      </c>
      <c r="C880" t="inlineStr">
        <is>
          <t>MER00711</t>
        </is>
      </c>
      <c r="D880" s="8" t="n">
        <v>45774</v>
      </c>
      <c r="E880" t="n">
        <v>1720.82</v>
      </c>
      <c r="F880" t="inlineStr">
        <is>
          <t>Wallet</t>
        </is>
      </c>
      <c r="G880" t="inlineStr">
        <is>
          <t>PAYJXE4KZ49E5</t>
        </is>
      </c>
      <c r="H880" t="inlineStr">
        <is>
          <t>Success</t>
        </is>
      </c>
      <c r="I880" t="inlineStr">
        <is>
          <t>BNKSLK4QEGWY9YK</t>
        </is>
      </c>
      <c r="J880" s="8" t="n">
        <v>45775</v>
      </c>
    </row>
    <row r="881">
      <c r="A881" t="inlineStr">
        <is>
          <t>PAY0019716</t>
        </is>
      </c>
      <c r="B881" t="inlineStr">
        <is>
          <t>INV0015398</t>
        </is>
      </c>
      <c r="C881" t="inlineStr">
        <is>
          <t>MER00726</t>
        </is>
      </c>
      <c r="D881" s="8" t="n">
        <v>46278</v>
      </c>
      <c r="E881" t="n">
        <v>140.25</v>
      </c>
      <c r="F881" t="inlineStr">
        <is>
          <t>Wallet</t>
        </is>
      </c>
      <c r="G881" t="inlineStr">
        <is>
          <t>PAYV8UWPXUNLQ</t>
        </is>
      </c>
      <c r="H881" t="inlineStr">
        <is>
          <t>Success</t>
        </is>
      </c>
      <c r="I881" t="inlineStr">
        <is>
          <t>BNK5BSXZYBL84QR</t>
        </is>
      </c>
      <c r="J881" s="8" t="n">
        <v>46279</v>
      </c>
    </row>
    <row r="882">
      <c r="A882" t="inlineStr">
        <is>
          <t>PAY0019747</t>
        </is>
      </c>
      <c r="B882" t="inlineStr">
        <is>
          <t>INV0011208</t>
        </is>
      </c>
      <c r="C882" t="inlineStr">
        <is>
          <t>MER00530</t>
        </is>
      </c>
      <c r="D882" s="8" t="n">
        <v>45611</v>
      </c>
      <c r="E882" t="n">
        <v>112.38</v>
      </c>
      <c r="F882" t="inlineStr">
        <is>
          <t>Wallet</t>
        </is>
      </c>
      <c r="G882" t="inlineStr">
        <is>
          <t>PAYF2APG64HHU</t>
        </is>
      </c>
      <c r="H882" t="inlineStr">
        <is>
          <t>Success</t>
        </is>
      </c>
      <c r="I882" t="inlineStr">
        <is>
          <t>BNKTACVTEQEPVDN</t>
        </is>
      </c>
      <c r="J882" s="8" t="n">
        <v>45614</v>
      </c>
    </row>
    <row r="883">
      <c r="A883" t="inlineStr">
        <is>
          <t>PAY0019759</t>
        </is>
      </c>
      <c r="B883" t="inlineStr">
        <is>
          <t>INV0018125</t>
        </is>
      </c>
      <c r="C883" t="inlineStr">
        <is>
          <t>MER00856</t>
        </is>
      </c>
      <c r="D883" s="8" t="n">
        <v>45712</v>
      </c>
      <c r="E883" t="n">
        <v>102.21</v>
      </c>
      <c r="F883" t="inlineStr">
        <is>
          <t>NetBanking</t>
        </is>
      </c>
      <c r="G883" t="inlineStr">
        <is>
          <t>PAYEENU4NKCHY</t>
        </is>
      </c>
      <c r="H883" t="inlineStr">
        <is>
          <t>Success</t>
        </is>
      </c>
      <c r="I883" t="inlineStr">
        <is>
          <t>BNKZ7GWABL3J7QE</t>
        </is>
      </c>
      <c r="J883" s="8" t="n">
        <v>45713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Invoice Validation - expected vs. billed, with XLOOKUP + IF formulas</t>
        </is>
      </c>
    </row>
    <row r="3">
      <c r="A3" s="7" t="inlineStr">
        <is>
          <t>invoice_id</t>
        </is>
      </c>
      <c r="B3" s="7" t="inlineStr">
        <is>
          <t>merchant_id</t>
        </is>
      </c>
      <c r="C3" s="7" t="inlineStr">
        <is>
          <t>merchant_name</t>
        </is>
      </c>
      <c r="D3" s="7" t="inlineStr">
        <is>
          <t>expected_fee</t>
        </is>
      </c>
      <c r="E3" s="7" t="inlineStr">
        <is>
          <t>billed_fee</t>
        </is>
      </c>
      <c r="F3" s="7" t="inlineStr">
        <is>
          <t>revenue_difference</t>
        </is>
      </c>
      <c r="G3" s="7" t="inlineStr">
        <is>
          <t>variance_percent</t>
        </is>
      </c>
      <c r="H3" s="7" t="inlineStr">
        <is>
          <t>billing_status</t>
        </is>
      </c>
      <c r="I3" s="7" t="inlineStr">
        <is>
          <t>review_status</t>
        </is>
      </c>
    </row>
    <row r="4">
      <c r="A4" t="inlineStr">
        <is>
          <t>INV0000956</t>
        </is>
      </c>
      <c r="B4" t="inlineStr">
        <is>
          <t>MER00048</t>
        </is>
      </c>
      <c r="C4">
        <f>XLOOKUP(B4,Merchants!$A$4:$A$1000,Merchants!$B$4:$B$1000,"Not found")</f>
        <v/>
      </c>
      <c r="D4">
        <f>XLOOKUP(A4,tblInvoices[invoice_id],tblInvoices[expected_fee])</f>
        <v/>
      </c>
      <c r="E4">
        <f>XLOOKUP(A4,tblInvoices[invoice_id],tblInvoices[billed_fee])</f>
        <v/>
      </c>
      <c r="F4">
        <f>E4-D4</f>
        <v/>
      </c>
      <c r="G4">
        <f>IF(D4=0,0,ROUND(100*F4/D4,2))</f>
        <v/>
      </c>
      <c r="H4">
        <f>IF(ABS(F4)&lt;=0.01,"Correct",IF(F4&lt;0,"Underbilled","Overbilled"))</f>
        <v/>
      </c>
    </row>
    <row r="5">
      <c r="A5" t="inlineStr">
        <is>
          <t>INV0000957</t>
        </is>
      </c>
      <c r="B5" t="inlineStr">
        <is>
          <t>MER00048</t>
        </is>
      </c>
      <c r="C5">
        <f>XLOOKUP(B5,Merchants!$A$4:$A$1000,Merchants!$B$4:$B$1000,"Not found")</f>
        <v/>
      </c>
      <c r="D5">
        <f>XLOOKUP(A5,tblInvoices[invoice_id],tblInvoices[expected_fee])</f>
        <v/>
      </c>
      <c r="E5">
        <f>XLOOKUP(A5,tblInvoices[invoice_id],tblInvoices[billed_fee])</f>
        <v/>
      </c>
      <c r="F5">
        <f>E5-D5</f>
        <v/>
      </c>
      <c r="G5">
        <f>IF(D5=0,0,ROUND(100*F5/D5,2))</f>
        <v/>
      </c>
      <c r="H5">
        <f>IF(ABS(F5)&lt;=0.01,"Correct",IF(F5&lt;0,"Underbilled","Overbilled"))</f>
        <v/>
      </c>
    </row>
    <row r="6">
      <c r="A6" t="inlineStr">
        <is>
          <t>INV0000958</t>
        </is>
      </c>
      <c r="B6" t="inlineStr">
        <is>
          <t>MER00048</t>
        </is>
      </c>
      <c r="C6">
        <f>XLOOKUP(B6,Merchants!$A$4:$A$1000,Merchants!$B$4:$B$1000,"Not found")</f>
        <v/>
      </c>
      <c r="D6">
        <f>XLOOKUP(A6,tblInvoices[invoice_id],tblInvoices[expected_fee])</f>
        <v/>
      </c>
      <c r="E6">
        <f>XLOOKUP(A6,tblInvoices[invoice_id],tblInvoices[billed_fee])</f>
        <v/>
      </c>
      <c r="F6">
        <f>E6-D6</f>
        <v/>
      </c>
      <c r="G6">
        <f>IF(D6=0,0,ROUND(100*F6/D6,2))</f>
        <v/>
      </c>
      <c r="H6">
        <f>IF(ABS(F6)&lt;=0.01,"Correct",IF(F6&lt;0,"Underbilled","Overbilled"))</f>
        <v/>
      </c>
    </row>
    <row r="7">
      <c r="A7" t="inlineStr">
        <is>
          <t>INV0000959</t>
        </is>
      </c>
      <c r="B7" t="inlineStr">
        <is>
          <t>MER00048</t>
        </is>
      </c>
      <c r="C7">
        <f>XLOOKUP(B7,Merchants!$A$4:$A$1000,Merchants!$B$4:$B$1000,"Not found")</f>
        <v/>
      </c>
      <c r="D7">
        <f>XLOOKUP(A7,tblInvoices[invoice_id],tblInvoices[expected_fee])</f>
        <v/>
      </c>
      <c r="E7">
        <f>XLOOKUP(A7,tblInvoices[invoice_id],tblInvoices[billed_fee])</f>
        <v/>
      </c>
      <c r="F7">
        <f>E7-D7</f>
        <v/>
      </c>
      <c r="G7">
        <f>IF(D7=0,0,ROUND(100*F7/D7,2))</f>
        <v/>
      </c>
      <c r="H7">
        <f>IF(ABS(F7)&lt;=0.01,"Correct",IF(F7&lt;0,"Underbilled","Overbilled"))</f>
        <v/>
      </c>
    </row>
    <row r="8">
      <c r="A8" t="inlineStr">
        <is>
          <t>INV0000960</t>
        </is>
      </c>
      <c r="B8" t="inlineStr">
        <is>
          <t>MER00048</t>
        </is>
      </c>
      <c r="C8">
        <f>XLOOKUP(B8,Merchants!$A$4:$A$1000,Merchants!$B$4:$B$1000,"Not found")</f>
        <v/>
      </c>
      <c r="D8">
        <f>XLOOKUP(A8,tblInvoices[invoice_id],tblInvoices[expected_fee])</f>
        <v/>
      </c>
      <c r="E8">
        <f>XLOOKUP(A8,tblInvoices[invoice_id],tblInvoices[billed_fee])</f>
        <v/>
      </c>
      <c r="F8">
        <f>E8-D8</f>
        <v/>
      </c>
      <c r="G8">
        <f>IF(D8=0,0,ROUND(100*F8/D8,2))</f>
        <v/>
      </c>
      <c r="H8">
        <f>IF(ABS(F8)&lt;=0.01,"Correct",IF(F8&lt;0,"Underbilled","Overbilled"))</f>
        <v/>
      </c>
    </row>
    <row r="9">
      <c r="A9" t="inlineStr">
        <is>
          <t>INV0000961</t>
        </is>
      </c>
      <c r="B9" t="inlineStr">
        <is>
          <t>MER00048</t>
        </is>
      </c>
      <c r="C9">
        <f>XLOOKUP(B9,Merchants!$A$4:$A$1000,Merchants!$B$4:$B$1000,"Not found")</f>
        <v/>
      </c>
      <c r="D9">
        <f>XLOOKUP(A9,tblInvoices[invoice_id],tblInvoices[expected_fee])</f>
        <v/>
      </c>
      <c r="E9">
        <f>XLOOKUP(A9,tblInvoices[invoice_id],tblInvoices[billed_fee])</f>
        <v/>
      </c>
      <c r="F9">
        <f>E9-D9</f>
        <v/>
      </c>
      <c r="G9">
        <f>IF(D9=0,0,ROUND(100*F9/D9,2))</f>
        <v/>
      </c>
      <c r="H9">
        <f>IF(ABS(F9)&lt;=0.01,"Correct",IF(F9&lt;0,"Underbilled","Overbilled"))</f>
        <v/>
      </c>
    </row>
    <row r="10">
      <c r="A10" t="inlineStr">
        <is>
          <t>INV0000962</t>
        </is>
      </c>
      <c r="B10" t="inlineStr">
        <is>
          <t>MER00048</t>
        </is>
      </c>
      <c r="C10">
        <f>XLOOKUP(B10,Merchants!$A$4:$A$1000,Merchants!$B$4:$B$1000,"Not found")</f>
        <v/>
      </c>
      <c r="D10">
        <f>XLOOKUP(A10,tblInvoices[invoice_id],tblInvoices[expected_fee])</f>
        <v/>
      </c>
      <c r="E10">
        <f>XLOOKUP(A10,tblInvoices[invoice_id],tblInvoices[billed_fee])</f>
        <v/>
      </c>
      <c r="F10">
        <f>E10-D10</f>
        <v/>
      </c>
      <c r="G10">
        <f>IF(D10=0,0,ROUND(100*F10/D10,2))</f>
        <v/>
      </c>
      <c r="H10">
        <f>IF(ABS(F10)&lt;=0.01,"Correct",IF(F10&lt;0,"Underbilled","Overbilled"))</f>
        <v/>
      </c>
    </row>
    <row r="11">
      <c r="A11" t="inlineStr">
        <is>
          <t>INV0000963</t>
        </is>
      </c>
      <c r="B11" t="inlineStr">
        <is>
          <t>MER00048</t>
        </is>
      </c>
      <c r="C11">
        <f>XLOOKUP(B11,Merchants!$A$4:$A$1000,Merchants!$B$4:$B$1000,"Not found")</f>
        <v/>
      </c>
      <c r="D11">
        <f>XLOOKUP(A11,tblInvoices[invoice_id],tblInvoices[expected_fee])</f>
        <v/>
      </c>
      <c r="E11">
        <f>XLOOKUP(A11,tblInvoices[invoice_id],tblInvoices[billed_fee])</f>
        <v/>
      </c>
      <c r="F11">
        <f>E11-D11</f>
        <v/>
      </c>
      <c r="G11">
        <f>IF(D11=0,0,ROUND(100*F11/D11,2))</f>
        <v/>
      </c>
      <c r="H11">
        <f>IF(ABS(F11)&lt;=0.01,"Correct",IF(F11&lt;0,"Underbilled","Overbilled"))</f>
        <v/>
      </c>
    </row>
    <row r="12">
      <c r="A12" t="inlineStr">
        <is>
          <t>INV0000964</t>
        </is>
      </c>
      <c r="B12" t="inlineStr">
        <is>
          <t>MER00048</t>
        </is>
      </c>
      <c r="C12">
        <f>XLOOKUP(B12,Merchants!$A$4:$A$1000,Merchants!$B$4:$B$1000,"Not found")</f>
        <v/>
      </c>
      <c r="D12">
        <f>XLOOKUP(A12,tblInvoices[invoice_id],tblInvoices[expected_fee])</f>
        <v/>
      </c>
      <c r="E12">
        <f>XLOOKUP(A12,tblInvoices[invoice_id],tblInvoices[billed_fee])</f>
        <v/>
      </c>
      <c r="F12">
        <f>E12-D12</f>
        <v/>
      </c>
      <c r="G12">
        <f>IF(D12=0,0,ROUND(100*F12/D12,2))</f>
        <v/>
      </c>
      <c r="H12">
        <f>IF(ABS(F12)&lt;=0.01,"Correct",IF(F12&lt;0,"Underbilled","Overbilled"))</f>
        <v/>
      </c>
    </row>
    <row r="13">
      <c r="A13" t="inlineStr">
        <is>
          <t>INV0000965</t>
        </is>
      </c>
      <c r="B13" t="inlineStr">
        <is>
          <t>MER00048</t>
        </is>
      </c>
      <c r="C13">
        <f>XLOOKUP(B13,Merchants!$A$4:$A$1000,Merchants!$B$4:$B$1000,"Not found")</f>
        <v/>
      </c>
      <c r="D13">
        <f>XLOOKUP(A13,tblInvoices[invoice_id],tblInvoices[expected_fee])</f>
        <v/>
      </c>
      <c r="E13">
        <f>XLOOKUP(A13,tblInvoices[invoice_id],tblInvoices[billed_fee])</f>
        <v/>
      </c>
      <c r="F13">
        <f>E13-D13</f>
        <v/>
      </c>
      <c r="G13">
        <f>IF(D13=0,0,ROUND(100*F13/D13,2))</f>
        <v/>
      </c>
      <c r="H13">
        <f>IF(ABS(F13)&lt;=0.01,"Correct",IF(F13&lt;0,"Underbilled","Overbilled"))</f>
        <v/>
      </c>
    </row>
    <row r="14">
      <c r="A14" t="inlineStr">
        <is>
          <t>INV0000966</t>
        </is>
      </c>
      <c r="B14" t="inlineStr">
        <is>
          <t>MER00048</t>
        </is>
      </c>
      <c r="C14">
        <f>XLOOKUP(B14,Merchants!$A$4:$A$1000,Merchants!$B$4:$B$1000,"Not found")</f>
        <v/>
      </c>
      <c r="D14">
        <f>XLOOKUP(A14,tblInvoices[invoice_id],tblInvoices[expected_fee])</f>
        <v/>
      </c>
      <c r="E14">
        <f>XLOOKUP(A14,tblInvoices[invoice_id],tblInvoices[billed_fee])</f>
        <v/>
      </c>
      <c r="F14">
        <f>E14-D14</f>
        <v/>
      </c>
      <c r="G14">
        <f>IF(D14=0,0,ROUND(100*F14/D14,2))</f>
        <v/>
      </c>
      <c r="H14">
        <f>IF(ABS(F14)&lt;=0.01,"Correct",IF(F14&lt;0,"Underbilled","Overbilled"))</f>
        <v/>
      </c>
    </row>
    <row r="15">
      <c r="A15" t="inlineStr">
        <is>
          <t>INV0000967</t>
        </is>
      </c>
      <c r="B15" t="inlineStr">
        <is>
          <t>MER00048</t>
        </is>
      </c>
      <c r="C15">
        <f>XLOOKUP(B15,Merchants!$A$4:$A$1000,Merchants!$B$4:$B$1000,"Not found")</f>
        <v/>
      </c>
      <c r="D15">
        <f>XLOOKUP(A15,tblInvoices[invoice_id],tblInvoices[expected_fee])</f>
        <v/>
      </c>
      <c r="E15">
        <f>XLOOKUP(A15,tblInvoices[invoice_id],tblInvoices[billed_fee])</f>
        <v/>
      </c>
      <c r="F15">
        <f>E15-D15</f>
        <v/>
      </c>
      <c r="G15">
        <f>IF(D15=0,0,ROUND(100*F15/D15,2))</f>
        <v/>
      </c>
      <c r="H15">
        <f>IF(ABS(F15)&lt;=0.01,"Correct",IF(F15&lt;0,"Underbilled","Overbilled"))</f>
        <v/>
      </c>
    </row>
    <row r="16">
      <c r="A16" t="inlineStr">
        <is>
          <t>INV0000968</t>
        </is>
      </c>
      <c r="B16" t="inlineStr">
        <is>
          <t>MER00048</t>
        </is>
      </c>
      <c r="C16">
        <f>XLOOKUP(B16,Merchants!$A$4:$A$1000,Merchants!$B$4:$B$1000,"Not found")</f>
        <v/>
      </c>
      <c r="D16">
        <f>XLOOKUP(A16,tblInvoices[invoice_id],tblInvoices[expected_fee])</f>
        <v/>
      </c>
      <c r="E16">
        <f>XLOOKUP(A16,tblInvoices[invoice_id],tblInvoices[billed_fee])</f>
        <v/>
      </c>
      <c r="F16">
        <f>E16-D16</f>
        <v/>
      </c>
      <c r="G16">
        <f>IF(D16=0,0,ROUND(100*F16/D16,2))</f>
        <v/>
      </c>
      <c r="H16">
        <f>IF(ABS(F16)&lt;=0.01,"Correct",IF(F16&lt;0,"Underbilled","Overbilled"))</f>
        <v/>
      </c>
    </row>
    <row r="17">
      <c r="A17" t="inlineStr">
        <is>
          <t>INV0000969</t>
        </is>
      </c>
      <c r="B17" t="inlineStr">
        <is>
          <t>MER00048</t>
        </is>
      </c>
      <c r="C17">
        <f>XLOOKUP(B17,Merchants!$A$4:$A$1000,Merchants!$B$4:$B$1000,"Not found")</f>
        <v/>
      </c>
      <c r="D17">
        <f>XLOOKUP(A17,tblInvoices[invoice_id],tblInvoices[expected_fee])</f>
        <v/>
      </c>
      <c r="E17">
        <f>XLOOKUP(A17,tblInvoices[invoice_id],tblInvoices[billed_fee])</f>
        <v/>
      </c>
      <c r="F17">
        <f>E17-D17</f>
        <v/>
      </c>
      <c r="G17">
        <f>IF(D17=0,0,ROUND(100*F17/D17,2))</f>
        <v/>
      </c>
      <c r="H17">
        <f>IF(ABS(F17)&lt;=0.01,"Correct",IF(F17&lt;0,"Underbilled","Overbilled"))</f>
        <v/>
      </c>
    </row>
    <row r="18">
      <c r="A18" t="inlineStr">
        <is>
          <t>INV0000970</t>
        </is>
      </c>
      <c r="B18" t="inlineStr">
        <is>
          <t>MER00048</t>
        </is>
      </c>
      <c r="C18">
        <f>XLOOKUP(B18,Merchants!$A$4:$A$1000,Merchants!$B$4:$B$1000,"Not found")</f>
        <v/>
      </c>
      <c r="D18">
        <f>XLOOKUP(A18,tblInvoices[invoice_id],tblInvoices[expected_fee])</f>
        <v/>
      </c>
      <c r="E18">
        <f>XLOOKUP(A18,tblInvoices[invoice_id],tblInvoices[billed_fee])</f>
        <v/>
      </c>
      <c r="F18">
        <f>E18-D18</f>
        <v/>
      </c>
      <c r="G18">
        <f>IF(D18=0,0,ROUND(100*F18/D18,2))</f>
        <v/>
      </c>
      <c r="H18">
        <f>IF(ABS(F18)&lt;=0.01,"Correct",IF(F18&lt;0,"Underbilled","Overbilled"))</f>
        <v/>
      </c>
    </row>
    <row r="19">
      <c r="A19" t="inlineStr">
        <is>
          <t>INV0000971</t>
        </is>
      </c>
      <c r="B19" t="inlineStr">
        <is>
          <t>MER00048</t>
        </is>
      </c>
      <c r="C19">
        <f>XLOOKUP(B19,Merchants!$A$4:$A$1000,Merchants!$B$4:$B$1000,"Not found")</f>
        <v/>
      </c>
      <c r="D19">
        <f>XLOOKUP(A19,tblInvoices[invoice_id],tblInvoices[expected_fee])</f>
        <v/>
      </c>
      <c r="E19">
        <f>XLOOKUP(A19,tblInvoices[invoice_id],tblInvoices[billed_fee])</f>
        <v/>
      </c>
      <c r="F19">
        <f>E19-D19</f>
        <v/>
      </c>
      <c r="G19">
        <f>IF(D19=0,0,ROUND(100*F19/D19,2))</f>
        <v/>
      </c>
      <c r="H19">
        <f>IF(ABS(F19)&lt;=0.01,"Correct",IF(F19&lt;0,"Underbilled","Overbilled"))</f>
        <v/>
      </c>
    </row>
    <row r="20">
      <c r="A20" t="inlineStr">
        <is>
          <t>INV0000972</t>
        </is>
      </c>
      <c r="B20" t="inlineStr">
        <is>
          <t>MER00048</t>
        </is>
      </c>
      <c r="C20">
        <f>XLOOKUP(B20,Merchants!$A$4:$A$1000,Merchants!$B$4:$B$1000,"Not found")</f>
        <v/>
      </c>
      <c r="D20">
        <f>XLOOKUP(A20,tblInvoices[invoice_id],tblInvoices[expected_fee])</f>
        <v/>
      </c>
      <c r="E20">
        <f>XLOOKUP(A20,tblInvoices[invoice_id],tblInvoices[billed_fee])</f>
        <v/>
      </c>
      <c r="F20">
        <f>E20-D20</f>
        <v/>
      </c>
      <c r="G20">
        <f>IF(D20=0,0,ROUND(100*F20/D20,2))</f>
        <v/>
      </c>
      <c r="H20">
        <f>IF(ABS(F20)&lt;=0.01,"Correct",IF(F20&lt;0,"Underbilled","Overbilled"))</f>
        <v/>
      </c>
    </row>
    <row r="21">
      <c r="A21" t="inlineStr">
        <is>
          <t>INV0000973</t>
        </is>
      </c>
      <c r="B21" t="inlineStr">
        <is>
          <t>MER00048</t>
        </is>
      </c>
      <c r="C21">
        <f>XLOOKUP(B21,Merchants!$A$4:$A$1000,Merchants!$B$4:$B$1000,"Not found")</f>
        <v/>
      </c>
      <c r="D21">
        <f>XLOOKUP(A21,tblInvoices[invoice_id],tblInvoices[expected_fee])</f>
        <v/>
      </c>
      <c r="E21">
        <f>XLOOKUP(A21,tblInvoices[invoice_id],tblInvoices[billed_fee])</f>
        <v/>
      </c>
      <c r="F21">
        <f>E21-D21</f>
        <v/>
      </c>
      <c r="G21">
        <f>IF(D21=0,0,ROUND(100*F21/D21,2))</f>
        <v/>
      </c>
      <c r="H21">
        <f>IF(ABS(F21)&lt;=0.01,"Correct",IF(F21&lt;0,"Underbilled","Overbilled"))</f>
        <v/>
      </c>
    </row>
    <row r="22">
      <c r="A22" t="inlineStr">
        <is>
          <t>INV0000974</t>
        </is>
      </c>
      <c r="B22" t="inlineStr">
        <is>
          <t>MER00048</t>
        </is>
      </c>
      <c r="C22">
        <f>XLOOKUP(B22,Merchants!$A$4:$A$1000,Merchants!$B$4:$B$1000,"Not found")</f>
        <v/>
      </c>
      <c r="D22">
        <f>XLOOKUP(A22,tblInvoices[invoice_id],tblInvoices[expected_fee])</f>
        <v/>
      </c>
      <c r="E22">
        <f>XLOOKUP(A22,tblInvoices[invoice_id],tblInvoices[billed_fee])</f>
        <v/>
      </c>
      <c r="F22">
        <f>E22-D22</f>
        <v/>
      </c>
      <c r="G22">
        <f>IF(D22=0,0,ROUND(100*F22/D22,2))</f>
        <v/>
      </c>
      <c r="H22">
        <f>IF(ABS(F22)&lt;=0.01,"Correct",IF(F22&lt;0,"Underbilled","Overbilled"))</f>
        <v/>
      </c>
    </row>
    <row r="23">
      <c r="A23" t="inlineStr">
        <is>
          <t>INV0000975</t>
        </is>
      </c>
      <c r="B23" t="inlineStr">
        <is>
          <t>MER00048</t>
        </is>
      </c>
      <c r="C23">
        <f>XLOOKUP(B23,Merchants!$A$4:$A$1000,Merchants!$B$4:$B$1000,"Not found")</f>
        <v/>
      </c>
      <c r="D23">
        <f>XLOOKUP(A23,tblInvoices[invoice_id],tblInvoices[expected_fee])</f>
        <v/>
      </c>
      <c r="E23">
        <f>XLOOKUP(A23,tblInvoices[invoice_id],tblInvoices[billed_fee])</f>
        <v/>
      </c>
      <c r="F23">
        <f>E23-D23</f>
        <v/>
      </c>
      <c r="G23">
        <f>IF(D23=0,0,ROUND(100*F23/D23,2))</f>
        <v/>
      </c>
      <c r="H23">
        <f>IF(ABS(F23)&lt;=0.01,"Correct",IF(F23&lt;0,"Underbilled","Overbilled"))</f>
        <v/>
      </c>
    </row>
    <row r="24">
      <c r="A24" t="inlineStr">
        <is>
          <t>INV0000976</t>
        </is>
      </c>
      <c r="B24" t="inlineStr">
        <is>
          <t>MER00048</t>
        </is>
      </c>
      <c r="C24">
        <f>XLOOKUP(B24,Merchants!$A$4:$A$1000,Merchants!$B$4:$B$1000,"Not found")</f>
        <v/>
      </c>
      <c r="D24">
        <f>XLOOKUP(A24,tblInvoices[invoice_id],tblInvoices[expected_fee])</f>
        <v/>
      </c>
      <c r="E24">
        <f>XLOOKUP(A24,tblInvoices[invoice_id],tblInvoices[billed_fee])</f>
        <v/>
      </c>
      <c r="F24">
        <f>E24-D24</f>
        <v/>
      </c>
      <c r="G24">
        <f>IF(D24=0,0,ROUND(100*F24/D24,2))</f>
        <v/>
      </c>
      <c r="H24">
        <f>IF(ABS(F24)&lt;=0.01,"Correct",IF(F24&lt;0,"Underbilled","Overbilled"))</f>
        <v/>
      </c>
    </row>
    <row r="25">
      <c r="A25" t="inlineStr">
        <is>
          <t>INV0000977</t>
        </is>
      </c>
      <c r="B25" t="inlineStr">
        <is>
          <t>MER00048</t>
        </is>
      </c>
      <c r="C25">
        <f>XLOOKUP(B25,Merchants!$A$4:$A$1000,Merchants!$B$4:$B$1000,"Not found")</f>
        <v/>
      </c>
      <c r="D25">
        <f>XLOOKUP(A25,tblInvoices[invoice_id],tblInvoices[expected_fee])</f>
        <v/>
      </c>
      <c r="E25">
        <f>XLOOKUP(A25,tblInvoices[invoice_id],tblInvoices[billed_fee])</f>
        <v/>
      </c>
      <c r="F25">
        <f>E25-D25</f>
        <v/>
      </c>
      <c r="G25">
        <f>IF(D25=0,0,ROUND(100*F25/D25,2))</f>
        <v/>
      </c>
      <c r="H25">
        <f>IF(ABS(F25)&lt;=0.01,"Correct",IF(F25&lt;0,"Underbilled","Overbilled"))</f>
        <v/>
      </c>
    </row>
    <row r="26">
      <c r="A26" t="inlineStr">
        <is>
          <t>INV0000978</t>
        </is>
      </c>
      <c r="B26" t="inlineStr">
        <is>
          <t>MER00048</t>
        </is>
      </c>
      <c r="C26">
        <f>XLOOKUP(B26,Merchants!$A$4:$A$1000,Merchants!$B$4:$B$1000,"Not found")</f>
        <v/>
      </c>
      <c r="D26">
        <f>XLOOKUP(A26,tblInvoices[invoice_id],tblInvoices[expected_fee])</f>
        <v/>
      </c>
      <c r="E26">
        <f>XLOOKUP(A26,tblInvoices[invoice_id],tblInvoices[billed_fee])</f>
        <v/>
      </c>
      <c r="F26">
        <f>E26-D26</f>
        <v/>
      </c>
      <c r="G26">
        <f>IF(D26=0,0,ROUND(100*F26/D26,2))</f>
        <v/>
      </c>
      <c r="H26">
        <f>IF(ABS(F26)&lt;=0.01,"Correct",IF(F26&lt;0,"Underbilled","Overbilled"))</f>
        <v/>
      </c>
    </row>
    <row r="27">
      <c r="A27" t="inlineStr">
        <is>
          <t>INV0001101</t>
        </is>
      </c>
      <c r="B27" t="inlineStr">
        <is>
          <t>MER00055</t>
        </is>
      </c>
      <c r="C27">
        <f>XLOOKUP(B27,Merchants!$A$4:$A$1000,Merchants!$B$4:$B$1000,"Not found")</f>
        <v/>
      </c>
      <c r="D27">
        <f>XLOOKUP(A27,tblInvoices[invoice_id],tblInvoices[expected_fee])</f>
        <v/>
      </c>
      <c r="E27">
        <f>XLOOKUP(A27,tblInvoices[invoice_id],tblInvoices[billed_fee])</f>
        <v/>
      </c>
      <c r="F27">
        <f>E27-D27</f>
        <v/>
      </c>
      <c r="G27">
        <f>IF(D27=0,0,ROUND(100*F27/D27,2))</f>
        <v/>
      </c>
      <c r="H27">
        <f>IF(ABS(F27)&lt;=0.01,"Correct",IF(F27&lt;0,"Underbilled","Overbilled"))</f>
        <v/>
      </c>
    </row>
    <row r="28">
      <c r="A28" t="inlineStr">
        <is>
          <t>INV0001102</t>
        </is>
      </c>
      <c r="B28" t="inlineStr">
        <is>
          <t>MER00055</t>
        </is>
      </c>
      <c r="C28">
        <f>XLOOKUP(B28,Merchants!$A$4:$A$1000,Merchants!$B$4:$B$1000,"Not found")</f>
        <v/>
      </c>
      <c r="D28">
        <f>XLOOKUP(A28,tblInvoices[invoice_id],tblInvoices[expected_fee])</f>
        <v/>
      </c>
      <c r="E28">
        <f>XLOOKUP(A28,tblInvoices[invoice_id],tblInvoices[billed_fee])</f>
        <v/>
      </c>
      <c r="F28">
        <f>E28-D28</f>
        <v/>
      </c>
      <c r="G28">
        <f>IF(D28=0,0,ROUND(100*F28/D28,2))</f>
        <v/>
      </c>
      <c r="H28">
        <f>IF(ABS(F28)&lt;=0.01,"Correct",IF(F28&lt;0,"Underbilled","Overbilled"))</f>
        <v/>
      </c>
    </row>
    <row r="29">
      <c r="A29" t="inlineStr">
        <is>
          <t>INV0001103</t>
        </is>
      </c>
      <c r="B29" t="inlineStr">
        <is>
          <t>MER00055</t>
        </is>
      </c>
      <c r="C29">
        <f>XLOOKUP(B29,Merchants!$A$4:$A$1000,Merchants!$B$4:$B$1000,"Not found")</f>
        <v/>
      </c>
      <c r="D29">
        <f>XLOOKUP(A29,tblInvoices[invoice_id],tblInvoices[expected_fee])</f>
        <v/>
      </c>
      <c r="E29">
        <f>XLOOKUP(A29,tblInvoices[invoice_id],tblInvoices[billed_fee])</f>
        <v/>
      </c>
      <c r="F29">
        <f>E29-D29</f>
        <v/>
      </c>
      <c r="G29">
        <f>IF(D29=0,0,ROUND(100*F29/D29,2))</f>
        <v/>
      </c>
      <c r="H29">
        <f>IF(ABS(F29)&lt;=0.01,"Correct",IF(F29&lt;0,"Underbilled","Overbilled"))</f>
        <v/>
      </c>
    </row>
    <row r="30">
      <c r="A30" t="inlineStr">
        <is>
          <t>INV0001104</t>
        </is>
      </c>
      <c r="B30" t="inlineStr">
        <is>
          <t>MER00055</t>
        </is>
      </c>
      <c r="C30">
        <f>XLOOKUP(B30,Merchants!$A$4:$A$1000,Merchants!$B$4:$B$1000,"Not found")</f>
        <v/>
      </c>
      <c r="D30">
        <f>XLOOKUP(A30,tblInvoices[invoice_id],tblInvoices[expected_fee])</f>
        <v/>
      </c>
      <c r="E30">
        <f>XLOOKUP(A30,tblInvoices[invoice_id],tblInvoices[billed_fee])</f>
        <v/>
      </c>
      <c r="F30">
        <f>E30-D30</f>
        <v/>
      </c>
      <c r="G30">
        <f>IF(D30=0,0,ROUND(100*F30/D30,2))</f>
        <v/>
      </c>
      <c r="H30">
        <f>IF(ABS(F30)&lt;=0.01,"Correct",IF(F30&lt;0,"Underbilled","Overbilled"))</f>
        <v/>
      </c>
    </row>
    <row r="31">
      <c r="A31" t="inlineStr">
        <is>
          <t>INV0001105</t>
        </is>
      </c>
      <c r="B31" t="inlineStr">
        <is>
          <t>MER00055</t>
        </is>
      </c>
      <c r="C31">
        <f>XLOOKUP(B31,Merchants!$A$4:$A$1000,Merchants!$B$4:$B$1000,"Not found")</f>
        <v/>
      </c>
      <c r="D31">
        <f>XLOOKUP(A31,tblInvoices[invoice_id],tblInvoices[expected_fee])</f>
        <v/>
      </c>
      <c r="E31">
        <f>XLOOKUP(A31,tblInvoices[invoice_id],tblInvoices[billed_fee])</f>
        <v/>
      </c>
      <c r="F31">
        <f>E31-D31</f>
        <v/>
      </c>
      <c r="G31">
        <f>IF(D31=0,0,ROUND(100*F31/D31,2))</f>
        <v/>
      </c>
      <c r="H31">
        <f>IF(ABS(F31)&lt;=0.01,"Correct",IF(F31&lt;0,"Underbilled","Overbilled"))</f>
        <v/>
      </c>
    </row>
    <row r="32">
      <c r="A32" t="inlineStr">
        <is>
          <t>INV0001106</t>
        </is>
      </c>
      <c r="B32" t="inlineStr">
        <is>
          <t>MER00055</t>
        </is>
      </c>
      <c r="C32">
        <f>XLOOKUP(B32,Merchants!$A$4:$A$1000,Merchants!$B$4:$B$1000,"Not found")</f>
        <v/>
      </c>
      <c r="D32">
        <f>XLOOKUP(A32,tblInvoices[invoice_id],tblInvoices[expected_fee])</f>
        <v/>
      </c>
      <c r="E32">
        <f>XLOOKUP(A32,tblInvoices[invoice_id],tblInvoices[billed_fee])</f>
        <v/>
      </c>
      <c r="F32">
        <f>E32-D32</f>
        <v/>
      </c>
      <c r="G32">
        <f>IF(D32=0,0,ROUND(100*F32/D32,2))</f>
        <v/>
      </c>
      <c r="H32">
        <f>IF(ABS(F32)&lt;=0.01,"Correct",IF(F32&lt;0,"Underbilled","Overbilled"))</f>
        <v/>
      </c>
    </row>
    <row r="33">
      <c r="A33" t="inlineStr">
        <is>
          <t>INV0001107</t>
        </is>
      </c>
      <c r="B33" t="inlineStr">
        <is>
          <t>MER00055</t>
        </is>
      </c>
      <c r="C33">
        <f>XLOOKUP(B33,Merchants!$A$4:$A$1000,Merchants!$B$4:$B$1000,"Not found")</f>
        <v/>
      </c>
      <c r="D33">
        <f>XLOOKUP(A33,tblInvoices[invoice_id],tblInvoices[expected_fee])</f>
        <v/>
      </c>
      <c r="E33">
        <f>XLOOKUP(A33,tblInvoices[invoice_id],tblInvoices[billed_fee])</f>
        <v/>
      </c>
      <c r="F33">
        <f>E33-D33</f>
        <v/>
      </c>
      <c r="G33">
        <f>IF(D33=0,0,ROUND(100*F33/D33,2))</f>
        <v/>
      </c>
      <c r="H33">
        <f>IF(ABS(F33)&lt;=0.01,"Correct",IF(F33&lt;0,"Underbilled","Overbilled"))</f>
        <v/>
      </c>
    </row>
    <row r="34">
      <c r="A34" t="inlineStr">
        <is>
          <t>INV0001108</t>
        </is>
      </c>
      <c r="B34" t="inlineStr">
        <is>
          <t>MER00055</t>
        </is>
      </c>
      <c r="C34">
        <f>XLOOKUP(B34,Merchants!$A$4:$A$1000,Merchants!$B$4:$B$1000,"Not found")</f>
        <v/>
      </c>
      <c r="D34">
        <f>XLOOKUP(A34,tblInvoices[invoice_id],tblInvoices[expected_fee])</f>
        <v/>
      </c>
      <c r="E34">
        <f>XLOOKUP(A34,tblInvoices[invoice_id],tblInvoices[billed_fee])</f>
        <v/>
      </c>
      <c r="F34">
        <f>E34-D34</f>
        <v/>
      </c>
      <c r="G34">
        <f>IF(D34=0,0,ROUND(100*F34/D34,2))</f>
        <v/>
      </c>
      <c r="H34">
        <f>IF(ABS(F34)&lt;=0.01,"Correct",IF(F34&lt;0,"Underbilled","Overbilled"))</f>
        <v/>
      </c>
    </row>
    <row r="35">
      <c r="A35" t="inlineStr">
        <is>
          <t>INV0001109</t>
        </is>
      </c>
      <c r="B35" t="inlineStr">
        <is>
          <t>MER00055</t>
        </is>
      </c>
      <c r="C35">
        <f>XLOOKUP(B35,Merchants!$A$4:$A$1000,Merchants!$B$4:$B$1000,"Not found")</f>
        <v/>
      </c>
      <c r="D35">
        <f>XLOOKUP(A35,tblInvoices[invoice_id],tblInvoices[expected_fee])</f>
        <v/>
      </c>
      <c r="E35">
        <f>XLOOKUP(A35,tblInvoices[invoice_id],tblInvoices[billed_fee])</f>
        <v/>
      </c>
      <c r="F35">
        <f>E35-D35</f>
        <v/>
      </c>
      <c r="G35">
        <f>IF(D35=0,0,ROUND(100*F35/D35,2))</f>
        <v/>
      </c>
      <c r="H35">
        <f>IF(ABS(F35)&lt;=0.01,"Correct",IF(F35&lt;0,"Underbilled","Overbilled"))</f>
        <v/>
      </c>
    </row>
    <row r="36">
      <c r="A36" t="inlineStr">
        <is>
          <t>INV0001110</t>
        </is>
      </c>
      <c r="B36" t="inlineStr">
        <is>
          <t>MER00055</t>
        </is>
      </c>
      <c r="C36">
        <f>XLOOKUP(B36,Merchants!$A$4:$A$1000,Merchants!$B$4:$B$1000,"Not found")</f>
        <v/>
      </c>
      <c r="D36">
        <f>XLOOKUP(A36,tblInvoices[invoice_id],tblInvoices[expected_fee])</f>
        <v/>
      </c>
      <c r="E36">
        <f>XLOOKUP(A36,tblInvoices[invoice_id],tblInvoices[billed_fee])</f>
        <v/>
      </c>
      <c r="F36">
        <f>E36-D36</f>
        <v/>
      </c>
      <c r="G36">
        <f>IF(D36=0,0,ROUND(100*F36/D36,2))</f>
        <v/>
      </c>
      <c r="H36">
        <f>IF(ABS(F36)&lt;=0.01,"Correct",IF(F36&lt;0,"Underbilled","Overbilled"))</f>
        <v/>
      </c>
    </row>
    <row r="37">
      <c r="A37" t="inlineStr">
        <is>
          <t>INV0001111</t>
        </is>
      </c>
      <c r="B37" t="inlineStr">
        <is>
          <t>MER00055</t>
        </is>
      </c>
      <c r="C37">
        <f>XLOOKUP(B37,Merchants!$A$4:$A$1000,Merchants!$B$4:$B$1000,"Not found")</f>
        <v/>
      </c>
      <c r="D37">
        <f>XLOOKUP(A37,tblInvoices[invoice_id],tblInvoices[expected_fee])</f>
        <v/>
      </c>
      <c r="E37">
        <f>XLOOKUP(A37,tblInvoices[invoice_id],tblInvoices[billed_fee])</f>
        <v/>
      </c>
      <c r="F37">
        <f>E37-D37</f>
        <v/>
      </c>
      <c r="G37">
        <f>IF(D37=0,0,ROUND(100*F37/D37,2))</f>
        <v/>
      </c>
      <c r="H37">
        <f>IF(ABS(F37)&lt;=0.01,"Correct",IF(F37&lt;0,"Underbilled","Overbilled"))</f>
        <v/>
      </c>
    </row>
    <row r="38">
      <c r="A38" t="inlineStr">
        <is>
          <t>INV0001112</t>
        </is>
      </c>
      <c r="B38" t="inlineStr">
        <is>
          <t>MER00055</t>
        </is>
      </c>
      <c r="C38">
        <f>XLOOKUP(B38,Merchants!$A$4:$A$1000,Merchants!$B$4:$B$1000,"Not found")</f>
        <v/>
      </c>
      <c r="D38">
        <f>XLOOKUP(A38,tblInvoices[invoice_id],tblInvoices[expected_fee])</f>
        <v/>
      </c>
      <c r="E38">
        <f>XLOOKUP(A38,tblInvoices[invoice_id],tblInvoices[billed_fee])</f>
        <v/>
      </c>
      <c r="F38">
        <f>E38-D38</f>
        <v/>
      </c>
      <c r="G38">
        <f>IF(D38=0,0,ROUND(100*F38/D38,2))</f>
        <v/>
      </c>
      <c r="H38">
        <f>IF(ABS(F38)&lt;=0.01,"Correct",IF(F38&lt;0,"Underbilled","Overbilled"))</f>
        <v/>
      </c>
    </row>
    <row r="39">
      <c r="A39" t="inlineStr">
        <is>
          <t>INV0001113</t>
        </is>
      </c>
      <c r="B39" t="inlineStr">
        <is>
          <t>MER00055</t>
        </is>
      </c>
      <c r="C39">
        <f>XLOOKUP(B39,Merchants!$A$4:$A$1000,Merchants!$B$4:$B$1000,"Not found")</f>
        <v/>
      </c>
      <c r="D39">
        <f>XLOOKUP(A39,tblInvoices[invoice_id],tblInvoices[expected_fee])</f>
        <v/>
      </c>
      <c r="E39">
        <f>XLOOKUP(A39,tblInvoices[invoice_id],tblInvoices[billed_fee])</f>
        <v/>
      </c>
      <c r="F39">
        <f>E39-D39</f>
        <v/>
      </c>
      <c r="G39">
        <f>IF(D39=0,0,ROUND(100*F39/D39,2))</f>
        <v/>
      </c>
      <c r="H39">
        <f>IF(ABS(F39)&lt;=0.01,"Correct",IF(F39&lt;0,"Underbilled","Overbilled"))</f>
        <v/>
      </c>
    </row>
    <row r="40">
      <c r="A40" t="inlineStr">
        <is>
          <t>INV0001114</t>
        </is>
      </c>
      <c r="B40" t="inlineStr">
        <is>
          <t>MER00055</t>
        </is>
      </c>
      <c r="C40">
        <f>XLOOKUP(B40,Merchants!$A$4:$A$1000,Merchants!$B$4:$B$1000,"Not found")</f>
        <v/>
      </c>
      <c r="D40">
        <f>XLOOKUP(A40,tblInvoices[invoice_id],tblInvoices[expected_fee])</f>
        <v/>
      </c>
      <c r="E40">
        <f>XLOOKUP(A40,tblInvoices[invoice_id],tblInvoices[billed_fee])</f>
        <v/>
      </c>
      <c r="F40">
        <f>E40-D40</f>
        <v/>
      </c>
      <c r="G40">
        <f>IF(D40=0,0,ROUND(100*F40/D40,2))</f>
        <v/>
      </c>
      <c r="H40">
        <f>IF(ABS(F40)&lt;=0.01,"Correct",IF(F40&lt;0,"Underbilled","Overbilled"))</f>
        <v/>
      </c>
    </row>
    <row r="41">
      <c r="A41" t="inlineStr">
        <is>
          <t>INV0001115</t>
        </is>
      </c>
      <c r="B41" t="inlineStr">
        <is>
          <t>MER00055</t>
        </is>
      </c>
      <c r="C41">
        <f>XLOOKUP(B41,Merchants!$A$4:$A$1000,Merchants!$B$4:$B$1000,"Not found")</f>
        <v/>
      </c>
      <c r="D41">
        <f>XLOOKUP(A41,tblInvoices[invoice_id],tblInvoices[expected_fee])</f>
        <v/>
      </c>
      <c r="E41">
        <f>XLOOKUP(A41,tblInvoices[invoice_id],tblInvoices[billed_fee])</f>
        <v/>
      </c>
      <c r="F41">
        <f>E41-D41</f>
        <v/>
      </c>
      <c r="G41">
        <f>IF(D41=0,0,ROUND(100*F41/D41,2))</f>
        <v/>
      </c>
      <c r="H41">
        <f>IF(ABS(F41)&lt;=0.01,"Correct",IF(F41&lt;0,"Underbilled","Overbilled"))</f>
        <v/>
      </c>
    </row>
    <row r="42">
      <c r="A42" t="inlineStr">
        <is>
          <t>INV0001116</t>
        </is>
      </c>
      <c r="B42" t="inlineStr">
        <is>
          <t>MER00055</t>
        </is>
      </c>
      <c r="C42">
        <f>XLOOKUP(B42,Merchants!$A$4:$A$1000,Merchants!$B$4:$B$1000,"Not found")</f>
        <v/>
      </c>
      <c r="D42">
        <f>XLOOKUP(A42,tblInvoices[invoice_id],tblInvoices[expected_fee])</f>
        <v/>
      </c>
      <c r="E42">
        <f>XLOOKUP(A42,tblInvoices[invoice_id],tblInvoices[billed_fee])</f>
        <v/>
      </c>
      <c r="F42">
        <f>E42-D42</f>
        <v/>
      </c>
      <c r="G42">
        <f>IF(D42=0,0,ROUND(100*F42/D42,2))</f>
        <v/>
      </c>
      <c r="H42">
        <f>IF(ABS(F42)&lt;=0.01,"Correct",IF(F42&lt;0,"Underbilled","Overbilled"))</f>
        <v/>
      </c>
    </row>
    <row r="43">
      <c r="A43" t="inlineStr">
        <is>
          <t>INV0001117</t>
        </is>
      </c>
      <c r="B43" t="inlineStr">
        <is>
          <t>MER00055</t>
        </is>
      </c>
      <c r="C43">
        <f>XLOOKUP(B43,Merchants!$A$4:$A$1000,Merchants!$B$4:$B$1000,"Not found")</f>
        <v/>
      </c>
      <c r="D43">
        <f>XLOOKUP(A43,tblInvoices[invoice_id],tblInvoices[expected_fee])</f>
        <v/>
      </c>
      <c r="E43">
        <f>XLOOKUP(A43,tblInvoices[invoice_id],tblInvoices[billed_fee])</f>
        <v/>
      </c>
      <c r="F43">
        <f>E43-D43</f>
        <v/>
      </c>
      <c r="G43">
        <f>IF(D43=0,0,ROUND(100*F43/D43,2))</f>
        <v/>
      </c>
      <c r="H43">
        <f>IF(ABS(F43)&lt;=0.01,"Correct",IF(F43&lt;0,"Underbilled","Overbilled"))</f>
        <v/>
      </c>
    </row>
    <row r="44">
      <c r="A44" t="inlineStr">
        <is>
          <t>INV0001118</t>
        </is>
      </c>
      <c r="B44" t="inlineStr">
        <is>
          <t>MER00055</t>
        </is>
      </c>
      <c r="C44">
        <f>XLOOKUP(B44,Merchants!$A$4:$A$1000,Merchants!$B$4:$B$1000,"Not found")</f>
        <v/>
      </c>
      <c r="D44">
        <f>XLOOKUP(A44,tblInvoices[invoice_id],tblInvoices[expected_fee])</f>
        <v/>
      </c>
      <c r="E44">
        <f>XLOOKUP(A44,tblInvoices[invoice_id],tblInvoices[billed_fee])</f>
        <v/>
      </c>
      <c r="F44">
        <f>E44-D44</f>
        <v/>
      </c>
      <c r="G44">
        <f>IF(D44=0,0,ROUND(100*F44/D44,2))</f>
        <v/>
      </c>
      <c r="H44">
        <f>IF(ABS(F44)&lt;=0.01,"Correct",IF(F44&lt;0,"Underbilled","Overbilled"))</f>
        <v/>
      </c>
    </row>
    <row r="45">
      <c r="A45" t="inlineStr">
        <is>
          <t>INV0001119</t>
        </is>
      </c>
      <c r="B45" t="inlineStr">
        <is>
          <t>MER00055</t>
        </is>
      </c>
      <c r="C45">
        <f>XLOOKUP(B45,Merchants!$A$4:$A$1000,Merchants!$B$4:$B$1000,"Not found")</f>
        <v/>
      </c>
      <c r="D45">
        <f>XLOOKUP(A45,tblInvoices[invoice_id],tblInvoices[expected_fee])</f>
        <v/>
      </c>
      <c r="E45">
        <f>XLOOKUP(A45,tblInvoices[invoice_id],tblInvoices[billed_fee])</f>
        <v/>
      </c>
      <c r="F45">
        <f>E45-D45</f>
        <v/>
      </c>
      <c r="G45">
        <f>IF(D45=0,0,ROUND(100*F45/D45,2))</f>
        <v/>
      </c>
      <c r="H45">
        <f>IF(ABS(F45)&lt;=0.01,"Correct",IF(F45&lt;0,"Underbilled","Overbilled"))</f>
        <v/>
      </c>
    </row>
    <row r="46">
      <c r="A46" t="inlineStr">
        <is>
          <t>INV0001120</t>
        </is>
      </c>
      <c r="B46" t="inlineStr">
        <is>
          <t>MER00055</t>
        </is>
      </c>
      <c r="C46">
        <f>XLOOKUP(B46,Merchants!$A$4:$A$1000,Merchants!$B$4:$B$1000,"Not found")</f>
        <v/>
      </c>
      <c r="D46">
        <f>XLOOKUP(A46,tblInvoices[invoice_id],tblInvoices[expected_fee])</f>
        <v/>
      </c>
      <c r="E46">
        <f>XLOOKUP(A46,tblInvoices[invoice_id],tblInvoices[billed_fee])</f>
        <v/>
      </c>
      <c r="F46">
        <f>E46-D46</f>
        <v/>
      </c>
      <c r="G46">
        <f>IF(D46=0,0,ROUND(100*F46/D46,2))</f>
        <v/>
      </c>
      <c r="H46">
        <f>IF(ABS(F46)&lt;=0.01,"Correct",IF(F46&lt;0,"Underbilled","Overbilled"))</f>
        <v/>
      </c>
    </row>
    <row r="47">
      <c r="A47" t="inlineStr">
        <is>
          <t>INV0001121</t>
        </is>
      </c>
      <c r="B47" t="inlineStr">
        <is>
          <t>MER00055</t>
        </is>
      </c>
      <c r="C47">
        <f>XLOOKUP(B47,Merchants!$A$4:$A$1000,Merchants!$B$4:$B$1000,"Not found")</f>
        <v/>
      </c>
      <c r="D47">
        <f>XLOOKUP(A47,tblInvoices[invoice_id],tblInvoices[expected_fee])</f>
        <v/>
      </c>
      <c r="E47">
        <f>XLOOKUP(A47,tblInvoices[invoice_id],tblInvoices[billed_fee])</f>
        <v/>
      </c>
      <c r="F47">
        <f>E47-D47</f>
        <v/>
      </c>
      <c r="G47">
        <f>IF(D47=0,0,ROUND(100*F47/D47,2))</f>
        <v/>
      </c>
      <c r="H47">
        <f>IF(ABS(F47)&lt;=0.01,"Correct",IF(F47&lt;0,"Underbilled","Overbilled"))</f>
        <v/>
      </c>
    </row>
    <row r="48">
      <c r="A48" t="inlineStr">
        <is>
          <t>INV0001122</t>
        </is>
      </c>
      <c r="B48" t="inlineStr">
        <is>
          <t>MER00055</t>
        </is>
      </c>
      <c r="C48">
        <f>XLOOKUP(B48,Merchants!$A$4:$A$1000,Merchants!$B$4:$B$1000,"Not found")</f>
        <v/>
      </c>
      <c r="D48">
        <f>XLOOKUP(A48,tblInvoices[invoice_id],tblInvoices[expected_fee])</f>
        <v/>
      </c>
      <c r="E48">
        <f>XLOOKUP(A48,tblInvoices[invoice_id],tblInvoices[billed_fee])</f>
        <v/>
      </c>
      <c r="F48">
        <f>E48-D48</f>
        <v/>
      </c>
      <c r="G48">
        <f>IF(D48=0,0,ROUND(100*F48/D48,2))</f>
        <v/>
      </c>
      <c r="H48">
        <f>IF(ABS(F48)&lt;=0.01,"Correct",IF(F48&lt;0,"Underbilled","Overbilled"))</f>
        <v/>
      </c>
    </row>
    <row r="49">
      <c r="A49" t="inlineStr">
        <is>
          <t>INV0001123</t>
        </is>
      </c>
      <c r="B49" t="inlineStr">
        <is>
          <t>MER00055</t>
        </is>
      </c>
      <c r="C49">
        <f>XLOOKUP(B49,Merchants!$A$4:$A$1000,Merchants!$B$4:$B$1000,"Not found")</f>
        <v/>
      </c>
      <c r="D49">
        <f>XLOOKUP(A49,tblInvoices[invoice_id],tblInvoices[expected_fee])</f>
        <v/>
      </c>
      <c r="E49">
        <f>XLOOKUP(A49,tblInvoices[invoice_id],tblInvoices[billed_fee])</f>
        <v/>
      </c>
      <c r="F49">
        <f>E49-D49</f>
        <v/>
      </c>
      <c r="G49">
        <f>IF(D49=0,0,ROUND(100*F49/D49,2))</f>
        <v/>
      </c>
      <c r="H49">
        <f>IF(ABS(F49)&lt;=0.01,"Correct",IF(F49&lt;0,"Underbilled","Overbilled"))</f>
        <v/>
      </c>
    </row>
    <row r="50">
      <c r="A50" t="inlineStr">
        <is>
          <t>INV0001540</t>
        </is>
      </c>
      <c r="B50" t="inlineStr">
        <is>
          <t>MER00074</t>
        </is>
      </c>
      <c r="C50">
        <f>XLOOKUP(B50,Merchants!$A$4:$A$1000,Merchants!$B$4:$B$1000,"Not found")</f>
        <v/>
      </c>
      <c r="D50">
        <f>XLOOKUP(A50,tblInvoices[invoice_id],tblInvoices[expected_fee])</f>
        <v/>
      </c>
      <c r="E50">
        <f>XLOOKUP(A50,tblInvoices[invoice_id],tblInvoices[billed_fee])</f>
        <v/>
      </c>
      <c r="F50">
        <f>E50-D50</f>
        <v/>
      </c>
      <c r="G50">
        <f>IF(D50=0,0,ROUND(100*F50/D50,2))</f>
        <v/>
      </c>
      <c r="H50">
        <f>IF(ABS(F50)&lt;=0.01,"Correct",IF(F50&lt;0,"Underbilled","Overbilled"))</f>
        <v/>
      </c>
    </row>
    <row r="51">
      <c r="A51" t="inlineStr">
        <is>
          <t>INV0001541</t>
        </is>
      </c>
      <c r="B51" t="inlineStr">
        <is>
          <t>MER00074</t>
        </is>
      </c>
      <c r="C51">
        <f>XLOOKUP(B51,Merchants!$A$4:$A$1000,Merchants!$B$4:$B$1000,"Not found")</f>
        <v/>
      </c>
      <c r="D51">
        <f>XLOOKUP(A51,tblInvoices[invoice_id],tblInvoices[expected_fee])</f>
        <v/>
      </c>
      <c r="E51">
        <f>XLOOKUP(A51,tblInvoices[invoice_id],tblInvoices[billed_fee])</f>
        <v/>
      </c>
      <c r="F51">
        <f>E51-D51</f>
        <v/>
      </c>
      <c r="G51">
        <f>IF(D51=0,0,ROUND(100*F51/D51,2))</f>
        <v/>
      </c>
      <c r="H51">
        <f>IF(ABS(F51)&lt;=0.01,"Correct",IF(F51&lt;0,"Underbilled","Overbilled"))</f>
        <v/>
      </c>
    </row>
    <row r="52">
      <c r="A52" t="inlineStr">
        <is>
          <t>INV0001542</t>
        </is>
      </c>
      <c r="B52" t="inlineStr">
        <is>
          <t>MER00074</t>
        </is>
      </c>
      <c r="C52">
        <f>XLOOKUP(B52,Merchants!$A$4:$A$1000,Merchants!$B$4:$B$1000,"Not found")</f>
        <v/>
      </c>
      <c r="D52">
        <f>XLOOKUP(A52,tblInvoices[invoice_id],tblInvoices[expected_fee])</f>
        <v/>
      </c>
      <c r="E52">
        <f>XLOOKUP(A52,tblInvoices[invoice_id],tblInvoices[billed_fee])</f>
        <v/>
      </c>
      <c r="F52">
        <f>E52-D52</f>
        <v/>
      </c>
      <c r="G52">
        <f>IF(D52=0,0,ROUND(100*F52/D52,2))</f>
        <v/>
      </c>
      <c r="H52">
        <f>IF(ABS(F52)&lt;=0.01,"Correct",IF(F52&lt;0,"Underbilled","Overbilled"))</f>
        <v/>
      </c>
    </row>
    <row r="53">
      <c r="A53" t="inlineStr">
        <is>
          <t>INV0001543</t>
        </is>
      </c>
      <c r="B53" t="inlineStr">
        <is>
          <t>MER00074</t>
        </is>
      </c>
      <c r="C53">
        <f>XLOOKUP(B53,Merchants!$A$4:$A$1000,Merchants!$B$4:$B$1000,"Not found")</f>
        <v/>
      </c>
      <c r="D53">
        <f>XLOOKUP(A53,tblInvoices[invoice_id],tblInvoices[expected_fee])</f>
        <v/>
      </c>
      <c r="E53">
        <f>XLOOKUP(A53,tblInvoices[invoice_id],tblInvoices[billed_fee])</f>
        <v/>
      </c>
      <c r="F53">
        <f>E53-D53</f>
        <v/>
      </c>
      <c r="G53">
        <f>IF(D53=0,0,ROUND(100*F53/D53,2))</f>
        <v/>
      </c>
      <c r="H53">
        <f>IF(ABS(F53)&lt;=0.01,"Correct",IF(F53&lt;0,"Underbilled","Overbilled"))</f>
        <v/>
      </c>
    </row>
    <row r="54">
      <c r="A54" t="inlineStr">
        <is>
          <t>INV0001544</t>
        </is>
      </c>
      <c r="B54" t="inlineStr">
        <is>
          <t>MER00074</t>
        </is>
      </c>
      <c r="C54">
        <f>XLOOKUP(B54,Merchants!$A$4:$A$1000,Merchants!$B$4:$B$1000,"Not found")</f>
        <v/>
      </c>
      <c r="D54">
        <f>XLOOKUP(A54,tblInvoices[invoice_id],tblInvoices[expected_fee])</f>
        <v/>
      </c>
      <c r="E54">
        <f>XLOOKUP(A54,tblInvoices[invoice_id],tblInvoices[billed_fee])</f>
        <v/>
      </c>
      <c r="F54">
        <f>E54-D54</f>
        <v/>
      </c>
      <c r="G54">
        <f>IF(D54=0,0,ROUND(100*F54/D54,2))</f>
        <v/>
      </c>
      <c r="H54">
        <f>IF(ABS(F54)&lt;=0.01,"Correct",IF(F54&lt;0,"Underbilled","Overbilled"))</f>
        <v/>
      </c>
    </row>
    <row r="55">
      <c r="A55" t="inlineStr">
        <is>
          <t>INV0001545</t>
        </is>
      </c>
      <c r="B55" t="inlineStr">
        <is>
          <t>MER00074</t>
        </is>
      </c>
      <c r="C55">
        <f>XLOOKUP(B55,Merchants!$A$4:$A$1000,Merchants!$B$4:$B$1000,"Not found")</f>
        <v/>
      </c>
      <c r="D55">
        <f>XLOOKUP(A55,tblInvoices[invoice_id],tblInvoices[expected_fee])</f>
        <v/>
      </c>
      <c r="E55">
        <f>XLOOKUP(A55,tblInvoices[invoice_id],tblInvoices[billed_fee])</f>
        <v/>
      </c>
      <c r="F55">
        <f>E55-D55</f>
        <v/>
      </c>
      <c r="G55">
        <f>IF(D55=0,0,ROUND(100*F55/D55,2))</f>
        <v/>
      </c>
      <c r="H55">
        <f>IF(ABS(F55)&lt;=0.01,"Correct",IF(F55&lt;0,"Underbilled","Overbilled"))</f>
        <v/>
      </c>
    </row>
    <row r="56">
      <c r="A56" t="inlineStr">
        <is>
          <t>INV0001546</t>
        </is>
      </c>
      <c r="B56" t="inlineStr">
        <is>
          <t>MER00074</t>
        </is>
      </c>
      <c r="C56">
        <f>XLOOKUP(B56,Merchants!$A$4:$A$1000,Merchants!$B$4:$B$1000,"Not found")</f>
        <v/>
      </c>
      <c r="D56">
        <f>XLOOKUP(A56,tblInvoices[invoice_id],tblInvoices[expected_fee])</f>
        <v/>
      </c>
      <c r="E56">
        <f>XLOOKUP(A56,tblInvoices[invoice_id],tblInvoices[billed_fee])</f>
        <v/>
      </c>
      <c r="F56">
        <f>E56-D56</f>
        <v/>
      </c>
      <c r="G56">
        <f>IF(D56=0,0,ROUND(100*F56/D56,2))</f>
        <v/>
      </c>
      <c r="H56">
        <f>IF(ABS(F56)&lt;=0.01,"Correct",IF(F56&lt;0,"Underbilled","Overbilled"))</f>
        <v/>
      </c>
    </row>
    <row r="57">
      <c r="A57" t="inlineStr">
        <is>
          <t>INV0001547</t>
        </is>
      </c>
      <c r="B57" t="inlineStr">
        <is>
          <t>MER00074</t>
        </is>
      </c>
      <c r="C57">
        <f>XLOOKUP(B57,Merchants!$A$4:$A$1000,Merchants!$B$4:$B$1000,"Not found")</f>
        <v/>
      </c>
      <c r="D57">
        <f>XLOOKUP(A57,tblInvoices[invoice_id],tblInvoices[expected_fee])</f>
        <v/>
      </c>
      <c r="E57">
        <f>XLOOKUP(A57,tblInvoices[invoice_id],tblInvoices[billed_fee])</f>
        <v/>
      </c>
      <c r="F57">
        <f>E57-D57</f>
        <v/>
      </c>
      <c r="G57">
        <f>IF(D57=0,0,ROUND(100*F57/D57,2))</f>
        <v/>
      </c>
      <c r="H57">
        <f>IF(ABS(F57)&lt;=0.01,"Correct",IF(F57&lt;0,"Underbilled","Overbilled"))</f>
        <v/>
      </c>
    </row>
    <row r="58">
      <c r="A58" t="inlineStr">
        <is>
          <t>INV0001548</t>
        </is>
      </c>
      <c r="B58" t="inlineStr">
        <is>
          <t>MER00074</t>
        </is>
      </c>
      <c r="C58">
        <f>XLOOKUP(B58,Merchants!$A$4:$A$1000,Merchants!$B$4:$B$1000,"Not found")</f>
        <v/>
      </c>
      <c r="D58">
        <f>XLOOKUP(A58,tblInvoices[invoice_id],tblInvoices[expected_fee])</f>
        <v/>
      </c>
      <c r="E58">
        <f>XLOOKUP(A58,tblInvoices[invoice_id],tblInvoices[billed_fee])</f>
        <v/>
      </c>
      <c r="F58">
        <f>E58-D58</f>
        <v/>
      </c>
      <c r="G58">
        <f>IF(D58=0,0,ROUND(100*F58/D58,2))</f>
        <v/>
      </c>
      <c r="H58">
        <f>IF(ABS(F58)&lt;=0.01,"Correct",IF(F58&lt;0,"Underbilled","Overbilled"))</f>
        <v/>
      </c>
    </row>
    <row r="59">
      <c r="A59" t="inlineStr">
        <is>
          <t>INV0001549</t>
        </is>
      </c>
      <c r="B59" t="inlineStr">
        <is>
          <t>MER00074</t>
        </is>
      </c>
      <c r="C59">
        <f>XLOOKUP(B59,Merchants!$A$4:$A$1000,Merchants!$B$4:$B$1000,"Not found")</f>
        <v/>
      </c>
      <c r="D59">
        <f>XLOOKUP(A59,tblInvoices[invoice_id],tblInvoices[expected_fee])</f>
        <v/>
      </c>
      <c r="E59">
        <f>XLOOKUP(A59,tblInvoices[invoice_id],tblInvoices[billed_fee])</f>
        <v/>
      </c>
      <c r="F59">
        <f>E59-D59</f>
        <v/>
      </c>
      <c r="G59">
        <f>IF(D59=0,0,ROUND(100*F59/D59,2))</f>
        <v/>
      </c>
      <c r="H59">
        <f>IF(ABS(F59)&lt;=0.01,"Correct",IF(F59&lt;0,"Underbilled","Overbilled"))</f>
        <v/>
      </c>
    </row>
    <row r="60">
      <c r="A60" t="inlineStr">
        <is>
          <t>INV0001550</t>
        </is>
      </c>
      <c r="B60" t="inlineStr">
        <is>
          <t>MER00074</t>
        </is>
      </c>
      <c r="C60">
        <f>XLOOKUP(B60,Merchants!$A$4:$A$1000,Merchants!$B$4:$B$1000,"Not found")</f>
        <v/>
      </c>
      <c r="D60">
        <f>XLOOKUP(A60,tblInvoices[invoice_id],tblInvoices[expected_fee])</f>
        <v/>
      </c>
      <c r="E60">
        <f>XLOOKUP(A60,tblInvoices[invoice_id],tblInvoices[billed_fee])</f>
        <v/>
      </c>
      <c r="F60">
        <f>E60-D60</f>
        <v/>
      </c>
      <c r="G60">
        <f>IF(D60=0,0,ROUND(100*F60/D60,2))</f>
        <v/>
      </c>
      <c r="H60">
        <f>IF(ABS(F60)&lt;=0.01,"Correct",IF(F60&lt;0,"Underbilled","Overbilled"))</f>
        <v/>
      </c>
    </row>
    <row r="61">
      <c r="A61" t="inlineStr">
        <is>
          <t>INV0001551</t>
        </is>
      </c>
      <c r="B61" t="inlineStr">
        <is>
          <t>MER00074</t>
        </is>
      </c>
      <c r="C61">
        <f>XLOOKUP(B61,Merchants!$A$4:$A$1000,Merchants!$B$4:$B$1000,"Not found")</f>
        <v/>
      </c>
      <c r="D61">
        <f>XLOOKUP(A61,tblInvoices[invoice_id],tblInvoices[expected_fee])</f>
        <v/>
      </c>
      <c r="E61">
        <f>XLOOKUP(A61,tblInvoices[invoice_id],tblInvoices[billed_fee])</f>
        <v/>
      </c>
      <c r="F61">
        <f>E61-D61</f>
        <v/>
      </c>
      <c r="G61">
        <f>IF(D61=0,0,ROUND(100*F61/D61,2))</f>
        <v/>
      </c>
      <c r="H61">
        <f>IF(ABS(F61)&lt;=0.01,"Correct",IF(F61&lt;0,"Underbilled","Overbilled"))</f>
        <v/>
      </c>
    </row>
    <row r="62">
      <c r="A62" t="inlineStr">
        <is>
          <t>INV0001552</t>
        </is>
      </c>
      <c r="B62" t="inlineStr">
        <is>
          <t>MER00074</t>
        </is>
      </c>
      <c r="C62">
        <f>XLOOKUP(B62,Merchants!$A$4:$A$1000,Merchants!$B$4:$B$1000,"Not found")</f>
        <v/>
      </c>
      <c r="D62">
        <f>XLOOKUP(A62,tblInvoices[invoice_id],tblInvoices[expected_fee])</f>
        <v/>
      </c>
      <c r="E62">
        <f>XLOOKUP(A62,tblInvoices[invoice_id],tblInvoices[billed_fee])</f>
        <v/>
      </c>
      <c r="F62">
        <f>E62-D62</f>
        <v/>
      </c>
      <c r="G62">
        <f>IF(D62=0,0,ROUND(100*F62/D62,2))</f>
        <v/>
      </c>
      <c r="H62">
        <f>IF(ABS(F62)&lt;=0.01,"Correct",IF(F62&lt;0,"Underbilled","Overbilled"))</f>
        <v/>
      </c>
    </row>
    <row r="63">
      <c r="A63" t="inlineStr">
        <is>
          <t>INV0001553</t>
        </is>
      </c>
      <c r="B63" t="inlineStr">
        <is>
          <t>MER00074</t>
        </is>
      </c>
      <c r="C63">
        <f>XLOOKUP(B63,Merchants!$A$4:$A$1000,Merchants!$B$4:$B$1000,"Not found")</f>
        <v/>
      </c>
      <c r="D63">
        <f>XLOOKUP(A63,tblInvoices[invoice_id],tblInvoices[expected_fee])</f>
        <v/>
      </c>
      <c r="E63">
        <f>XLOOKUP(A63,tblInvoices[invoice_id],tblInvoices[billed_fee])</f>
        <v/>
      </c>
      <c r="F63">
        <f>E63-D63</f>
        <v/>
      </c>
      <c r="G63">
        <f>IF(D63=0,0,ROUND(100*F63/D63,2))</f>
        <v/>
      </c>
      <c r="H63">
        <f>IF(ABS(F63)&lt;=0.01,"Correct",IF(F63&lt;0,"Underbilled","Overbilled"))</f>
        <v/>
      </c>
    </row>
    <row r="64">
      <c r="A64" t="inlineStr">
        <is>
          <t>INV0001554</t>
        </is>
      </c>
      <c r="B64" t="inlineStr">
        <is>
          <t>MER00074</t>
        </is>
      </c>
      <c r="C64">
        <f>XLOOKUP(B64,Merchants!$A$4:$A$1000,Merchants!$B$4:$B$1000,"Not found")</f>
        <v/>
      </c>
      <c r="D64">
        <f>XLOOKUP(A64,tblInvoices[invoice_id],tblInvoices[expected_fee])</f>
        <v/>
      </c>
      <c r="E64">
        <f>XLOOKUP(A64,tblInvoices[invoice_id],tblInvoices[billed_fee])</f>
        <v/>
      </c>
      <c r="F64">
        <f>E64-D64</f>
        <v/>
      </c>
      <c r="G64">
        <f>IF(D64=0,0,ROUND(100*F64/D64,2))</f>
        <v/>
      </c>
      <c r="H64">
        <f>IF(ABS(F64)&lt;=0.01,"Correct",IF(F64&lt;0,"Underbilled","Overbilled"))</f>
        <v/>
      </c>
    </row>
    <row r="65">
      <c r="A65" t="inlineStr">
        <is>
          <t>INV0001555</t>
        </is>
      </c>
      <c r="B65" t="inlineStr">
        <is>
          <t>MER00074</t>
        </is>
      </c>
      <c r="C65">
        <f>XLOOKUP(B65,Merchants!$A$4:$A$1000,Merchants!$B$4:$B$1000,"Not found")</f>
        <v/>
      </c>
      <c r="D65">
        <f>XLOOKUP(A65,tblInvoices[invoice_id],tblInvoices[expected_fee])</f>
        <v/>
      </c>
      <c r="E65">
        <f>XLOOKUP(A65,tblInvoices[invoice_id],tblInvoices[billed_fee])</f>
        <v/>
      </c>
      <c r="F65">
        <f>E65-D65</f>
        <v/>
      </c>
      <c r="G65">
        <f>IF(D65=0,0,ROUND(100*F65/D65,2))</f>
        <v/>
      </c>
      <c r="H65">
        <f>IF(ABS(F65)&lt;=0.01,"Correct",IF(F65&lt;0,"Underbilled","Overbilled"))</f>
        <v/>
      </c>
    </row>
    <row r="66">
      <c r="A66" t="inlineStr">
        <is>
          <t>INV0001556</t>
        </is>
      </c>
      <c r="B66" t="inlineStr">
        <is>
          <t>MER00074</t>
        </is>
      </c>
      <c r="C66">
        <f>XLOOKUP(B66,Merchants!$A$4:$A$1000,Merchants!$B$4:$B$1000,"Not found")</f>
        <v/>
      </c>
      <c r="D66">
        <f>XLOOKUP(A66,tblInvoices[invoice_id],tblInvoices[expected_fee])</f>
        <v/>
      </c>
      <c r="E66">
        <f>XLOOKUP(A66,tblInvoices[invoice_id],tblInvoices[billed_fee])</f>
        <v/>
      </c>
      <c r="F66">
        <f>E66-D66</f>
        <v/>
      </c>
      <c r="G66">
        <f>IF(D66=0,0,ROUND(100*F66/D66,2))</f>
        <v/>
      </c>
      <c r="H66">
        <f>IF(ABS(F66)&lt;=0.01,"Correct",IF(F66&lt;0,"Underbilled","Overbilled"))</f>
        <v/>
      </c>
    </row>
    <row r="67">
      <c r="A67" t="inlineStr">
        <is>
          <t>INV0001557</t>
        </is>
      </c>
      <c r="B67" t="inlineStr">
        <is>
          <t>MER00074</t>
        </is>
      </c>
      <c r="C67">
        <f>XLOOKUP(B67,Merchants!$A$4:$A$1000,Merchants!$B$4:$B$1000,"Not found")</f>
        <v/>
      </c>
      <c r="D67">
        <f>XLOOKUP(A67,tblInvoices[invoice_id],tblInvoices[expected_fee])</f>
        <v/>
      </c>
      <c r="E67">
        <f>XLOOKUP(A67,tblInvoices[invoice_id],tblInvoices[billed_fee])</f>
        <v/>
      </c>
      <c r="F67">
        <f>E67-D67</f>
        <v/>
      </c>
      <c r="G67">
        <f>IF(D67=0,0,ROUND(100*F67/D67,2))</f>
        <v/>
      </c>
      <c r="H67">
        <f>IF(ABS(F67)&lt;=0.01,"Correct",IF(F67&lt;0,"Underbilled","Overbilled"))</f>
        <v/>
      </c>
    </row>
    <row r="68">
      <c r="A68" t="inlineStr">
        <is>
          <t>INV0001558</t>
        </is>
      </c>
      <c r="B68" t="inlineStr">
        <is>
          <t>MER00074</t>
        </is>
      </c>
      <c r="C68">
        <f>XLOOKUP(B68,Merchants!$A$4:$A$1000,Merchants!$B$4:$B$1000,"Not found")</f>
        <v/>
      </c>
      <c r="D68">
        <f>XLOOKUP(A68,tblInvoices[invoice_id],tblInvoices[expected_fee])</f>
        <v/>
      </c>
      <c r="E68">
        <f>XLOOKUP(A68,tblInvoices[invoice_id],tblInvoices[billed_fee])</f>
        <v/>
      </c>
      <c r="F68">
        <f>E68-D68</f>
        <v/>
      </c>
      <c r="G68">
        <f>IF(D68=0,0,ROUND(100*F68/D68,2))</f>
        <v/>
      </c>
      <c r="H68">
        <f>IF(ABS(F68)&lt;=0.01,"Correct",IF(F68&lt;0,"Underbilled","Overbilled"))</f>
        <v/>
      </c>
    </row>
    <row r="69">
      <c r="A69" t="inlineStr">
        <is>
          <t>INV0001559</t>
        </is>
      </c>
      <c r="B69" t="inlineStr">
        <is>
          <t>MER00074</t>
        </is>
      </c>
      <c r="C69">
        <f>XLOOKUP(B69,Merchants!$A$4:$A$1000,Merchants!$B$4:$B$1000,"Not found")</f>
        <v/>
      </c>
      <c r="D69">
        <f>XLOOKUP(A69,tblInvoices[invoice_id],tblInvoices[expected_fee])</f>
        <v/>
      </c>
      <c r="E69">
        <f>XLOOKUP(A69,tblInvoices[invoice_id],tblInvoices[billed_fee])</f>
        <v/>
      </c>
      <c r="F69">
        <f>E69-D69</f>
        <v/>
      </c>
      <c r="G69">
        <f>IF(D69=0,0,ROUND(100*F69/D69,2))</f>
        <v/>
      </c>
      <c r="H69">
        <f>IF(ABS(F69)&lt;=0.01,"Correct",IF(F69&lt;0,"Underbilled","Overbilled"))</f>
        <v/>
      </c>
    </row>
    <row r="70">
      <c r="A70" t="inlineStr">
        <is>
          <t>INV0001560</t>
        </is>
      </c>
      <c r="B70" t="inlineStr">
        <is>
          <t>MER00074</t>
        </is>
      </c>
      <c r="C70">
        <f>XLOOKUP(B70,Merchants!$A$4:$A$1000,Merchants!$B$4:$B$1000,"Not found")</f>
        <v/>
      </c>
      <c r="D70">
        <f>XLOOKUP(A70,tblInvoices[invoice_id],tblInvoices[expected_fee])</f>
        <v/>
      </c>
      <c r="E70">
        <f>XLOOKUP(A70,tblInvoices[invoice_id],tblInvoices[billed_fee])</f>
        <v/>
      </c>
      <c r="F70">
        <f>E70-D70</f>
        <v/>
      </c>
      <c r="G70">
        <f>IF(D70=0,0,ROUND(100*F70/D70,2))</f>
        <v/>
      </c>
      <c r="H70">
        <f>IF(ABS(F70)&lt;=0.01,"Correct",IF(F70&lt;0,"Underbilled","Overbilled"))</f>
        <v/>
      </c>
    </row>
    <row r="71">
      <c r="A71" t="inlineStr">
        <is>
          <t>INV0001561</t>
        </is>
      </c>
      <c r="B71" t="inlineStr">
        <is>
          <t>MER00074</t>
        </is>
      </c>
      <c r="C71">
        <f>XLOOKUP(B71,Merchants!$A$4:$A$1000,Merchants!$B$4:$B$1000,"Not found")</f>
        <v/>
      </c>
      <c r="D71">
        <f>XLOOKUP(A71,tblInvoices[invoice_id],tblInvoices[expected_fee])</f>
        <v/>
      </c>
      <c r="E71">
        <f>XLOOKUP(A71,tblInvoices[invoice_id],tblInvoices[billed_fee])</f>
        <v/>
      </c>
      <c r="F71">
        <f>E71-D71</f>
        <v/>
      </c>
      <c r="G71">
        <f>IF(D71=0,0,ROUND(100*F71/D71,2))</f>
        <v/>
      </c>
      <c r="H71">
        <f>IF(ABS(F71)&lt;=0.01,"Correct",IF(F71&lt;0,"Underbilled","Overbilled"))</f>
        <v/>
      </c>
    </row>
    <row r="72">
      <c r="A72" t="inlineStr">
        <is>
          <t>INV0001562</t>
        </is>
      </c>
      <c r="B72" t="inlineStr">
        <is>
          <t>MER00074</t>
        </is>
      </c>
      <c r="C72">
        <f>XLOOKUP(B72,Merchants!$A$4:$A$1000,Merchants!$B$4:$B$1000,"Not found")</f>
        <v/>
      </c>
      <c r="D72">
        <f>XLOOKUP(A72,tblInvoices[invoice_id],tblInvoices[expected_fee])</f>
        <v/>
      </c>
      <c r="E72">
        <f>XLOOKUP(A72,tblInvoices[invoice_id],tblInvoices[billed_fee])</f>
        <v/>
      </c>
      <c r="F72">
        <f>E72-D72</f>
        <v/>
      </c>
      <c r="G72">
        <f>IF(D72=0,0,ROUND(100*F72/D72,2))</f>
        <v/>
      </c>
      <c r="H72">
        <f>IF(ABS(F72)&lt;=0.01,"Correct",IF(F72&lt;0,"Underbilled","Overbilled"))</f>
        <v/>
      </c>
    </row>
    <row r="73">
      <c r="A73" t="inlineStr">
        <is>
          <t>INV0001610</t>
        </is>
      </c>
      <c r="B73" t="inlineStr">
        <is>
          <t>MER00077</t>
        </is>
      </c>
      <c r="C73">
        <f>XLOOKUP(B73,Merchants!$A$4:$A$1000,Merchants!$B$4:$B$1000,"Not found")</f>
        <v/>
      </c>
      <c r="D73">
        <f>XLOOKUP(A73,tblInvoices[invoice_id],tblInvoices[expected_fee])</f>
        <v/>
      </c>
      <c r="E73">
        <f>XLOOKUP(A73,tblInvoices[invoice_id],tblInvoices[billed_fee])</f>
        <v/>
      </c>
      <c r="F73">
        <f>E73-D73</f>
        <v/>
      </c>
      <c r="G73">
        <f>IF(D73=0,0,ROUND(100*F73/D73,2))</f>
        <v/>
      </c>
      <c r="H73">
        <f>IF(ABS(F73)&lt;=0.01,"Correct",IF(F73&lt;0,"Underbilled","Overbilled"))</f>
        <v/>
      </c>
    </row>
    <row r="74">
      <c r="A74" t="inlineStr">
        <is>
          <t>INV0001611</t>
        </is>
      </c>
      <c r="B74" t="inlineStr">
        <is>
          <t>MER00077</t>
        </is>
      </c>
      <c r="C74">
        <f>XLOOKUP(B74,Merchants!$A$4:$A$1000,Merchants!$B$4:$B$1000,"Not found")</f>
        <v/>
      </c>
      <c r="D74">
        <f>XLOOKUP(A74,tblInvoices[invoice_id],tblInvoices[expected_fee])</f>
        <v/>
      </c>
      <c r="E74">
        <f>XLOOKUP(A74,tblInvoices[invoice_id],tblInvoices[billed_fee])</f>
        <v/>
      </c>
      <c r="F74">
        <f>E74-D74</f>
        <v/>
      </c>
      <c r="G74">
        <f>IF(D74=0,0,ROUND(100*F74/D74,2))</f>
        <v/>
      </c>
      <c r="H74">
        <f>IF(ABS(F74)&lt;=0.01,"Correct",IF(F74&lt;0,"Underbilled","Overbilled"))</f>
        <v/>
      </c>
    </row>
    <row r="75">
      <c r="A75" t="inlineStr">
        <is>
          <t>INV0001612</t>
        </is>
      </c>
      <c r="B75" t="inlineStr">
        <is>
          <t>MER00077</t>
        </is>
      </c>
      <c r="C75">
        <f>XLOOKUP(B75,Merchants!$A$4:$A$1000,Merchants!$B$4:$B$1000,"Not found")</f>
        <v/>
      </c>
      <c r="D75">
        <f>XLOOKUP(A75,tblInvoices[invoice_id],tblInvoices[expected_fee])</f>
        <v/>
      </c>
      <c r="E75">
        <f>XLOOKUP(A75,tblInvoices[invoice_id],tblInvoices[billed_fee])</f>
        <v/>
      </c>
      <c r="F75">
        <f>E75-D75</f>
        <v/>
      </c>
      <c r="G75">
        <f>IF(D75=0,0,ROUND(100*F75/D75,2))</f>
        <v/>
      </c>
      <c r="H75">
        <f>IF(ABS(F75)&lt;=0.01,"Correct",IF(F75&lt;0,"Underbilled","Overbilled"))</f>
        <v/>
      </c>
    </row>
    <row r="76">
      <c r="A76" t="inlineStr">
        <is>
          <t>INV0001613</t>
        </is>
      </c>
      <c r="B76" t="inlineStr">
        <is>
          <t>MER00077</t>
        </is>
      </c>
      <c r="C76">
        <f>XLOOKUP(B76,Merchants!$A$4:$A$1000,Merchants!$B$4:$B$1000,"Not found")</f>
        <v/>
      </c>
      <c r="D76">
        <f>XLOOKUP(A76,tblInvoices[invoice_id],tblInvoices[expected_fee])</f>
        <v/>
      </c>
      <c r="E76">
        <f>XLOOKUP(A76,tblInvoices[invoice_id],tblInvoices[billed_fee])</f>
        <v/>
      </c>
      <c r="F76">
        <f>E76-D76</f>
        <v/>
      </c>
      <c r="G76">
        <f>IF(D76=0,0,ROUND(100*F76/D76,2))</f>
        <v/>
      </c>
      <c r="H76">
        <f>IF(ABS(F76)&lt;=0.01,"Correct",IF(F76&lt;0,"Underbilled","Overbilled"))</f>
        <v/>
      </c>
    </row>
    <row r="77">
      <c r="A77" t="inlineStr">
        <is>
          <t>INV0001614</t>
        </is>
      </c>
      <c r="B77" t="inlineStr">
        <is>
          <t>MER00077</t>
        </is>
      </c>
      <c r="C77">
        <f>XLOOKUP(B77,Merchants!$A$4:$A$1000,Merchants!$B$4:$B$1000,"Not found")</f>
        <v/>
      </c>
      <c r="D77">
        <f>XLOOKUP(A77,tblInvoices[invoice_id],tblInvoices[expected_fee])</f>
        <v/>
      </c>
      <c r="E77">
        <f>XLOOKUP(A77,tblInvoices[invoice_id],tblInvoices[billed_fee])</f>
        <v/>
      </c>
      <c r="F77">
        <f>E77-D77</f>
        <v/>
      </c>
      <c r="G77">
        <f>IF(D77=0,0,ROUND(100*F77/D77,2))</f>
        <v/>
      </c>
      <c r="H77">
        <f>IF(ABS(F77)&lt;=0.01,"Correct",IF(F77&lt;0,"Underbilled","Overbilled"))</f>
        <v/>
      </c>
    </row>
    <row r="78">
      <c r="A78" t="inlineStr">
        <is>
          <t>INV0001615</t>
        </is>
      </c>
      <c r="B78" t="inlineStr">
        <is>
          <t>MER00077</t>
        </is>
      </c>
      <c r="C78">
        <f>XLOOKUP(B78,Merchants!$A$4:$A$1000,Merchants!$B$4:$B$1000,"Not found")</f>
        <v/>
      </c>
      <c r="D78">
        <f>XLOOKUP(A78,tblInvoices[invoice_id],tblInvoices[expected_fee])</f>
        <v/>
      </c>
      <c r="E78">
        <f>XLOOKUP(A78,tblInvoices[invoice_id],tblInvoices[billed_fee])</f>
        <v/>
      </c>
      <c r="F78">
        <f>E78-D78</f>
        <v/>
      </c>
      <c r="G78">
        <f>IF(D78=0,0,ROUND(100*F78/D78,2))</f>
        <v/>
      </c>
      <c r="H78">
        <f>IF(ABS(F78)&lt;=0.01,"Correct",IF(F78&lt;0,"Underbilled","Overbilled"))</f>
        <v/>
      </c>
    </row>
    <row r="79">
      <c r="A79" t="inlineStr">
        <is>
          <t>INV0001616</t>
        </is>
      </c>
      <c r="B79" t="inlineStr">
        <is>
          <t>MER00077</t>
        </is>
      </c>
      <c r="C79">
        <f>XLOOKUP(B79,Merchants!$A$4:$A$1000,Merchants!$B$4:$B$1000,"Not found")</f>
        <v/>
      </c>
      <c r="D79">
        <f>XLOOKUP(A79,tblInvoices[invoice_id],tblInvoices[expected_fee])</f>
        <v/>
      </c>
      <c r="E79">
        <f>XLOOKUP(A79,tblInvoices[invoice_id],tblInvoices[billed_fee])</f>
        <v/>
      </c>
      <c r="F79">
        <f>E79-D79</f>
        <v/>
      </c>
      <c r="G79">
        <f>IF(D79=0,0,ROUND(100*F79/D79,2))</f>
        <v/>
      </c>
      <c r="H79">
        <f>IF(ABS(F79)&lt;=0.01,"Correct",IF(F79&lt;0,"Underbilled","Overbilled"))</f>
        <v/>
      </c>
    </row>
    <row r="80">
      <c r="A80" t="inlineStr">
        <is>
          <t>INV0001617</t>
        </is>
      </c>
      <c r="B80" t="inlineStr">
        <is>
          <t>MER00077</t>
        </is>
      </c>
      <c r="C80">
        <f>XLOOKUP(B80,Merchants!$A$4:$A$1000,Merchants!$B$4:$B$1000,"Not found")</f>
        <v/>
      </c>
      <c r="D80">
        <f>XLOOKUP(A80,tblInvoices[invoice_id],tblInvoices[expected_fee])</f>
        <v/>
      </c>
      <c r="E80">
        <f>XLOOKUP(A80,tblInvoices[invoice_id],tblInvoices[billed_fee])</f>
        <v/>
      </c>
      <c r="F80">
        <f>E80-D80</f>
        <v/>
      </c>
      <c r="G80">
        <f>IF(D80=0,0,ROUND(100*F80/D80,2))</f>
        <v/>
      </c>
      <c r="H80">
        <f>IF(ABS(F80)&lt;=0.01,"Correct",IF(F80&lt;0,"Underbilled","Overbilled"))</f>
        <v/>
      </c>
    </row>
    <row r="81">
      <c r="A81" t="inlineStr">
        <is>
          <t>INV0001618</t>
        </is>
      </c>
      <c r="B81" t="inlineStr">
        <is>
          <t>MER00077</t>
        </is>
      </c>
      <c r="C81">
        <f>XLOOKUP(B81,Merchants!$A$4:$A$1000,Merchants!$B$4:$B$1000,"Not found")</f>
        <v/>
      </c>
      <c r="D81">
        <f>XLOOKUP(A81,tblInvoices[invoice_id],tblInvoices[expected_fee])</f>
        <v/>
      </c>
      <c r="E81">
        <f>XLOOKUP(A81,tblInvoices[invoice_id],tblInvoices[billed_fee])</f>
        <v/>
      </c>
      <c r="F81">
        <f>E81-D81</f>
        <v/>
      </c>
      <c r="G81">
        <f>IF(D81=0,0,ROUND(100*F81/D81,2))</f>
        <v/>
      </c>
      <c r="H81">
        <f>IF(ABS(F81)&lt;=0.01,"Correct",IF(F81&lt;0,"Underbilled","Overbilled"))</f>
        <v/>
      </c>
    </row>
    <row r="82">
      <c r="A82" t="inlineStr">
        <is>
          <t>INV0001619</t>
        </is>
      </c>
      <c r="B82" t="inlineStr">
        <is>
          <t>MER00077</t>
        </is>
      </c>
      <c r="C82">
        <f>XLOOKUP(B82,Merchants!$A$4:$A$1000,Merchants!$B$4:$B$1000,"Not found")</f>
        <v/>
      </c>
      <c r="D82">
        <f>XLOOKUP(A82,tblInvoices[invoice_id],tblInvoices[expected_fee])</f>
        <v/>
      </c>
      <c r="E82">
        <f>XLOOKUP(A82,tblInvoices[invoice_id],tblInvoices[billed_fee])</f>
        <v/>
      </c>
      <c r="F82">
        <f>E82-D82</f>
        <v/>
      </c>
      <c r="G82">
        <f>IF(D82=0,0,ROUND(100*F82/D82,2))</f>
        <v/>
      </c>
      <c r="H82">
        <f>IF(ABS(F82)&lt;=0.01,"Correct",IF(F82&lt;0,"Underbilled","Overbilled"))</f>
        <v/>
      </c>
    </row>
    <row r="83">
      <c r="A83" t="inlineStr">
        <is>
          <t>INV0001620</t>
        </is>
      </c>
      <c r="B83" t="inlineStr">
        <is>
          <t>MER00077</t>
        </is>
      </c>
      <c r="C83">
        <f>XLOOKUP(B83,Merchants!$A$4:$A$1000,Merchants!$B$4:$B$1000,"Not found")</f>
        <v/>
      </c>
      <c r="D83">
        <f>XLOOKUP(A83,tblInvoices[invoice_id],tblInvoices[expected_fee])</f>
        <v/>
      </c>
      <c r="E83">
        <f>XLOOKUP(A83,tblInvoices[invoice_id],tblInvoices[billed_fee])</f>
        <v/>
      </c>
      <c r="F83">
        <f>E83-D83</f>
        <v/>
      </c>
      <c r="G83">
        <f>IF(D83=0,0,ROUND(100*F83/D83,2))</f>
        <v/>
      </c>
      <c r="H83">
        <f>IF(ABS(F83)&lt;=0.01,"Correct",IF(F83&lt;0,"Underbilled","Overbilled"))</f>
        <v/>
      </c>
    </row>
    <row r="84">
      <c r="A84" t="inlineStr">
        <is>
          <t>INV0001621</t>
        </is>
      </c>
      <c r="B84" t="inlineStr">
        <is>
          <t>MER00077</t>
        </is>
      </c>
      <c r="C84">
        <f>XLOOKUP(B84,Merchants!$A$4:$A$1000,Merchants!$B$4:$B$1000,"Not found")</f>
        <v/>
      </c>
      <c r="D84">
        <f>XLOOKUP(A84,tblInvoices[invoice_id],tblInvoices[expected_fee])</f>
        <v/>
      </c>
      <c r="E84">
        <f>XLOOKUP(A84,tblInvoices[invoice_id],tblInvoices[billed_fee])</f>
        <v/>
      </c>
      <c r="F84">
        <f>E84-D84</f>
        <v/>
      </c>
      <c r="G84">
        <f>IF(D84=0,0,ROUND(100*F84/D84,2))</f>
        <v/>
      </c>
      <c r="H84">
        <f>IF(ABS(F84)&lt;=0.01,"Correct",IF(F84&lt;0,"Underbilled","Overbilled"))</f>
        <v/>
      </c>
    </row>
    <row r="85">
      <c r="A85" t="inlineStr">
        <is>
          <t>INV0001622</t>
        </is>
      </c>
      <c r="B85" t="inlineStr">
        <is>
          <t>MER00077</t>
        </is>
      </c>
      <c r="C85">
        <f>XLOOKUP(B85,Merchants!$A$4:$A$1000,Merchants!$B$4:$B$1000,"Not found")</f>
        <v/>
      </c>
      <c r="D85">
        <f>XLOOKUP(A85,tblInvoices[invoice_id],tblInvoices[expected_fee])</f>
        <v/>
      </c>
      <c r="E85">
        <f>XLOOKUP(A85,tblInvoices[invoice_id],tblInvoices[billed_fee])</f>
        <v/>
      </c>
      <c r="F85">
        <f>E85-D85</f>
        <v/>
      </c>
      <c r="G85">
        <f>IF(D85=0,0,ROUND(100*F85/D85,2))</f>
        <v/>
      </c>
      <c r="H85">
        <f>IF(ABS(F85)&lt;=0.01,"Correct",IF(F85&lt;0,"Underbilled","Overbilled"))</f>
        <v/>
      </c>
    </row>
    <row r="86">
      <c r="A86" t="inlineStr">
        <is>
          <t>INV0001623</t>
        </is>
      </c>
      <c r="B86" t="inlineStr">
        <is>
          <t>MER00077</t>
        </is>
      </c>
      <c r="C86">
        <f>XLOOKUP(B86,Merchants!$A$4:$A$1000,Merchants!$B$4:$B$1000,"Not found")</f>
        <v/>
      </c>
      <c r="D86">
        <f>XLOOKUP(A86,tblInvoices[invoice_id],tblInvoices[expected_fee])</f>
        <v/>
      </c>
      <c r="E86">
        <f>XLOOKUP(A86,tblInvoices[invoice_id],tblInvoices[billed_fee])</f>
        <v/>
      </c>
      <c r="F86">
        <f>E86-D86</f>
        <v/>
      </c>
      <c r="G86">
        <f>IF(D86=0,0,ROUND(100*F86/D86,2))</f>
        <v/>
      </c>
      <c r="H86">
        <f>IF(ABS(F86)&lt;=0.01,"Correct",IF(F86&lt;0,"Underbilled","Overbilled"))</f>
        <v/>
      </c>
    </row>
    <row r="87">
      <c r="A87" t="inlineStr">
        <is>
          <t>INV0001624</t>
        </is>
      </c>
      <c r="B87" t="inlineStr">
        <is>
          <t>MER00077</t>
        </is>
      </c>
      <c r="C87">
        <f>XLOOKUP(B87,Merchants!$A$4:$A$1000,Merchants!$B$4:$B$1000,"Not found")</f>
        <v/>
      </c>
      <c r="D87">
        <f>XLOOKUP(A87,tblInvoices[invoice_id],tblInvoices[expected_fee])</f>
        <v/>
      </c>
      <c r="E87">
        <f>XLOOKUP(A87,tblInvoices[invoice_id],tblInvoices[billed_fee])</f>
        <v/>
      </c>
      <c r="F87">
        <f>E87-D87</f>
        <v/>
      </c>
      <c r="G87">
        <f>IF(D87=0,0,ROUND(100*F87/D87,2))</f>
        <v/>
      </c>
      <c r="H87">
        <f>IF(ABS(F87)&lt;=0.01,"Correct",IF(F87&lt;0,"Underbilled","Overbilled"))</f>
        <v/>
      </c>
    </row>
    <row r="88">
      <c r="A88" t="inlineStr">
        <is>
          <t>INV0001625</t>
        </is>
      </c>
      <c r="B88" t="inlineStr">
        <is>
          <t>MER00077</t>
        </is>
      </c>
      <c r="C88">
        <f>XLOOKUP(B88,Merchants!$A$4:$A$1000,Merchants!$B$4:$B$1000,"Not found")</f>
        <v/>
      </c>
      <c r="D88">
        <f>XLOOKUP(A88,tblInvoices[invoice_id],tblInvoices[expected_fee])</f>
        <v/>
      </c>
      <c r="E88">
        <f>XLOOKUP(A88,tblInvoices[invoice_id],tblInvoices[billed_fee])</f>
        <v/>
      </c>
      <c r="F88">
        <f>E88-D88</f>
        <v/>
      </c>
      <c r="G88">
        <f>IF(D88=0,0,ROUND(100*F88/D88,2))</f>
        <v/>
      </c>
      <c r="H88">
        <f>IF(ABS(F88)&lt;=0.01,"Correct",IF(F88&lt;0,"Underbilled","Overbilled"))</f>
        <v/>
      </c>
    </row>
    <row r="89">
      <c r="A89" t="inlineStr">
        <is>
          <t>INV0001626</t>
        </is>
      </c>
      <c r="B89" t="inlineStr">
        <is>
          <t>MER00077</t>
        </is>
      </c>
      <c r="C89">
        <f>XLOOKUP(B89,Merchants!$A$4:$A$1000,Merchants!$B$4:$B$1000,"Not found")</f>
        <v/>
      </c>
      <c r="D89">
        <f>XLOOKUP(A89,tblInvoices[invoice_id],tblInvoices[expected_fee])</f>
        <v/>
      </c>
      <c r="E89">
        <f>XLOOKUP(A89,tblInvoices[invoice_id],tblInvoices[billed_fee])</f>
        <v/>
      </c>
      <c r="F89">
        <f>E89-D89</f>
        <v/>
      </c>
      <c r="G89">
        <f>IF(D89=0,0,ROUND(100*F89/D89,2))</f>
        <v/>
      </c>
      <c r="H89">
        <f>IF(ABS(F89)&lt;=0.01,"Correct",IF(F89&lt;0,"Underbilled","Overbilled"))</f>
        <v/>
      </c>
    </row>
    <row r="90">
      <c r="A90" t="inlineStr">
        <is>
          <t>INV0001627</t>
        </is>
      </c>
      <c r="B90" t="inlineStr">
        <is>
          <t>MER00077</t>
        </is>
      </c>
      <c r="C90">
        <f>XLOOKUP(B90,Merchants!$A$4:$A$1000,Merchants!$B$4:$B$1000,"Not found")</f>
        <v/>
      </c>
      <c r="D90">
        <f>XLOOKUP(A90,tblInvoices[invoice_id],tblInvoices[expected_fee])</f>
        <v/>
      </c>
      <c r="E90">
        <f>XLOOKUP(A90,tblInvoices[invoice_id],tblInvoices[billed_fee])</f>
        <v/>
      </c>
      <c r="F90">
        <f>E90-D90</f>
        <v/>
      </c>
      <c r="G90">
        <f>IF(D90=0,0,ROUND(100*F90/D90,2))</f>
        <v/>
      </c>
      <c r="H90">
        <f>IF(ABS(F90)&lt;=0.01,"Correct",IF(F90&lt;0,"Underbilled","Overbilled"))</f>
        <v/>
      </c>
    </row>
    <row r="91">
      <c r="A91" t="inlineStr">
        <is>
          <t>INV0001628</t>
        </is>
      </c>
      <c r="B91" t="inlineStr">
        <is>
          <t>MER00077</t>
        </is>
      </c>
      <c r="C91">
        <f>XLOOKUP(B91,Merchants!$A$4:$A$1000,Merchants!$B$4:$B$1000,"Not found")</f>
        <v/>
      </c>
      <c r="D91">
        <f>XLOOKUP(A91,tblInvoices[invoice_id],tblInvoices[expected_fee])</f>
        <v/>
      </c>
      <c r="E91">
        <f>XLOOKUP(A91,tblInvoices[invoice_id],tblInvoices[billed_fee])</f>
        <v/>
      </c>
      <c r="F91">
        <f>E91-D91</f>
        <v/>
      </c>
      <c r="G91">
        <f>IF(D91=0,0,ROUND(100*F91/D91,2))</f>
        <v/>
      </c>
      <c r="H91">
        <f>IF(ABS(F91)&lt;=0.01,"Correct",IF(F91&lt;0,"Underbilled","Overbilled"))</f>
        <v/>
      </c>
    </row>
    <row r="92">
      <c r="A92" t="inlineStr">
        <is>
          <t>INV0001629</t>
        </is>
      </c>
      <c r="B92" t="inlineStr">
        <is>
          <t>MER00077</t>
        </is>
      </c>
      <c r="C92">
        <f>XLOOKUP(B92,Merchants!$A$4:$A$1000,Merchants!$B$4:$B$1000,"Not found")</f>
        <v/>
      </c>
      <c r="D92">
        <f>XLOOKUP(A92,tblInvoices[invoice_id],tblInvoices[expected_fee])</f>
        <v/>
      </c>
      <c r="E92">
        <f>XLOOKUP(A92,tblInvoices[invoice_id],tblInvoices[billed_fee])</f>
        <v/>
      </c>
      <c r="F92">
        <f>E92-D92</f>
        <v/>
      </c>
      <c r="G92">
        <f>IF(D92=0,0,ROUND(100*F92/D92,2))</f>
        <v/>
      </c>
      <c r="H92">
        <f>IF(ABS(F92)&lt;=0.01,"Correct",IF(F92&lt;0,"Underbilled","Overbilled"))</f>
        <v/>
      </c>
    </row>
    <row r="93">
      <c r="A93" t="inlineStr">
        <is>
          <t>INV0001630</t>
        </is>
      </c>
      <c r="B93" t="inlineStr">
        <is>
          <t>MER00077</t>
        </is>
      </c>
      <c r="C93">
        <f>XLOOKUP(B93,Merchants!$A$4:$A$1000,Merchants!$B$4:$B$1000,"Not found")</f>
        <v/>
      </c>
      <c r="D93">
        <f>XLOOKUP(A93,tblInvoices[invoice_id],tblInvoices[expected_fee])</f>
        <v/>
      </c>
      <c r="E93">
        <f>XLOOKUP(A93,tblInvoices[invoice_id],tblInvoices[billed_fee])</f>
        <v/>
      </c>
      <c r="F93">
        <f>E93-D93</f>
        <v/>
      </c>
      <c r="G93">
        <f>IF(D93=0,0,ROUND(100*F93/D93,2))</f>
        <v/>
      </c>
      <c r="H93">
        <f>IF(ABS(F93)&lt;=0.01,"Correct",IF(F93&lt;0,"Underbilled","Overbilled"))</f>
        <v/>
      </c>
    </row>
    <row r="94">
      <c r="A94" t="inlineStr">
        <is>
          <t>INV0001631</t>
        </is>
      </c>
      <c r="B94" t="inlineStr">
        <is>
          <t>MER00077</t>
        </is>
      </c>
      <c r="C94">
        <f>XLOOKUP(B94,Merchants!$A$4:$A$1000,Merchants!$B$4:$B$1000,"Not found")</f>
        <v/>
      </c>
      <c r="D94">
        <f>XLOOKUP(A94,tblInvoices[invoice_id],tblInvoices[expected_fee])</f>
        <v/>
      </c>
      <c r="E94">
        <f>XLOOKUP(A94,tblInvoices[invoice_id],tblInvoices[billed_fee])</f>
        <v/>
      </c>
      <c r="F94">
        <f>E94-D94</f>
        <v/>
      </c>
      <c r="G94">
        <f>IF(D94=0,0,ROUND(100*F94/D94,2))</f>
        <v/>
      </c>
      <c r="H94">
        <f>IF(ABS(F94)&lt;=0.01,"Correct",IF(F94&lt;0,"Underbilled","Overbilled"))</f>
        <v/>
      </c>
    </row>
    <row r="95">
      <c r="A95" t="inlineStr">
        <is>
          <t>INV0001632</t>
        </is>
      </c>
      <c r="B95" t="inlineStr">
        <is>
          <t>MER00077</t>
        </is>
      </c>
      <c r="C95">
        <f>XLOOKUP(B95,Merchants!$A$4:$A$1000,Merchants!$B$4:$B$1000,"Not found")</f>
        <v/>
      </c>
      <c r="D95">
        <f>XLOOKUP(A95,tblInvoices[invoice_id],tblInvoices[expected_fee])</f>
        <v/>
      </c>
      <c r="E95">
        <f>XLOOKUP(A95,tblInvoices[invoice_id],tblInvoices[billed_fee])</f>
        <v/>
      </c>
      <c r="F95">
        <f>E95-D95</f>
        <v/>
      </c>
      <c r="G95">
        <f>IF(D95=0,0,ROUND(100*F95/D95,2))</f>
        <v/>
      </c>
      <c r="H95">
        <f>IF(ABS(F95)&lt;=0.01,"Correct",IF(F95&lt;0,"Underbilled","Overbilled"))</f>
        <v/>
      </c>
    </row>
    <row r="96">
      <c r="A96" t="inlineStr">
        <is>
          <t>INV0001633</t>
        </is>
      </c>
      <c r="B96" t="inlineStr">
        <is>
          <t>MER00077</t>
        </is>
      </c>
      <c r="C96">
        <f>XLOOKUP(B96,Merchants!$A$4:$A$1000,Merchants!$B$4:$B$1000,"Not found")</f>
        <v/>
      </c>
      <c r="D96">
        <f>XLOOKUP(A96,tblInvoices[invoice_id],tblInvoices[expected_fee])</f>
        <v/>
      </c>
      <c r="E96">
        <f>XLOOKUP(A96,tblInvoices[invoice_id],tblInvoices[billed_fee])</f>
        <v/>
      </c>
      <c r="F96">
        <f>E96-D96</f>
        <v/>
      </c>
      <c r="G96">
        <f>IF(D96=0,0,ROUND(100*F96/D96,2))</f>
        <v/>
      </c>
      <c r="H96">
        <f>IF(ABS(F96)&lt;=0.01,"Correct",IF(F96&lt;0,"Underbilled","Overbilled"))</f>
        <v/>
      </c>
    </row>
    <row r="97">
      <c r="A97" t="inlineStr">
        <is>
          <t>INV0002946</t>
        </is>
      </c>
      <c r="B97" t="inlineStr">
        <is>
          <t>MER00139</t>
        </is>
      </c>
      <c r="C97">
        <f>XLOOKUP(B97,Merchants!$A$4:$A$1000,Merchants!$B$4:$B$1000,"Not found")</f>
        <v/>
      </c>
      <c r="D97">
        <f>XLOOKUP(A97,tblInvoices[invoice_id],tblInvoices[expected_fee])</f>
        <v/>
      </c>
      <c r="E97">
        <f>XLOOKUP(A97,tblInvoices[invoice_id],tblInvoices[billed_fee])</f>
        <v/>
      </c>
      <c r="F97">
        <f>E97-D97</f>
        <v/>
      </c>
      <c r="G97">
        <f>IF(D97=0,0,ROUND(100*F97/D97,2))</f>
        <v/>
      </c>
      <c r="H97">
        <f>IF(ABS(F97)&lt;=0.01,"Correct",IF(F97&lt;0,"Underbilled","Overbilled"))</f>
        <v/>
      </c>
    </row>
    <row r="98">
      <c r="A98" t="inlineStr">
        <is>
          <t>INV0002947</t>
        </is>
      </c>
      <c r="B98" t="inlineStr">
        <is>
          <t>MER00139</t>
        </is>
      </c>
      <c r="C98">
        <f>XLOOKUP(B98,Merchants!$A$4:$A$1000,Merchants!$B$4:$B$1000,"Not found")</f>
        <v/>
      </c>
      <c r="D98">
        <f>XLOOKUP(A98,tblInvoices[invoice_id],tblInvoices[expected_fee])</f>
        <v/>
      </c>
      <c r="E98">
        <f>XLOOKUP(A98,tblInvoices[invoice_id],tblInvoices[billed_fee])</f>
        <v/>
      </c>
      <c r="F98">
        <f>E98-D98</f>
        <v/>
      </c>
      <c r="G98">
        <f>IF(D98=0,0,ROUND(100*F98/D98,2))</f>
        <v/>
      </c>
      <c r="H98">
        <f>IF(ABS(F98)&lt;=0.01,"Correct",IF(F98&lt;0,"Underbilled","Overbilled"))</f>
        <v/>
      </c>
    </row>
    <row r="99">
      <c r="A99" t="inlineStr">
        <is>
          <t>INV0002948</t>
        </is>
      </c>
      <c r="B99" t="inlineStr">
        <is>
          <t>MER00139</t>
        </is>
      </c>
      <c r="C99">
        <f>XLOOKUP(B99,Merchants!$A$4:$A$1000,Merchants!$B$4:$B$1000,"Not found")</f>
        <v/>
      </c>
      <c r="D99">
        <f>XLOOKUP(A99,tblInvoices[invoice_id],tblInvoices[expected_fee])</f>
        <v/>
      </c>
      <c r="E99">
        <f>XLOOKUP(A99,tblInvoices[invoice_id],tblInvoices[billed_fee])</f>
        <v/>
      </c>
      <c r="F99">
        <f>E99-D99</f>
        <v/>
      </c>
      <c r="G99">
        <f>IF(D99=0,0,ROUND(100*F99/D99,2))</f>
        <v/>
      </c>
      <c r="H99">
        <f>IF(ABS(F99)&lt;=0.01,"Correct",IF(F99&lt;0,"Underbilled","Overbilled"))</f>
        <v/>
      </c>
    </row>
    <row r="100">
      <c r="A100" t="inlineStr">
        <is>
          <t>INV0002949</t>
        </is>
      </c>
      <c r="B100" t="inlineStr">
        <is>
          <t>MER00139</t>
        </is>
      </c>
      <c r="C100">
        <f>XLOOKUP(B100,Merchants!$A$4:$A$1000,Merchants!$B$4:$B$1000,"Not found")</f>
        <v/>
      </c>
      <c r="D100">
        <f>XLOOKUP(A100,tblInvoices[invoice_id],tblInvoices[expected_fee])</f>
        <v/>
      </c>
      <c r="E100">
        <f>XLOOKUP(A100,tblInvoices[invoice_id],tblInvoices[billed_fee])</f>
        <v/>
      </c>
      <c r="F100">
        <f>E100-D100</f>
        <v/>
      </c>
      <c r="G100">
        <f>IF(D100=0,0,ROUND(100*F100/D100,2))</f>
        <v/>
      </c>
      <c r="H100">
        <f>IF(ABS(F100)&lt;=0.01,"Correct",IF(F100&lt;0,"Underbilled","Overbilled"))</f>
        <v/>
      </c>
    </row>
    <row r="101">
      <c r="A101" t="inlineStr">
        <is>
          <t>INV0002950</t>
        </is>
      </c>
      <c r="B101" t="inlineStr">
        <is>
          <t>MER00139</t>
        </is>
      </c>
      <c r="C101">
        <f>XLOOKUP(B101,Merchants!$A$4:$A$1000,Merchants!$B$4:$B$1000,"Not found")</f>
        <v/>
      </c>
      <c r="D101">
        <f>XLOOKUP(A101,tblInvoices[invoice_id],tblInvoices[expected_fee])</f>
        <v/>
      </c>
      <c r="E101">
        <f>XLOOKUP(A101,tblInvoices[invoice_id],tblInvoices[billed_fee])</f>
        <v/>
      </c>
      <c r="F101">
        <f>E101-D101</f>
        <v/>
      </c>
      <c r="G101">
        <f>IF(D101=0,0,ROUND(100*F101/D101,2))</f>
        <v/>
      </c>
      <c r="H101">
        <f>IF(ABS(F101)&lt;=0.01,"Correct",IF(F101&lt;0,"Underbilled","Overbilled"))</f>
        <v/>
      </c>
    </row>
    <row r="102">
      <c r="A102" t="inlineStr">
        <is>
          <t>INV0002951</t>
        </is>
      </c>
      <c r="B102" t="inlineStr">
        <is>
          <t>MER00139</t>
        </is>
      </c>
      <c r="C102">
        <f>XLOOKUP(B102,Merchants!$A$4:$A$1000,Merchants!$B$4:$B$1000,"Not found")</f>
        <v/>
      </c>
      <c r="D102">
        <f>XLOOKUP(A102,tblInvoices[invoice_id],tblInvoices[expected_fee])</f>
        <v/>
      </c>
      <c r="E102">
        <f>XLOOKUP(A102,tblInvoices[invoice_id],tblInvoices[billed_fee])</f>
        <v/>
      </c>
      <c r="F102">
        <f>E102-D102</f>
        <v/>
      </c>
      <c r="G102">
        <f>IF(D102=0,0,ROUND(100*F102/D102,2))</f>
        <v/>
      </c>
      <c r="H102">
        <f>IF(ABS(F102)&lt;=0.01,"Correct",IF(F102&lt;0,"Underbilled","Overbilled"))</f>
        <v/>
      </c>
    </row>
    <row r="103">
      <c r="A103" t="inlineStr">
        <is>
          <t>INV0002952</t>
        </is>
      </c>
      <c r="B103" t="inlineStr">
        <is>
          <t>MER00139</t>
        </is>
      </c>
      <c r="C103">
        <f>XLOOKUP(B103,Merchants!$A$4:$A$1000,Merchants!$B$4:$B$1000,"Not found")</f>
        <v/>
      </c>
      <c r="D103">
        <f>XLOOKUP(A103,tblInvoices[invoice_id],tblInvoices[expected_fee])</f>
        <v/>
      </c>
      <c r="E103">
        <f>XLOOKUP(A103,tblInvoices[invoice_id],tblInvoices[billed_fee])</f>
        <v/>
      </c>
      <c r="F103">
        <f>E103-D103</f>
        <v/>
      </c>
      <c r="G103">
        <f>IF(D103=0,0,ROUND(100*F103/D103,2))</f>
        <v/>
      </c>
      <c r="H103">
        <f>IF(ABS(F103)&lt;=0.01,"Correct",IF(F103&lt;0,"Underbilled","Overbilled"))</f>
        <v/>
      </c>
    </row>
    <row r="104">
      <c r="A104" t="inlineStr">
        <is>
          <t>INV0002953</t>
        </is>
      </c>
      <c r="B104" t="inlineStr">
        <is>
          <t>MER00139</t>
        </is>
      </c>
      <c r="C104">
        <f>XLOOKUP(B104,Merchants!$A$4:$A$1000,Merchants!$B$4:$B$1000,"Not found")</f>
        <v/>
      </c>
      <c r="D104">
        <f>XLOOKUP(A104,tblInvoices[invoice_id],tblInvoices[expected_fee])</f>
        <v/>
      </c>
      <c r="E104">
        <f>XLOOKUP(A104,tblInvoices[invoice_id],tblInvoices[billed_fee])</f>
        <v/>
      </c>
      <c r="F104">
        <f>E104-D104</f>
        <v/>
      </c>
      <c r="G104">
        <f>IF(D104=0,0,ROUND(100*F104/D104,2))</f>
        <v/>
      </c>
      <c r="H104">
        <f>IF(ABS(F104)&lt;=0.01,"Correct",IF(F104&lt;0,"Underbilled","Overbilled"))</f>
        <v/>
      </c>
    </row>
    <row r="105">
      <c r="A105" t="inlineStr">
        <is>
          <t>INV0002954</t>
        </is>
      </c>
      <c r="B105" t="inlineStr">
        <is>
          <t>MER00139</t>
        </is>
      </c>
      <c r="C105">
        <f>XLOOKUP(B105,Merchants!$A$4:$A$1000,Merchants!$B$4:$B$1000,"Not found")</f>
        <v/>
      </c>
      <c r="D105">
        <f>XLOOKUP(A105,tblInvoices[invoice_id],tblInvoices[expected_fee])</f>
        <v/>
      </c>
      <c r="E105">
        <f>XLOOKUP(A105,tblInvoices[invoice_id],tblInvoices[billed_fee])</f>
        <v/>
      </c>
      <c r="F105">
        <f>E105-D105</f>
        <v/>
      </c>
      <c r="G105">
        <f>IF(D105=0,0,ROUND(100*F105/D105,2))</f>
        <v/>
      </c>
      <c r="H105">
        <f>IF(ABS(F105)&lt;=0.01,"Correct",IF(F105&lt;0,"Underbilled","Overbilled"))</f>
        <v/>
      </c>
    </row>
    <row r="106">
      <c r="A106" t="inlineStr">
        <is>
          <t>INV0002955</t>
        </is>
      </c>
      <c r="B106" t="inlineStr">
        <is>
          <t>MER00139</t>
        </is>
      </c>
      <c r="C106">
        <f>XLOOKUP(B106,Merchants!$A$4:$A$1000,Merchants!$B$4:$B$1000,"Not found")</f>
        <v/>
      </c>
      <c r="D106">
        <f>XLOOKUP(A106,tblInvoices[invoice_id],tblInvoices[expected_fee])</f>
        <v/>
      </c>
      <c r="E106">
        <f>XLOOKUP(A106,tblInvoices[invoice_id],tblInvoices[billed_fee])</f>
        <v/>
      </c>
      <c r="F106">
        <f>E106-D106</f>
        <v/>
      </c>
      <c r="G106">
        <f>IF(D106=0,0,ROUND(100*F106/D106,2))</f>
        <v/>
      </c>
      <c r="H106">
        <f>IF(ABS(F106)&lt;=0.01,"Correct",IF(F106&lt;0,"Underbilled","Overbilled"))</f>
        <v/>
      </c>
    </row>
    <row r="107">
      <c r="A107" t="inlineStr">
        <is>
          <t>INV0002956</t>
        </is>
      </c>
      <c r="B107" t="inlineStr">
        <is>
          <t>MER00139</t>
        </is>
      </c>
      <c r="C107">
        <f>XLOOKUP(B107,Merchants!$A$4:$A$1000,Merchants!$B$4:$B$1000,"Not found")</f>
        <v/>
      </c>
      <c r="D107">
        <f>XLOOKUP(A107,tblInvoices[invoice_id],tblInvoices[expected_fee])</f>
        <v/>
      </c>
      <c r="E107">
        <f>XLOOKUP(A107,tblInvoices[invoice_id],tblInvoices[billed_fee])</f>
        <v/>
      </c>
      <c r="F107">
        <f>E107-D107</f>
        <v/>
      </c>
      <c r="G107">
        <f>IF(D107=0,0,ROUND(100*F107/D107,2))</f>
        <v/>
      </c>
      <c r="H107">
        <f>IF(ABS(F107)&lt;=0.01,"Correct",IF(F107&lt;0,"Underbilled","Overbilled"))</f>
        <v/>
      </c>
    </row>
    <row r="108">
      <c r="A108" t="inlineStr">
        <is>
          <t>INV0002957</t>
        </is>
      </c>
      <c r="B108" t="inlineStr">
        <is>
          <t>MER00139</t>
        </is>
      </c>
      <c r="C108">
        <f>XLOOKUP(B108,Merchants!$A$4:$A$1000,Merchants!$B$4:$B$1000,"Not found")</f>
        <v/>
      </c>
      <c r="D108">
        <f>XLOOKUP(A108,tblInvoices[invoice_id],tblInvoices[expected_fee])</f>
        <v/>
      </c>
      <c r="E108">
        <f>XLOOKUP(A108,tblInvoices[invoice_id],tblInvoices[billed_fee])</f>
        <v/>
      </c>
      <c r="F108">
        <f>E108-D108</f>
        <v/>
      </c>
      <c r="G108">
        <f>IF(D108=0,0,ROUND(100*F108/D108,2))</f>
        <v/>
      </c>
      <c r="H108">
        <f>IF(ABS(F108)&lt;=0.01,"Correct",IF(F108&lt;0,"Underbilled","Overbilled"))</f>
        <v/>
      </c>
    </row>
    <row r="109">
      <c r="A109" t="inlineStr">
        <is>
          <t>INV0002958</t>
        </is>
      </c>
      <c r="B109" t="inlineStr">
        <is>
          <t>MER00139</t>
        </is>
      </c>
      <c r="C109">
        <f>XLOOKUP(B109,Merchants!$A$4:$A$1000,Merchants!$B$4:$B$1000,"Not found")</f>
        <v/>
      </c>
      <c r="D109">
        <f>XLOOKUP(A109,tblInvoices[invoice_id],tblInvoices[expected_fee])</f>
        <v/>
      </c>
      <c r="E109">
        <f>XLOOKUP(A109,tblInvoices[invoice_id],tblInvoices[billed_fee])</f>
        <v/>
      </c>
      <c r="F109">
        <f>E109-D109</f>
        <v/>
      </c>
      <c r="G109">
        <f>IF(D109=0,0,ROUND(100*F109/D109,2))</f>
        <v/>
      </c>
      <c r="H109">
        <f>IF(ABS(F109)&lt;=0.01,"Correct",IF(F109&lt;0,"Underbilled","Overbilled"))</f>
        <v/>
      </c>
    </row>
    <row r="110">
      <c r="A110" t="inlineStr">
        <is>
          <t>INV0002959</t>
        </is>
      </c>
      <c r="B110" t="inlineStr">
        <is>
          <t>MER00139</t>
        </is>
      </c>
      <c r="C110">
        <f>XLOOKUP(B110,Merchants!$A$4:$A$1000,Merchants!$B$4:$B$1000,"Not found")</f>
        <v/>
      </c>
      <c r="D110">
        <f>XLOOKUP(A110,tblInvoices[invoice_id],tblInvoices[expected_fee])</f>
        <v/>
      </c>
      <c r="E110">
        <f>XLOOKUP(A110,tblInvoices[invoice_id],tblInvoices[billed_fee])</f>
        <v/>
      </c>
      <c r="F110">
        <f>E110-D110</f>
        <v/>
      </c>
      <c r="G110">
        <f>IF(D110=0,0,ROUND(100*F110/D110,2))</f>
        <v/>
      </c>
      <c r="H110">
        <f>IF(ABS(F110)&lt;=0.01,"Correct",IF(F110&lt;0,"Underbilled","Overbilled"))</f>
        <v/>
      </c>
    </row>
    <row r="111">
      <c r="A111" t="inlineStr">
        <is>
          <t>INV0002960</t>
        </is>
      </c>
      <c r="B111" t="inlineStr">
        <is>
          <t>MER00139</t>
        </is>
      </c>
      <c r="C111">
        <f>XLOOKUP(B111,Merchants!$A$4:$A$1000,Merchants!$B$4:$B$1000,"Not found")</f>
        <v/>
      </c>
      <c r="D111">
        <f>XLOOKUP(A111,tblInvoices[invoice_id],tblInvoices[expected_fee])</f>
        <v/>
      </c>
      <c r="E111">
        <f>XLOOKUP(A111,tblInvoices[invoice_id],tblInvoices[billed_fee])</f>
        <v/>
      </c>
      <c r="F111">
        <f>E111-D111</f>
        <v/>
      </c>
      <c r="G111">
        <f>IF(D111=0,0,ROUND(100*F111/D111,2))</f>
        <v/>
      </c>
      <c r="H111">
        <f>IF(ABS(F111)&lt;=0.01,"Correct",IF(F111&lt;0,"Underbilled","Overbilled"))</f>
        <v/>
      </c>
    </row>
    <row r="112">
      <c r="A112" t="inlineStr">
        <is>
          <t>INV0002961</t>
        </is>
      </c>
      <c r="B112" t="inlineStr">
        <is>
          <t>MER00139</t>
        </is>
      </c>
      <c r="C112">
        <f>XLOOKUP(B112,Merchants!$A$4:$A$1000,Merchants!$B$4:$B$1000,"Not found")</f>
        <v/>
      </c>
      <c r="D112">
        <f>XLOOKUP(A112,tblInvoices[invoice_id],tblInvoices[expected_fee])</f>
        <v/>
      </c>
      <c r="E112">
        <f>XLOOKUP(A112,tblInvoices[invoice_id],tblInvoices[billed_fee])</f>
        <v/>
      </c>
      <c r="F112">
        <f>E112-D112</f>
        <v/>
      </c>
      <c r="G112">
        <f>IF(D112=0,0,ROUND(100*F112/D112,2))</f>
        <v/>
      </c>
      <c r="H112">
        <f>IF(ABS(F112)&lt;=0.01,"Correct",IF(F112&lt;0,"Underbilled","Overbilled"))</f>
        <v/>
      </c>
    </row>
    <row r="113">
      <c r="A113" t="inlineStr">
        <is>
          <t>INV0002962</t>
        </is>
      </c>
      <c r="B113" t="inlineStr">
        <is>
          <t>MER00139</t>
        </is>
      </c>
      <c r="C113">
        <f>XLOOKUP(B113,Merchants!$A$4:$A$1000,Merchants!$B$4:$B$1000,"Not found")</f>
        <v/>
      </c>
      <c r="D113">
        <f>XLOOKUP(A113,tblInvoices[invoice_id],tblInvoices[expected_fee])</f>
        <v/>
      </c>
      <c r="E113">
        <f>XLOOKUP(A113,tblInvoices[invoice_id],tblInvoices[billed_fee])</f>
        <v/>
      </c>
      <c r="F113">
        <f>E113-D113</f>
        <v/>
      </c>
      <c r="G113">
        <f>IF(D113=0,0,ROUND(100*F113/D113,2))</f>
        <v/>
      </c>
      <c r="H113">
        <f>IF(ABS(F113)&lt;=0.01,"Correct",IF(F113&lt;0,"Underbilled","Overbilled"))</f>
        <v/>
      </c>
    </row>
    <row r="114">
      <c r="A114" t="inlineStr">
        <is>
          <t>INV0002963</t>
        </is>
      </c>
      <c r="B114" t="inlineStr">
        <is>
          <t>MER00139</t>
        </is>
      </c>
      <c r="C114">
        <f>XLOOKUP(B114,Merchants!$A$4:$A$1000,Merchants!$B$4:$B$1000,"Not found")</f>
        <v/>
      </c>
      <c r="D114">
        <f>XLOOKUP(A114,tblInvoices[invoice_id],tblInvoices[expected_fee])</f>
        <v/>
      </c>
      <c r="E114">
        <f>XLOOKUP(A114,tblInvoices[invoice_id],tblInvoices[billed_fee])</f>
        <v/>
      </c>
      <c r="F114">
        <f>E114-D114</f>
        <v/>
      </c>
      <c r="G114">
        <f>IF(D114=0,0,ROUND(100*F114/D114,2))</f>
        <v/>
      </c>
      <c r="H114">
        <f>IF(ABS(F114)&lt;=0.01,"Correct",IF(F114&lt;0,"Underbilled","Overbilled"))</f>
        <v/>
      </c>
    </row>
    <row r="115">
      <c r="A115" t="inlineStr">
        <is>
          <t>INV0002964</t>
        </is>
      </c>
      <c r="B115" t="inlineStr">
        <is>
          <t>MER00139</t>
        </is>
      </c>
      <c r="C115">
        <f>XLOOKUP(B115,Merchants!$A$4:$A$1000,Merchants!$B$4:$B$1000,"Not found")</f>
        <v/>
      </c>
      <c r="D115">
        <f>XLOOKUP(A115,tblInvoices[invoice_id],tblInvoices[expected_fee])</f>
        <v/>
      </c>
      <c r="E115">
        <f>XLOOKUP(A115,tblInvoices[invoice_id],tblInvoices[billed_fee])</f>
        <v/>
      </c>
      <c r="F115">
        <f>E115-D115</f>
        <v/>
      </c>
      <c r="G115">
        <f>IF(D115=0,0,ROUND(100*F115/D115,2))</f>
        <v/>
      </c>
      <c r="H115">
        <f>IF(ABS(F115)&lt;=0.01,"Correct",IF(F115&lt;0,"Underbilled","Overbilled"))</f>
        <v/>
      </c>
    </row>
    <row r="116">
      <c r="A116" t="inlineStr">
        <is>
          <t>INV0002965</t>
        </is>
      </c>
      <c r="B116" t="inlineStr">
        <is>
          <t>MER00139</t>
        </is>
      </c>
      <c r="C116">
        <f>XLOOKUP(B116,Merchants!$A$4:$A$1000,Merchants!$B$4:$B$1000,"Not found")</f>
        <v/>
      </c>
      <c r="D116">
        <f>XLOOKUP(A116,tblInvoices[invoice_id],tblInvoices[expected_fee])</f>
        <v/>
      </c>
      <c r="E116">
        <f>XLOOKUP(A116,tblInvoices[invoice_id],tblInvoices[billed_fee])</f>
        <v/>
      </c>
      <c r="F116">
        <f>E116-D116</f>
        <v/>
      </c>
      <c r="G116">
        <f>IF(D116=0,0,ROUND(100*F116/D116,2))</f>
        <v/>
      </c>
      <c r="H116">
        <f>IF(ABS(F116)&lt;=0.01,"Correct",IF(F116&lt;0,"Underbilled","Overbilled"))</f>
        <v/>
      </c>
    </row>
    <row r="117">
      <c r="A117" t="inlineStr">
        <is>
          <t>INV0002966</t>
        </is>
      </c>
      <c r="B117" t="inlineStr">
        <is>
          <t>MER00139</t>
        </is>
      </c>
      <c r="C117">
        <f>XLOOKUP(B117,Merchants!$A$4:$A$1000,Merchants!$B$4:$B$1000,"Not found")</f>
        <v/>
      </c>
      <c r="D117">
        <f>XLOOKUP(A117,tblInvoices[invoice_id],tblInvoices[expected_fee])</f>
        <v/>
      </c>
      <c r="E117">
        <f>XLOOKUP(A117,tblInvoices[invoice_id],tblInvoices[billed_fee])</f>
        <v/>
      </c>
      <c r="F117">
        <f>E117-D117</f>
        <v/>
      </c>
      <c r="G117">
        <f>IF(D117=0,0,ROUND(100*F117/D117,2))</f>
        <v/>
      </c>
      <c r="H117">
        <f>IF(ABS(F117)&lt;=0.01,"Correct",IF(F117&lt;0,"Underbilled","Overbilled"))</f>
        <v/>
      </c>
    </row>
    <row r="118">
      <c r="A118" t="inlineStr">
        <is>
          <t>INV0002967</t>
        </is>
      </c>
      <c r="B118" t="inlineStr">
        <is>
          <t>MER00139</t>
        </is>
      </c>
      <c r="C118">
        <f>XLOOKUP(B118,Merchants!$A$4:$A$1000,Merchants!$B$4:$B$1000,"Not found")</f>
        <v/>
      </c>
      <c r="D118">
        <f>XLOOKUP(A118,tblInvoices[invoice_id],tblInvoices[expected_fee])</f>
        <v/>
      </c>
      <c r="E118">
        <f>XLOOKUP(A118,tblInvoices[invoice_id],tblInvoices[billed_fee])</f>
        <v/>
      </c>
      <c r="F118">
        <f>E118-D118</f>
        <v/>
      </c>
      <c r="G118">
        <f>IF(D118=0,0,ROUND(100*F118/D118,2))</f>
        <v/>
      </c>
      <c r="H118">
        <f>IF(ABS(F118)&lt;=0.01,"Correct",IF(F118&lt;0,"Underbilled","Overbilled"))</f>
        <v/>
      </c>
    </row>
    <row r="119">
      <c r="A119" t="inlineStr">
        <is>
          <t>INV0002968</t>
        </is>
      </c>
      <c r="B119" t="inlineStr">
        <is>
          <t>MER00139</t>
        </is>
      </c>
      <c r="C119">
        <f>XLOOKUP(B119,Merchants!$A$4:$A$1000,Merchants!$B$4:$B$1000,"Not found")</f>
        <v/>
      </c>
      <c r="D119">
        <f>XLOOKUP(A119,tblInvoices[invoice_id],tblInvoices[expected_fee])</f>
        <v/>
      </c>
      <c r="E119">
        <f>XLOOKUP(A119,tblInvoices[invoice_id],tblInvoices[billed_fee])</f>
        <v/>
      </c>
      <c r="F119">
        <f>E119-D119</f>
        <v/>
      </c>
      <c r="G119">
        <f>IF(D119=0,0,ROUND(100*F119/D119,2))</f>
        <v/>
      </c>
      <c r="H119">
        <f>IF(ABS(F119)&lt;=0.01,"Correct",IF(F119&lt;0,"Underbilled","Overbilled"))</f>
        <v/>
      </c>
    </row>
    <row r="120">
      <c r="A120" t="inlineStr">
        <is>
          <t>INV0002969</t>
        </is>
      </c>
      <c r="B120" t="inlineStr">
        <is>
          <t>MER00140</t>
        </is>
      </c>
      <c r="C120">
        <f>XLOOKUP(B120,Merchants!$A$4:$A$1000,Merchants!$B$4:$B$1000,"Not found")</f>
        <v/>
      </c>
      <c r="D120">
        <f>XLOOKUP(A120,tblInvoices[invoice_id],tblInvoices[expected_fee])</f>
        <v/>
      </c>
      <c r="E120">
        <f>XLOOKUP(A120,tblInvoices[invoice_id],tblInvoices[billed_fee])</f>
        <v/>
      </c>
      <c r="F120">
        <f>E120-D120</f>
        <v/>
      </c>
      <c r="G120">
        <f>IF(D120=0,0,ROUND(100*F120/D120,2))</f>
        <v/>
      </c>
      <c r="H120">
        <f>IF(ABS(F120)&lt;=0.01,"Correct",IF(F120&lt;0,"Underbilled","Overbilled"))</f>
        <v/>
      </c>
    </row>
    <row r="121">
      <c r="A121" t="inlineStr">
        <is>
          <t>INV0002970</t>
        </is>
      </c>
      <c r="B121" t="inlineStr">
        <is>
          <t>MER00140</t>
        </is>
      </c>
      <c r="C121">
        <f>XLOOKUP(B121,Merchants!$A$4:$A$1000,Merchants!$B$4:$B$1000,"Not found")</f>
        <v/>
      </c>
      <c r="D121">
        <f>XLOOKUP(A121,tblInvoices[invoice_id],tblInvoices[expected_fee])</f>
        <v/>
      </c>
      <c r="E121">
        <f>XLOOKUP(A121,tblInvoices[invoice_id],tblInvoices[billed_fee])</f>
        <v/>
      </c>
      <c r="F121">
        <f>E121-D121</f>
        <v/>
      </c>
      <c r="G121">
        <f>IF(D121=0,0,ROUND(100*F121/D121,2))</f>
        <v/>
      </c>
      <c r="H121">
        <f>IF(ABS(F121)&lt;=0.01,"Correct",IF(F121&lt;0,"Underbilled","Overbilled"))</f>
        <v/>
      </c>
    </row>
    <row r="122">
      <c r="A122" t="inlineStr">
        <is>
          <t>INV0002971</t>
        </is>
      </c>
      <c r="B122" t="inlineStr">
        <is>
          <t>MER00140</t>
        </is>
      </c>
      <c r="C122">
        <f>XLOOKUP(B122,Merchants!$A$4:$A$1000,Merchants!$B$4:$B$1000,"Not found")</f>
        <v/>
      </c>
      <c r="D122">
        <f>XLOOKUP(A122,tblInvoices[invoice_id],tblInvoices[expected_fee])</f>
        <v/>
      </c>
      <c r="E122">
        <f>XLOOKUP(A122,tblInvoices[invoice_id],tblInvoices[billed_fee])</f>
        <v/>
      </c>
      <c r="F122">
        <f>E122-D122</f>
        <v/>
      </c>
      <c r="G122">
        <f>IF(D122=0,0,ROUND(100*F122/D122,2))</f>
        <v/>
      </c>
      <c r="H122">
        <f>IF(ABS(F122)&lt;=0.01,"Correct",IF(F122&lt;0,"Underbilled","Overbilled"))</f>
        <v/>
      </c>
    </row>
    <row r="123">
      <c r="A123" t="inlineStr">
        <is>
          <t>INV0002972</t>
        </is>
      </c>
      <c r="B123" t="inlineStr">
        <is>
          <t>MER00140</t>
        </is>
      </c>
      <c r="C123">
        <f>XLOOKUP(B123,Merchants!$A$4:$A$1000,Merchants!$B$4:$B$1000,"Not found")</f>
        <v/>
      </c>
      <c r="D123">
        <f>XLOOKUP(A123,tblInvoices[invoice_id],tblInvoices[expected_fee])</f>
        <v/>
      </c>
      <c r="E123">
        <f>XLOOKUP(A123,tblInvoices[invoice_id],tblInvoices[billed_fee])</f>
        <v/>
      </c>
      <c r="F123">
        <f>E123-D123</f>
        <v/>
      </c>
      <c r="G123">
        <f>IF(D123=0,0,ROUND(100*F123/D123,2))</f>
        <v/>
      </c>
      <c r="H123">
        <f>IF(ABS(F123)&lt;=0.01,"Correct",IF(F123&lt;0,"Underbilled","Overbilled"))</f>
        <v/>
      </c>
    </row>
    <row r="124">
      <c r="A124" t="inlineStr">
        <is>
          <t>INV0002973</t>
        </is>
      </c>
      <c r="B124" t="inlineStr">
        <is>
          <t>MER00140</t>
        </is>
      </c>
      <c r="C124">
        <f>XLOOKUP(B124,Merchants!$A$4:$A$1000,Merchants!$B$4:$B$1000,"Not found")</f>
        <v/>
      </c>
      <c r="D124">
        <f>XLOOKUP(A124,tblInvoices[invoice_id],tblInvoices[expected_fee])</f>
        <v/>
      </c>
      <c r="E124">
        <f>XLOOKUP(A124,tblInvoices[invoice_id],tblInvoices[billed_fee])</f>
        <v/>
      </c>
      <c r="F124">
        <f>E124-D124</f>
        <v/>
      </c>
      <c r="G124">
        <f>IF(D124=0,0,ROUND(100*F124/D124,2))</f>
        <v/>
      </c>
      <c r="H124">
        <f>IF(ABS(F124)&lt;=0.01,"Correct",IF(F124&lt;0,"Underbilled","Overbilled"))</f>
        <v/>
      </c>
    </row>
    <row r="125">
      <c r="A125" t="inlineStr">
        <is>
          <t>INV0002974</t>
        </is>
      </c>
      <c r="B125" t="inlineStr">
        <is>
          <t>MER00140</t>
        </is>
      </c>
      <c r="C125">
        <f>XLOOKUP(B125,Merchants!$A$4:$A$1000,Merchants!$B$4:$B$1000,"Not found")</f>
        <v/>
      </c>
      <c r="D125">
        <f>XLOOKUP(A125,tblInvoices[invoice_id],tblInvoices[expected_fee])</f>
        <v/>
      </c>
      <c r="E125">
        <f>XLOOKUP(A125,tblInvoices[invoice_id],tblInvoices[billed_fee])</f>
        <v/>
      </c>
      <c r="F125">
        <f>E125-D125</f>
        <v/>
      </c>
      <c r="G125">
        <f>IF(D125=0,0,ROUND(100*F125/D125,2))</f>
        <v/>
      </c>
      <c r="H125">
        <f>IF(ABS(F125)&lt;=0.01,"Correct",IF(F125&lt;0,"Underbilled","Overbilled"))</f>
        <v/>
      </c>
    </row>
    <row r="126">
      <c r="A126" t="inlineStr">
        <is>
          <t>INV0002975</t>
        </is>
      </c>
      <c r="B126" t="inlineStr">
        <is>
          <t>MER00140</t>
        </is>
      </c>
      <c r="C126">
        <f>XLOOKUP(B126,Merchants!$A$4:$A$1000,Merchants!$B$4:$B$1000,"Not found")</f>
        <v/>
      </c>
      <c r="D126">
        <f>XLOOKUP(A126,tblInvoices[invoice_id],tblInvoices[expected_fee])</f>
        <v/>
      </c>
      <c r="E126">
        <f>XLOOKUP(A126,tblInvoices[invoice_id],tblInvoices[billed_fee])</f>
        <v/>
      </c>
      <c r="F126">
        <f>E126-D126</f>
        <v/>
      </c>
      <c r="G126">
        <f>IF(D126=0,0,ROUND(100*F126/D126,2))</f>
        <v/>
      </c>
      <c r="H126">
        <f>IF(ABS(F126)&lt;=0.01,"Correct",IF(F126&lt;0,"Underbilled","Overbilled"))</f>
        <v/>
      </c>
    </row>
    <row r="127">
      <c r="A127" t="inlineStr">
        <is>
          <t>INV0002976</t>
        </is>
      </c>
      <c r="B127" t="inlineStr">
        <is>
          <t>MER00140</t>
        </is>
      </c>
      <c r="C127">
        <f>XLOOKUP(B127,Merchants!$A$4:$A$1000,Merchants!$B$4:$B$1000,"Not found")</f>
        <v/>
      </c>
      <c r="D127">
        <f>XLOOKUP(A127,tblInvoices[invoice_id],tblInvoices[expected_fee])</f>
        <v/>
      </c>
      <c r="E127">
        <f>XLOOKUP(A127,tblInvoices[invoice_id],tblInvoices[billed_fee])</f>
        <v/>
      </c>
      <c r="F127">
        <f>E127-D127</f>
        <v/>
      </c>
      <c r="G127">
        <f>IF(D127=0,0,ROUND(100*F127/D127,2))</f>
        <v/>
      </c>
      <c r="H127">
        <f>IF(ABS(F127)&lt;=0.01,"Correct",IF(F127&lt;0,"Underbilled","Overbilled"))</f>
        <v/>
      </c>
    </row>
    <row r="128">
      <c r="A128" t="inlineStr">
        <is>
          <t>INV0002977</t>
        </is>
      </c>
      <c r="B128" t="inlineStr">
        <is>
          <t>MER00140</t>
        </is>
      </c>
      <c r="C128">
        <f>XLOOKUP(B128,Merchants!$A$4:$A$1000,Merchants!$B$4:$B$1000,"Not found")</f>
        <v/>
      </c>
      <c r="D128">
        <f>XLOOKUP(A128,tblInvoices[invoice_id],tblInvoices[expected_fee])</f>
        <v/>
      </c>
      <c r="E128">
        <f>XLOOKUP(A128,tblInvoices[invoice_id],tblInvoices[billed_fee])</f>
        <v/>
      </c>
      <c r="F128">
        <f>E128-D128</f>
        <v/>
      </c>
      <c r="G128">
        <f>IF(D128=0,0,ROUND(100*F128/D128,2))</f>
        <v/>
      </c>
      <c r="H128">
        <f>IF(ABS(F128)&lt;=0.01,"Correct",IF(F128&lt;0,"Underbilled","Overbilled"))</f>
        <v/>
      </c>
    </row>
    <row r="129">
      <c r="A129" t="inlineStr">
        <is>
          <t>INV0002978</t>
        </is>
      </c>
      <c r="B129" t="inlineStr">
        <is>
          <t>MER00140</t>
        </is>
      </c>
      <c r="C129">
        <f>XLOOKUP(B129,Merchants!$A$4:$A$1000,Merchants!$B$4:$B$1000,"Not found")</f>
        <v/>
      </c>
      <c r="D129">
        <f>XLOOKUP(A129,tblInvoices[invoice_id],tblInvoices[expected_fee])</f>
        <v/>
      </c>
      <c r="E129">
        <f>XLOOKUP(A129,tblInvoices[invoice_id],tblInvoices[billed_fee])</f>
        <v/>
      </c>
      <c r="F129">
        <f>E129-D129</f>
        <v/>
      </c>
      <c r="G129">
        <f>IF(D129=0,0,ROUND(100*F129/D129,2))</f>
        <v/>
      </c>
      <c r="H129">
        <f>IF(ABS(F129)&lt;=0.01,"Correct",IF(F129&lt;0,"Underbilled","Overbilled"))</f>
        <v/>
      </c>
    </row>
    <row r="130">
      <c r="A130" t="inlineStr">
        <is>
          <t>INV0002979</t>
        </is>
      </c>
      <c r="B130" t="inlineStr">
        <is>
          <t>MER00140</t>
        </is>
      </c>
      <c r="C130">
        <f>XLOOKUP(B130,Merchants!$A$4:$A$1000,Merchants!$B$4:$B$1000,"Not found")</f>
        <v/>
      </c>
      <c r="D130">
        <f>XLOOKUP(A130,tblInvoices[invoice_id],tblInvoices[expected_fee])</f>
        <v/>
      </c>
      <c r="E130">
        <f>XLOOKUP(A130,tblInvoices[invoice_id],tblInvoices[billed_fee])</f>
        <v/>
      </c>
      <c r="F130">
        <f>E130-D130</f>
        <v/>
      </c>
      <c r="G130">
        <f>IF(D130=0,0,ROUND(100*F130/D130,2))</f>
        <v/>
      </c>
      <c r="H130">
        <f>IF(ABS(F130)&lt;=0.01,"Correct",IF(F130&lt;0,"Underbilled","Overbilled"))</f>
        <v/>
      </c>
    </row>
    <row r="131">
      <c r="A131" t="inlineStr">
        <is>
          <t>INV0002980</t>
        </is>
      </c>
      <c r="B131" t="inlineStr">
        <is>
          <t>MER00140</t>
        </is>
      </c>
      <c r="C131">
        <f>XLOOKUP(B131,Merchants!$A$4:$A$1000,Merchants!$B$4:$B$1000,"Not found")</f>
        <v/>
      </c>
      <c r="D131">
        <f>XLOOKUP(A131,tblInvoices[invoice_id],tblInvoices[expected_fee])</f>
        <v/>
      </c>
      <c r="E131">
        <f>XLOOKUP(A131,tblInvoices[invoice_id],tblInvoices[billed_fee])</f>
        <v/>
      </c>
      <c r="F131">
        <f>E131-D131</f>
        <v/>
      </c>
      <c r="G131">
        <f>IF(D131=0,0,ROUND(100*F131/D131,2))</f>
        <v/>
      </c>
      <c r="H131">
        <f>IF(ABS(F131)&lt;=0.01,"Correct",IF(F131&lt;0,"Underbilled","Overbilled"))</f>
        <v/>
      </c>
    </row>
    <row r="132">
      <c r="A132" t="inlineStr">
        <is>
          <t>INV0002981</t>
        </is>
      </c>
      <c r="B132" t="inlineStr">
        <is>
          <t>MER00140</t>
        </is>
      </c>
      <c r="C132">
        <f>XLOOKUP(B132,Merchants!$A$4:$A$1000,Merchants!$B$4:$B$1000,"Not found")</f>
        <v/>
      </c>
      <c r="D132">
        <f>XLOOKUP(A132,tblInvoices[invoice_id],tblInvoices[expected_fee])</f>
        <v/>
      </c>
      <c r="E132">
        <f>XLOOKUP(A132,tblInvoices[invoice_id],tblInvoices[billed_fee])</f>
        <v/>
      </c>
      <c r="F132">
        <f>E132-D132</f>
        <v/>
      </c>
      <c r="G132">
        <f>IF(D132=0,0,ROUND(100*F132/D132,2))</f>
        <v/>
      </c>
      <c r="H132">
        <f>IF(ABS(F132)&lt;=0.01,"Correct",IF(F132&lt;0,"Underbilled","Overbilled"))</f>
        <v/>
      </c>
    </row>
    <row r="133">
      <c r="A133" t="inlineStr">
        <is>
          <t>INV0002982</t>
        </is>
      </c>
      <c r="B133" t="inlineStr">
        <is>
          <t>MER00140</t>
        </is>
      </c>
      <c r="C133">
        <f>XLOOKUP(B133,Merchants!$A$4:$A$1000,Merchants!$B$4:$B$1000,"Not found")</f>
        <v/>
      </c>
      <c r="D133">
        <f>XLOOKUP(A133,tblInvoices[invoice_id],tblInvoices[expected_fee])</f>
        <v/>
      </c>
      <c r="E133">
        <f>XLOOKUP(A133,tblInvoices[invoice_id],tblInvoices[billed_fee])</f>
        <v/>
      </c>
      <c r="F133">
        <f>E133-D133</f>
        <v/>
      </c>
      <c r="G133">
        <f>IF(D133=0,0,ROUND(100*F133/D133,2))</f>
        <v/>
      </c>
      <c r="H133">
        <f>IF(ABS(F133)&lt;=0.01,"Correct",IF(F133&lt;0,"Underbilled","Overbilled"))</f>
        <v/>
      </c>
    </row>
    <row r="134">
      <c r="A134" t="inlineStr">
        <is>
          <t>INV0002983</t>
        </is>
      </c>
      <c r="B134" t="inlineStr">
        <is>
          <t>MER00140</t>
        </is>
      </c>
      <c r="C134">
        <f>XLOOKUP(B134,Merchants!$A$4:$A$1000,Merchants!$B$4:$B$1000,"Not found")</f>
        <v/>
      </c>
      <c r="D134">
        <f>XLOOKUP(A134,tblInvoices[invoice_id],tblInvoices[expected_fee])</f>
        <v/>
      </c>
      <c r="E134">
        <f>XLOOKUP(A134,tblInvoices[invoice_id],tblInvoices[billed_fee])</f>
        <v/>
      </c>
      <c r="F134">
        <f>E134-D134</f>
        <v/>
      </c>
      <c r="G134">
        <f>IF(D134=0,0,ROUND(100*F134/D134,2))</f>
        <v/>
      </c>
      <c r="H134">
        <f>IF(ABS(F134)&lt;=0.01,"Correct",IF(F134&lt;0,"Underbilled","Overbilled"))</f>
        <v/>
      </c>
    </row>
    <row r="135">
      <c r="A135" t="inlineStr">
        <is>
          <t>INV0002984</t>
        </is>
      </c>
      <c r="B135" t="inlineStr">
        <is>
          <t>MER00140</t>
        </is>
      </c>
      <c r="C135">
        <f>XLOOKUP(B135,Merchants!$A$4:$A$1000,Merchants!$B$4:$B$1000,"Not found")</f>
        <v/>
      </c>
      <c r="D135">
        <f>XLOOKUP(A135,tblInvoices[invoice_id],tblInvoices[expected_fee])</f>
        <v/>
      </c>
      <c r="E135">
        <f>XLOOKUP(A135,tblInvoices[invoice_id],tblInvoices[billed_fee])</f>
        <v/>
      </c>
      <c r="F135">
        <f>E135-D135</f>
        <v/>
      </c>
      <c r="G135">
        <f>IF(D135=0,0,ROUND(100*F135/D135,2))</f>
        <v/>
      </c>
      <c r="H135">
        <f>IF(ABS(F135)&lt;=0.01,"Correct",IF(F135&lt;0,"Underbilled","Overbilled"))</f>
        <v/>
      </c>
    </row>
    <row r="136">
      <c r="A136" t="inlineStr">
        <is>
          <t>INV0002985</t>
        </is>
      </c>
      <c r="B136" t="inlineStr">
        <is>
          <t>MER00140</t>
        </is>
      </c>
      <c r="C136">
        <f>XLOOKUP(B136,Merchants!$A$4:$A$1000,Merchants!$B$4:$B$1000,"Not found")</f>
        <v/>
      </c>
      <c r="D136">
        <f>XLOOKUP(A136,tblInvoices[invoice_id],tblInvoices[expected_fee])</f>
        <v/>
      </c>
      <c r="E136">
        <f>XLOOKUP(A136,tblInvoices[invoice_id],tblInvoices[billed_fee])</f>
        <v/>
      </c>
      <c r="F136">
        <f>E136-D136</f>
        <v/>
      </c>
      <c r="G136">
        <f>IF(D136=0,0,ROUND(100*F136/D136,2))</f>
        <v/>
      </c>
      <c r="H136">
        <f>IF(ABS(F136)&lt;=0.01,"Correct",IF(F136&lt;0,"Underbilled","Overbilled"))</f>
        <v/>
      </c>
    </row>
    <row r="137">
      <c r="A137" t="inlineStr">
        <is>
          <t>INV0002986</t>
        </is>
      </c>
      <c r="B137" t="inlineStr">
        <is>
          <t>MER00140</t>
        </is>
      </c>
      <c r="C137">
        <f>XLOOKUP(B137,Merchants!$A$4:$A$1000,Merchants!$B$4:$B$1000,"Not found")</f>
        <v/>
      </c>
      <c r="D137">
        <f>XLOOKUP(A137,tblInvoices[invoice_id],tblInvoices[expected_fee])</f>
        <v/>
      </c>
      <c r="E137">
        <f>XLOOKUP(A137,tblInvoices[invoice_id],tblInvoices[billed_fee])</f>
        <v/>
      </c>
      <c r="F137">
        <f>E137-D137</f>
        <v/>
      </c>
      <c r="G137">
        <f>IF(D137=0,0,ROUND(100*F137/D137,2))</f>
        <v/>
      </c>
      <c r="H137">
        <f>IF(ABS(F137)&lt;=0.01,"Correct",IF(F137&lt;0,"Underbilled","Overbilled"))</f>
        <v/>
      </c>
    </row>
    <row r="138">
      <c r="A138" t="inlineStr">
        <is>
          <t>INV0002987</t>
        </is>
      </c>
      <c r="B138" t="inlineStr">
        <is>
          <t>MER00140</t>
        </is>
      </c>
      <c r="C138">
        <f>XLOOKUP(B138,Merchants!$A$4:$A$1000,Merchants!$B$4:$B$1000,"Not found")</f>
        <v/>
      </c>
      <c r="D138">
        <f>XLOOKUP(A138,tblInvoices[invoice_id],tblInvoices[expected_fee])</f>
        <v/>
      </c>
      <c r="E138">
        <f>XLOOKUP(A138,tblInvoices[invoice_id],tblInvoices[billed_fee])</f>
        <v/>
      </c>
      <c r="F138">
        <f>E138-D138</f>
        <v/>
      </c>
      <c r="G138">
        <f>IF(D138=0,0,ROUND(100*F138/D138,2))</f>
        <v/>
      </c>
      <c r="H138">
        <f>IF(ABS(F138)&lt;=0.01,"Correct",IF(F138&lt;0,"Underbilled","Overbilled"))</f>
        <v/>
      </c>
    </row>
    <row r="139">
      <c r="A139" t="inlineStr">
        <is>
          <t>INV0002988</t>
        </is>
      </c>
      <c r="B139" t="inlineStr">
        <is>
          <t>MER00140</t>
        </is>
      </c>
      <c r="C139">
        <f>XLOOKUP(B139,Merchants!$A$4:$A$1000,Merchants!$B$4:$B$1000,"Not found")</f>
        <v/>
      </c>
      <c r="D139">
        <f>XLOOKUP(A139,tblInvoices[invoice_id],tblInvoices[expected_fee])</f>
        <v/>
      </c>
      <c r="E139">
        <f>XLOOKUP(A139,tblInvoices[invoice_id],tblInvoices[billed_fee])</f>
        <v/>
      </c>
      <c r="F139">
        <f>E139-D139</f>
        <v/>
      </c>
      <c r="G139">
        <f>IF(D139=0,0,ROUND(100*F139/D139,2))</f>
        <v/>
      </c>
      <c r="H139">
        <f>IF(ABS(F139)&lt;=0.01,"Correct",IF(F139&lt;0,"Underbilled","Overbilled"))</f>
        <v/>
      </c>
    </row>
    <row r="140">
      <c r="A140" t="inlineStr">
        <is>
          <t>INV0002989</t>
        </is>
      </c>
      <c r="B140" t="inlineStr">
        <is>
          <t>MER00140</t>
        </is>
      </c>
      <c r="C140">
        <f>XLOOKUP(B140,Merchants!$A$4:$A$1000,Merchants!$B$4:$B$1000,"Not found")</f>
        <v/>
      </c>
      <c r="D140">
        <f>XLOOKUP(A140,tblInvoices[invoice_id],tblInvoices[expected_fee])</f>
        <v/>
      </c>
      <c r="E140">
        <f>XLOOKUP(A140,tblInvoices[invoice_id],tblInvoices[billed_fee])</f>
        <v/>
      </c>
      <c r="F140">
        <f>E140-D140</f>
        <v/>
      </c>
      <c r="G140">
        <f>IF(D140=0,0,ROUND(100*F140/D140,2))</f>
        <v/>
      </c>
      <c r="H140">
        <f>IF(ABS(F140)&lt;=0.01,"Correct",IF(F140&lt;0,"Underbilled","Overbilled"))</f>
        <v/>
      </c>
    </row>
    <row r="141">
      <c r="A141" t="inlineStr">
        <is>
          <t>INV0002990</t>
        </is>
      </c>
      <c r="B141" t="inlineStr">
        <is>
          <t>MER00140</t>
        </is>
      </c>
      <c r="C141">
        <f>XLOOKUP(B141,Merchants!$A$4:$A$1000,Merchants!$B$4:$B$1000,"Not found")</f>
        <v/>
      </c>
      <c r="D141">
        <f>XLOOKUP(A141,tblInvoices[invoice_id],tblInvoices[expected_fee])</f>
        <v/>
      </c>
      <c r="E141">
        <f>XLOOKUP(A141,tblInvoices[invoice_id],tblInvoices[billed_fee])</f>
        <v/>
      </c>
      <c r="F141">
        <f>E141-D141</f>
        <v/>
      </c>
      <c r="G141">
        <f>IF(D141=0,0,ROUND(100*F141/D141,2))</f>
        <v/>
      </c>
      <c r="H141">
        <f>IF(ABS(F141)&lt;=0.01,"Correct",IF(F141&lt;0,"Underbilled","Overbilled"))</f>
        <v/>
      </c>
    </row>
    <row r="142">
      <c r="A142" t="inlineStr">
        <is>
          <t>INV0002991</t>
        </is>
      </c>
      <c r="B142" t="inlineStr">
        <is>
          <t>MER00140</t>
        </is>
      </c>
      <c r="C142">
        <f>XLOOKUP(B142,Merchants!$A$4:$A$1000,Merchants!$B$4:$B$1000,"Not found")</f>
        <v/>
      </c>
      <c r="D142">
        <f>XLOOKUP(A142,tblInvoices[invoice_id],tblInvoices[expected_fee])</f>
        <v/>
      </c>
      <c r="E142">
        <f>XLOOKUP(A142,tblInvoices[invoice_id],tblInvoices[billed_fee])</f>
        <v/>
      </c>
      <c r="F142">
        <f>E142-D142</f>
        <v/>
      </c>
      <c r="G142">
        <f>IF(D142=0,0,ROUND(100*F142/D142,2))</f>
        <v/>
      </c>
      <c r="H142">
        <f>IF(ABS(F142)&lt;=0.01,"Correct",IF(F142&lt;0,"Underbilled","Overbilled"))</f>
        <v/>
      </c>
    </row>
    <row r="143">
      <c r="A143" t="inlineStr">
        <is>
          <t>INV0003305</t>
        </is>
      </c>
      <c r="B143" t="inlineStr">
        <is>
          <t>MER00156</t>
        </is>
      </c>
      <c r="C143">
        <f>XLOOKUP(B143,Merchants!$A$4:$A$1000,Merchants!$B$4:$B$1000,"Not found")</f>
        <v/>
      </c>
      <c r="D143">
        <f>XLOOKUP(A143,tblInvoices[invoice_id],tblInvoices[expected_fee])</f>
        <v/>
      </c>
      <c r="E143">
        <f>XLOOKUP(A143,tblInvoices[invoice_id],tblInvoices[billed_fee])</f>
        <v/>
      </c>
      <c r="F143">
        <f>E143-D143</f>
        <v/>
      </c>
      <c r="G143">
        <f>IF(D143=0,0,ROUND(100*F143/D143,2))</f>
        <v/>
      </c>
      <c r="H143">
        <f>IF(ABS(F143)&lt;=0.01,"Correct",IF(F143&lt;0,"Underbilled","Overbilled"))</f>
        <v/>
      </c>
    </row>
    <row r="144">
      <c r="A144" t="inlineStr">
        <is>
          <t>INV0003306</t>
        </is>
      </c>
      <c r="B144" t="inlineStr">
        <is>
          <t>MER00156</t>
        </is>
      </c>
      <c r="C144">
        <f>XLOOKUP(B144,Merchants!$A$4:$A$1000,Merchants!$B$4:$B$1000,"Not found")</f>
        <v/>
      </c>
      <c r="D144">
        <f>XLOOKUP(A144,tblInvoices[invoice_id],tblInvoices[expected_fee])</f>
        <v/>
      </c>
      <c r="E144">
        <f>XLOOKUP(A144,tblInvoices[invoice_id],tblInvoices[billed_fee])</f>
        <v/>
      </c>
      <c r="F144">
        <f>E144-D144</f>
        <v/>
      </c>
      <c r="G144">
        <f>IF(D144=0,0,ROUND(100*F144/D144,2))</f>
        <v/>
      </c>
      <c r="H144">
        <f>IF(ABS(F144)&lt;=0.01,"Correct",IF(F144&lt;0,"Underbilled","Overbilled"))</f>
        <v/>
      </c>
    </row>
    <row r="145">
      <c r="A145" t="inlineStr">
        <is>
          <t>INV0003307</t>
        </is>
      </c>
      <c r="B145" t="inlineStr">
        <is>
          <t>MER00156</t>
        </is>
      </c>
      <c r="C145">
        <f>XLOOKUP(B145,Merchants!$A$4:$A$1000,Merchants!$B$4:$B$1000,"Not found")</f>
        <v/>
      </c>
      <c r="D145">
        <f>XLOOKUP(A145,tblInvoices[invoice_id],tblInvoices[expected_fee])</f>
        <v/>
      </c>
      <c r="E145">
        <f>XLOOKUP(A145,tblInvoices[invoice_id],tblInvoices[billed_fee])</f>
        <v/>
      </c>
      <c r="F145">
        <f>E145-D145</f>
        <v/>
      </c>
      <c r="G145">
        <f>IF(D145=0,0,ROUND(100*F145/D145,2))</f>
        <v/>
      </c>
      <c r="H145">
        <f>IF(ABS(F145)&lt;=0.01,"Correct",IF(F145&lt;0,"Underbilled","Overbilled"))</f>
        <v/>
      </c>
    </row>
    <row r="146">
      <c r="A146" t="inlineStr">
        <is>
          <t>INV0003308</t>
        </is>
      </c>
      <c r="B146" t="inlineStr">
        <is>
          <t>MER00156</t>
        </is>
      </c>
      <c r="C146">
        <f>XLOOKUP(B146,Merchants!$A$4:$A$1000,Merchants!$B$4:$B$1000,"Not found")</f>
        <v/>
      </c>
      <c r="D146">
        <f>XLOOKUP(A146,tblInvoices[invoice_id],tblInvoices[expected_fee])</f>
        <v/>
      </c>
      <c r="E146">
        <f>XLOOKUP(A146,tblInvoices[invoice_id],tblInvoices[billed_fee])</f>
        <v/>
      </c>
      <c r="F146">
        <f>E146-D146</f>
        <v/>
      </c>
      <c r="G146">
        <f>IF(D146=0,0,ROUND(100*F146/D146,2))</f>
        <v/>
      </c>
      <c r="H146">
        <f>IF(ABS(F146)&lt;=0.01,"Correct",IF(F146&lt;0,"Underbilled","Overbilled"))</f>
        <v/>
      </c>
    </row>
    <row r="147">
      <c r="A147" t="inlineStr">
        <is>
          <t>INV0003309</t>
        </is>
      </c>
      <c r="B147" t="inlineStr">
        <is>
          <t>MER00156</t>
        </is>
      </c>
      <c r="C147">
        <f>XLOOKUP(B147,Merchants!$A$4:$A$1000,Merchants!$B$4:$B$1000,"Not found")</f>
        <v/>
      </c>
      <c r="D147">
        <f>XLOOKUP(A147,tblInvoices[invoice_id],tblInvoices[expected_fee])</f>
        <v/>
      </c>
      <c r="E147">
        <f>XLOOKUP(A147,tblInvoices[invoice_id],tblInvoices[billed_fee])</f>
        <v/>
      </c>
      <c r="F147">
        <f>E147-D147</f>
        <v/>
      </c>
      <c r="G147">
        <f>IF(D147=0,0,ROUND(100*F147/D147,2))</f>
        <v/>
      </c>
      <c r="H147">
        <f>IF(ABS(F147)&lt;=0.01,"Correct",IF(F147&lt;0,"Underbilled","Overbilled"))</f>
        <v/>
      </c>
    </row>
    <row r="148">
      <c r="A148" t="inlineStr">
        <is>
          <t>INV0003310</t>
        </is>
      </c>
      <c r="B148" t="inlineStr">
        <is>
          <t>MER00156</t>
        </is>
      </c>
      <c r="C148">
        <f>XLOOKUP(B148,Merchants!$A$4:$A$1000,Merchants!$B$4:$B$1000,"Not found")</f>
        <v/>
      </c>
      <c r="D148">
        <f>XLOOKUP(A148,tblInvoices[invoice_id],tblInvoices[expected_fee])</f>
        <v/>
      </c>
      <c r="E148">
        <f>XLOOKUP(A148,tblInvoices[invoice_id],tblInvoices[billed_fee])</f>
        <v/>
      </c>
      <c r="F148">
        <f>E148-D148</f>
        <v/>
      </c>
      <c r="G148">
        <f>IF(D148=0,0,ROUND(100*F148/D148,2))</f>
        <v/>
      </c>
      <c r="H148">
        <f>IF(ABS(F148)&lt;=0.01,"Correct",IF(F148&lt;0,"Underbilled","Overbilled"))</f>
        <v/>
      </c>
    </row>
    <row r="149">
      <c r="A149" t="inlineStr">
        <is>
          <t>INV0003311</t>
        </is>
      </c>
      <c r="B149" t="inlineStr">
        <is>
          <t>MER00156</t>
        </is>
      </c>
      <c r="C149">
        <f>XLOOKUP(B149,Merchants!$A$4:$A$1000,Merchants!$B$4:$B$1000,"Not found")</f>
        <v/>
      </c>
      <c r="D149">
        <f>XLOOKUP(A149,tblInvoices[invoice_id],tblInvoices[expected_fee])</f>
        <v/>
      </c>
      <c r="E149">
        <f>XLOOKUP(A149,tblInvoices[invoice_id],tblInvoices[billed_fee])</f>
        <v/>
      </c>
      <c r="F149">
        <f>E149-D149</f>
        <v/>
      </c>
      <c r="G149">
        <f>IF(D149=0,0,ROUND(100*F149/D149,2))</f>
        <v/>
      </c>
      <c r="H149">
        <f>IF(ABS(F149)&lt;=0.01,"Correct",IF(F149&lt;0,"Underbilled","Overbilled"))</f>
        <v/>
      </c>
    </row>
    <row r="150">
      <c r="A150" t="inlineStr">
        <is>
          <t>INV0003312</t>
        </is>
      </c>
      <c r="B150" t="inlineStr">
        <is>
          <t>MER00156</t>
        </is>
      </c>
      <c r="C150">
        <f>XLOOKUP(B150,Merchants!$A$4:$A$1000,Merchants!$B$4:$B$1000,"Not found")</f>
        <v/>
      </c>
      <c r="D150">
        <f>XLOOKUP(A150,tblInvoices[invoice_id],tblInvoices[expected_fee])</f>
        <v/>
      </c>
      <c r="E150">
        <f>XLOOKUP(A150,tblInvoices[invoice_id],tblInvoices[billed_fee])</f>
        <v/>
      </c>
      <c r="F150">
        <f>E150-D150</f>
        <v/>
      </c>
      <c r="G150">
        <f>IF(D150=0,0,ROUND(100*F150/D150,2))</f>
        <v/>
      </c>
      <c r="H150">
        <f>IF(ABS(F150)&lt;=0.01,"Correct",IF(F150&lt;0,"Underbilled","Overbilled"))</f>
        <v/>
      </c>
    </row>
    <row r="151">
      <c r="A151" t="inlineStr">
        <is>
          <t>INV0003313</t>
        </is>
      </c>
      <c r="B151" t="inlineStr">
        <is>
          <t>MER00156</t>
        </is>
      </c>
      <c r="C151">
        <f>XLOOKUP(B151,Merchants!$A$4:$A$1000,Merchants!$B$4:$B$1000,"Not found")</f>
        <v/>
      </c>
      <c r="D151">
        <f>XLOOKUP(A151,tblInvoices[invoice_id],tblInvoices[expected_fee])</f>
        <v/>
      </c>
      <c r="E151">
        <f>XLOOKUP(A151,tblInvoices[invoice_id],tblInvoices[billed_fee])</f>
        <v/>
      </c>
      <c r="F151">
        <f>E151-D151</f>
        <v/>
      </c>
      <c r="G151">
        <f>IF(D151=0,0,ROUND(100*F151/D151,2))</f>
        <v/>
      </c>
      <c r="H151">
        <f>IF(ABS(F151)&lt;=0.01,"Correct",IF(F151&lt;0,"Underbilled","Overbilled"))</f>
        <v/>
      </c>
    </row>
    <row r="152">
      <c r="A152" t="inlineStr">
        <is>
          <t>INV0003314</t>
        </is>
      </c>
      <c r="B152" t="inlineStr">
        <is>
          <t>MER00156</t>
        </is>
      </c>
      <c r="C152">
        <f>XLOOKUP(B152,Merchants!$A$4:$A$1000,Merchants!$B$4:$B$1000,"Not found")</f>
        <v/>
      </c>
      <c r="D152">
        <f>XLOOKUP(A152,tblInvoices[invoice_id],tblInvoices[expected_fee])</f>
        <v/>
      </c>
      <c r="E152">
        <f>XLOOKUP(A152,tblInvoices[invoice_id],tblInvoices[billed_fee])</f>
        <v/>
      </c>
      <c r="F152">
        <f>E152-D152</f>
        <v/>
      </c>
      <c r="G152">
        <f>IF(D152=0,0,ROUND(100*F152/D152,2))</f>
        <v/>
      </c>
      <c r="H152">
        <f>IF(ABS(F152)&lt;=0.01,"Correct",IF(F152&lt;0,"Underbilled","Overbilled"))</f>
        <v/>
      </c>
    </row>
    <row r="153">
      <c r="A153" t="inlineStr">
        <is>
          <t>INV0003315</t>
        </is>
      </c>
      <c r="B153" t="inlineStr">
        <is>
          <t>MER00156</t>
        </is>
      </c>
      <c r="C153">
        <f>XLOOKUP(B153,Merchants!$A$4:$A$1000,Merchants!$B$4:$B$1000,"Not found")</f>
        <v/>
      </c>
      <c r="D153">
        <f>XLOOKUP(A153,tblInvoices[invoice_id],tblInvoices[expected_fee])</f>
        <v/>
      </c>
      <c r="E153">
        <f>XLOOKUP(A153,tblInvoices[invoice_id],tblInvoices[billed_fee])</f>
        <v/>
      </c>
      <c r="F153">
        <f>E153-D153</f>
        <v/>
      </c>
      <c r="G153">
        <f>IF(D153=0,0,ROUND(100*F153/D153,2))</f>
        <v/>
      </c>
      <c r="H153">
        <f>IF(ABS(F153)&lt;=0.01,"Correct",IF(F153&lt;0,"Underbilled","Overbilled"))</f>
        <v/>
      </c>
    </row>
    <row r="154">
      <c r="A154" t="inlineStr">
        <is>
          <t>INV0003316</t>
        </is>
      </c>
      <c r="B154" t="inlineStr">
        <is>
          <t>MER00156</t>
        </is>
      </c>
      <c r="C154">
        <f>XLOOKUP(B154,Merchants!$A$4:$A$1000,Merchants!$B$4:$B$1000,"Not found")</f>
        <v/>
      </c>
      <c r="D154">
        <f>XLOOKUP(A154,tblInvoices[invoice_id],tblInvoices[expected_fee])</f>
        <v/>
      </c>
      <c r="E154">
        <f>XLOOKUP(A154,tblInvoices[invoice_id],tblInvoices[billed_fee])</f>
        <v/>
      </c>
      <c r="F154">
        <f>E154-D154</f>
        <v/>
      </c>
      <c r="G154">
        <f>IF(D154=0,0,ROUND(100*F154/D154,2))</f>
        <v/>
      </c>
      <c r="H154">
        <f>IF(ABS(F154)&lt;=0.01,"Correct",IF(F154&lt;0,"Underbilled","Overbilled"))</f>
        <v/>
      </c>
    </row>
    <row r="155">
      <c r="A155" t="inlineStr">
        <is>
          <t>INV0003317</t>
        </is>
      </c>
      <c r="B155" t="inlineStr">
        <is>
          <t>MER00156</t>
        </is>
      </c>
      <c r="C155">
        <f>XLOOKUP(B155,Merchants!$A$4:$A$1000,Merchants!$B$4:$B$1000,"Not found")</f>
        <v/>
      </c>
      <c r="D155">
        <f>XLOOKUP(A155,tblInvoices[invoice_id],tblInvoices[expected_fee])</f>
        <v/>
      </c>
      <c r="E155">
        <f>XLOOKUP(A155,tblInvoices[invoice_id],tblInvoices[billed_fee])</f>
        <v/>
      </c>
      <c r="F155">
        <f>E155-D155</f>
        <v/>
      </c>
      <c r="G155">
        <f>IF(D155=0,0,ROUND(100*F155/D155,2))</f>
        <v/>
      </c>
      <c r="H155">
        <f>IF(ABS(F155)&lt;=0.01,"Correct",IF(F155&lt;0,"Underbilled","Overbilled"))</f>
        <v/>
      </c>
    </row>
    <row r="156">
      <c r="A156" t="inlineStr">
        <is>
          <t>INV0003318</t>
        </is>
      </c>
      <c r="B156" t="inlineStr">
        <is>
          <t>MER00156</t>
        </is>
      </c>
      <c r="C156">
        <f>XLOOKUP(B156,Merchants!$A$4:$A$1000,Merchants!$B$4:$B$1000,"Not found")</f>
        <v/>
      </c>
      <c r="D156">
        <f>XLOOKUP(A156,tblInvoices[invoice_id],tblInvoices[expected_fee])</f>
        <v/>
      </c>
      <c r="E156">
        <f>XLOOKUP(A156,tblInvoices[invoice_id],tblInvoices[billed_fee])</f>
        <v/>
      </c>
      <c r="F156">
        <f>E156-D156</f>
        <v/>
      </c>
      <c r="G156">
        <f>IF(D156=0,0,ROUND(100*F156/D156,2))</f>
        <v/>
      </c>
      <c r="H156">
        <f>IF(ABS(F156)&lt;=0.01,"Correct",IF(F156&lt;0,"Underbilled","Overbilled"))</f>
        <v/>
      </c>
    </row>
    <row r="157">
      <c r="A157" t="inlineStr">
        <is>
          <t>INV0003319</t>
        </is>
      </c>
      <c r="B157" t="inlineStr">
        <is>
          <t>MER00156</t>
        </is>
      </c>
      <c r="C157">
        <f>XLOOKUP(B157,Merchants!$A$4:$A$1000,Merchants!$B$4:$B$1000,"Not found")</f>
        <v/>
      </c>
      <c r="D157">
        <f>XLOOKUP(A157,tblInvoices[invoice_id],tblInvoices[expected_fee])</f>
        <v/>
      </c>
      <c r="E157">
        <f>XLOOKUP(A157,tblInvoices[invoice_id],tblInvoices[billed_fee])</f>
        <v/>
      </c>
      <c r="F157">
        <f>E157-D157</f>
        <v/>
      </c>
      <c r="G157">
        <f>IF(D157=0,0,ROUND(100*F157/D157,2))</f>
        <v/>
      </c>
      <c r="H157">
        <f>IF(ABS(F157)&lt;=0.01,"Correct",IF(F157&lt;0,"Underbilled","Overbilled"))</f>
        <v/>
      </c>
    </row>
    <row r="158">
      <c r="A158" t="inlineStr">
        <is>
          <t>INV0003320</t>
        </is>
      </c>
      <c r="B158" t="inlineStr">
        <is>
          <t>MER00156</t>
        </is>
      </c>
      <c r="C158">
        <f>XLOOKUP(B158,Merchants!$A$4:$A$1000,Merchants!$B$4:$B$1000,"Not found")</f>
        <v/>
      </c>
      <c r="D158">
        <f>XLOOKUP(A158,tblInvoices[invoice_id],tblInvoices[expected_fee])</f>
        <v/>
      </c>
      <c r="E158">
        <f>XLOOKUP(A158,tblInvoices[invoice_id],tblInvoices[billed_fee])</f>
        <v/>
      </c>
      <c r="F158">
        <f>E158-D158</f>
        <v/>
      </c>
      <c r="G158">
        <f>IF(D158=0,0,ROUND(100*F158/D158,2))</f>
        <v/>
      </c>
      <c r="H158">
        <f>IF(ABS(F158)&lt;=0.01,"Correct",IF(F158&lt;0,"Underbilled","Overbilled"))</f>
        <v/>
      </c>
    </row>
    <row r="159">
      <c r="A159" t="inlineStr">
        <is>
          <t>INV0003321</t>
        </is>
      </c>
      <c r="B159" t="inlineStr">
        <is>
          <t>MER00156</t>
        </is>
      </c>
      <c r="C159">
        <f>XLOOKUP(B159,Merchants!$A$4:$A$1000,Merchants!$B$4:$B$1000,"Not found")</f>
        <v/>
      </c>
      <c r="D159">
        <f>XLOOKUP(A159,tblInvoices[invoice_id],tblInvoices[expected_fee])</f>
        <v/>
      </c>
      <c r="E159">
        <f>XLOOKUP(A159,tblInvoices[invoice_id],tblInvoices[billed_fee])</f>
        <v/>
      </c>
      <c r="F159">
        <f>E159-D159</f>
        <v/>
      </c>
      <c r="G159">
        <f>IF(D159=0,0,ROUND(100*F159/D159,2))</f>
        <v/>
      </c>
      <c r="H159">
        <f>IF(ABS(F159)&lt;=0.01,"Correct",IF(F159&lt;0,"Underbilled","Overbilled"))</f>
        <v/>
      </c>
    </row>
    <row r="160">
      <c r="A160" t="inlineStr">
        <is>
          <t>INV0003322</t>
        </is>
      </c>
      <c r="B160" t="inlineStr">
        <is>
          <t>MER00156</t>
        </is>
      </c>
      <c r="C160">
        <f>XLOOKUP(B160,Merchants!$A$4:$A$1000,Merchants!$B$4:$B$1000,"Not found")</f>
        <v/>
      </c>
      <c r="D160">
        <f>XLOOKUP(A160,tblInvoices[invoice_id],tblInvoices[expected_fee])</f>
        <v/>
      </c>
      <c r="E160">
        <f>XLOOKUP(A160,tblInvoices[invoice_id],tblInvoices[billed_fee])</f>
        <v/>
      </c>
      <c r="F160">
        <f>E160-D160</f>
        <v/>
      </c>
      <c r="G160">
        <f>IF(D160=0,0,ROUND(100*F160/D160,2))</f>
        <v/>
      </c>
      <c r="H160">
        <f>IF(ABS(F160)&lt;=0.01,"Correct",IF(F160&lt;0,"Underbilled","Overbilled"))</f>
        <v/>
      </c>
    </row>
    <row r="161">
      <c r="A161" t="inlineStr">
        <is>
          <t>INV0003323</t>
        </is>
      </c>
      <c r="B161" t="inlineStr">
        <is>
          <t>MER00156</t>
        </is>
      </c>
      <c r="C161">
        <f>XLOOKUP(B161,Merchants!$A$4:$A$1000,Merchants!$B$4:$B$1000,"Not found")</f>
        <v/>
      </c>
      <c r="D161">
        <f>XLOOKUP(A161,tblInvoices[invoice_id],tblInvoices[expected_fee])</f>
        <v/>
      </c>
      <c r="E161">
        <f>XLOOKUP(A161,tblInvoices[invoice_id],tblInvoices[billed_fee])</f>
        <v/>
      </c>
      <c r="F161">
        <f>E161-D161</f>
        <v/>
      </c>
      <c r="G161">
        <f>IF(D161=0,0,ROUND(100*F161/D161,2))</f>
        <v/>
      </c>
      <c r="H161">
        <f>IF(ABS(F161)&lt;=0.01,"Correct",IF(F161&lt;0,"Underbilled","Overbilled"))</f>
        <v/>
      </c>
    </row>
    <row r="162">
      <c r="A162" t="inlineStr">
        <is>
          <t>INV0003903</t>
        </is>
      </c>
      <c r="B162" t="inlineStr">
        <is>
          <t>MER00184</t>
        </is>
      </c>
      <c r="C162">
        <f>XLOOKUP(B162,Merchants!$A$4:$A$1000,Merchants!$B$4:$B$1000,"Not found")</f>
        <v/>
      </c>
      <c r="D162">
        <f>XLOOKUP(A162,tblInvoices[invoice_id],tblInvoices[expected_fee])</f>
        <v/>
      </c>
      <c r="E162">
        <f>XLOOKUP(A162,tblInvoices[invoice_id],tblInvoices[billed_fee])</f>
        <v/>
      </c>
      <c r="F162">
        <f>E162-D162</f>
        <v/>
      </c>
      <c r="G162">
        <f>IF(D162=0,0,ROUND(100*F162/D162,2))</f>
        <v/>
      </c>
      <c r="H162">
        <f>IF(ABS(F162)&lt;=0.01,"Correct",IF(F162&lt;0,"Underbilled","Overbilled"))</f>
        <v/>
      </c>
    </row>
    <row r="163">
      <c r="A163" t="inlineStr">
        <is>
          <t>INV0003904</t>
        </is>
      </c>
      <c r="B163" t="inlineStr">
        <is>
          <t>MER00184</t>
        </is>
      </c>
      <c r="C163">
        <f>XLOOKUP(B163,Merchants!$A$4:$A$1000,Merchants!$B$4:$B$1000,"Not found")</f>
        <v/>
      </c>
      <c r="D163">
        <f>XLOOKUP(A163,tblInvoices[invoice_id],tblInvoices[expected_fee])</f>
        <v/>
      </c>
      <c r="E163">
        <f>XLOOKUP(A163,tblInvoices[invoice_id],tblInvoices[billed_fee])</f>
        <v/>
      </c>
      <c r="F163">
        <f>E163-D163</f>
        <v/>
      </c>
      <c r="G163">
        <f>IF(D163=0,0,ROUND(100*F163/D163,2))</f>
        <v/>
      </c>
      <c r="H163">
        <f>IF(ABS(F163)&lt;=0.01,"Correct",IF(F163&lt;0,"Underbilled","Overbilled"))</f>
        <v/>
      </c>
    </row>
    <row r="164">
      <c r="A164" t="inlineStr">
        <is>
          <t>INV0003905</t>
        </is>
      </c>
      <c r="B164" t="inlineStr">
        <is>
          <t>MER00184</t>
        </is>
      </c>
      <c r="C164">
        <f>XLOOKUP(B164,Merchants!$A$4:$A$1000,Merchants!$B$4:$B$1000,"Not found")</f>
        <v/>
      </c>
      <c r="D164">
        <f>XLOOKUP(A164,tblInvoices[invoice_id],tblInvoices[expected_fee])</f>
        <v/>
      </c>
      <c r="E164">
        <f>XLOOKUP(A164,tblInvoices[invoice_id],tblInvoices[billed_fee])</f>
        <v/>
      </c>
      <c r="F164">
        <f>E164-D164</f>
        <v/>
      </c>
      <c r="G164">
        <f>IF(D164=0,0,ROUND(100*F164/D164,2))</f>
        <v/>
      </c>
      <c r="H164">
        <f>IF(ABS(F164)&lt;=0.01,"Correct",IF(F164&lt;0,"Underbilled","Overbilled"))</f>
        <v/>
      </c>
    </row>
    <row r="165">
      <c r="A165" t="inlineStr">
        <is>
          <t>INV0003906</t>
        </is>
      </c>
      <c r="B165" t="inlineStr">
        <is>
          <t>MER00184</t>
        </is>
      </c>
      <c r="C165">
        <f>XLOOKUP(B165,Merchants!$A$4:$A$1000,Merchants!$B$4:$B$1000,"Not found")</f>
        <v/>
      </c>
      <c r="D165">
        <f>XLOOKUP(A165,tblInvoices[invoice_id],tblInvoices[expected_fee])</f>
        <v/>
      </c>
      <c r="E165">
        <f>XLOOKUP(A165,tblInvoices[invoice_id],tblInvoices[billed_fee])</f>
        <v/>
      </c>
      <c r="F165">
        <f>E165-D165</f>
        <v/>
      </c>
      <c r="G165">
        <f>IF(D165=0,0,ROUND(100*F165/D165,2))</f>
        <v/>
      </c>
      <c r="H165">
        <f>IF(ABS(F165)&lt;=0.01,"Correct",IF(F165&lt;0,"Underbilled","Overbilled"))</f>
        <v/>
      </c>
    </row>
    <row r="166">
      <c r="A166" t="inlineStr">
        <is>
          <t>INV0003907</t>
        </is>
      </c>
      <c r="B166" t="inlineStr">
        <is>
          <t>MER00184</t>
        </is>
      </c>
      <c r="C166">
        <f>XLOOKUP(B166,Merchants!$A$4:$A$1000,Merchants!$B$4:$B$1000,"Not found")</f>
        <v/>
      </c>
      <c r="D166">
        <f>XLOOKUP(A166,tblInvoices[invoice_id],tblInvoices[expected_fee])</f>
        <v/>
      </c>
      <c r="E166">
        <f>XLOOKUP(A166,tblInvoices[invoice_id],tblInvoices[billed_fee])</f>
        <v/>
      </c>
      <c r="F166">
        <f>E166-D166</f>
        <v/>
      </c>
      <c r="G166">
        <f>IF(D166=0,0,ROUND(100*F166/D166,2))</f>
        <v/>
      </c>
      <c r="H166">
        <f>IF(ABS(F166)&lt;=0.01,"Correct",IF(F166&lt;0,"Underbilled","Overbilled"))</f>
        <v/>
      </c>
    </row>
    <row r="167">
      <c r="A167" t="inlineStr">
        <is>
          <t>INV0003908</t>
        </is>
      </c>
      <c r="B167" t="inlineStr">
        <is>
          <t>MER00184</t>
        </is>
      </c>
      <c r="C167">
        <f>XLOOKUP(B167,Merchants!$A$4:$A$1000,Merchants!$B$4:$B$1000,"Not found")</f>
        <v/>
      </c>
      <c r="D167">
        <f>XLOOKUP(A167,tblInvoices[invoice_id],tblInvoices[expected_fee])</f>
        <v/>
      </c>
      <c r="E167">
        <f>XLOOKUP(A167,tblInvoices[invoice_id],tblInvoices[billed_fee])</f>
        <v/>
      </c>
      <c r="F167">
        <f>E167-D167</f>
        <v/>
      </c>
      <c r="G167">
        <f>IF(D167=0,0,ROUND(100*F167/D167,2))</f>
        <v/>
      </c>
      <c r="H167">
        <f>IF(ABS(F167)&lt;=0.01,"Correct",IF(F167&lt;0,"Underbilled","Overbilled"))</f>
        <v/>
      </c>
    </row>
    <row r="168">
      <c r="A168" t="inlineStr">
        <is>
          <t>INV0003909</t>
        </is>
      </c>
      <c r="B168" t="inlineStr">
        <is>
          <t>MER00184</t>
        </is>
      </c>
      <c r="C168">
        <f>XLOOKUP(B168,Merchants!$A$4:$A$1000,Merchants!$B$4:$B$1000,"Not found")</f>
        <v/>
      </c>
      <c r="D168">
        <f>XLOOKUP(A168,tblInvoices[invoice_id],tblInvoices[expected_fee])</f>
        <v/>
      </c>
      <c r="E168">
        <f>XLOOKUP(A168,tblInvoices[invoice_id],tblInvoices[billed_fee])</f>
        <v/>
      </c>
      <c r="F168">
        <f>E168-D168</f>
        <v/>
      </c>
      <c r="G168">
        <f>IF(D168=0,0,ROUND(100*F168/D168,2))</f>
        <v/>
      </c>
      <c r="H168">
        <f>IF(ABS(F168)&lt;=0.01,"Correct",IF(F168&lt;0,"Underbilled","Overbilled"))</f>
        <v/>
      </c>
    </row>
    <row r="169">
      <c r="A169" t="inlineStr">
        <is>
          <t>INV0003910</t>
        </is>
      </c>
      <c r="B169" t="inlineStr">
        <is>
          <t>MER00184</t>
        </is>
      </c>
      <c r="C169">
        <f>XLOOKUP(B169,Merchants!$A$4:$A$1000,Merchants!$B$4:$B$1000,"Not found")</f>
        <v/>
      </c>
      <c r="D169">
        <f>XLOOKUP(A169,tblInvoices[invoice_id],tblInvoices[expected_fee])</f>
        <v/>
      </c>
      <c r="E169">
        <f>XLOOKUP(A169,tblInvoices[invoice_id],tblInvoices[billed_fee])</f>
        <v/>
      </c>
      <c r="F169">
        <f>E169-D169</f>
        <v/>
      </c>
      <c r="G169">
        <f>IF(D169=0,0,ROUND(100*F169/D169,2))</f>
        <v/>
      </c>
      <c r="H169">
        <f>IF(ABS(F169)&lt;=0.01,"Correct",IF(F169&lt;0,"Underbilled","Overbilled"))</f>
        <v/>
      </c>
    </row>
    <row r="170">
      <c r="A170" t="inlineStr">
        <is>
          <t>INV0003911</t>
        </is>
      </c>
      <c r="B170" t="inlineStr">
        <is>
          <t>MER00184</t>
        </is>
      </c>
      <c r="C170">
        <f>XLOOKUP(B170,Merchants!$A$4:$A$1000,Merchants!$B$4:$B$1000,"Not found")</f>
        <v/>
      </c>
      <c r="D170">
        <f>XLOOKUP(A170,tblInvoices[invoice_id],tblInvoices[expected_fee])</f>
        <v/>
      </c>
      <c r="E170">
        <f>XLOOKUP(A170,tblInvoices[invoice_id],tblInvoices[billed_fee])</f>
        <v/>
      </c>
      <c r="F170">
        <f>E170-D170</f>
        <v/>
      </c>
      <c r="G170">
        <f>IF(D170=0,0,ROUND(100*F170/D170,2))</f>
        <v/>
      </c>
      <c r="H170">
        <f>IF(ABS(F170)&lt;=0.01,"Correct",IF(F170&lt;0,"Underbilled","Overbilled"))</f>
        <v/>
      </c>
    </row>
    <row r="171">
      <c r="A171" t="inlineStr">
        <is>
          <t>INV0003912</t>
        </is>
      </c>
      <c r="B171" t="inlineStr">
        <is>
          <t>MER00184</t>
        </is>
      </c>
      <c r="C171">
        <f>XLOOKUP(B171,Merchants!$A$4:$A$1000,Merchants!$B$4:$B$1000,"Not found")</f>
        <v/>
      </c>
      <c r="D171">
        <f>XLOOKUP(A171,tblInvoices[invoice_id],tblInvoices[expected_fee])</f>
        <v/>
      </c>
      <c r="E171">
        <f>XLOOKUP(A171,tblInvoices[invoice_id],tblInvoices[billed_fee])</f>
        <v/>
      </c>
      <c r="F171">
        <f>E171-D171</f>
        <v/>
      </c>
      <c r="G171">
        <f>IF(D171=0,0,ROUND(100*F171/D171,2))</f>
        <v/>
      </c>
      <c r="H171">
        <f>IF(ABS(F171)&lt;=0.01,"Correct",IF(F171&lt;0,"Underbilled","Overbilled"))</f>
        <v/>
      </c>
    </row>
    <row r="172">
      <c r="A172" t="inlineStr">
        <is>
          <t>INV0003913</t>
        </is>
      </c>
      <c r="B172" t="inlineStr">
        <is>
          <t>MER00184</t>
        </is>
      </c>
      <c r="C172">
        <f>XLOOKUP(B172,Merchants!$A$4:$A$1000,Merchants!$B$4:$B$1000,"Not found")</f>
        <v/>
      </c>
      <c r="D172">
        <f>XLOOKUP(A172,tblInvoices[invoice_id],tblInvoices[expected_fee])</f>
        <v/>
      </c>
      <c r="E172">
        <f>XLOOKUP(A172,tblInvoices[invoice_id],tblInvoices[billed_fee])</f>
        <v/>
      </c>
      <c r="F172">
        <f>E172-D172</f>
        <v/>
      </c>
      <c r="G172">
        <f>IF(D172=0,0,ROUND(100*F172/D172,2))</f>
        <v/>
      </c>
      <c r="H172">
        <f>IF(ABS(F172)&lt;=0.01,"Correct",IF(F172&lt;0,"Underbilled","Overbilled"))</f>
        <v/>
      </c>
    </row>
    <row r="173">
      <c r="A173" t="inlineStr">
        <is>
          <t>INV0003914</t>
        </is>
      </c>
      <c r="B173" t="inlineStr">
        <is>
          <t>MER00184</t>
        </is>
      </c>
      <c r="C173">
        <f>XLOOKUP(B173,Merchants!$A$4:$A$1000,Merchants!$B$4:$B$1000,"Not found")</f>
        <v/>
      </c>
      <c r="D173">
        <f>XLOOKUP(A173,tblInvoices[invoice_id],tblInvoices[expected_fee])</f>
        <v/>
      </c>
      <c r="E173">
        <f>XLOOKUP(A173,tblInvoices[invoice_id],tblInvoices[billed_fee])</f>
        <v/>
      </c>
      <c r="F173">
        <f>E173-D173</f>
        <v/>
      </c>
      <c r="G173">
        <f>IF(D173=0,0,ROUND(100*F173/D173,2))</f>
        <v/>
      </c>
      <c r="H173">
        <f>IF(ABS(F173)&lt;=0.01,"Correct",IF(F173&lt;0,"Underbilled","Overbilled"))</f>
        <v/>
      </c>
    </row>
    <row r="174">
      <c r="A174" t="inlineStr">
        <is>
          <t>INV0003915</t>
        </is>
      </c>
      <c r="B174" t="inlineStr">
        <is>
          <t>MER00184</t>
        </is>
      </c>
      <c r="C174">
        <f>XLOOKUP(B174,Merchants!$A$4:$A$1000,Merchants!$B$4:$B$1000,"Not found")</f>
        <v/>
      </c>
      <c r="D174">
        <f>XLOOKUP(A174,tblInvoices[invoice_id],tblInvoices[expected_fee])</f>
        <v/>
      </c>
      <c r="E174">
        <f>XLOOKUP(A174,tblInvoices[invoice_id],tblInvoices[billed_fee])</f>
        <v/>
      </c>
      <c r="F174">
        <f>E174-D174</f>
        <v/>
      </c>
      <c r="G174">
        <f>IF(D174=0,0,ROUND(100*F174/D174,2))</f>
        <v/>
      </c>
      <c r="H174">
        <f>IF(ABS(F174)&lt;=0.01,"Correct",IF(F174&lt;0,"Underbilled","Overbilled"))</f>
        <v/>
      </c>
    </row>
    <row r="175">
      <c r="A175" t="inlineStr">
        <is>
          <t>INV0004011</t>
        </is>
      </c>
      <c r="B175" t="inlineStr">
        <is>
          <t>MER00189</t>
        </is>
      </c>
      <c r="C175">
        <f>XLOOKUP(B175,Merchants!$A$4:$A$1000,Merchants!$B$4:$B$1000,"Not found")</f>
        <v/>
      </c>
      <c r="D175">
        <f>XLOOKUP(A175,tblInvoices[invoice_id],tblInvoices[expected_fee])</f>
        <v/>
      </c>
      <c r="E175">
        <f>XLOOKUP(A175,tblInvoices[invoice_id],tblInvoices[billed_fee])</f>
        <v/>
      </c>
      <c r="F175">
        <f>E175-D175</f>
        <v/>
      </c>
      <c r="G175">
        <f>IF(D175=0,0,ROUND(100*F175/D175,2))</f>
        <v/>
      </c>
      <c r="H175">
        <f>IF(ABS(F175)&lt;=0.01,"Correct",IF(F175&lt;0,"Underbilled","Overbilled"))</f>
        <v/>
      </c>
    </row>
    <row r="176">
      <c r="A176" t="inlineStr">
        <is>
          <t>INV0004012</t>
        </is>
      </c>
      <c r="B176" t="inlineStr">
        <is>
          <t>MER00189</t>
        </is>
      </c>
      <c r="C176">
        <f>XLOOKUP(B176,Merchants!$A$4:$A$1000,Merchants!$B$4:$B$1000,"Not found")</f>
        <v/>
      </c>
      <c r="D176">
        <f>XLOOKUP(A176,tblInvoices[invoice_id],tblInvoices[expected_fee])</f>
        <v/>
      </c>
      <c r="E176">
        <f>XLOOKUP(A176,tblInvoices[invoice_id],tblInvoices[billed_fee])</f>
        <v/>
      </c>
      <c r="F176">
        <f>E176-D176</f>
        <v/>
      </c>
      <c r="G176">
        <f>IF(D176=0,0,ROUND(100*F176/D176,2))</f>
        <v/>
      </c>
      <c r="H176">
        <f>IF(ABS(F176)&lt;=0.01,"Correct",IF(F176&lt;0,"Underbilled","Overbilled"))</f>
        <v/>
      </c>
    </row>
    <row r="177">
      <c r="A177" t="inlineStr">
        <is>
          <t>INV0004013</t>
        </is>
      </c>
      <c r="B177" t="inlineStr">
        <is>
          <t>MER00189</t>
        </is>
      </c>
      <c r="C177">
        <f>XLOOKUP(B177,Merchants!$A$4:$A$1000,Merchants!$B$4:$B$1000,"Not found")</f>
        <v/>
      </c>
      <c r="D177">
        <f>XLOOKUP(A177,tblInvoices[invoice_id],tblInvoices[expected_fee])</f>
        <v/>
      </c>
      <c r="E177">
        <f>XLOOKUP(A177,tblInvoices[invoice_id],tblInvoices[billed_fee])</f>
        <v/>
      </c>
      <c r="F177">
        <f>E177-D177</f>
        <v/>
      </c>
      <c r="G177">
        <f>IF(D177=0,0,ROUND(100*F177/D177,2))</f>
        <v/>
      </c>
      <c r="H177">
        <f>IF(ABS(F177)&lt;=0.01,"Correct",IF(F177&lt;0,"Underbilled","Overbilled"))</f>
        <v/>
      </c>
    </row>
    <row r="178">
      <c r="A178" t="inlineStr">
        <is>
          <t>INV0004014</t>
        </is>
      </c>
      <c r="B178" t="inlineStr">
        <is>
          <t>MER00189</t>
        </is>
      </c>
      <c r="C178">
        <f>XLOOKUP(B178,Merchants!$A$4:$A$1000,Merchants!$B$4:$B$1000,"Not found")</f>
        <v/>
      </c>
      <c r="D178">
        <f>XLOOKUP(A178,tblInvoices[invoice_id],tblInvoices[expected_fee])</f>
        <v/>
      </c>
      <c r="E178">
        <f>XLOOKUP(A178,tblInvoices[invoice_id],tblInvoices[billed_fee])</f>
        <v/>
      </c>
      <c r="F178">
        <f>E178-D178</f>
        <v/>
      </c>
      <c r="G178">
        <f>IF(D178=0,0,ROUND(100*F178/D178,2))</f>
        <v/>
      </c>
      <c r="H178">
        <f>IF(ABS(F178)&lt;=0.01,"Correct",IF(F178&lt;0,"Underbilled","Overbilled"))</f>
        <v/>
      </c>
    </row>
    <row r="179">
      <c r="A179" t="inlineStr">
        <is>
          <t>INV0004015</t>
        </is>
      </c>
      <c r="B179" t="inlineStr">
        <is>
          <t>MER00189</t>
        </is>
      </c>
      <c r="C179">
        <f>XLOOKUP(B179,Merchants!$A$4:$A$1000,Merchants!$B$4:$B$1000,"Not found")</f>
        <v/>
      </c>
      <c r="D179">
        <f>XLOOKUP(A179,tblInvoices[invoice_id],tblInvoices[expected_fee])</f>
        <v/>
      </c>
      <c r="E179">
        <f>XLOOKUP(A179,tblInvoices[invoice_id],tblInvoices[billed_fee])</f>
        <v/>
      </c>
      <c r="F179">
        <f>E179-D179</f>
        <v/>
      </c>
      <c r="G179">
        <f>IF(D179=0,0,ROUND(100*F179/D179,2))</f>
        <v/>
      </c>
      <c r="H179">
        <f>IF(ABS(F179)&lt;=0.01,"Correct",IF(F179&lt;0,"Underbilled","Overbilled"))</f>
        <v/>
      </c>
    </row>
    <row r="180">
      <c r="A180" t="inlineStr">
        <is>
          <t>INV0004016</t>
        </is>
      </c>
      <c r="B180" t="inlineStr">
        <is>
          <t>MER00189</t>
        </is>
      </c>
      <c r="C180">
        <f>XLOOKUP(B180,Merchants!$A$4:$A$1000,Merchants!$B$4:$B$1000,"Not found")</f>
        <v/>
      </c>
      <c r="D180">
        <f>XLOOKUP(A180,tblInvoices[invoice_id],tblInvoices[expected_fee])</f>
        <v/>
      </c>
      <c r="E180">
        <f>XLOOKUP(A180,tblInvoices[invoice_id],tblInvoices[billed_fee])</f>
        <v/>
      </c>
      <c r="F180">
        <f>E180-D180</f>
        <v/>
      </c>
      <c r="G180">
        <f>IF(D180=0,0,ROUND(100*F180/D180,2))</f>
        <v/>
      </c>
      <c r="H180">
        <f>IF(ABS(F180)&lt;=0.01,"Correct",IF(F180&lt;0,"Underbilled","Overbilled"))</f>
        <v/>
      </c>
    </row>
    <row r="181">
      <c r="A181" t="inlineStr">
        <is>
          <t>INV0004017</t>
        </is>
      </c>
      <c r="B181" t="inlineStr">
        <is>
          <t>MER00189</t>
        </is>
      </c>
      <c r="C181">
        <f>XLOOKUP(B181,Merchants!$A$4:$A$1000,Merchants!$B$4:$B$1000,"Not found")</f>
        <v/>
      </c>
      <c r="D181">
        <f>XLOOKUP(A181,tblInvoices[invoice_id],tblInvoices[expected_fee])</f>
        <v/>
      </c>
      <c r="E181">
        <f>XLOOKUP(A181,tblInvoices[invoice_id],tblInvoices[billed_fee])</f>
        <v/>
      </c>
      <c r="F181">
        <f>E181-D181</f>
        <v/>
      </c>
      <c r="G181">
        <f>IF(D181=0,0,ROUND(100*F181/D181,2))</f>
        <v/>
      </c>
      <c r="H181">
        <f>IF(ABS(F181)&lt;=0.01,"Correct",IF(F181&lt;0,"Underbilled","Overbilled"))</f>
        <v/>
      </c>
    </row>
    <row r="182">
      <c r="A182" t="inlineStr">
        <is>
          <t>INV0004018</t>
        </is>
      </c>
      <c r="B182" t="inlineStr">
        <is>
          <t>MER00189</t>
        </is>
      </c>
      <c r="C182">
        <f>XLOOKUP(B182,Merchants!$A$4:$A$1000,Merchants!$B$4:$B$1000,"Not found")</f>
        <v/>
      </c>
      <c r="D182">
        <f>XLOOKUP(A182,tblInvoices[invoice_id],tblInvoices[expected_fee])</f>
        <v/>
      </c>
      <c r="E182">
        <f>XLOOKUP(A182,tblInvoices[invoice_id],tblInvoices[billed_fee])</f>
        <v/>
      </c>
      <c r="F182">
        <f>E182-D182</f>
        <v/>
      </c>
      <c r="G182">
        <f>IF(D182=0,0,ROUND(100*F182/D182,2))</f>
        <v/>
      </c>
      <c r="H182">
        <f>IF(ABS(F182)&lt;=0.01,"Correct",IF(F182&lt;0,"Underbilled","Overbilled"))</f>
        <v/>
      </c>
    </row>
    <row r="183">
      <c r="A183" t="inlineStr">
        <is>
          <t>INV0004019</t>
        </is>
      </c>
      <c r="B183" t="inlineStr">
        <is>
          <t>MER00189</t>
        </is>
      </c>
      <c r="C183">
        <f>XLOOKUP(B183,Merchants!$A$4:$A$1000,Merchants!$B$4:$B$1000,"Not found")</f>
        <v/>
      </c>
      <c r="D183">
        <f>XLOOKUP(A183,tblInvoices[invoice_id],tblInvoices[expected_fee])</f>
        <v/>
      </c>
      <c r="E183">
        <f>XLOOKUP(A183,tblInvoices[invoice_id],tblInvoices[billed_fee])</f>
        <v/>
      </c>
      <c r="F183">
        <f>E183-D183</f>
        <v/>
      </c>
      <c r="G183">
        <f>IF(D183=0,0,ROUND(100*F183/D183,2))</f>
        <v/>
      </c>
      <c r="H183">
        <f>IF(ABS(F183)&lt;=0.01,"Correct",IF(F183&lt;0,"Underbilled","Overbilled"))</f>
        <v/>
      </c>
    </row>
    <row r="184">
      <c r="A184" t="inlineStr">
        <is>
          <t>INV0004020</t>
        </is>
      </c>
      <c r="B184" t="inlineStr">
        <is>
          <t>MER00189</t>
        </is>
      </c>
      <c r="C184">
        <f>XLOOKUP(B184,Merchants!$A$4:$A$1000,Merchants!$B$4:$B$1000,"Not found")</f>
        <v/>
      </c>
      <c r="D184">
        <f>XLOOKUP(A184,tblInvoices[invoice_id],tblInvoices[expected_fee])</f>
        <v/>
      </c>
      <c r="E184">
        <f>XLOOKUP(A184,tblInvoices[invoice_id],tblInvoices[billed_fee])</f>
        <v/>
      </c>
      <c r="F184">
        <f>E184-D184</f>
        <v/>
      </c>
      <c r="G184">
        <f>IF(D184=0,0,ROUND(100*F184/D184,2))</f>
        <v/>
      </c>
      <c r="H184">
        <f>IF(ABS(F184)&lt;=0.01,"Correct",IF(F184&lt;0,"Underbilled","Overbilled"))</f>
        <v/>
      </c>
    </row>
    <row r="185">
      <c r="A185" t="inlineStr">
        <is>
          <t>INV0004021</t>
        </is>
      </c>
      <c r="B185" t="inlineStr">
        <is>
          <t>MER00189</t>
        </is>
      </c>
      <c r="C185">
        <f>XLOOKUP(B185,Merchants!$A$4:$A$1000,Merchants!$B$4:$B$1000,"Not found")</f>
        <v/>
      </c>
      <c r="D185">
        <f>XLOOKUP(A185,tblInvoices[invoice_id],tblInvoices[expected_fee])</f>
        <v/>
      </c>
      <c r="E185">
        <f>XLOOKUP(A185,tblInvoices[invoice_id],tblInvoices[billed_fee])</f>
        <v/>
      </c>
      <c r="F185">
        <f>E185-D185</f>
        <v/>
      </c>
      <c r="G185">
        <f>IF(D185=0,0,ROUND(100*F185/D185,2))</f>
        <v/>
      </c>
      <c r="H185">
        <f>IF(ABS(F185)&lt;=0.01,"Correct",IF(F185&lt;0,"Underbilled","Overbilled"))</f>
        <v/>
      </c>
    </row>
    <row r="186">
      <c r="A186" t="inlineStr">
        <is>
          <t>INV0004022</t>
        </is>
      </c>
      <c r="B186" t="inlineStr">
        <is>
          <t>MER00189</t>
        </is>
      </c>
      <c r="C186">
        <f>XLOOKUP(B186,Merchants!$A$4:$A$1000,Merchants!$B$4:$B$1000,"Not found")</f>
        <v/>
      </c>
      <c r="D186">
        <f>XLOOKUP(A186,tblInvoices[invoice_id],tblInvoices[expected_fee])</f>
        <v/>
      </c>
      <c r="E186">
        <f>XLOOKUP(A186,tblInvoices[invoice_id],tblInvoices[billed_fee])</f>
        <v/>
      </c>
      <c r="F186">
        <f>E186-D186</f>
        <v/>
      </c>
      <c r="G186">
        <f>IF(D186=0,0,ROUND(100*F186/D186,2))</f>
        <v/>
      </c>
      <c r="H186">
        <f>IF(ABS(F186)&lt;=0.01,"Correct",IF(F186&lt;0,"Underbilled","Overbilled"))</f>
        <v/>
      </c>
    </row>
    <row r="187">
      <c r="A187" t="inlineStr">
        <is>
          <t>INV0004023</t>
        </is>
      </c>
      <c r="B187" t="inlineStr">
        <is>
          <t>MER00189</t>
        </is>
      </c>
      <c r="C187">
        <f>XLOOKUP(B187,Merchants!$A$4:$A$1000,Merchants!$B$4:$B$1000,"Not found")</f>
        <v/>
      </c>
      <c r="D187">
        <f>XLOOKUP(A187,tblInvoices[invoice_id],tblInvoices[expected_fee])</f>
        <v/>
      </c>
      <c r="E187">
        <f>XLOOKUP(A187,tblInvoices[invoice_id],tblInvoices[billed_fee])</f>
        <v/>
      </c>
      <c r="F187">
        <f>E187-D187</f>
        <v/>
      </c>
      <c r="G187">
        <f>IF(D187=0,0,ROUND(100*F187/D187,2))</f>
        <v/>
      </c>
      <c r="H187">
        <f>IF(ABS(F187)&lt;=0.01,"Correct",IF(F187&lt;0,"Underbilled","Overbilled"))</f>
        <v/>
      </c>
    </row>
    <row r="188">
      <c r="A188" t="inlineStr">
        <is>
          <t>INV0004024</t>
        </is>
      </c>
      <c r="B188" t="inlineStr">
        <is>
          <t>MER00189</t>
        </is>
      </c>
      <c r="C188">
        <f>XLOOKUP(B188,Merchants!$A$4:$A$1000,Merchants!$B$4:$B$1000,"Not found")</f>
        <v/>
      </c>
      <c r="D188">
        <f>XLOOKUP(A188,tblInvoices[invoice_id],tblInvoices[expected_fee])</f>
        <v/>
      </c>
      <c r="E188">
        <f>XLOOKUP(A188,tblInvoices[invoice_id],tblInvoices[billed_fee])</f>
        <v/>
      </c>
      <c r="F188">
        <f>E188-D188</f>
        <v/>
      </c>
      <c r="G188">
        <f>IF(D188=0,0,ROUND(100*F188/D188,2))</f>
        <v/>
      </c>
      <c r="H188">
        <f>IF(ABS(F188)&lt;=0.01,"Correct",IF(F188&lt;0,"Underbilled","Overbilled"))</f>
        <v/>
      </c>
    </row>
    <row r="189">
      <c r="A189" t="inlineStr">
        <is>
          <t>INV0004025</t>
        </is>
      </c>
      <c r="B189" t="inlineStr">
        <is>
          <t>MER00189</t>
        </is>
      </c>
      <c r="C189">
        <f>XLOOKUP(B189,Merchants!$A$4:$A$1000,Merchants!$B$4:$B$1000,"Not found")</f>
        <v/>
      </c>
      <c r="D189">
        <f>XLOOKUP(A189,tblInvoices[invoice_id],tblInvoices[expected_fee])</f>
        <v/>
      </c>
      <c r="E189">
        <f>XLOOKUP(A189,tblInvoices[invoice_id],tblInvoices[billed_fee])</f>
        <v/>
      </c>
      <c r="F189">
        <f>E189-D189</f>
        <v/>
      </c>
      <c r="G189">
        <f>IF(D189=0,0,ROUND(100*F189/D189,2))</f>
        <v/>
      </c>
      <c r="H189">
        <f>IF(ABS(F189)&lt;=0.01,"Correct",IF(F189&lt;0,"Underbilled","Overbilled"))</f>
        <v/>
      </c>
    </row>
    <row r="190">
      <c r="A190" t="inlineStr">
        <is>
          <t>INV0004026</t>
        </is>
      </c>
      <c r="B190" t="inlineStr">
        <is>
          <t>MER00189</t>
        </is>
      </c>
      <c r="C190">
        <f>XLOOKUP(B190,Merchants!$A$4:$A$1000,Merchants!$B$4:$B$1000,"Not found")</f>
        <v/>
      </c>
      <c r="D190">
        <f>XLOOKUP(A190,tblInvoices[invoice_id],tblInvoices[expected_fee])</f>
        <v/>
      </c>
      <c r="E190">
        <f>XLOOKUP(A190,tblInvoices[invoice_id],tblInvoices[billed_fee])</f>
        <v/>
      </c>
      <c r="F190">
        <f>E190-D190</f>
        <v/>
      </c>
      <c r="G190">
        <f>IF(D190=0,0,ROUND(100*F190/D190,2))</f>
        <v/>
      </c>
      <c r="H190">
        <f>IF(ABS(F190)&lt;=0.01,"Correct",IF(F190&lt;0,"Underbilled","Overbilled"))</f>
        <v/>
      </c>
    </row>
    <row r="191">
      <c r="A191" t="inlineStr">
        <is>
          <t>INV0004027</t>
        </is>
      </c>
      <c r="B191" t="inlineStr">
        <is>
          <t>MER00189</t>
        </is>
      </c>
      <c r="C191">
        <f>XLOOKUP(B191,Merchants!$A$4:$A$1000,Merchants!$B$4:$B$1000,"Not found")</f>
        <v/>
      </c>
      <c r="D191">
        <f>XLOOKUP(A191,tblInvoices[invoice_id],tblInvoices[expected_fee])</f>
        <v/>
      </c>
      <c r="E191">
        <f>XLOOKUP(A191,tblInvoices[invoice_id],tblInvoices[billed_fee])</f>
        <v/>
      </c>
      <c r="F191">
        <f>E191-D191</f>
        <v/>
      </c>
      <c r="G191">
        <f>IF(D191=0,0,ROUND(100*F191/D191,2))</f>
        <v/>
      </c>
      <c r="H191">
        <f>IF(ABS(F191)&lt;=0.01,"Correct",IF(F191&lt;0,"Underbilled","Overbilled"))</f>
        <v/>
      </c>
    </row>
    <row r="192">
      <c r="A192" t="inlineStr">
        <is>
          <t>INV0004028</t>
        </is>
      </c>
      <c r="B192" t="inlineStr">
        <is>
          <t>MER00189</t>
        </is>
      </c>
      <c r="C192">
        <f>XLOOKUP(B192,Merchants!$A$4:$A$1000,Merchants!$B$4:$B$1000,"Not found")</f>
        <v/>
      </c>
      <c r="D192">
        <f>XLOOKUP(A192,tblInvoices[invoice_id],tblInvoices[expected_fee])</f>
        <v/>
      </c>
      <c r="E192">
        <f>XLOOKUP(A192,tblInvoices[invoice_id],tblInvoices[billed_fee])</f>
        <v/>
      </c>
      <c r="F192">
        <f>E192-D192</f>
        <v/>
      </c>
      <c r="G192">
        <f>IF(D192=0,0,ROUND(100*F192/D192,2))</f>
        <v/>
      </c>
      <c r="H192">
        <f>IF(ABS(F192)&lt;=0.01,"Correct",IF(F192&lt;0,"Underbilled","Overbilled"))</f>
        <v/>
      </c>
    </row>
    <row r="193">
      <c r="A193" t="inlineStr">
        <is>
          <t>INV0004029</t>
        </is>
      </c>
      <c r="B193" t="inlineStr">
        <is>
          <t>MER00189</t>
        </is>
      </c>
      <c r="C193">
        <f>XLOOKUP(B193,Merchants!$A$4:$A$1000,Merchants!$B$4:$B$1000,"Not found")</f>
        <v/>
      </c>
      <c r="D193">
        <f>XLOOKUP(A193,tblInvoices[invoice_id],tblInvoices[expected_fee])</f>
        <v/>
      </c>
      <c r="E193">
        <f>XLOOKUP(A193,tblInvoices[invoice_id],tblInvoices[billed_fee])</f>
        <v/>
      </c>
      <c r="F193">
        <f>E193-D193</f>
        <v/>
      </c>
      <c r="G193">
        <f>IF(D193=0,0,ROUND(100*F193/D193,2))</f>
        <v/>
      </c>
      <c r="H193">
        <f>IF(ABS(F193)&lt;=0.01,"Correct",IF(F193&lt;0,"Underbilled","Overbilled"))</f>
        <v/>
      </c>
    </row>
    <row r="194">
      <c r="A194" t="inlineStr">
        <is>
          <t>INV0004030</t>
        </is>
      </c>
      <c r="B194" t="inlineStr">
        <is>
          <t>MER00189</t>
        </is>
      </c>
      <c r="C194">
        <f>XLOOKUP(B194,Merchants!$A$4:$A$1000,Merchants!$B$4:$B$1000,"Not found")</f>
        <v/>
      </c>
      <c r="D194">
        <f>XLOOKUP(A194,tblInvoices[invoice_id],tblInvoices[expected_fee])</f>
        <v/>
      </c>
      <c r="E194">
        <f>XLOOKUP(A194,tblInvoices[invoice_id],tblInvoices[billed_fee])</f>
        <v/>
      </c>
      <c r="F194">
        <f>E194-D194</f>
        <v/>
      </c>
      <c r="G194">
        <f>IF(D194=0,0,ROUND(100*F194/D194,2))</f>
        <v/>
      </c>
      <c r="H194">
        <f>IF(ABS(F194)&lt;=0.01,"Correct",IF(F194&lt;0,"Underbilled","Overbilled"))</f>
        <v/>
      </c>
    </row>
    <row r="195">
      <c r="A195" t="inlineStr">
        <is>
          <t>INV0004031</t>
        </is>
      </c>
      <c r="B195" t="inlineStr">
        <is>
          <t>MER00189</t>
        </is>
      </c>
      <c r="C195">
        <f>XLOOKUP(B195,Merchants!$A$4:$A$1000,Merchants!$B$4:$B$1000,"Not found")</f>
        <v/>
      </c>
      <c r="D195">
        <f>XLOOKUP(A195,tblInvoices[invoice_id],tblInvoices[expected_fee])</f>
        <v/>
      </c>
      <c r="E195">
        <f>XLOOKUP(A195,tblInvoices[invoice_id],tblInvoices[billed_fee])</f>
        <v/>
      </c>
      <c r="F195">
        <f>E195-D195</f>
        <v/>
      </c>
      <c r="G195">
        <f>IF(D195=0,0,ROUND(100*F195/D195,2))</f>
        <v/>
      </c>
      <c r="H195">
        <f>IF(ABS(F195)&lt;=0.01,"Correct",IF(F195&lt;0,"Underbilled","Overbilled"))</f>
        <v/>
      </c>
    </row>
    <row r="196">
      <c r="A196" t="inlineStr">
        <is>
          <t>INV0004032</t>
        </is>
      </c>
      <c r="B196" t="inlineStr">
        <is>
          <t>MER00189</t>
        </is>
      </c>
      <c r="C196">
        <f>XLOOKUP(B196,Merchants!$A$4:$A$1000,Merchants!$B$4:$B$1000,"Not found")</f>
        <v/>
      </c>
      <c r="D196">
        <f>XLOOKUP(A196,tblInvoices[invoice_id],tblInvoices[expected_fee])</f>
        <v/>
      </c>
      <c r="E196">
        <f>XLOOKUP(A196,tblInvoices[invoice_id],tblInvoices[billed_fee])</f>
        <v/>
      </c>
      <c r="F196">
        <f>E196-D196</f>
        <v/>
      </c>
      <c r="G196">
        <f>IF(D196=0,0,ROUND(100*F196/D196,2))</f>
        <v/>
      </c>
      <c r="H196">
        <f>IF(ABS(F196)&lt;=0.01,"Correct",IF(F196&lt;0,"Underbilled","Overbilled"))</f>
        <v/>
      </c>
    </row>
    <row r="197">
      <c r="A197" t="inlineStr">
        <is>
          <t>INV0004033</t>
        </is>
      </c>
      <c r="B197" t="inlineStr">
        <is>
          <t>MER00189</t>
        </is>
      </c>
      <c r="C197">
        <f>XLOOKUP(B197,Merchants!$A$4:$A$1000,Merchants!$B$4:$B$1000,"Not found")</f>
        <v/>
      </c>
      <c r="D197">
        <f>XLOOKUP(A197,tblInvoices[invoice_id],tblInvoices[expected_fee])</f>
        <v/>
      </c>
      <c r="E197">
        <f>XLOOKUP(A197,tblInvoices[invoice_id],tblInvoices[billed_fee])</f>
        <v/>
      </c>
      <c r="F197">
        <f>E197-D197</f>
        <v/>
      </c>
      <c r="G197">
        <f>IF(D197=0,0,ROUND(100*F197/D197,2))</f>
        <v/>
      </c>
      <c r="H197">
        <f>IF(ABS(F197)&lt;=0.01,"Correct",IF(F197&lt;0,"Underbilled","Overbilled"))</f>
        <v/>
      </c>
    </row>
    <row r="198">
      <c r="A198" t="inlineStr">
        <is>
          <t>INV0004034</t>
        </is>
      </c>
      <c r="B198" t="inlineStr">
        <is>
          <t>MER00189</t>
        </is>
      </c>
      <c r="C198">
        <f>XLOOKUP(B198,Merchants!$A$4:$A$1000,Merchants!$B$4:$B$1000,"Not found")</f>
        <v/>
      </c>
      <c r="D198">
        <f>XLOOKUP(A198,tblInvoices[invoice_id],tblInvoices[expected_fee])</f>
        <v/>
      </c>
      <c r="E198">
        <f>XLOOKUP(A198,tblInvoices[invoice_id],tblInvoices[billed_fee])</f>
        <v/>
      </c>
      <c r="F198">
        <f>E198-D198</f>
        <v/>
      </c>
      <c r="G198">
        <f>IF(D198=0,0,ROUND(100*F198/D198,2))</f>
        <v/>
      </c>
      <c r="H198">
        <f>IF(ABS(F198)&lt;=0.01,"Correct",IF(F198&lt;0,"Underbilled","Overbilled"))</f>
        <v/>
      </c>
    </row>
    <row r="199">
      <c r="A199" t="inlineStr">
        <is>
          <t>INV0004313</t>
        </is>
      </c>
      <c r="B199" t="inlineStr">
        <is>
          <t>MER00203</t>
        </is>
      </c>
      <c r="C199">
        <f>XLOOKUP(B199,Merchants!$A$4:$A$1000,Merchants!$B$4:$B$1000,"Not found")</f>
        <v/>
      </c>
      <c r="D199">
        <f>XLOOKUP(A199,tblInvoices[invoice_id],tblInvoices[expected_fee])</f>
        <v/>
      </c>
      <c r="E199">
        <f>XLOOKUP(A199,tblInvoices[invoice_id],tblInvoices[billed_fee])</f>
        <v/>
      </c>
      <c r="F199">
        <f>E199-D199</f>
        <v/>
      </c>
      <c r="G199">
        <f>IF(D199=0,0,ROUND(100*F199/D199,2))</f>
        <v/>
      </c>
      <c r="H199">
        <f>IF(ABS(F199)&lt;=0.01,"Correct",IF(F199&lt;0,"Underbilled","Overbilled"))</f>
        <v/>
      </c>
    </row>
    <row r="200">
      <c r="A200" t="inlineStr">
        <is>
          <t>INV0004314</t>
        </is>
      </c>
      <c r="B200" t="inlineStr">
        <is>
          <t>MER00203</t>
        </is>
      </c>
      <c r="C200">
        <f>XLOOKUP(B200,Merchants!$A$4:$A$1000,Merchants!$B$4:$B$1000,"Not found")</f>
        <v/>
      </c>
      <c r="D200">
        <f>XLOOKUP(A200,tblInvoices[invoice_id],tblInvoices[expected_fee])</f>
        <v/>
      </c>
      <c r="E200">
        <f>XLOOKUP(A200,tblInvoices[invoice_id],tblInvoices[billed_fee])</f>
        <v/>
      </c>
      <c r="F200">
        <f>E200-D200</f>
        <v/>
      </c>
      <c r="G200">
        <f>IF(D200=0,0,ROUND(100*F200/D200,2))</f>
        <v/>
      </c>
      <c r="H200">
        <f>IF(ABS(F200)&lt;=0.01,"Correct",IF(F200&lt;0,"Underbilled","Overbilled"))</f>
        <v/>
      </c>
    </row>
    <row r="201">
      <c r="A201" t="inlineStr">
        <is>
          <t>INV0004315</t>
        </is>
      </c>
      <c r="B201" t="inlineStr">
        <is>
          <t>MER00203</t>
        </is>
      </c>
      <c r="C201">
        <f>XLOOKUP(B201,Merchants!$A$4:$A$1000,Merchants!$B$4:$B$1000,"Not found")</f>
        <v/>
      </c>
      <c r="D201">
        <f>XLOOKUP(A201,tblInvoices[invoice_id],tblInvoices[expected_fee])</f>
        <v/>
      </c>
      <c r="E201">
        <f>XLOOKUP(A201,tblInvoices[invoice_id],tblInvoices[billed_fee])</f>
        <v/>
      </c>
      <c r="F201">
        <f>E201-D201</f>
        <v/>
      </c>
      <c r="G201">
        <f>IF(D201=0,0,ROUND(100*F201/D201,2))</f>
        <v/>
      </c>
      <c r="H201">
        <f>IF(ABS(F201)&lt;=0.01,"Correct",IF(F201&lt;0,"Underbilled","Overbilled"))</f>
        <v/>
      </c>
    </row>
    <row r="202">
      <c r="A202" t="inlineStr">
        <is>
          <t>INV0004316</t>
        </is>
      </c>
      <c r="B202" t="inlineStr">
        <is>
          <t>MER00203</t>
        </is>
      </c>
      <c r="C202">
        <f>XLOOKUP(B202,Merchants!$A$4:$A$1000,Merchants!$B$4:$B$1000,"Not found")</f>
        <v/>
      </c>
      <c r="D202">
        <f>XLOOKUP(A202,tblInvoices[invoice_id],tblInvoices[expected_fee])</f>
        <v/>
      </c>
      <c r="E202">
        <f>XLOOKUP(A202,tblInvoices[invoice_id],tblInvoices[billed_fee])</f>
        <v/>
      </c>
      <c r="F202">
        <f>E202-D202</f>
        <v/>
      </c>
      <c r="G202">
        <f>IF(D202=0,0,ROUND(100*F202/D202,2))</f>
        <v/>
      </c>
      <c r="H202">
        <f>IF(ABS(F202)&lt;=0.01,"Correct",IF(F202&lt;0,"Underbilled","Overbilled"))</f>
        <v/>
      </c>
    </row>
    <row r="203">
      <c r="A203" t="inlineStr">
        <is>
          <t>INV0004317</t>
        </is>
      </c>
      <c r="B203" t="inlineStr">
        <is>
          <t>MER00203</t>
        </is>
      </c>
      <c r="C203">
        <f>XLOOKUP(B203,Merchants!$A$4:$A$1000,Merchants!$B$4:$B$1000,"Not found")</f>
        <v/>
      </c>
      <c r="D203">
        <f>XLOOKUP(A203,tblInvoices[invoice_id],tblInvoices[expected_fee])</f>
        <v/>
      </c>
      <c r="E203">
        <f>XLOOKUP(A203,tblInvoices[invoice_id],tblInvoices[billed_fee])</f>
        <v/>
      </c>
      <c r="F203">
        <f>E203-D203</f>
        <v/>
      </c>
      <c r="G203">
        <f>IF(D203=0,0,ROUND(100*F203/D203,2))</f>
        <v/>
      </c>
      <c r="H203">
        <f>IF(ABS(F203)&lt;=0.01,"Correct",IF(F203&lt;0,"Underbilled","Overbilled"))</f>
        <v/>
      </c>
    </row>
    <row r="204">
      <c r="A204" t="inlineStr">
        <is>
          <t>INV0004318</t>
        </is>
      </c>
      <c r="B204" t="inlineStr">
        <is>
          <t>MER00203</t>
        </is>
      </c>
      <c r="C204">
        <f>XLOOKUP(B204,Merchants!$A$4:$A$1000,Merchants!$B$4:$B$1000,"Not found")</f>
        <v/>
      </c>
      <c r="D204">
        <f>XLOOKUP(A204,tblInvoices[invoice_id],tblInvoices[expected_fee])</f>
        <v/>
      </c>
      <c r="E204">
        <f>XLOOKUP(A204,tblInvoices[invoice_id],tblInvoices[billed_fee])</f>
        <v/>
      </c>
      <c r="F204">
        <f>E204-D204</f>
        <v/>
      </c>
      <c r="G204">
        <f>IF(D204=0,0,ROUND(100*F204/D204,2))</f>
        <v/>
      </c>
      <c r="H204">
        <f>IF(ABS(F204)&lt;=0.01,"Correct",IF(F204&lt;0,"Underbilled","Overbilled"))</f>
        <v/>
      </c>
    </row>
    <row r="205">
      <c r="A205" t="inlineStr">
        <is>
          <t>INV0004319</t>
        </is>
      </c>
      <c r="B205" t="inlineStr">
        <is>
          <t>MER00203</t>
        </is>
      </c>
      <c r="C205">
        <f>XLOOKUP(B205,Merchants!$A$4:$A$1000,Merchants!$B$4:$B$1000,"Not found")</f>
        <v/>
      </c>
      <c r="D205">
        <f>XLOOKUP(A205,tblInvoices[invoice_id],tblInvoices[expected_fee])</f>
        <v/>
      </c>
      <c r="E205">
        <f>XLOOKUP(A205,tblInvoices[invoice_id],tblInvoices[billed_fee])</f>
        <v/>
      </c>
      <c r="F205">
        <f>E205-D205</f>
        <v/>
      </c>
      <c r="G205">
        <f>IF(D205=0,0,ROUND(100*F205/D205,2))</f>
        <v/>
      </c>
      <c r="H205">
        <f>IF(ABS(F205)&lt;=0.01,"Correct",IF(F205&lt;0,"Underbilled","Overbilled"))</f>
        <v/>
      </c>
    </row>
    <row r="206">
      <c r="A206" t="inlineStr">
        <is>
          <t>INV0004320</t>
        </is>
      </c>
      <c r="B206" t="inlineStr">
        <is>
          <t>MER00203</t>
        </is>
      </c>
      <c r="C206">
        <f>XLOOKUP(B206,Merchants!$A$4:$A$1000,Merchants!$B$4:$B$1000,"Not found")</f>
        <v/>
      </c>
      <c r="D206">
        <f>XLOOKUP(A206,tblInvoices[invoice_id],tblInvoices[expected_fee])</f>
        <v/>
      </c>
      <c r="E206">
        <f>XLOOKUP(A206,tblInvoices[invoice_id],tblInvoices[billed_fee])</f>
        <v/>
      </c>
      <c r="F206">
        <f>E206-D206</f>
        <v/>
      </c>
      <c r="G206">
        <f>IF(D206=0,0,ROUND(100*F206/D206,2))</f>
        <v/>
      </c>
      <c r="H206">
        <f>IF(ABS(F206)&lt;=0.01,"Correct",IF(F206&lt;0,"Underbilled","Overbilled"))</f>
        <v/>
      </c>
    </row>
    <row r="207">
      <c r="A207" t="inlineStr">
        <is>
          <t>INV0004321</t>
        </is>
      </c>
      <c r="B207" t="inlineStr">
        <is>
          <t>MER00203</t>
        </is>
      </c>
      <c r="C207">
        <f>XLOOKUP(B207,Merchants!$A$4:$A$1000,Merchants!$B$4:$B$1000,"Not found")</f>
        <v/>
      </c>
      <c r="D207">
        <f>XLOOKUP(A207,tblInvoices[invoice_id],tblInvoices[expected_fee])</f>
        <v/>
      </c>
      <c r="E207">
        <f>XLOOKUP(A207,tblInvoices[invoice_id],tblInvoices[billed_fee])</f>
        <v/>
      </c>
      <c r="F207">
        <f>E207-D207</f>
        <v/>
      </c>
      <c r="G207">
        <f>IF(D207=0,0,ROUND(100*F207/D207,2))</f>
        <v/>
      </c>
      <c r="H207">
        <f>IF(ABS(F207)&lt;=0.01,"Correct",IF(F207&lt;0,"Underbilled","Overbilled"))</f>
        <v/>
      </c>
    </row>
    <row r="208">
      <c r="A208" t="inlineStr">
        <is>
          <t>INV0004322</t>
        </is>
      </c>
      <c r="B208" t="inlineStr">
        <is>
          <t>MER00203</t>
        </is>
      </c>
      <c r="C208">
        <f>XLOOKUP(B208,Merchants!$A$4:$A$1000,Merchants!$B$4:$B$1000,"Not found")</f>
        <v/>
      </c>
      <c r="D208">
        <f>XLOOKUP(A208,tblInvoices[invoice_id],tblInvoices[expected_fee])</f>
        <v/>
      </c>
      <c r="E208">
        <f>XLOOKUP(A208,tblInvoices[invoice_id],tblInvoices[billed_fee])</f>
        <v/>
      </c>
      <c r="F208">
        <f>E208-D208</f>
        <v/>
      </c>
      <c r="G208">
        <f>IF(D208=0,0,ROUND(100*F208/D208,2))</f>
        <v/>
      </c>
      <c r="H208">
        <f>IF(ABS(F208)&lt;=0.01,"Correct",IF(F208&lt;0,"Underbilled","Overbilled"))</f>
        <v/>
      </c>
    </row>
    <row r="209">
      <c r="A209" t="inlineStr">
        <is>
          <t>INV0004323</t>
        </is>
      </c>
      <c r="B209" t="inlineStr">
        <is>
          <t>MER00203</t>
        </is>
      </c>
      <c r="C209">
        <f>XLOOKUP(B209,Merchants!$A$4:$A$1000,Merchants!$B$4:$B$1000,"Not found")</f>
        <v/>
      </c>
      <c r="D209">
        <f>XLOOKUP(A209,tblInvoices[invoice_id],tblInvoices[expected_fee])</f>
        <v/>
      </c>
      <c r="E209">
        <f>XLOOKUP(A209,tblInvoices[invoice_id],tblInvoices[billed_fee])</f>
        <v/>
      </c>
      <c r="F209">
        <f>E209-D209</f>
        <v/>
      </c>
      <c r="G209">
        <f>IF(D209=0,0,ROUND(100*F209/D209,2))</f>
        <v/>
      </c>
      <c r="H209">
        <f>IF(ABS(F209)&lt;=0.01,"Correct",IF(F209&lt;0,"Underbilled","Overbilled"))</f>
        <v/>
      </c>
    </row>
    <row r="210">
      <c r="A210" t="inlineStr">
        <is>
          <t>INV0004324</t>
        </is>
      </c>
      <c r="B210" t="inlineStr">
        <is>
          <t>MER00203</t>
        </is>
      </c>
      <c r="C210">
        <f>XLOOKUP(B210,Merchants!$A$4:$A$1000,Merchants!$B$4:$B$1000,"Not found")</f>
        <v/>
      </c>
      <c r="D210">
        <f>XLOOKUP(A210,tblInvoices[invoice_id],tblInvoices[expected_fee])</f>
        <v/>
      </c>
      <c r="E210">
        <f>XLOOKUP(A210,tblInvoices[invoice_id],tblInvoices[billed_fee])</f>
        <v/>
      </c>
      <c r="F210">
        <f>E210-D210</f>
        <v/>
      </c>
      <c r="G210">
        <f>IF(D210=0,0,ROUND(100*F210/D210,2))</f>
        <v/>
      </c>
      <c r="H210">
        <f>IF(ABS(F210)&lt;=0.01,"Correct",IF(F210&lt;0,"Underbilled","Overbilled"))</f>
        <v/>
      </c>
    </row>
    <row r="211">
      <c r="A211" t="inlineStr">
        <is>
          <t>INV0004325</t>
        </is>
      </c>
      <c r="B211" t="inlineStr">
        <is>
          <t>MER00203</t>
        </is>
      </c>
      <c r="C211">
        <f>XLOOKUP(B211,Merchants!$A$4:$A$1000,Merchants!$B$4:$B$1000,"Not found")</f>
        <v/>
      </c>
      <c r="D211">
        <f>XLOOKUP(A211,tblInvoices[invoice_id],tblInvoices[expected_fee])</f>
        <v/>
      </c>
      <c r="E211">
        <f>XLOOKUP(A211,tblInvoices[invoice_id],tblInvoices[billed_fee])</f>
        <v/>
      </c>
      <c r="F211">
        <f>E211-D211</f>
        <v/>
      </c>
      <c r="G211">
        <f>IF(D211=0,0,ROUND(100*F211/D211,2))</f>
        <v/>
      </c>
      <c r="H211">
        <f>IF(ABS(F211)&lt;=0.01,"Correct",IF(F211&lt;0,"Underbilled","Overbilled"))</f>
        <v/>
      </c>
    </row>
    <row r="212">
      <c r="A212" t="inlineStr">
        <is>
          <t>INV0004326</t>
        </is>
      </c>
      <c r="B212" t="inlineStr">
        <is>
          <t>MER00203</t>
        </is>
      </c>
      <c r="C212">
        <f>XLOOKUP(B212,Merchants!$A$4:$A$1000,Merchants!$B$4:$B$1000,"Not found")</f>
        <v/>
      </c>
      <c r="D212">
        <f>XLOOKUP(A212,tblInvoices[invoice_id],tblInvoices[expected_fee])</f>
        <v/>
      </c>
      <c r="E212">
        <f>XLOOKUP(A212,tblInvoices[invoice_id],tblInvoices[billed_fee])</f>
        <v/>
      </c>
      <c r="F212">
        <f>E212-D212</f>
        <v/>
      </c>
      <c r="G212">
        <f>IF(D212=0,0,ROUND(100*F212/D212,2))</f>
        <v/>
      </c>
      <c r="H212">
        <f>IF(ABS(F212)&lt;=0.01,"Correct",IF(F212&lt;0,"Underbilled","Overbilled"))</f>
        <v/>
      </c>
    </row>
    <row r="213">
      <c r="A213" t="inlineStr">
        <is>
          <t>INV0004327</t>
        </is>
      </c>
      <c r="B213" t="inlineStr">
        <is>
          <t>MER00203</t>
        </is>
      </c>
      <c r="C213">
        <f>XLOOKUP(B213,Merchants!$A$4:$A$1000,Merchants!$B$4:$B$1000,"Not found")</f>
        <v/>
      </c>
      <c r="D213">
        <f>XLOOKUP(A213,tblInvoices[invoice_id],tblInvoices[expected_fee])</f>
        <v/>
      </c>
      <c r="E213">
        <f>XLOOKUP(A213,tblInvoices[invoice_id],tblInvoices[billed_fee])</f>
        <v/>
      </c>
      <c r="F213">
        <f>E213-D213</f>
        <v/>
      </c>
      <c r="G213">
        <f>IF(D213=0,0,ROUND(100*F213/D213,2))</f>
        <v/>
      </c>
      <c r="H213">
        <f>IF(ABS(F213)&lt;=0.01,"Correct",IF(F213&lt;0,"Underbilled","Overbilled"))</f>
        <v/>
      </c>
    </row>
    <row r="214">
      <c r="A214" t="inlineStr">
        <is>
          <t>INV0004328</t>
        </is>
      </c>
      <c r="B214" t="inlineStr">
        <is>
          <t>MER00203</t>
        </is>
      </c>
      <c r="C214">
        <f>XLOOKUP(B214,Merchants!$A$4:$A$1000,Merchants!$B$4:$B$1000,"Not found")</f>
        <v/>
      </c>
      <c r="D214">
        <f>XLOOKUP(A214,tblInvoices[invoice_id],tblInvoices[expected_fee])</f>
        <v/>
      </c>
      <c r="E214">
        <f>XLOOKUP(A214,tblInvoices[invoice_id],tblInvoices[billed_fee])</f>
        <v/>
      </c>
      <c r="F214">
        <f>E214-D214</f>
        <v/>
      </c>
      <c r="G214">
        <f>IF(D214=0,0,ROUND(100*F214/D214,2))</f>
        <v/>
      </c>
      <c r="H214">
        <f>IF(ABS(F214)&lt;=0.01,"Correct",IF(F214&lt;0,"Underbilled","Overbilled"))</f>
        <v/>
      </c>
    </row>
    <row r="215">
      <c r="A215" t="inlineStr">
        <is>
          <t>INV0004329</t>
        </is>
      </c>
      <c r="B215" t="inlineStr">
        <is>
          <t>MER00203</t>
        </is>
      </c>
      <c r="C215">
        <f>XLOOKUP(B215,Merchants!$A$4:$A$1000,Merchants!$B$4:$B$1000,"Not found")</f>
        <v/>
      </c>
      <c r="D215">
        <f>XLOOKUP(A215,tblInvoices[invoice_id],tblInvoices[expected_fee])</f>
        <v/>
      </c>
      <c r="E215">
        <f>XLOOKUP(A215,tblInvoices[invoice_id],tblInvoices[billed_fee])</f>
        <v/>
      </c>
      <c r="F215">
        <f>E215-D215</f>
        <v/>
      </c>
      <c r="G215">
        <f>IF(D215=0,0,ROUND(100*F215/D215,2))</f>
        <v/>
      </c>
      <c r="H215">
        <f>IF(ABS(F215)&lt;=0.01,"Correct",IF(F215&lt;0,"Underbilled","Overbilled"))</f>
        <v/>
      </c>
    </row>
    <row r="216">
      <c r="A216" t="inlineStr">
        <is>
          <t>INV0004330</t>
        </is>
      </c>
      <c r="B216" t="inlineStr">
        <is>
          <t>MER00203</t>
        </is>
      </c>
      <c r="C216">
        <f>XLOOKUP(B216,Merchants!$A$4:$A$1000,Merchants!$B$4:$B$1000,"Not found")</f>
        <v/>
      </c>
      <c r="D216">
        <f>XLOOKUP(A216,tblInvoices[invoice_id],tblInvoices[expected_fee])</f>
        <v/>
      </c>
      <c r="E216">
        <f>XLOOKUP(A216,tblInvoices[invoice_id],tblInvoices[billed_fee])</f>
        <v/>
      </c>
      <c r="F216">
        <f>E216-D216</f>
        <v/>
      </c>
      <c r="G216">
        <f>IF(D216=0,0,ROUND(100*F216/D216,2))</f>
        <v/>
      </c>
      <c r="H216">
        <f>IF(ABS(F216)&lt;=0.01,"Correct",IF(F216&lt;0,"Underbilled","Overbilled"))</f>
        <v/>
      </c>
    </row>
    <row r="217">
      <c r="A217" t="inlineStr">
        <is>
          <t>INV0004331</t>
        </is>
      </c>
      <c r="B217" t="inlineStr">
        <is>
          <t>MER00203</t>
        </is>
      </c>
      <c r="C217">
        <f>XLOOKUP(B217,Merchants!$A$4:$A$1000,Merchants!$B$4:$B$1000,"Not found")</f>
        <v/>
      </c>
      <c r="D217">
        <f>XLOOKUP(A217,tblInvoices[invoice_id],tblInvoices[expected_fee])</f>
        <v/>
      </c>
      <c r="E217">
        <f>XLOOKUP(A217,tblInvoices[invoice_id],tblInvoices[billed_fee])</f>
        <v/>
      </c>
      <c r="F217">
        <f>E217-D217</f>
        <v/>
      </c>
      <c r="G217">
        <f>IF(D217=0,0,ROUND(100*F217/D217,2))</f>
        <v/>
      </c>
      <c r="H217">
        <f>IF(ABS(F217)&lt;=0.01,"Correct",IF(F217&lt;0,"Underbilled","Overbilled"))</f>
        <v/>
      </c>
    </row>
    <row r="218">
      <c r="A218" t="inlineStr">
        <is>
          <t>INV0004332</t>
        </is>
      </c>
      <c r="B218" t="inlineStr">
        <is>
          <t>MER00203</t>
        </is>
      </c>
      <c r="C218">
        <f>XLOOKUP(B218,Merchants!$A$4:$A$1000,Merchants!$B$4:$B$1000,"Not found")</f>
        <v/>
      </c>
      <c r="D218">
        <f>XLOOKUP(A218,tblInvoices[invoice_id],tblInvoices[expected_fee])</f>
        <v/>
      </c>
      <c r="E218">
        <f>XLOOKUP(A218,tblInvoices[invoice_id],tblInvoices[billed_fee])</f>
        <v/>
      </c>
      <c r="F218">
        <f>E218-D218</f>
        <v/>
      </c>
      <c r="G218">
        <f>IF(D218=0,0,ROUND(100*F218/D218,2))</f>
        <v/>
      </c>
      <c r="H218">
        <f>IF(ABS(F218)&lt;=0.01,"Correct",IF(F218&lt;0,"Underbilled","Overbilled"))</f>
        <v/>
      </c>
    </row>
    <row r="219">
      <c r="A219" t="inlineStr">
        <is>
          <t>INV0004333</t>
        </is>
      </c>
      <c r="B219" t="inlineStr">
        <is>
          <t>MER00203</t>
        </is>
      </c>
      <c r="C219">
        <f>XLOOKUP(B219,Merchants!$A$4:$A$1000,Merchants!$B$4:$B$1000,"Not found")</f>
        <v/>
      </c>
      <c r="D219">
        <f>XLOOKUP(A219,tblInvoices[invoice_id],tblInvoices[expected_fee])</f>
        <v/>
      </c>
      <c r="E219">
        <f>XLOOKUP(A219,tblInvoices[invoice_id],tblInvoices[billed_fee])</f>
        <v/>
      </c>
      <c r="F219">
        <f>E219-D219</f>
        <v/>
      </c>
      <c r="G219">
        <f>IF(D219=0,0,ROUND(100*F219/D219,2))</f>
        <v/>
      </c>
      <c r="H219">
        <f>IF(ABS(F219)&lt;=0.01,"Correct",IF(F219&lt;0,"Underbilled","Overbilled"))</f>
        <v/>
      </c>
    </row>
    <row r="220">
      <c r="A220" t="inlineStr">
        <is>
          <t>INV0004334</t>
        </is>
      </c>
      <c r="B220" t="inlineStr">
        <is>
          <t>MER00203</t>
        </is>
      </c>
      <c r="C220">
        <f>XLOOKUP(B220,Merchants!$A$4:$A$1000,Merchants!$B$4:$B$1000,"Not found")</f>
        <v/>
      </c>
      <c r="D220">
        <f>XLOOKUP(A220,tblInvoices[invoice_id],tblInvoices[expected_fee])</f>
        <v/>
      </c>
      <c r="E220">
        <f>XLOOKUP(A220,tblInvoices[invoice_id],tblInvoices[billed_fee])</f>
        <v/>
      </c>
      <c r="F220">
        <f>E220-D220</f>
        <v/>
      </c>
      <c r="G220">
        <f>IF(D220=0,0,ROUND(100*F220/D220,2))</f>
        <v/>
      </c>
      <c r="H220">
        <f>IF(ABS(F220)&lt;=0.01,"Correct",IF(F220&lt;0,"Underbilled","Overbilled"))</f>
        <v/>
      </c>
    </row>
    <row r="221">
      <c r="A221" t="inlineStr">
        <is>
          <t>INV0004335</t>
        </is>
      </c>
      <c r="B221" t="inlineStr">
        <is>
          <t>MER00203</t>
        </is>
      </c>
      <c r="C221">
        <f>XLOOKUP(B221,Merchants!$A$4:$A$1000,Merchants!$B$4:$B$1000,"Not found")</f>
        <v/>
      </c>
      <c r="D221">
        <f>XLOOKUP(A221,tblInvoices[invoice_id],tblInvoices[expected_fee])</f>
        <v/>
      </c>
      <c r="E221">
        <f>XLOOKUP(A221,tblInvoices[invoice_id],tblInvoices[billed_fee])</f>
        <v/>
      </c>
      <c r="F221">
        <f>E221-D221</f>
        <v/>
      </c>
      <c r="G221">
        <f>IF(D221=0,0,ROUND(100*F221/D221,2))</f>
        <v/>
      </c>
      <c r="H221">
        <f>IF(ABS(F221)&lt;=0.01,"Correct",IF(F221&lt;0,"Underbilled","Overbilled"))</f>
        <v/>
      </c>
    </row>
    <row r="222">
      <c r="A222" t="inlineStr">
        <is>
          <t>INV0004336</t>
        </is>
      </c>
      <c r="B222" t="inlineStr">
        <is>
          <t>MER00203</t>
        </is>
      </c>
      <c r="C222">
        <f>XLOOKUP(B222,Merchants!$A$4:$A$1000,Merchants!$B$4:$B$1000,"Not found")</f>
        <v/>
      </c>
      <c r="D222">
        <f>XLOOKUP(A222,tblInvoices[invoice_id],tblInvoices[expected_fee])</f>
        <v/>
      </c>
      <c r="E222">
        <f>XLOOKUP(A222,tblInvoices[invoice_id],tblInvoices[billed_fee])</f>
        <v/>
      </c>
      <c r="F222">
        <f>E222-D222</f>
        <v/>
      </c>
      <c r="G222">
        <f>IF(D222=0,0,ROUND(100*F222/D222,2))</f>
        <v/>
      </c>
      <c r="H222">
        <f>IF(ABS(F222)&lt;=0.01,"Correct",IF(F222&lt;0,"Underbilled","Overbilled"))</f>
        <v/>
      </c>
    </row>
    <row r="223">
      <c r="A223" t="inlineStr">
        <is>
          <t>INV0007295</t>
        </is>
      </c>
      <c r="B223" t="inlineStr">
        <is>
          <t>MER00346</t>
        </is>
      </c>
      <c r="C223">
        <f>XLOOKUP(B223,Merchants!$A$4:$A$1000,Merchants!$B$4:$B$1000,"Not found")</f>
        <v/>
      </c>
      <c r="D223">
        <f>XLOOKUP(A223,tblInvoices[invoice_id],tblInvoices[expected_fee])</f>
        <v/>
      </c>
      <c r="E223">
        <f>XLOOKUP(A223,tblInvoices[invoice_id],tblInvoices[billed_fee])</f>
        <v/>
      </c>
      <c r="F223">
        <f>E223-D223</f>
        <v/>
      </c>
      <c r="G223">
        <f>IF(D223=0,0,ROUND(100*F223/D223,2))</f>
        <v/>
      </c>
      <c r="H223">
        <f>IF(ABS(F223)&lt;=0.01,"Correct",IF(F223&lt;0,"Underbilled","Overbilled"))</f>
        <v/>
      </c>
    </row>
    <row r="224">
      <c r="A224" t="inlineStr">
        <is>
          <t>INV0007296</t>
        </is>
      </c>
      <c r="B224" t="inlineStr">
        <is>
          <t>MER00346</t>
        </is>
      </c>
      <c r="C224">
        <f>XLOOKUP(B224,Merchants!$A$4:$A$1000,Merchants!$B$4:$B$1000,"Not found")</f>
        <v/>
      </c>
      <c r="D224">
        <f>XLOOKUP(A224,tblInvoices[invoice_id],tblInvoices[expected_fee])</f>
        <v/>
      </c>
      <c r="E224">
        <f>XLOOKUP(A224,tblInvoices[invoice_id],tblInvoices[billed_fee])</f>
        <v/>
      </c>
      <c r="F224">
        <f>E224-D224</f>
        <v/>
      </c>
      <c r="G224">
        <f>IF(D224=0,0,ROUND(100*F224/D224,2))</f>
        <v/>
      </c>
      <c r="H224">
        <f>IF(ABS(F224)&lt;=0.01,"Correct",IF(F224&lt;0,"Underbilled","Overbilled"))</f>
        <v/>
      </c>
    </row>
    <row r="225">
      <c r="A225" t="inlineStr">
        <is>
          <t>INV0007297</t>
        </is>
      </c>
      <c r="B225" t="inlineStr">
        <is>
          <t>MER00346</t>
        </is>
      </c>
      <c r="C225">
        <f>XLOOKUP(B225,Merchants!$A$4:$A$1000,Merchants!$B$4:$B$1000,"Not found")</f>
        <v/>
      </c>
      <c r="D225">
        <f>XLOOKUP(A225,tblInvoices[invoice_id],tblInvoices[expected_fee])</f>
        <v/>
      </c>
      <c r="E225">
        <f>XLOOKUP(A225,tblInvoices[invoice_id],tblInvoices[billed_fee])</f>
        <v/>
      </c>
      <c r="F225">
        <f>E225-D225</f>
        <v/>
      </c>
      <c r="G225">
        <f>IF(D225=0,0,ROUND(100*F225/D225,2))</f>
        <v/>
      </c>
      <c r="H225">
        <f>IF(ABS(F225)&lt;=0.01,"Correct",IF(F225&lt;0,"Underbilled","Overbilled"))</f>
        <v/>
      </c>
    </row>
    <row r="226">
      <c r="A226" t="inlineStr">
        <is>
          <t>INV0007298</t>
        </is>
      </c>
      <c r="B226" t="inlineStr">
        <is>
          <t>MER00346</t>
        </is>
      </c>
      <c r="C226">
        <f>XLOOKUP(B226,Merchants!$A$4:$A$1000,Merchants!$B$4:$B$1000,"Not found")</f>
        <v/>
      </c>
      <c r="D226">
        <f>XLOOKUP(A226,tblInvoices[invoice_id],tblInvoices[expected_fee])</f>
        <v/>
      </c>
      <c r="E226">
        <f>XLOOKUP(A226,tblInvoices[invoice_id],tblInvoices[billed_fee])</f>
        <v/>
      </c>
      <c r="F226">
        <f>E226-D226</f>
        <v/>
      </c>
      <c r="G226">
        <f>IF(D226=0,0,ROUND(100*F226/D226,2))</f>
        <v/>
      </c>
      <c r="H226">
        <f>IF(ABS(F226)&lt;=0.01,"Correct",IF(F226&lt;0,"Underbilled","Overbilled"))</f>
        <v/>
      </c>
    </row>
    <row r="227">
      <c r="A227" t="inlineStr">
        <is>
          <t>INV0007299</t>
        </is>
      </c>
      <c r="B227" t="inlineStr">
        <is>
          <t>MER00346</t>
        </is>
      </c>
      <c r="C227">
        <f>XLOOKUP(B227,Merchants!$A$4:$A$1000,Merchants!$B$4:$B$1000,"Not found")</f>
        <v/>
      </c>
      <c r="D227">
        <f>XLOOKUP(A227,tblInvoices[invoice_id],tblInvoices[expected_fee])</f>
        <v/>
      </c>
      <c r="E227">
        <f>XLOOKUP(A227,tblInvoices[invoice_id],tblInvoices[billed_fee])</f>
        <v/>
      </c>
      <c r="F227">
        <f>E227-D227</f>
        <v/>
      </c>
      <c r="G227">
        <f>IF(D227=0,0,ROUND(100*F227/D227,2))</f>
        <v/>
      </c>
      <c r="H227">
        <f>IF(ABS(F227)&lt;=0.01,"Correct",IF(F227&lt;0,"Underbilled","Overbilled"))</f>
        <v/>
      </c>
    </row>
    <row r="228">
      <c r="A228" t="inlineStr">
        <is>
          <t>INV0007300</t>
        </is>
      </c>
      <c r="B228" t="inlineStr">
        <is>
          <t>MER00346</t>
        </is>
      </c>
      <c r="C228">
        <f>XLOOKUP(B228,Merchants!$A$4:$A$1000,Merchants!$B$4:$B$1000,"Not found")</f>
        <v/>
      </c>
      <c r="D228">
        <f>XLOOKUP(A228,tblInvoices[invoice_id],tblInvoices[expected_fee])</f>
        <v/>
      </c>
      <c r="E228">
        <f>XLOOKUP(A228,tblInvoices[invoice_id],tblInvoices[billed_fee])</f>
        <v/>
      </c>
      <c r="F228">
        <f>E228-D228</f>
        <v/>
      </c>
      <c r="G228">
        <f>IF(D228=0,0,ROUND(100*F228/D228,2))</f>
        <v/>
      </c>
      <c r="H228">
        <f>IF(ABS(F228)&lt;=0.01,"Correct",IF(F228&lt;0,"Underbilled","Overbilled"))</f>
        <v/>
      </c>
    </row>
    <row r="229">
      <c r="A229" t="inlineStr">
        <is>
          <t>INV0007301</t>
        </is>
      </c>
      <c r="B229" t="inlineStr">
        <is>
          <t>MER00346</t>
        </is>
      </c>
      <c r="C229">
        <f>XLOOKUP(B229,Merchants!$A$4:$A$1000,Merchants!$B$4:$B$1000,"Not found")</f>
        <v/>
      </c>
      <c r="D229">
        <f>XLOOKUP(A229,tblInvoices[invoice_id],tblInvoices[expected_fee])</f>
        <v/>
      </c>
      <c r="E229">
        <f>XLOOKUP(A229,tblInvoices[invoice_id],tblInvoices[billed_fee])</f>
        <v/>
      </c>
      <c r="F229">
        <f>E229-D229</f>
        <v/>
      </c>
      <c r="G229">
        <f>IF(D229=0,0,ROUND(100*F229/D229,2))</f>
        <v/>
      </c>
      <c r="H229">
        <f>IF(ABS(F229)&lt;=0.01,"Correct",IF(F229&lt;0,"Underbilled","Overbilled"))</f>
        <v/>
      </c>
    </row>
    <row r="230">
      <c r="A230" t="inlineStr">
        <is>
          <t>INV0007302</t>
        </is>
      </c>
      <c r="B230" t="inlineStr">
        <is>
          <t>MER00346</t>
        </is>
      </c>
      <c r="C230">
        <f>XLOOKUP(B230,Merchants!$A$4:$A$1000,Merchants!$B$4:$B$1000,"Not found")</f>
        <v/>
      </c>
      <c r="D230">
        <f>XLOOKUP(A230,tblInvoices[invoice_id],tblInvoices[expected_fee])</f>
        <v/>
      </c>
      <c r="E230">
        <f>XLOOKUP(A230,tblInvoices[invoice_id],tblInvoices[billed_fee])</f>
        <v/>
      </c>
      <c r="F230">
        <f>E230-D230</f>
        <v/>
      </c>
      <c r="G230">
        <f>IF(D230=0,0,ROUND(100*F230/D230,2))</f>
        <v/>
      </c>
      <c r="H230">
        <f>IF(ABS(F230)&lt;=0.01,"Correct",IF(F230&lt;0,"Underbilled","Overbilled"))</f>
        <v/>
      </c>
    </row>
    <row r="231">
      <c r="A231" t="inlineStr">
        <is>
          <t>INV0007303</t>
        </is>
      </c>
      <c r="B231" t="inlineStr">
        <is>
          <t>MER00346</t>
        </is>
      </c>
      <c r="C231">
        <f>XLOOKUP(B231,Merchants!$A$4:$A$1000,Merchants!$B$4:$B$1000,"Not found")</f>
        <v/>
      </c>
      <c r="D231">
        <f>XLOOKUP(A231,tblInvoices[invoice_id],tblInvoices[expected_fee])</f>
        <v/>
      </c>
      <c r="E231">
        <f>XLOOKUP(A231,tblInvoices[invoice_id],tblInvoices[billed_fee])</f>
        <v/>
      </c>
      <c r="F231">
        <f>E231-D231</f>
        <v/>
      </c>
      <c r="G231">
        <f>IF(D231=0,0,ROUND(100*F231/D231,2))</f>
        <v/>
      </c>
      <c r="H231">
        <f>IF(ABS(F231)&lt;=0.01,"Correct",IF(F231&lt;0,"Underbilled","Overbilled"))</f>
        <v/>
      </c>
    </row>
    <row r="232">
      <c r="A232" t="inlineStr">
        <is>
          <t>INV0007304</t>
        </is>
      </c>
      <c r="B232" t="inlineStr">
        <is>
          <t>MER00346</t>
        </is>
      </c>
      <c r="C232">
        <f>XLOOKUP(B232,Merchants!$A$4:$A$1000,Merchants!$B$4:$B$1000,"Not found")</f>
        <v/>
      </c>
      <c r="D232">
        <f>XLOOKUP(A232,tblInvoices[invoice_id],tblInvoices[expected_fee])</f>
        <v/>
      </c>
      <c r="E232">
        <f>XLOOKUP(A232,tblInvoices[invoice_id],tblInvoices[billed_fee])</f>
        <v/>
      </c>
      <c r="F232">
        <f>E232-D232</f>
        <v/>
      </c>
      <c r="G232">
        <f>IF(D232=0,0,ROUND(100*F232/D232,2))</f>
        <v/>
      </c>
      <c r="H232">
        <f>IF(ABS(F232)&lt;=0.01,"Correct",IF(F232&lt;0,"Underbilled","Overbilled"))</f>
        <v/>
      </c>
    </row>
    <row r="233">
      <c r="A233" t="inlineStr">
        <is>
          <t>INV0007305</t>
        </is>
      </c>
      <c r="B233" t="inlineStr">
        <is>
          <t>MER00346</t>
        </is>
      </c>
      <c r="C233">
        <f>XLOOKUP(B233,Merchants!$A$4:$A$1000,Merchants!$B$4:$B$1000,"Not found")</f>
        <v/>
      </c>
      <c r="D233">
        <f>XLOOKUP(A233,tblInvoices[invoice_id],tblInvoices[expected_fee])</f>
        <v/>
      </c>
      <c r="E233">
        <f>XLOOKUP(A233,tblInvoices[invoice_id],tblInvoices[billed_fee])</f>
        <v/>
      </c>
      <c r="F233">
        <f>E233-D233</f>
        <v/>
      </c>
      <c r="G233">
        <f>IF(D233=0,0,ROUND(100*F233/D233,2))</f>
        <v/>
      </c>
      <c r="H233">
        <f>IF(ABS(F233)&lt;=0.01,"Correct",IF(F233&lt;0,"Underbilled","Overbilled"))</f>
        <v/>
      </c>
    </row>
    <row r="234">
      <c r="A234" t="inlineStr">
        <is>
          <t>INV0007306</t>
        </is>
      </c>
      <c r="B234" t="inlineStr">
        <is>
          <t>MER00346</t>
        </is>
      </c>
      <c r="C234">
        <f>XLOOKUP(B234,Merchants!$A$4:$A$1000,Merchants!$B$4:$B$1000,"Not found")</f>
        <v/>
      </c>
      <c r="D234">
        <f>XLOOKUP(A234,tblInvoices[invoice_id],tblInvoices[expected_fee])</f>
        <v/>
      </c>
      <c r="E234">
        <f>XLOOKUP(A234,tblInvoices[invoice_id],tblInvoices[billed_fee])</f>
        <v/>
      </c>
      <c r="F234">
        <f>E234-D234</f>
        <v/>
      </c>
      <c r="G234">
        <f>IF(D234=0,0,ROUND(100*F234/D234,2))</f>
        <v/>
      </c>
      <c r="H234">
        <f>IF(ABS(F234)&lt;=0.01,"Correct",IF(F234&lt;0,"Underbilled","Overbilled"))</f>
        <v/>
      </c>
    </row>
    <row r="235">
      <c r="A235" t="inlineStr">
        <is>
          <t>INV0007307</t>
        </is>
      </c>
      <c r="B235" t="inlineStr">
        <is>
          <t>MER00346</t>
        </is>
      </c>
      <c r="C235">
        <f>XLOOKUP(B235,Merchants!$A$4:$A$1000,Merchants!$B$4:$B$1000,"Not found")</f>
        <v/>
      </c>
      <c r="D235">
        <f>XLOOKUP(A235,tblInvoices[invoice_id],tblInvoices[expected_fee])</f>
        <v/>
      </c>
      <c r="E235">
        <f>XLOOKUP(A235,tblInvoices[invoice_id],tblInvoices[billed_fee])</f>
        <v/>
      </c>
      <c r="F235">
        <f>E235-D235</f>
        <v/>
      </c>
      <c r="G235">
        <f>IF(D235=0,0,ROUND(100*F235/D235,2))</f>
        <v/>
      </c>
      <c r="H235">
        <f>IF(ABS(F235)&lt;=0.01,"Correct",IF(F235&lt;0,"Underbilled","Overbilled"))</f>
        <v/>
      </c>
    </row>
    <row r="236">
      <c r="A236" t="inlineStr">
        <is>
          <t>INV0007308</t>
        </is>
      </c>
      <c r="B236" t="inlineStr">
        <is>
          <t>MER00346</t>
        </is>
      </c>
      <c r="C236">
        <f>XLOOKUP(B236,Merchants!$A$4:$A$1000,Merchants!$B$4:$B$1000,"Not found")</f>
        <v/>
      </c>
      <c r="D236">
        <f>XLOOKUP(A236,tblInvoices[invoice_id],tblInvoices[expected_fee])</f>
        <v/>
      </c>
      <c r="E236">
        <f>XLOOKUP(A236,tblInvoices[invoice_id],tblInvoices[billed_fee])</f>
        <v/>
      </c>
      <c r="F236">
        <f>E236-D236</f>
        <v/>
      </c>
      <c r="G236">
        <f>IF(D236=0,0,ROUND(100*F236/D236,2))</f>
        <v/>
      </c>
      <c r="H236">
        <f>IF(ABS(F236)&lt;=0.01,"Correct",IF(F236&lt;0,"Underbilled","Overbilled"))</f>
        <v/>
      </c>
    </row>
    <row r="237">
      <c r="A237" t="inlineStr">
        <is>
          <t>INV0007309</t>
        </is>
      </c>
      <c r="B237" t="inlineStr">
        <is>
          <t>MER00346</t>
        </is>
      </c>
      <c r="C237">
        <f>XLOOKUP(B237,Merchants!$A$4:$A$1000,Merchants!$B$4:$B$1000,"Not found")</f>
        <v/>
      </c>
      <c r="D237">
        <f>XLOOKUP(A237,tblInvoices[invoice_id],tblInvoices[expected_fee])</f>
        <v/>
      </c>
      <c r="E237">
        <f>XLOOKUP(A237,tblInvoices[invoice_id],tblInvoices[billed_fee])</f>
        <v/>
      </c>
      <c r="F237">
        <f>E237-D237</f>
        <v/>
      </c>
      <c r="G237">
        <f>IF(D237=0,0,ROUND(100*F237/D237,2))</f>
        <v/>
      </c>
      <c r="H237">
        <f>IF(ABS(F237)&lt;=0.01,"Correct",IF(F237&lt;0,"Underbilled","Overbilled"))</f>
        <v/>
      </c>
    </row>
    <row r="238">
      <c r="A238" t="inlineStr">
        <is>
          <t>INV0007310</t>
        </is>
      </c>
      <c r="B238" t="inlineStr">
        <is>
          <t>MER00346</t>
        </is>
      </c>
      <c r="C238">
        <f>XLOOKUP(B238,Merchants!$A$4:$A$1000,Merchants!$B$4:$B$1000,"Not found")</f>
        <v/>
      </c>
      <c r="D238">
        <f>XLOOKUP(A238,tblInvoices[invoice_id],tblInvoices[expected_fee])</f>
        <v/>
      </c>
      <c r="E238">
        <f>XLOOKUP(A238,tblInvoices[invoice_id],tblInvoices[billed_fee])</f>
        <v/>
      </c>
      <c r="F238">
        <f>E238-D238</f>
        <v/>
      </c>
      <c r="G238">
        <f>IF(D238=0,0,ROUND(100*F238/D238,2))</f>
        <v/>
      </c>
      <c r="H238">
        <f>IF(ABS(F238)&lt;=0.01,"Correct",IF(F238&lt;0,"Underbilled","Overbilled"))</f>
        <v/>
      </c>
    </row>
    <row r="239">
      <c r="A239" t="inlineStr">
        <is>
          <t>INV0007311</t>
        </is>
      </c>
      <c r="B239" t="inlineStr">
        <is>
          <t>MER00346</t>
        </is>
      </c>
      <c r="C239">
        <f>XLOOKUP(B239,Merchants!$A$4:$A$1000,Merchants!$B$4:$B$1000,"Not found")</f>
        <v/>
      </c>
      <c r="D239">
        <f>XLOOKUP(A239,tblInvoices[invoice_id],tblInvoices[expected_fee])</f>
        <v/>
      </c>
      <c r="E239">
        <f>XLOOKUP(A239,tblInvoices[invoice_id],tblInvoices[billed_fee])</f>
        <v/>
      </c>
      <c r="F239">
        <f>E239-D239</f>
        <v/>
      </c>
      <c r="G239">
        <f>IF(D239=0,0,ROUND(100*F239/D239,2))</f>
        <v/>
      </c>
      <c r="H239">
        <f>IF(ABS(F239)&lt;=0.01,"Correct",IF(F239&lt;0,"Underbilled","Overbilled"))</f>
        <v/>
      </c>
    </row>
    <row r="240">
      <c r="A240" t="inlineStr">
        <is>
          <t>INV0007312</t>
        </is>
      </c>
      <c r="B240" t="inlineStr">
        <is>
          <t>MER00346</t>
        </is>
      </c>
      <c r="C240">
        <f>XLOOKUP(B240,Merchants!$A$4:$A$1000,Merchants!$B$4:$B$1000,"Not found")</f>
        <v/>
      </c>
      <c r="D240">
        <f>XLOOKUP(A240,tblInvoices[invoice_id],tblInvoices[expected_fee])</f>
        <v/>
      </c>
      <c r="E240">
        <f>XLOOKUP(A240,tblInvoices[invoice_id],tblInvoices[billed_fee])</f>
        <v/>
      </c>
      <c r="F240">
        <f>E240-D240</f>
        <v/>
      </c>
      <c r="G240">
        <f>IF(D240=0,0,ROUND(100*F240/D240,2))</f>
        <v/>
      </c>
      <c r="H240">
        <f>IF(ABS(F240)&lt;=0.01,"Correct",IF(F240&lt;0,"Underbilled","Overbilled"))</f>
        <v/>
      </c>
    </row>
    <row r="241">
      <c r="A241" t="inlineStr">
        <is>
          <t>INV0007313</t>
        </is>
      </c>
      <c r="B241" t="inlineStr">
        <is>
          <t>MER00346</t>
        </is>
      </c>
      <c r="C241">
        <f>XLOOKUP(B241,Merchants!$A$4:$A$1000,Merchants!$B$4:$B$1000,"Not found")</f>
        <v/>
      </c>
      <c r="D241">
        <f>XLOOKUP(A241,tblInvoices[invoice_id],tblInvoices[expected_fee])</f>
        <v/>
      </c>
      <c r="E241">
        <f>XLOOKUP(A241,tblInvoices[invoice_id],tblInvoices[billed_fee])</f>
        <v/>
      </c>
      <c r="F241">
        <f>E241-D241</f>
        <v/>
      </c>
      <c r="G241">
        <f>IF(D241=0,0,ROUND(100*F241/D241,2))</f>
        <v/>
      </c>
      <c r="H241">
        <f>IF(ABS(F241)&lt;=0.01,"Correct",IF(F241&lt;0,"Underbilled","Overbilled"))</f>
        <v/>
      </c>
    </row>
    <row r="242">
      <c r="A242" t="inlineStr">
        <is>
          <t>INV0007314</t>
        </is>
      </c>
      <c r="B242" t="inlineStr">
        <is>
          <t>MER00346</t>
        </is>
      </c>
      <c r="C242">
        <f>XLOOKUP(B242,Merchants!$A$4:$A$1000,Merchants!$B$4:$B$1000,"Not found")</f>
        <v/>
      </c>
      <c r="D242">
        <f>XLOOKUP(A242,tblInvoices[invoice_id],tblInvoices[expected_fee])</f>
        <v/>
      </c>
      <c r="E242">
        <f>XLOOKUP(A242,tblInvoices[invoice_id],tblInvoices[billed_fee])</f>
        <v/>
      </c>
      <c r="F242">
        <f>E242-D242</f>
        <v/>
      </c>
      <c r="G242">
        <f>IF(D242=0,0,ROUND(100*F242/D242,2))</f>
        <v/>
      </c>
      <c r="H242">
        <f>IF(ABS(F242)&lt;=0.01,"Correct",IF(F242&lt;0,"Underbilled","Overbilled"))</f>
        <v/>
      </c>
    </row>
    <row r="243">
      <c r="A243" t="inlineStr">
        <is>
          <t>INV0007315</t>
        </is>
      </c>
      <c r="B243" t="inlineStr">
        <is>
          <t>MER00346</t>
        </is>
      </c>
      <c r="C243">
        <f>XLOOKUP(B243,Merchants!$A$4:$A$1000,Merchants!$B$4:$B$1000,"Not found")</f>
        <v/>
      </c>
      <c r="D243">
        <f>XLOOKUP(A243,tblInvoices[invoice_id],tblInvoices[expected_fee])</f>
        <v/>
      </c>
      <c r="E243">
        <f>XLOOKUP(A243,tblInvoices[invoice_id],tblInvoices[billed_fee])</f>
        <v/>
      </c>
      <c r="F243">
        <f>E243-D243</f>
        <v/>
      </c>
      <c r="G243">
        <f>IF(D243=0,0,ROUND(100*F243/D243,2))</f>
        <v/>
      </c>
      <c r="H243">
        <f>IF(ABS(F243)&lt;=0.01,"Correct",IF(F243&lt;0,"Underbilled","Overbilled"))</f>
        <v/>
      </c>
    </row>
    <row r="244">
      <c r="A244" t="inlineStr">
        <is>
          <t>INV0007316</t>
        </is>
      </c>
      <c r="B244" t="inlineStr">
        <is>
          <t>MER00346</t>
        </is>
      </c>
      <c r="C244">
        <f>XLOOKUP(B244,Merchants!$A$4:$A$1000,Merchants!$B$4:$B$1000,"Not found")</f>
        <v/>
      </c>
      <c r="D244">
        <f>XLOOKUP(A244,tblInvoices[invoice_id],tblInvoices[expected_fee])</f>
        <v/>
      </c>
      <c r="E244">
        <f>XLOOKUP(A244,tblInvoices[invoice_id],tblInvoices[billed_fee])</f>
        <v/>
      </c>
      <c r="F244">
        <f>E244-D244</f>
        <v/>
      </c>
      <c r="G244">
        <f>IF(D244=0,0,ROUND(100*F244/D244,2))</f>
        <v/>
      </c>
      <c r="H244">
        <f>IF(ABS(F244)&lt;=0.01,"Correct",IF(F244&lt;0,"Underbilled","Overbilled"))</f>
        <v/>
      </c>
    </row>
    <row r="245">
      <c r="A245" t="inlineStr">
        <is>
          <t>INV0007317</t>
        </is>
      </c>
      <c r="B245" t="inlineStr">
        <is>
          <t>MER00346</t>
        </is>
      </c>
      <c r="C245">
        <f>XLOOKUP(B245,Merchants!$A$4:$A$1000,Merchants!$B$4:$B$1000,"Not found")</f>
        <v/>
      </c>
      <c r="D245">
        <f>XLOOKUP(A245,tblInvoices[invoice_id],tblInvoices[expected_fee])</f>
        <v/>
      </c>
      <c r="E245">
        <f>XLOOKUP(A245,tblInvoices[invoice_id],tblInvoices[billed_fee])</f>
        <v/>
      </c>
      <c r="F245">
        <f>E245-D245</f>
        <v/>
      </c>
      <c r="G245">
        <f>IF(D245=0,0,ROUND(100*F245/D245,2))</f>
        <v/>
      </c>
      <c r="H245">
        <f>IF(ABS(F245)&lt;=0.01,"Correct",IF(F245&lt;0,"Underbilled","Overbilled"))</f>
        <v/>
      </c>
    </row>
    <row r="246">
      <c r="A246" t="inlineStr">
        <is>
          <t>INV0007318</t>
        </is>
      </c>
      <c r="B246" t="inlineStr">
        <is>
          <t>MER00347</t>
        </is>
      </c>
      <c r="C246">
        <f>XLOOKUP(B246,Merchants!$A$4:$A$1000,Merchants!$B$4:$B$1000,"Not found")</f>
        <v/>
      </c>
      <c r="D246">
        <f>XLOOKUP(A246,tblInvoices[invoice_id],tblInvoices[expected_fee])</f>
        <v/>
      </c>
      <c r="E246">
        <f>XLOOKUP(A246,tblInvoices[invoice_id],tblInvoices[billed_fee])</f>
        <v/>
      </c>
      <c r="F246">
        <f>E246-D246</f>
        <v/>
      </c>
      <c r="G246">
        <f>IF(D246=0,0,ROUND(100*F246/D246,2))</f>
        <v/>
      </c>
      <c r="H246">
        <f>IF(ABS(F246)&lt;=0.01,"Correct",IF(F246&lt;0,"Underbilled","Overbilled"))</f>
        <v/>
      </c>
    </row>
    <row r="247">
      <c r="A247" t="inlineStr">
        <is>
          <t>INV0007319</t>
        </is>
      </c>
      <c r="B247" t="inlineStr">
        <is>
          <t>MER00347</t>
        </is>
      </c>
      <c r="C247">
        <f>XLOOKUP(B247,Merchants!$A$4:$A$1000,Merchants!$B$4:$B$1000,"Not found")</f>
        <v/>
      </c>
      <c r="D247">
        <f>XLOOKUP(A247,tblInvoices[invoice_id],tblInvoices[expected_fee])</f>
        <v/>
      </c>
      <c r="E247">
        <f>XLOOKUP(A247,tblInvoices[invoice_id],tblInvoices[billed_fee])</f>
        <v/>
      </c>
      <c r="F247">
        <f>E247-D247</f>
        <v/>
      </c>
      <c r="G247">
        <f>IF(D247=0,0,ROUND(100*F247/D247,2))</f>
        <v/>
      </c>
      <c r="H247">
        <f>IF(ABS(F247)&lt;=0.01,"Correct",IF(F247&lt;0,"Underbilled","Overbilled"))</f>
        <v/>
      </c>
    </row>
    <row r="248">
      <c r="A248" t="inlineStr">
        <is>
          <t>INV0007320</t>
        </is>
      </c>
      <c r="B248" t="inlineStr">
        <is>
          <t>MER00347</t>
        </is>
      </c>
      <c r="C248">
        <f>XLOOKUP(B248,Merchants!$A$4:$A$1000,Merchants!$B$4:$B$1000,"Not found")</f>
        <v/>
      </c>
      <c r="D248">
        <f>XLOOKUP(A248,tblInvoices[invoice_id],tblInvoices[expected_fee])</f>
        <v/>
      </c>
      <c r="E248">
        <f>XLOOKUP(A248,tblInvoices[invoice_id],tblInvoices[billed_fee])</f>
        <v/>
      </c>
      <c r="F248">
        <f>E248-D248</f>
        <v/>
      </c>
      <c r="G248">
        <f>IF(D248=0,0,ROUND(100*F248/D248,2))</f>
        <v/>
      </c>
      <c r="H248">
        <f>IF(ABS(F248)&lt;=0.01,"Correct",IF(F248&lt;0,"Underbilled","Overbilled"))</f>
        <v/>
      </c>
    </row>
    <row r="249">
      <c r="A249" t="inlineStr">
        <is>
          <t>INV0007477</t>
        </is>
      </c>
      <c r="B249" t="inlineStr">
        <is>
          <t>MER00355</t>
        </is>
      </c>
      <c r="C249">
        <f>XLOOKUP(B249,Merchants!$A$4:$A$1000,Merchants!$B$4:$B$1000,"Not found")</f>
        <v/>
      </c>
      <c r="D249">
        <f>XLOOKUP(A249,tblInvoices[invoice_id],tblInvoices[expected_fee])</f>
        <v/>
      </c>
      <c r="E249">
        <f>XLOOKUP(A249,tblInvoices[invoice_id],tblInvoices[billed_fee])</f>
        <v/>
      </c>
      <c r="F249">
        <f>E249-D249</f>
        <v/>
      </c>
      <c r="G249">
        <f>IF(D249=0,0,ROUND(100*F249/D249,2))</f>
        <v/>
      </c>
      <c r="H249">
        <f>IF(ABS(F249)&lt;=0.01,"Correct",IF(F249&lt;0,"Underbilled","Overbilled"))</f>
        <v/>
      </c>
    </row>
    <row r="250">
      <c r="A250" t="inlineStr">
        <is>
          <t>INV0007478</t>
        </is>
      </c>
      <c r="B250" t="inlineStr">
        <is>
          <t>MER00355</t>
        </is>
      </c>
      <c r="C250">
        <f>XLOOKUP(B250,Merchants!$A$4:$A$1000,Merchants!$B$4:$B$1000,"Not found")</f>
        <v/>
      </c>
      <c r="D250">
        <f>XLOOKUP(A250,tblInvoices[invoice_id],tblInvoices[expected_fee])</f>
        <v/>
      </c>
      <c r="E250">
        <f>XLOOKUP(A250,tblInvoices[invoice_id],tblInvoices[billed_fee])</f>
        <v/>
      </c>
      <c r="F250">
        <f>E250-D250</f>
        <v/>
      </c>
      <c r="G250">
        <f>IF(D250=0,0,ROUND(100*F250/D250,2))</f>
        <v/>
      </c>
      <c r="H250">
        <f>IF(ABS(F250)&lt;=0.01,"Correct",IF(F250&lt;0,"Underbilled","Overbilled"))</f>
        <v/>
      </c>
    </row>
    <row r="251">
      <c r="A251" t="inlineStr">
        <is>
          <t>INV0007479</t>
        </is>
      </c>
      <c r="B251" t="inlineStr">
        <is>
          <t>MER00355</t>
        </is>
      </c>
      <c r="C251">
        <f>XLOOKUP(B251,Merchants!$A$4:$A$1000,Merchants!$B$4:$B$1000,"Not found")</f>
        <v/>
      </c>
      <c r="D251">
        <f>XLOOKUP(A251,tblInvoices[invoice_id],tblInvoices[expected_fee])</f>
        <v/>
      </c>
      <c r="E251">
        <f>XLOOKUP(A251,tblInvoices[invoice_id],tblInvoices[billed_fee])</f>
        <v/>
      </c>
      <c r="F251">
        <f>E251-D251</f>
        <v/>
      </c>
      <c r="G251">
        <f>IF(D251=0,0,ROUND(100*F251/D251,2))</f>
        <v/>
      </c>
      <c r="H251">
        <f>IF(ABS(F251)&lt;=0.01,"Correct",IF(F251&lt;0,"Underbilled","Overbilled"))</f>
        <v/>
      </c>
    </row>
    <row r="252">
      <c r="A252" t="inlineStr">
        <is>
          <t>INV0007480</t>
        </is>
      </c>
      <c r="B252" t="inlineStr">
        <is>
          <t>MER00355</t>
        </is>
      </c>
      <c r="C252">
        <f>XLOOKUP(B252,Merchants!$A$4:$A$1000,Merchants!$B$4:$B$1000,"Not found")</f>
        <v/>
      </c>
      <c r="D252">
        <f>XLOOKUP(A252,tblInvoices[invoice_id],tblInvoices[expected_fee])</f>
        <v/>
      </c>
      <c r="E252">
        <f>XLOOKUP(A252,tblInvoices[invoice_id],tblInvoices[billed_fee])</f>
        <v/>
      </c>
      <c r="F252">
        <f>E252-D252</f>
        <v/>
      </c>
      <c r="G252">
        <f>IF(D252=0,0,ROUND(100*F252/D252,2))</f>
        <v/>
      </c>
      <c r="H252">
        <f>IF(ABS(F252)&lt;=0.01,"Correct",IF(F252&lt;0,"Underbilled","Overbilled"))</f>
        <v/>
      </c>
    </row>
    <row r="253">
      <c r="A253" t="inlineStr">
        <is>
          <t>INV0007481</t>
        </is>
      </c>
      <c r="B253" t="inlineStr">
        <is>
          <t>MER00355</t>
        </is>
      </c>
      <c r="C253">
        <f>XLOOKUP(B253,Merchants!$A$4:$A$1000,Merchants!$B$4:$B$1000,"Not found")</f>
        <v/>
      </c>
      <c r="D253">
        <f>XLOOKUP(A253,tblInvoices[invoice_id],tblInvoices[expected_fee])</f>
        <v/>
      </c>
      <c r="E253">
        <f>XLOOKUP(A253,tblInvoices[invoice_id],tblInvoices[billed_fee])</f>
        <v/>
      </c>
      <c r="F253">
        <f>E253-D253</f>
        <v/>
      </c>
      <c r="G253">
        <f>IF(D253=0,0,ROUND(100*F253/D253,2))</f>
        <v/>
      </c>
      <c r="H253">
        <f>IF(ABS(F253)&lt;=0.01,"Correct",IF(F253&lt;0,"Underbilled","Overbilled"))</f>
        <v/>
      </c>
    </row>
    <row r="254">
      <c r="A254" t="inlineStr">
        <is>
          <t>INV0007482</t>
        </is>
      </c>
      <c r="B254" t="inlineStr">
        <is>
          <t>MER00355</t>
        </is>
      </c>
      <c r="C254">
        <f>XLOOKUP(B254,Merchants!$A$4:$A$1000,Merchants!$B$4:$B$1000,"Not found")</f>
        <v/>
      </c>
      <c r="D254">
        <f>XLOOKUP(A254,tblInvoices[invoice_id],tblInvoices[expected_fee])</f>
        <v/>
      </c>
      <c r="E254">
        <f>XLOOKUP(A254,tblInvoices[invoice_id],tblInvoices[billed_fee])</f>
        <v/>
      </c>
      <c r="F254">
        <f>E254-D254</f>
        <v/>
      </c>
      <c r="G254">
        <f>IF(D254=0,0,ROUND(100*F254/D254,2))</f>
        <v/>
      </c>
      <c r="H254">
        <f>IF(ABS(F254)&lt;=0.01,"Correct",IF(F254&lt;0,"Underbilled","Overbilled"))</f>
        <v/>
      </c>
    </row>
    <row r="255">
      <c r="A255" t="inlineStr">
        <is>
          <t>INV0007483</t>
        </is>
      </c>
      <c r="B255" t="inlineStr">
        <is>
          <t>MER00355</t>
        </is>
      </c>
      <c r="C255">
        <f>XLOOKUP(B255,Merchants!$A$4:$A$1000,Merchants!$B$4:$B$1000,"Not found")</f>
        <v/>
      </c>
      <c r="D255">
        <f>XLOOKUP(A255,tblInvoices[invoice_id],tblInvoices[expected_fee])</f>
        <v/>
      </c>
      <c r="E255">
        <f>XLOOKUP(A255,tblInvoices[invoice_id],tblInvoices[billed_fee])</f>
        <v/>
      </c>
      <c r="F255">
        <f>E255-D255</f>
        <v/>
      </c>
      <c r="G255">
        <f>IF(D255=0,0,ROUND(100*F255/D255,2))</f>
        <v/>
      </c>
      <c r="H255">
        <f>IF(ABS(F255)&lt;=0.01,"Correct",IF(F255&lt;0,"Underbilled","Overbilled"))</f>
        <v/>
      </c>
    </row>
    <row r="256">
      <c r="A256" t="inlineStr">
        <is>
          <t>INV0007484</t>
        </is>
      </c>
      <c r="B256" t="inlineStr">
        <is>
          <t>MER00355</t>
        </is>
      </c>
      <c r="C256">
        <f>XLOOKUP(B256,Merchants!$A$4:$A$1000,Merchants!$B$4:$B$1000,"Not found")</f>
        <v/>
      </c>
      <c r="D256">
        <f>XLOOKUP(A256,tblInvoices[invoice_id],tblInvoices[expected_fee])</f>
        <v/>
      </c>
      <c r="E256">
        <f>XLOOKUP(A256,tblInvoices[invoice_id],tblInvoices[billed_fee])</f>
        <v/>
      </c>
      <c r="F256">
        <f>E256-D256</f>
        <v/>
      </c>
      <c r="G256">
        <f>IF(D256=0,0,ROUND(100*F256/D256,2))</f>
        <v/>
      </c>
      <c r="H256">
        <f>IF(ABS(F256)&lt;=0.01,"Correct",IF(F256&lt;0,"Underbilled","Overbilled"))</f>
        <v/>
      </c>
    </row>
    <row r="257">
      <c r="A257" t="inlineStr">
        <is>
          <t>INV0007485</t>
        </is>
      </c>
      <c r="B257" t="inlineStr">
        <is>
          <t>MER00355</t>
        </is>
      </c>
      <c r="C257">
        <f>XLOOKUP(B257,Merchants!$A$4:$A$1000,Merchants!$B$4:$B$1000,"Not found")</f>
        <v/>
      </c>
      <c r="D257">
        <f>XLOOKUP(A257,tblInvoices[invoice_id],tblInvoices[expected_fee])</f>
        <v/>
      </c>
      <c r="E257">
        <f>XLOOKUP(A257,tblInvoices[invoice_id],tblInvoices[billed_fee])</f>
        <v/>
      </c>
      <c r="F257">
        <f>E257-D257</f>
        <v/>
      </c>
      <c r="G257">
        <f>IF(D257=0,0,ROUND(100*F257/D257,2))</f>
        <v/>
      </c>
      <c r="H257">
        <f>IF(ABS(F257)&lt;=0.01,"Correct",IF(F257&lt;0,"Underbilled","Overbilled"))</f>
        <v/>
      </c>
    </row>
    <row r="258">
      <c r="A258" t="inlineStr">
        <is>
          <t>INV0007486</t>
        </is>
      </c>
      <c r="B258" t="inlineStr">
        <is>
          <t>MER00355</t>
        </is>
      </c>
      <c r="C258">
        <f>XLOOKUP(B258,Merchants!$A$4:$A$1000,Merchants!$B$4:$B$1000,"Not found")</f>
        <v/>
      </c>
      <c r="D258">
        <f>XLOOKUP(A258,tblInvoices[invoice_id],tblInvoices[expected_fee])</f>
        <v/>
      </c>
      <c r="E258">
        <f>XLOOKUP(A258,tblInvoices[invoice_id],tblInvoices[billed_fee])</f>
        <v/>
      </c>
      <c r="F258">
        <f>E258-D258</f>
        <v/>
      </c>
      <c r="G258">
        <f>IF(D258=0,0,ROUND(100*F258/D258,2))</f>
        <v/>
      </c>
      <c r="H258">
        <f>IF(ABS(F258)&lt;=0.01,"Correct",IF(F258&lt;0,"Underbilled","Overbilled"))</f>
        <v/>
      </c>
    </row>
    <row r="259">
      <c r="A259" t="inlineStr">
        <is>
          <t>INV0007487</t>
        </is>
      </c>
      <c r="B259" t="inlineStr">
        <is>
          <t>MER00355</t>
        </is>
      </c>
      <c r="C259">
        <f>XLOOKUP(B259,Merchants!$A$4:$A$1000,Merchants!$B$4:$B$1000,"Not found")</f>
        <v/>
      </c>
      <c r="D259">
        <f>XLOOKUP(A259,tblInvoices[invoice_id],tblInvoices[expected_fee])</f>
        <v/>
      </c>
      <c r="E259">
        <f>XLOOKUP(A259,tblInvoices[invoice_id],tblInvoices[billed_fee])</f>
        <v/>
      </c>
      <c r="F259">
        <f>E259-D259</f>
        <v/>
      </c>
      <c r="G259">
        <f>IF(D259=0,0,ROUND(100*F259/D259,2))</f>
        <v/>
      </c>
      <c r="H259">
        <f>IF(ABS(F259)&lt;=0.01,"Correct",IF(F259&lt;0,"Underbilled","Overbilled"))</f>
        <v/>
      </c>
    </row>
    <row r="260">
      <c r="A260" t="inlineStr">
        <is>
          <t>INV0007488</t>
        </is>
      </c>
      <c r="B260" t="inlineStr">
        <is>
          <t>MER00355</t>
        </is>
      </c>
      <c r="C260">
        <f>XLOOKUP(B260,Merchants!$A$4:$A$1000,Merchants!$B$4:$B$1000,"Not found")</f>
        <v/>
      </c>
      <c r="D260">
        <f>XLOOKUP(A260,tblInvoices[invoice_id],tblInvoices[expected_fee])</f>
        <v/>
      </c>
      <c r="E260">
        <f>XLOOKUP(A260,tblInvoices[invoice_id],tblInvoices[billed_fee])</f>
        <v/>
      </c>
      <c r="F260">
        <f>E260-D260</f>
        <v/>
      </c>
      <c r="G260">
        <f>IF(D260=0,0,ROUND(100*F260/D260,2))</f>
        <v/>
      </c>
      <c r="H260">
        <f>IF(ABS(F260)&lt;=0.01,"Correct",IF(F260&lt;0,"Underbilled","Overbilled"))</f>
        <v/>
      </c>
    </row>
    <row r="261">
      <c r="A261" t="inlineStr">
        <is>
          <t>INV0007489</t>
        </is>
      </c>
      <c r="B261" t="inlineStr">
        <is>
          <t>MER00355</t>
        </is>
      </c>
      <c r="C261">
        <f>XLOOKUP(B261,Merchants!$A$4:$A$1000,Merchants!$B$4:$B$1000,"Not found")</f>
        <v/>
      </c>
      <c r="D261">
        <f>XLOOKUP(A261,tblInvoices[invoice_id],tblInvoices[expected_fee])</f>
        <v/>
      </c>
      <c r="E261">
        <f>XLOOKUP(A261,tblInvoices[invoice_id],tblInvoices[billed_fee])</f>
        <v/>
      </c>
      <c r="F261">
        <f>E261-D261</f>
        <v/>
      </c>
      <c r="G261">
        <f>IF(D261=0,0,ROUND(100*F261/D261,2))</f>
        <v/>
      </c>
      <c r="H261">
        <f>IF(ABS(F261)&lt;=0.01,"Correct",IF(F261&lt;0,"Underbilled","Overbilled"))</f>
        <v/>
      </c>
    </row>
    <row r="262">
      <c r="A262" t="inlineStr">
        <is>
          <t>INV0007490</t>
        </is>
      </c>
      <c r="B262" t="inlineStr">
        <is>
          <t>MER00355</t>
        </is>
      </c>
      <c r="C262">
        <f>XLOOKUP(B262,Merchants!$A$4:$A$1000,Merchants!$B$4:$B$1000,"Not found")</f>
        <v/>
      </c>
      <c r="D262">
        <f>XLOOKUP(A262,tblInvoices[invoice_id],tblInvoices[expected_fee])</f>
        <v/>
      </c>
      <c r="E262">
        <f>XLOOKUP(A262,tblInvoices[invoice_id],tblInvoices[billed_fee])</f>
        <v/>
      </c>
      <c r="F262">
        <f>E262-D262</f>
        <v/>
      </c>
      <c r="G262">
        <f>IF(D262=0,0,ROUND(100*F262/D262,2))</f>
        <v/>
      </c>
      <c r="H262">
        <f>IF(ABS(F262)&lt;=0.01,"Correct",IF(F262&lt;0,"Underbilled","Overbilled"))</f>
        <v/>
      </c>
    </row>
    <row r="263">
      <c r="A263" t="inlineStr">
        <is>
          <t>INV0007491</t>
        </is>
      </c>
      <c r="B263" t="inlineStr">
        <is>
          <t>MER00355</t>
        </is>
      </c>
      <c r="C263">
        <f>XLOOKUP(B263,Merchants!$A$4:$A$1000,Merchants!$B$4:$B$1000,"Not found")</f>
        <v/>
      </c>
      <c r="D263">
        <f>XLOOKUP(A263,tblInvoices[invoice_id],tblInvoices[expected_fee])</f>
        <v/>
      </c>
      <c r="E263">
        <f>XLOOKUP(A263,tblInvoices[invoice_id],tblInvoices[billed_fee])</f>
        <v/>
      </c>
      <c r="F263">
        <f>E263-D263</f>
        <v/>
      </c>
      <c r="G263">
        <f>IF(D263=0,0,ROUND(100*F263/D263,2))</f>
        <v/>
      </c>
      <c r="H263">
        <f>IF(ABS(F263)&lt;=0.01,"Correct",IF(F263&lt;0,"Underbilled","Overbilled"))</f>
        <v/>
      </c>
    </row>
    <row r="264">
      <c r="A264" t="inlineStr">
        <is>
          <t>INV0007492</t>
        </is>
      </c>
      <c r="B264" t="inlineStr">
        <is>
          <t>MER00355</t>
        </is>
      </c>
      <c r="C264">
        <f>XLOOKUP(B264,Merchants!$A$4:$A$1000,Merchants!$B$4:$B$1000,"Not found")</f>
        <v/>
      </c>
      <c r="D264">
        <f>XLOOKUP(A264,tblInvoices[invoice_id],tblInvoices[expected_fee])</f>
        <v/>
      </c>
      <c r="E264">
        <f>XLOOKUP(A264,tblInvoices[invoice_id],tblInvoices[billed_fee])</f>
        <v/>
      </c>
      <c r="F264">
        <f>E264-D264</f>
        <v/>
      </c>
      <c r="G264">
        <f>IF(D264=0,0,ROUND(100*F264/D264,2))</f>
        <v/>
      </c>
      <c r="H264">
        <f>IF(ABS(F264)&lt;=0.01,"Correct",IF(F264&lt;0,"Underbilled","Overbilled"))</f>
        <v/>
      </c>
    </row>
    <row r="265">
      <c r="A265" t="inlineStr">
        <is>
          <t>INV0007493</t>
        </is>
      </c>
      <c r="B265" t="inlineStr">
        <is>
          <t>MER00355</t>
        </is>
      </c>
      <c r="C265">
        <f>XLOOKUP(B265,Merchants!$A$4:$A$1000,Merchants!$B$4:$B$1000,"Not found")</f>
        <v/>
      </c>
      <c r="D265">
        <f>XLOOKUP(A265,tblInvoices[invoice_id],tblInvoices[expected_fee])</f>
        <v/>
      </c>
      <c r="E265">
        <f>XLOOKUP(A265,tblInvoices[invoice_id],tblInvoices[billed_fee])</f>
        <v/>
      </c>
      <c r="F265">
        <f>E265-D265</f>
        <v/>
      </c>
      <c r="G265">
        <f>IF(D265=0,0,ROUND(100*F265/D265,2))</f>
        <v/>
      </c>
      <c r="H265">
        <f>IF(ABS(F265)&lt;=0.01,"Correct",IF(F265&lt;0,"Underbilled","Overbilled"))</f>
        <v/>
      </c>
    </row>
    <row r="266">
      <c r="A266" t="inlineStr">
        <is>
          <t>INV0007494</t>
        </is>
      </c>
      <c r="B266" t="inlineStr">
        <is>
          <t>MER00355</t>
        </is>
      </c>
      <c r="C266">
        <f>XLOOKUP(B266,Merchants!$A$4:$A$1000,Merchants!$B$4:$B$1000,"Not found")</f>
        <v/>
      </c>
      <c r="D266">
        <f>XLOOKUP(A266,tblInvoices[invoice_id],tblInvoices[expected_fee])</f>
        <v/>
      </c>
      <c r="E266">
        <f>XLOOKUP(A266,tblInvoices[invoice_id],tblInvoices[billed_fee])</f>
        <v/>
      </c>
      <c r="F266">
        <f>E266-D266</f>
        <v/>
      </c>
      <c r="G266">
        <f>IF(D266=0,0,ROUND(100*F266/D266,2))</f>
        <v/>
      </c>
      <c r="H266">
        <f>IF(ABS(F266)&lt;=0.01,"Correct",IF(F266&lt;0,"Underbilled","Overbilled"))</f>
        <v/>
      </c>
    </row>
    <row r="267">
      <c r="A267" t="inlineStr">
        <is>
          <t>INV0007495</t>
        </is>
      </c>
      <c r="B267" t="inlineStr">
        <is>
          <t>MER00355</t>
        </is>
      </c>
      <c r="C267">
        <f>XLOOKUP(B267,Merchants!$A$4:$A$1000,Merchants!$B$4:$B$1000,"Not found")</f>
        <v/>
      </c>
      <c r="D267">
        <f>XLOOKUP(A267,tblInvoices[invoice_id],tblInvoices[expected_fee])</f>
        <v/>
      </c>
      <c r="E267">
        <f>XLOOKUP(A267,tblInvoices[invoice_id],tblInvoices[billed_fee])</f>
        <v/>
      </c>
      <c r="F267">
        <f>E267-D267</f>
        <v/>
      </c>
      <c r="G267">
        <f>IF(D267=0,0,ROUND(100*F267/D267,2))</f>
        <v/>
      </c>
      <c r="H267">
        <f>IF(ABS(F267)&lt;=0.01,"Correct",IF(F267&lt;0,"Underbilled","Overbilled"))</f>
        <v/>
      </c>
    </row>
    <row r="268">
      <c r="A268" t="inlineStr">
        <is>
          <t>INV0007496</t>
        </is>
      </c>
      <c r="B268" t="inlineStr">
        <is>
          <t>MER00355</t>
        </is>
      </c>
      <c r="C268">
        <f>XLOOKUP(B268,Merchants!$A$4:$A$1000,Merchants!$B$4:$B$1000,"Not found")</f>
        <v/>
      </c>
      <c r="D268">
        <f>XLOOKUP(A268,tblInvoices[invoice_id],tblInvoices[expected_fee])</f>
        <v/>
      </c>
      <c r="E268">
        <f>XLOOKUP(A268,tblInvoices[invoice_id],tblInvoices[billed_fee])</f>
        <v/>
      </c>
      <c r="F268">
        <f>E268-D268</f>
        <v/>
      </c>
      <c r="G268">
        <f>IF(D268=0,0,ROUND(100*F268/D268,2))</f>
        <v/>
      </c>
      <c r="H268">
        <f>IF(ABS(F268)&lt;=0.01,"Correct",IF(F268&lt;0,"Underbilled","Overbilled"))</f>
        <v/>
      </c>
    </row>
    <row r="269">
      <c r="A269" t="inlineStr">
        <is>
          <t>INV0007497</t>
        </is>
      </c>
      <c r="B269" t="inlineStr">
        <is>
          <t>MER00355</t>
        </is>
      </c>
      <c r="C269">
        <f>XLOOKUP(B269,Merchants!$A$4:$A$1000,Merchants!$B$4:$B$1000,"Not found")</f>
        <v/>
      </c>
      <c r="D269">
        <f>XLOOKUP(A269,tblInvoices[invoice_id],tblInvoices[expected_fee])</f>
        <v/>
      </c>
      <c r="E269">
        <f>XLOOKUP(A269,tblInvoices[invoice_id],tblInvoices[billed_fee])</f>
        <v/>
      </c>
      <c r="F269">
        <f>E269-D269</f>
        <v/>
      </c>
      <c r="G269">
        <f>IF(D269=0,0,ROUND(100*F269/D269,2))</f>
        <v/>
      </c>
      <c r="H269">
        <f>IF(ABS(F269)&lt;=0.01,"Correct",IF(F269&lt;0,"Underbilled","Overbilled"))</f>
        <v/>
      </c>
    </row>
    <row r="270">
      <c r="A270" t="inlineStr">
        <is>
          <t>INV0007498</t>
        </is>
      </c>
      <c r="B270" t="inlineStr">
        <is>
          <t>MER00355</t>
        </is>
      </c>
      <c r="C270">
        <f>XLOOKUP(B270,Merchants!$A$4:$A$1000,Merchants!$B$4:$B$1000,"Not found")</f>
        <v/>
      </c>
      <c r="D270">
        <f>XLOOKUP(A270,tblInvoices[invoice_id],tblInvoices[expected_fee])</f>
        <v/>
      </c>
      <c r="E270">
        <f>XLOOKUP(A270,tblInvoices[invoice_id],tblInvoices[billed_fee])</f>
        <v/>
      </c>
      <c r="F270">
        <f>E270-D270</f>
        <v/>
      </c>
      <c r="G270">
        <f>IF(D270=0,0,ROUND(100*F270/D270,2))</f>
        <v/>
      </c>
      <c r="H270">
        <f>IF(ABS(F270)&lt;=0.01,"Correct",IF(F270&lt;0,"Underbilled","Overbilled"))</f>
        <v/>
      </c>
    </row>
    <row r="271">
      <c r="A271" t="inlineStr">
        <is>
          <t>INV0007499</t>
        </is>
      </c>
      <c r="B271" t="inlineStr">
        <is>
          <t>MER00355</t>
        </is>
      </c>
      <c r="C271">
        <f>XLOOKUP(B271,Merchants!$A$4:$A$1000,Merchants!$B$4:$B$1000,"Not found")</f>
        <v/>
      </c>
      <c r="D271">
        <f>XLOOKUP(A271,tblInvoices[invoice_id],tblInvoices[expected_fee])</f>
        <v/>
      </c>
      <c r="E271">
        <f>XLOOKUP(A271,tblInvoices[invoice_id],tblInvoices[billed_fee])</f>
        <v/>
      </c>
      <c r="F271">
        <f>E271-D271</f>
        <v/>
      </c>
      <c r="G271">
        <f>IF(D271=0,0,ROUND(100*F271/D271,2))</f>
        <v/>
      </c>
      <c r="H271">
        <f>IF(ABS(F271)&lt;=0.01,"Correct",IF(F271&lt;0,"Underbilled","Overbilled"))</f>
        <v/>
      </c>
    </row>
    <row r="272">
      <c r="A272" t="inlineStr">
        <is>
          <t>INV0007500</t>
        </is>
      </c>
      <c r="B272" t="inlineStr">
        <is>
          <t>MER00355</t>
        </is>
      </c>
      <c r="C272">
        <f>XLOOKUP(B272,Merchants!$A$4:$A$1000,Merchants!$B$4:$B$1000,"Not found")</f>
        <v/>
      </c>
      <c r="D272">
        <f>XLOOKUP(A272,tblInvoices[invoice_id],tblInvoices[expected_fee])</f>
        <v/>
      </c>
      <c r="E272">
        <f>XLOOKUP(A272,tblInvoices[invoice_id],tblInvoices[billed_fee])</f>
        <v/>
      </c>
      <c r="F272">
        <f>E272-D272</f>
        <v/>
      </c>
      <c r="G272">
        <f>IF(D272=0,0,ROUND(100*F272/D272,2))</f>
        <v/>
      </c>
      <c r="H272">
        <f>IF(ABS(F272)&lt;=0.01,"Correct",IF(F272&lt;0,"Underbilled","Overbilled"))</f>
        <v/>
      </c>
    </row>
    <row r="273">
      <c r="A273" t="inlineStr">
        <is>
          <t>INV0008006</t>
        </is>
      </c>
      <c r="B273" t="inlineStr">
        <is>
          <t>MER00381</t>
        </is>
      </c>
      <c r="C273">
        <f>XLOOKUP(B273,Merchants!$A$4:$A$1000,Merchants!$B$4:$B$1000,"Not found")</f>
        <v/>
      </c>
      <c r="D273">
        <f>XLOOKUP(A273,tblInvoices[invoice_id],tblInvoices[expected_fee])</f>
        <v/>
      </c>
      <c r="E273">
        <f>XLOOKUP(A273,tblInvoices[invoice_id],tblInvoices[billed_fee])</f>
        <v/>
      </c>
      <c r="F273">
        <f>E273-D273</f>
        <v/>
      </c>
      <c r="G273">
        <f>IF(D273=0,0,ROUND(100*F273/D273,2))</f>
        <v/>
      </c>
      <c r="H273">
        <f>IF(ABS(F273)&lt;=0.01,"Correct",IF(F273&lt;0,"Underbilled","Overbilled"))</f>
        <v/>
      </c>
    </row>
    <row r="274">
      <c r="A274" t="inlineStr">
        <is>
          <t>INV0008007</t>
        </is>
      </c>
      <c r="B274" t="inlineStr">
        <is>
          <t>MER00381</t>
        </is>
      </c>
      <c r="C274">
        <f>XLOOKUP(B274,Merchants!$A$4:$A$1000,Merchants!$B$4:$B$1000,"Not found")</f>
        <v/>
      </c>
      <c r="D274">
        <f>XLOOKUP(A274,tblInvoices[invoice_id],tblInvoices[expected_fee])</f>
        <v/>
      </c>
      <c r="E274">
        <f>XLOOKUP(A274,tblInvoices[invoice_id],tblInvoices[billed_fee])</f>
        <v/>
      </c>
      <c r="F274">
        <f>E274-D274</f>
        <v/>
      </c>
      <c r="G274">
        <f>IF(D274=0,0,ROUND(100*F274/D274,2))</f>
        <v/>
      </c>
      <c r="H274">
        <f>IF(ABS(F274)&lt;=0.01,"Correct",IF(F274&lt;0,"Underbilled","Overbilled"))</f>
        <v/>
      </c>
    </row>
    <row r="275">
      <c r="A275" t="inlineStr">
        <is>
          <t>INV0008008</t>
        </is>
      </c>
      <c r="B275" t="inlineStr">
        <is>
          <t>MER00381</t>
        </is>
      </c>
      <c r="C275">
        <f>XLOOKUP(B275,Merchants!$A$4:$A$1000,Merchants!$B$4:$B$1000,"Not found")</f>
        <v/>
      </c>
      <c r="D275">
        <f>XLOOKUP(A275,tblInvoices[invoice_id],tblInvoices[expected_fee])</f>
        <v/>
      </c>
      <c r="E275">
        <f>XLOOKUP(A275,tblInvoices[invoice_id],tblInvoices[billed_fee])</f>
        <v/>
      </c>
      <c r="F275">
        <f>E275-D275</f>
        <v/>
      </c>
      <c r="G275">
        <f>IF(D275=0,0,ROUND(100*F275/D275,2))</f>
        <v/>
      </c>
      <c r="H275">
        <f>IF(ABS(F275)&lt;=0.01,"Correct",IF(F275&lt;0,"Underbilled","Overbilled"))</f>
        <v/>
      </c>
    </row>
    <row r="276">
      <c r="A276" t="inlineStr">
        <is>
          <t>INV0008009</t>
        </is>
      </c>
      <c r="B276" t="inlineStr">
        <is>
          <t>MER00381</t>
        </is>
      </c>
      <c r="C276">
        <f>XLOOKUP(B276,Merchants!$A$4:$A$1000,Merchants!$B$4:$B$1000,"Not found")</f>
        <v/>
      </c>
      <c r="D276">
        <f>XLOOKUP(A276,tblInvoices[invoice_id],tblInvoices[expected_fee])</f>
        <v/>
      </c>
      <c r="E276">
        <f>XLOOKUP(A276,tblInvoices[invoice_id],tblInvoices[billed_fee])</f>
        <v/>
      </c>
      <c r="F276">
        <f>E276-D276</f>
        <v/>
      </c>
      <c r="G276">
        <f>IF(D276=0,0,ROUND(100*F276/D276,2))</f>
        <v/>
      </c>
      <c r="H276">
        <f>IF(ABS(F276)&lt;=0.01,"Correct",IF(F276&lt;0,"Underbilled","Overbilled"))</f>
        <v/>
      </c>
    </row>
    <row r="277">
      <c r="A277" t="inlineStr">
        <is>
          <t>INV0008010</t>
        </is>
      </c>
      <c r="B277" t="inlineStr">
        <is>
          <t>MER00381</t>
        </is>
      </c>
      <c r="C277">
        <f>XLOOKUP(B277,Merchants!$A$4:$A$1000,Merchants!$B$4:$B$1000,"Not found")</f>
        <v/>
      </c>
      <c r="D277">
        <f>XLOOKUP(A277,tblInvoices[invoice_id],tblInvoices[expected_fee])</f>
        <v/>
      </c>
      <c r="E277">
        <f>XLOOKUP(A277,tblInvoices[invoice_id],tblInvoices[billed_fee])</f>
        <v/>
      </c>
      <c r="F277">
        <f>E277-D277</f>
        <v/>
      </c>
      <c r="G277">
        <f>IF(D277=0,0,ROUND(100*F277/D277,2))</f>
        <v/>
      </c>
      <c r="H277">
        <f>IF(ABS(F277)&lt;=0.01,"Correct",IF(F277&lt;0,"Underbilled","Overbilled"))</f>
        <v/>
      </c>
    </row>
    <row r="278">
      <c r="A278" t="inlineStr">
        <is>
          <t>INV0008011</t>
        </is>
      </c>
      <c r="B278" t="inlineStr">
        <is>
          <t>MER00381</t>
        </is>
      </c>
      <c r="C278">
        <f>XLOOKUP(B278,Merchants!$A$4:$A$1000,Merchants!$B$4:$B$1000,"Not found")</f>
        <v/>
      </c>
      <c r="D278">
        <f>XLOOKUP(A278,tblInvoices[invoice_id],tblInvoices[expected_fee])</f>
        <v/>
      </c>
      <c r="E278">
        <f>XLOOKUP(A278,tblInvoices[invoice_id],tblInvoices[billed_fee])</f>
        <v/>
      </c>
      <c r="F278">
        <f>E278-D278</f>
        <v/>
      </c>
      <c r="G278">
        <f>IF(D278=0,0,ROUND(100*F278/D278,2))</f>
        <v/>
      </c>
      <c r="H278">
        <f>IF(ABS(F278)&lt;=0.01,"Correct",IF(F278&lt;0,"Underbilled","Overbilled"))</f>
        <v/>
      </c>
    </row>
    <row r="279">
      <c r="A279" t="inlineStr">
        <is>
          <t>INV0008012</t>
        </is>
      </c>
      <c r="B279" t="inlineStr">
        <is>
          <t>MER00381</t>
        </is>
      </c>
      <c r="C279">
        <f>XLOOKUP(B279,Merchants!$A$4:$A$1000,Merchants!$B$4:$B$1000,"Not found")</f>
        <v/>
      </c>
      <c r="D279">
        <f>XLOOKUP(A279,tblInvoices[invoice_id],tblInvoices[expected_fee])</f>
        <v/>
      </c>
      <c r="E279">
        <f>XLOOKUP(A279,tblInvoices[invoice_id],tblInvoices[billed_fee])</f>
        <v/>
      </c>
      <c r="F279">
        <f>E279-D279</f>
        <v/>
      </c>
      <c r="G279">
        <f>IF(D279=0,0,ROUND(100*F279/D279,2))</f>
        <v/>
      </c>
      <c r="H279">
        <f>IF(ABS(F279)&lt;=0.01,"Correct",IF(F279&lt;0,"Underbilled","Overbilled"))</f>
        <v/>
      </c>
    </row>
    <row r="280">
      <c r="A280" t="inlineStr">
        <is>
          <t>INV0008013</t>
        </is>
      </c>
      <c r="B280" t="inlineStr">
        <is>
          <t>MER00381</t>
        </is>
      </c>
      <c r="C280">
        <f>XLOOKUP(B280,Merchants!$A$4:$A$1000,Merchants!$B$4:$B$1000,"Not found")</f>
        <v/>
      </c>
      <c r="D280">
        <f>XLOOKUP(A280,tblInvoices[invoice_id],tblInvoices[expected_fee])</f>
        <v/>
      </c>
      <c r="E280">
        <f>XLOOKUP(A280,tblInvoices[invoice_id],tblInvoices[billed_fee])</f>
        <v/>
      </c>
      <c r="F280">
        <f>E280-D280</f>
        <v/>
      </c>
      <c r="G280">
        <f>IF(D280=0,0,ROUND(100*F280/D280,2))</f>
        <v/>
      </c>
      <c r="H280">
        <f>IF(ABS(F280)&lt;=0.01,"Correct",IF(F280&lt;0,"Underbilled","Overbilled"))</f>
        <v/>
      </c>
    </row>
    <row r="281">
      <c r="A281" t="inlineStr">
        <is>
          <t>INV0008014</t>
        </is>
      </c>
      <c r="B281" t="inlineStr">
        <is>
          <t>MER00381</t>
        </is>
      </c>
      <c r="C281">
        <f>XLOOKUP(B281,Merchants!$A$4:$A$1000,Merchants!$B$4:$B$1000,"Not found")</f>
        <v/>
      </c>
      <c r="D281">
        <f>XLOOKUP(A281,tblInvoices[invoice_id],tblInvoices[expected_fee])</f>
        <v/>
      </c>
      <c r="E281">
        <f>XLOOKUP(A281,tblInvoices[invoice_id],tblInvoices[billed_fee])</f>
        <v/>
      </c>
      <c r="F281">
        <f>E281-D281</f>
        <v/>
      </c>
      <c r="G281">
        <f>IF(D281=0,0,ROUND(100*F281/D281,2))</f>
        <v/>
      </c>
      <c r="H281">
        <f>IF(ABS(F281)&lt;=0.01,"Correct",IF(F281&lt;0,"Underbilled","Overbilled"))</f>
        <v/>
      </c>
    </row>
    <row r="282">
      <c r="A282" t="inlineStr">
        <is>
          <t>INV0008015</t>
        </is>
      </c>
      <c r="B282" t="inlineStr">
        <is>
          <t>MER00381</t>
        </is>
      </c>
      <c r="C282">
        <f>XLOOKUP(B282,Merchants!$A$4:$A$1000,Merchants!$B$4:$B$1000,"Not found")</f>
        <v/>
      </c>
      <c r="D282">
        <f>XLOOKUP(A282,tblInvoices[invoice_id],tblInvoices[expected_fee])</f>
        <v/>
      </c>
      <c r="E282">
        <f>XLOOKUP(A282,tblInvoices[invoice_id],tblInvoices[billed_fee])</f>
        <v/>
      </c>
      <c r="F282">
        <f>E282-D282</f>
        <v/>
      </c>
      <c r="G282">
        <f>IF(D282=0,0,ROUND(100*F282/D282,2))</f>
        <v/>
      </c>
      <c r="H282">
        <f>IF(ABS(F282)&lt;=0.01,"Correct",IF(F282&lt;0,"Underbilled","Overbilled"))</f>
        <v/>
      </c>
    </row>
    <row r="283">
      <c r="A283" t="inlineStr">
        <is>
          <t>INV0008016</t>
        </is>
      </c>
      <c r="B283" t="inlineStr">
        <is>
          <t>MER00381</t>
        </is>
      </c>
      <c r="C283">
        <f>XLOOKUP(B283,Merchants!$A$4:$A$1000,Merchants!$B$4:$B$1000,"Not found")</f>
        <v/>
      </c>
      <c r="D283">
        <f>XLOOKUP(A283,tblInvoices[invoice_id],tblInvoices[expected_fee])</f>
        <v/>
      </c>
      <c r="E283">
        <f>XLOOKUP(A283,tblInvoices[invoice_id],tblInvoices[billed_fee])</f>
        <v/>
      </c>
      <c r="F283">
        <f>E283-D283</f>
        <v/>
      </c>
      <c r="G283">
        <f>IF(D283=0,0,ROUND(100*F283/D283,2))</f>
        <v/>
      </c>
      <c r="H283">
        <f>IF(ABS(F283)&lt;=0.01,"Correct",IF(F283&lt;0,"Underbilled","Overbilled"))</f>
        <v/>
      </c>
    </row>
    <row r="284">
      <c r="A284" t="inlineStr">
        <is>
          <t>INV0008017</t>
        </is>
      </c>
      <c r="B284" t="inlineStr">
        <is>
          <t>MER00381</t>
        </is>
      </c>
      <c r="C284">
        <f>XLOOKUP(B284,Merchants!$A$4:$A$1000,Merchants!$B$4:$B$1000,"Not found")</f>
        <v/>
      </c>
      <c r="D284">
        <f>XLOOKUP(A284,tblInvoices[invoice_id],tblInvoices[expected_fee])</f>
        <v/>
      </c>
      <c r="E284">
        <f>XLOOKUP(A284,tblInvoices[invoice_id],tblInvoices[billed_fee])</f>
        <v/>
      </c>
      <c r="F284">
        <f>E284-D284</f>
        <v/>
      </c>
      <c r="G284">
        <f>IF(D284=0,0,ROUND(100*F284/D284,2))</f>
        <v/>
      </c>
      <c r="H284">
        <f>IF(ABS(F284)&lt;=0.01,"Correct",IF(F284&lt;0,"Underbilled","Overbilled"))</f>
        <v/>
      </c>
    </row>
    <row r="285">
      <c r="A285" t="inlineStr">
        <is>
          <t>INV0008018</t>
        </is>
      </c>
      <c r="B285" t="inlineStr">
        <is>
          <t>MER00381</t>
        </is>
      </c>
      <c r="C285">
        <f>XLOOKUP(B285,Merchants!$A$4:$A$1000,Merchants!$B$4:$B$1000,"Not found")</f>
        <v/>
      </c>
      <c r="D285">
        <f>XLOOKUP(A285,tblInvoices[invoice_id],tblInvoices[expected_fee])</f>
        <v/>
      </c>
      <c r="E285">
        <f>XLOOKUP(A285,tblInvoices[invoice_id],tblInvoices[billed_fee])</f>
        <v/>
      </c>
      <c r="F285">
        <f>E285-D285</f>
        <v/>
      </c>
      <c r="G285">
        <f>IF(D285=0,0,ROUND(100*F285/D285,2))</f>
        <v/>
      </c>
      <c r="H285">
        <f>IF(ABS(F285)&lt;=0.01,"Correct",IF(F285&lt;0,"Underbilled","Overbilled"))</f>
        <v/>
      </c>
    </row>
    <row r="286">
      <c r="A286" t="inlineStr">
        <is>
          <t>INV0008019</t>
        </is>
      </c>
      <c r="B286" t="inlineStr">
        <is>
          <t>MER00381</t>
        </is>
      </c>
      <c r="C286">
        <f>XLOOKUP(B286,Merchants!$A$4:$A$1000,Merchants!$B$4:$B$1000,"Not found")</f>
        <v/>
      </c>
      <c r="D286">
        <f>XLOOKUP(A286,tblInvoices[invoice_id],tblInvoices[expected_fee])</f>
        <v/>
      </c>
      <c r="E286">
        <f>XLOOKUP(A286,tblInvoices[invoice_id],tblInvoices[billed_fee])</f>
        <v/>
      </c>
      <c r="F286">
        <f>E286-D286</f>
        <v/>
      </c>
      <c r="G286">
        <f>IF(D286=0,0,ROUND(100*F286/D286,2))</f>
        <v/>
      </c>
      <c r="H286">
        <f>IF(ABS(F286)&lt;=0.01,"Correct",IF(F286&lt;0,"Underbilled","Overbilled"))</f>
        <v/>
      </c>
    </row>
    <row r="287">
      <c r="A287" t="inlineStr">
        <is>
          <t>INV0008020</t>
        </is>
      </c>
      <c r="B287" t="inlineStr">
        <is>
          <t>MER00381</t>
        </is>
      </c>
      <c r="C287">
        <f>XLOOKUP(B287,Merchants!$A$4:$A$1000,Merchants!$B$4:$B$1000,"Not found")</f>
        <v/>
      </c>
      <c r="D287">
        <f>XLOOKUP(A287,tblInvoices[invoice_id],tblInvoices[expected_fee])</f>
        <v/>
      </c>
      <c r="E287">
        <f>XLOOKUP(A287,tblInvoices[invoice_id],tblInvoices[billed_fee])</f>
        <v/>
      </c>
      <c r="F287">
        <f>E287-D287</f>
        <v/>
      </c>
      <c r="G287">
        <f>IF(D287=0,0,ROUND(100*F287/D287,2))</f>
        <v/>
      </c>
      <c r="H287">
        <f>IF(ABS(F287)&lt;=0.01,"Correct",IF(F287&lt;0,"Underbilled","Overbilled"))</f>
        <v/>
      </c>
    </row>
    <row r="288">
      <c r="A288" t="inlineStr">
        <is>
          <t>INV0008021</t>
        </is>
      </c>
      <c r="B288" t="inlineStr">
        <is>
          <t>MER00381</t>
        </is>
      </c>
      <c r="C288">
        <f>XLOOKUP(B288,Merchants!$A$4:$A$1000,Merchants!$B$4:$B$1000,"Not found")</f>
        <v/>
      </c>
      <c r="D288">
        <f>XLOOKUP(A288,tblInvoices[invoice_id],tblInvoices[expected_fee])</f>
        <v/>
      </c>
      <c r="E288">
        <f>XLOOKUP(A288,tblInvoices[invoice_id],tblInvoices[billed_fee])</f>
        <v/>
      </c>
      <c r="F288">
        <f>E288-D288</f>
        <v/>
      </c>
      <c r="G288">
        <f>IF(D288=0,0,ROUND(100*F288/D288,2))</f>
        <v/>
      </c>
      <c r="H288">
        <f>IF(ABS(F288)&lt;=0.01,"Correct",IF(F288&lt;0,"Underbilled","Overbilled"))</f>
        <v/>
      </c>
    </row>
    <row r="289">
      <c r="A289" t="inlineStr">
        <is>
          <t>INV0008022</t>
        </is>
      </c>
      <c r="B289" t="inlineStr">
        <is>
          <t>MER00381</t>
        </is>
      </c>
      <c r="C289">
        <f>XLOOKUP(B289,Merchants!$A$4:$A$1000,Merchants!$B$4:$B$1000,"Not found")</f>
        <v/>
      </c>
      <c r="D289">
        <f>XLOOKUP(A289,tblInvoices[invoice_id],tblInvoices[expected_fee])</f>
        <v/>
      </c>
      <c r="E289">
        <f>XLOOKUP(A289,tblInvoices[invoice_id],tblInvoices[billed_fee])</f>
        <v/>
      </c>
      <c r="F289">
        <f>E289-D289</f>
        <v/>
      </c>
      <c r="G289">
        <f>IF(D289=0,0,ROUND(100*F289/D289,2))</f>
        <v/>
      </c>
      <c r="H289">
        <f>IF(ABS(F289)&lt;=0.01,"Correct",IF(F289&lt;0,"Underbilled","Overbilled"))</f>
        <v/>
      </c>
    </row>
    <row r="290">
      <c r="A290" t="inlineStr">
        <is>
          <t>INV0008023</t>
        </is>
      </c>
      <c r="B290" t="inlineStr">
        <is>
          <t>MER00381</t>
        </is>
      </c>
      <c r="C290">
        <f>XLOOKUP(B290,Merchants!$A$4:$A$1000,Merchants!$B$4:$B$1000,"Not found")</f>
        <v/>
      </c>
      <c r="D290">
        <f>XLOOKUP(A290,tblInvoices[invoice_id],tblInvoices[expected_fee])</f>
        <v/>
      </c>
      <c r="E290">
        <f>XLOOKUP(A290,tblInvoices[invoice_id],tblInvoices[billed_fee])</f>
        <v/>
      </c>
      <c r="F290">
        <f>E290-D290</f>
        <v/>
      </c>
      <c r="G290">
        <f>IF(D290=0,0,ROUND(100*F290/D290,2))</f>
        <v/>
      </c>
      <c r="H290">
        <f>IF(ABS(F290)&lt;=0.01,"Correct",IF(F290&lt;0,"Underbilled","Overbilled"))</f>
        <v/>
      </c>
    </row>
    <row r="291">
      <c r="A291" t="inlineStr">
        <is>
          <t>INV0008024</t>
        </is>
      </c>
      <c r="B291" t="inlineStr">
        <is>
          <t>MER00381</t>
        </is>
      </c>
      <c r="C291">
        <f>XLOOKUP(B291,Merchants!$A$4:$A$1000,Merchants!$B$4:$B$1000,"Not found")</f>
        <v/>
      </c>
      <c r="D291">
        <f>XLOOKUP(A291,tblInvoices[invoice_id],tblInvoices[expected_fee])</f>
        <v/>
      </c>
      <c r="E291">
        <f>XLOOKUP(A291,tblInvoices[invoice_id],tblInvoices[billed_fee])</f>
        <v/>
      </c>
      <c r="F291">
        <f>E291-D291</f>
        <v/>
      </c>
      <c r="G291">
        <f>IF(D291=0,0,ROUND(100*F291/D291,2))</f>
        <v/>
      </c>
      <c r="H291">
        <f>IF(ABS(F291)&lt;=0.01,"Correct",IF(F291&lt;0,"Underbilled","Overbilled"))</f>
        <v/>
      </c>
    </row>
    <row r="292">
      <c r="A292" t="inlineStr">
        <is>
          <t>INV0008025</t>
        </is>
      </c>
      <c r="B292" t="inlineStr">
        <is>
          <t>MER00381</t>
        </is>
      </c>
      <c r="C292">
        <f>XLOOKUP(B292,Merchants!$A$4:$A$1000,Merchants!$B$4:$B$1000,"Not found")</f>
        <v/>
      </c>
      <c r="D292">
        <f>XLOOKUP(A292,tblInvoices[invoice_id],tblInvoices[expected_fee])</f>
        <v/>
      </c>
      <c r="E292">
        <f>XLOOKUP(A292,tblInvoices[invoice_id],tblInvoices[billed_fee])</f>
        <v/>
      </c>
      <c r="F292">
        <f>E292-D292</f>
        <v/>
      </c>
      <c r="G292">
        <f>IF(D292=0,0,ROUND(100*F292/D292,2))</f>
        <v/>
      </c>
      <c r="H292">
        <f>IF(ABS(F292)&lt;=0.01,"Correct",IF(F292&lt;0,"Underbilled","Overbilled"))</f>
        <v/>
      </c>
    </row>
    <row r="293">
      <c r="A293" t="inlineStr">
        <is>
          <t>INV0008026</t>
        </is>
      </c>
      <c r="B293" t="inlineStr">
        <is>
          <t>MER00381</t>
        </is>
      </c>
      <c r="C293">
        <f>XLOOKUP(B293,Merchants!$A$4:$A$1000,Merchants!$B$4:$B$1000,"Not found")</f>
        <v/>
      </c>
      <c r="D293">
        <f>XLOOKUP(A293,tblInvoices[invoice_id],tblInvoices[expected_fee])</f>
        <v/>
      </c>
      <c r="E293">
        <f>XLOOKUP(A293,tblInvoices[invoice_id],tblInvoices[billed_fee])</f>
        <v/>
      </c>
      <c r="F293">
        <f>E293-D293</f>
        <v/>
      </c>
      <c r="G293">
        <f>IF(D293=0,0,ROUND(100*F293/D293,2))</f>
        <v/>
      </c>
      <c r="H293">
        <f>IF(ABS(F293)&lt;=0.01,"Correct",IF(F293&lt;0,"Underbilled","Overbilled"))</f>
        <v/>
      </c>
    </row>
    <row r="294">
      <c r="A294" t="inlineStr">
        <is>
          <t>INV0008027</t>
        </is>
      </c>
      <c r="B294" t="inlineStr">
        <is>
          <t>MER00381</t>
        </is>
      </c>
      <c r="C294">
        <f>XLOOKUP(B294,Merchants!$A$4:$A$1000,Merchants!$B$4:$B$1000,"Not found")</f>
        <v/>
      </c>
      <c r="D294">
        <f>XLOOKUP(A294,tblInvoices[invoice_id],tblInvoices[expected_fee])</f>
        <v/>
      </c>
      <c r="E294">
        <f>XLOOKUP(A294,tblInvoices[invoice_id],tblInvoices[billed_fee])</f>
        <v/>
      </c>
      <c r="F294">
        <f>E294-D294</f>
        <v/>
      </c>
      <c r="G294">
        <f>IF(D294=0,0,ROUND(100*F294/D294,2))</f>
        <v/>
      </c>
      <c r="H294">
        <f>IF(ABS(F294)&lt;=0.01,"Correct",IF(F294&lt;0,"Underbilled","Overbilled"))</f>
        <v/>
      </c>
    </row>
    <row r="295">
      <c r="A295" t="inlineStr">
        <is>
          <t>INV0008028</t>
        </is>
      </c>
      <c r="B295" t="inlineStr">
        <is>
          <t>MER00381</t>
        </is>
      </c>
      <c r="C295">
        <f>XLOOKUP(B295,Merchants!$A$4:$A$1000,Merchants!$B$4:$B$1000,"Not found")</f>
        <v/>
      </c>
      <c r="D295">
        <f>XLOOKUP(A295,tblInvoices[invoice_id],tblInvoices[expected_fee])</f>
        <v/>
      </c>
      <c r="E295">
        <f>XLOOKUP(A295,tblInvoices[invoice_id],tblInvoices[billed_fee])</f>
        <v/>
      </c>
      <c r="F295">
        <f>E295-D295</f>
        <v/>
      </c>
      <c r="G295">
        <f>IF(D295=0,0,ROUND(100*F295/D295,2))</f>
        <v/>
      </c>
      <c r="H295">
        <f>IF(ABS(F295)&lt;=0.01,"Correct",IF(F295&lt;0,"Underbilled","Overbilled"))</f>
        <v/>
      </c>
    </row>
    <row r="296">
      <c r="A296" t="inlineStr">
        <is>
          <t>INV0008029</t>
        </is>
      </c>
      <c r="B296" t="inlineStr">
        <is>
          <t>MER00381</t>
        </is>
      </c>
      <c r="C296">
        <f>XLOOKUP(B296,Merchants!$A$4:$A$1000,Merchants!$B$4:$B$1000,"Not found")</f>
        <v/>
      </c>
      <c r="D296">
        <f>XLOOKUP(A296,tblInvoices[invoice_id],tblInvoices[expected_fee])</f>
        <v/>
      </c>
      <c r="E296">
        <f>XLOOKUP(A296,tblInvoices[invoice_id],tblInvoices[billed_fee])</f>
        <v/>
      </c>
      <c r="F296">
        <f>E296-D296</f>
        <v/>
      </c>
      <c r="G296">
        <f>IF(D296=0,0,ROUND(100*F296/D296,2))</f>
        <v/>
      </c>
      <c r="H296">
        <f>IF(ABS(F296)&lt;=0.01,"Correct",IF(F296&lt;0,"Underbilled","Overbilled"))</f>
        <v/>
      </c>
    </row>
    <row r="297">
      <c r="A297" t="inlineStr">
        <is>
          <t>INV0008124</t>
        </is>
      </c>
      <c r="B297" t="inlineStr">
        <is>
          <t>MER00386</t>
        </is>
      </c>
      <c r="C297">
        <f>XLOOKUP(B297,Merchants!$A$4:$A$1000,Merchants!$B$4:$B$1000,"Not found")</f>
        <v/>
      </c>
      <c r="D297">
        <f>XLOOKUP(A297,tblInvoices[invoice_id],tblInvoices[expected_fee])</f>
        <v/>
      </c>
      <c r="E297">
        <f>XLOOKUP(A297,tblInvoices[invoice_id],tblInvoices[billed_fee])</f>
        <v/>
      </c>
      <c r="F297">
        <f>E297-D297</f>
        <v/>
      </c>
      <c r="G297">
        <f>IF(D297=0,0,ROUND(100*F297/D297,2))</f>
        <v/>
      </c>
      <c r="H297">
        <f>IF(ABS(F297)&lt;=0.01,"Correct",IF(F297&lt;0,"Underbilled","Overbilled"))</f>
        <v/>
      </c>
    </row>
    <row r="298">
      <c r="A298" t="inlineStr">
        <is>
          <t>INV0008125</t>
        </is>
      </c>
      <c r="B298" t="inlineStr">
        <is>
          <t>MER00386</t>
        </is>
      </c>
      <c r="C298">
        <f>XLOOKUP(B298,Merchants!$A$4:$A$1000,Merchants!$B$4:$B$1000,"Not found")</f>
        <v/>
      </c>
      <c r="D298">
        <f>XLOOKUP(A298,tblInvoices[invoice_id],tblInvoices[expected_fee])</f>
        <v/>
      </c>
      <c r="E298">
        <f>XLOOKUP(A298,tblInvoices[invoice_id],tblInvoices[billed_fee])</f>
        <v/>
      </c>
      <c r="F298">
        <f>E298-D298</f>
        <v/>
      </c>
      <c r="G298">
        <f>IF(D298=0,0,ROUND(100*F298/D298,2))</f>
        <v/>
      </c>
      <c r="H298">
        <f>IF(ABS(F298)&lt;=0.01,"Correct",IF(F298&lt;0,"Underbilled","Overbilled"))</f>
        <v/>
      </c>
    </row>
    <row r="299">
      <c r="A299" t="inlineStr">
        <is>
          <t>INV0008126</t>
        </is>
      </c>
      <c r="B299" t="inlineStr">
        <is>
          <t>MER00386</t>
        </is>
      </c>
      <c r="C299">
        <f>XLOOKUP(B299,Merchants!$A$4:$A$1000,Merchants!$B$4:$B$1000,"Not found")</f>
        <v/>
      </c>
      <c r="D299">
        <f>XLOOKUP(A299,tblInvoices[invoice_id],tblInvoices[expected_fee])</f>
        <v/>
      </c>
      <c r="E299">
        <f>XLOOKUP(A299,tblInvoices[invoice_id],tblInvoices[billed_fee])</f>
        <v/>
      </c>
      <c r="F299">
        <f>E299-D299</f>
        <v/>
      </c>
      <c r="G299">
        <f>IF(D299=0,0,ROUND(100*F299/D299,2))</f>
        <v/>
      </c>
      <c r="H299">
        <f>IF(ABS(F299)&lt;=0.01,"Correct",IF(F299&lt;0,"Underbilled","Overbilled"))</f>
        <v/>
      </c>
    </row>
    <row r="300">
      <c r="A300" t="inlineStr">
        <is>
          <t>INV0008127</t>
        </is>
      </c>
      <c r="B300" t="inlineStr">
        <is>
          <t>MER00386</t>
        </is>
      </c>
      <c r="C300">
        <f>XLOOKUP(B300,Merchants!$A$4:$A$1000,Merchants!$B$4:$B$1000,"Not found")</f>
        <v/>
      </c>
      <c r="D300">
        <f>XLOOKUP(A300,tblInvoices[invoice_id],tblInvoices[expected_fee])</f>
        <v/>
      </c>
      <c r="E300">
        <f>XLOOKUP(A300,tblInvoices[invoice_id],tblInvoices[billed_fee])</f>
        <v/>
      </c>
      <c r="F300">
        <f>E300-D300</f>
        <v/>
      </c>
      <c r="G300">
        <f>IF(D300=0,0,ROUND(100*F300/D300,2))</f>
        <v/>
      </c>
      <c r="H300">
        <f>IF(ABS(F300)&lt;=0.01,"Correct",IF(F300&lt;0,"Underbilled","Overbilled"))</f>
        <v/>
      </c>
    </row>
    <row r="301">
      <c r="A301" t="inlineStr">
        <is>
          <t>INV0008128</t>
        </is>
      </c>
      <c r="B301" t="inlineStr">
        <is>
          <t>MER00386</t>
        </is>
      </c>
      <c r="C301">
        <f>XLOOKUP(B301,Merchants!$A$4:$A$1000,Merchants!$B$4:$B$1000,"Not found")</f>
        <v/>
      </c>
      <c r="D301">
        <f>XLOOKUP(A301,tblInvoices[invoice_id],tblInvoices[expected_fee])</f>
        <v/>
      </c>
      <c r="E301">
        <f>XLOOKUP(A301,tblInvoices[invoice_id],tblInvoices[billed_fee])</f>
        <v/>
      </c>
      <c r="F301">
        <f>E301-D301</f>
        <v/>
      </c>
      <c r="G301">
        <f>IF(D301=0,0,ROUND(100*F301/D301,2))</f>
        <v/>
      </c>
      <c r="H301">
        <f>IF(ABS(F301)&lt;=0.01,"Correct",IF(F301&lt;0,"Underbilled","Overbilled"))</f>
        <v/>
      </c>
    </row>
    <row r="302">
      <c r="A302" t="inlineStr">
        <is>
          <t>INV0008129</t>
        </is>
      </c>
      <c r="B302" t="inlineStr">
        <is>
          <t>MER00386</t>
        </is>
      </c>
      <c r="C302">
        <f>XLOOKUP(B302,Merchants!$A$4:$A$1000,Merchants!$B$4:$B$1000,"Not found")</f>
        <v/>
      </c>
      <c r="D302">
        <f>XLOOKUP(A302,tblInvoices[invoice_id],tblInvoices[expected_fee])</f>
        <v/>
      </c>
      <c r="E302">
        <f>XLOOKUP(A302,tblInvoices[invoice_id],tblInvoices[billed_fee])</f>
        <v/>
      </c>
      <c r="F302">
        <f>E302-D302</f>
        <v/>
      </c>
      <c r="G302">
        <f>IF(D302=0,0,ROUND(100*F302/D302,2))</f>
        <v/>
      </c>
      <c r="H302">
        <f>IF(ABS(F302)&lt;=0.01,"Correct",IF(F302&lt;0,"Underbilled","Overbilled"))</f>
        <v/>
      </c>
    </row>
    <row r="303">
      <c r="A303" t="inlineStr">
        <is>
          <t>INV0008130</t>
        </is>
      </c>
      <c r="B303" t="inlineStr">
        <is>
          <t>MER00386</t>
        </is>
      </c>
      <c r="C303">
        <f>XLOOKUP(B303,Merchants!$A$4:$A$1000,Merchants!$B$4:$B$1000,"Not found")</f>
        <v/>
      </c>
      <c r="D303">
        <f>XLOOKUP(A303,tblInvoices[invoice_id],tblInvoices[expected_fee])</f>
        <v/>
      </c>
      <c r="E303">
        <f>XLOOKUP(A303,tblInvoices[invoice_id],tblInvoices[billed_fee])</f>
        <v/>
      </c>
      <c r="F303">
        <f>E303-D303</f>
        <v/>
      </c>
      <c r="G303">
        <f>IF(D303=0,0,ROUND(100*F303/D303,2))</f>
        <v/>
      </c>
      <c r="H303">
        <f>IF(ABS(F303)&lt;=0.01,"Correct",IF(F303&lt;0,"Underbilled","Overbilled"))</f>
        <v/>
      </c>
    </row>
    <row r="304">
      <c r="A304" t="inlineStr">
        <is>
          <t>INV0008131</t>
        </is>
      </c>
      <c r="B304" t="inlineStr">
        <is>
          <t>MER00386</t>
        </is>
      </c>
      <c r="C304">
        <f>XLOOKUP(B304,Merchants!$A$4:$A$1000,Merchants!$B$4:$B$1000,"Not found")</f>
        <v/>
      </c>
      <c r="D304">
        <f>XLOOKUP(A304,tblInvoices[invoice_id],tblInvoices[expected_fee])</f>
        <v/>
      </c>
      <c r="E304">
        <f>XLOOKUP(A304,tblInvoices[invoice_id],tblInvoices[billed_fee])</f>
        <v/>
      </c>
      <c r="F304">
        <f>E304-D304</f>
        <v/>
      </c>
      <c r="G304">
        <f>IF(D304=0,0,ROUND(100*F304/D304,2))</f>
        <v/>
      </c>
      <c r="H304">
        <f>IF(ABS(F304)&lt;=0.01,"Correct",IF(F304&lt;0,"Underbilled","Overbilled"))</f>
        <v/>
      </c>
    </row>
    <row r="305">
      <c r="A305" t="inlineStr">
        <is>
          <t>INV0008132</t>
        </is>
      </c>
      <c r="B305" t="inlineStr">
        <is>
          <t>MER00386</t>
        </is>
      </c>
      <c r="C305">
        <f>XLOOKUP(B305,Merchants!$A$4:$A$1000,Merchants!$B$4:$B$1000,"Not found")</f>
        <v/>
      </c>
      <c r="D305">
        <f>XLOOKUP(A305,tblInvoices[invoice_id],tblInvoices[expected_fee])</f>
        <v/>
      </c>
      <c r="E305">
        <f>XLOOKUP(A305,tblInvoices[invoice_id],tblInvoices[billed_fee])</f>
        <v/>
      </c>
      <c r="F305">
        <f>E305-D305</f>
        <v/>
      </c>
      <c r="G305">
        <f>IF(D305=0,0,ROUND(100*F305/D305,2))</f>
        <v/>
      </c>
      <c r="H305">
        <f>IF(ABS(F305)&lt;=0.01,"Correct",IF(F305&lt;0,"Underbilled","Overbilled"))</f>
        <v/>
      </c>
    </row>
    <row r="306">
      <c r="A306" t="inlineStr">
        <is>
          <t>INV0008133</t>
        </is>
      </c>
      <c r="B306" t="inlineStr">
        <is>
          <t>MER00386</t>
        </is>
      </c>
      <c r="C306">
        <f>XLOOKUP(B306,Merchants!$A$4:$A$1000,Merchants!$B$4:$B$1000,"Not found")</f>
        <v/>
      </c>
      <c r="D306">
        <f>XLOOKUP(A306,tblInvoices[invoice_id],tblInvoices[expected_fee])</f>
        <v/>
      </c>
      <c r="E306">
        <f>XLOOKUP(A306,tblInvoices[invoice_id],tblInvoices[billed_fee])</f>
        <v/>
      </c>
      <c r="F306">
        <f>E306-D306</f>
        <v/>
      </c>
      <c r="G306">
        <f>IF(D306=0,0,ROUND(100*F306/D306,2))</f>
        <v/>
      </c>
      <c r="H306">
        <f>IF(ABS(F306)&lt;=0.01,"Correct",IF(F306&lt;0,"Underbilled","Overbilled"))</f>
        <v/>
      </c>
    </row>
    <row r="307">
      <c r="A307" t="inlineStr">
        <is>
          <t>INV0008134</t>
        </is>
      </c>
      <c r="B307" t="inlineStr">
        <is>
          <t>MER00386</t>
        </is>
      </c>
      <c r="C307">
        <f>XLOOKUP(B307,Merchants!$A$4:$A$1000,Merchants!$B$4:$B$1000,"Not found")</f>
        <v/>
      </c>
      <c r="D307">
        <f>XLOOKUP(A307,tblInvoices[invoice_id],tblInvoices[expected_fee])</f>
        <v/>
      </c>
      <c r="E307">
        <f>XLOOKUP(A307,tblInvoices[invoice_id],tblInvoices[billed_fee])</f>
        <v/>
      </c>
      <c r="F307">
        <f>E307-D307</f>
        <v/>
      </c>
      <c r="G307">
        <f>IF(D307=0,0,ROUND(100*F307/D307,2))</f>
        <v/>
      </c>
      <c r="H307">
        <f>IF(ABS(F307)&lt;=0.01,"Correct",IF(F307&lt;0,"Underbilled","Overbilled"))</f>
        <v/>
      </c>
    </row>
    <row r="308">
      <c r="A308" t="inlineStr">
        <is>
          <t>INV0008135</t>
        </is>
      </c>
      <c r="B308" t="inlineStr">
        <is>
          <t>MER00386</t>
        </is>
      </c>
      <c r="C308">
        <f>XLOOKUP(B308,Merchants!$A$4:$A$1000,Merchants!$B$4:$B$1000,"Not found")</f>
        <v/>
      </c>
      <c r="D308">
        <f>XLOOKUP(A308,tblInvoices[invoice_id],tblInvoices[expected_fee])</f>
        <v/>
      </c>
      <c r="E308">
        <f>XLOOKUP(A308,tblInvoices[invoice_id],tblInvoices[billed_fee])</f>
        <v/>
      </c>
      <c r="F308">
        <f>E308-D308</f>
        <v/>
      </c>
      <c r="G308">
        <f>IF(D308=0,0,ROUND(100*F308/D308,2))</f>
        <v/>
      </c>
      <c r="H308">
        <f>IF(ABS(F308)&lt;=0.01,"Correct",IF(F308&lt;0,"Underbilled","Overbilled"))</f>
        <v/>
      </c>
    </row>
    <row r="309">
      <c r="A309" t="inlineStr">
        <is>
          <t>INV0008136</t>
        </is>
      </c>
      <c r="B309" t="inlineStr">
        <is>
          <t>MER00386</t>
        </is>
      </c>
      <c r="C309">
        <f>XLOOKUP(B309,Merchants!$A$4:$A$1000,Merchants!$B$4:$B$1000,"Not found")</f>
        <v/>
      </c>
      <c r="D309">
        <f>XLOOKUP(A309,tblInvoices[invoice_id],tblInvoices[expected_fee])</f>
        <v/>
      </c>
      <c r="E309">
        <f>XLOOKUP(A309,tblInvoices[invoice_id],tblInvoices[billed_fee])</f>
        <v/>
      </c>
      <c r="F309">
        <f>E309-D309</f>
        <v/>
      </c>
      <c r="G309">
        <f>IF(D309=0,0,ROUND(100*F309/D309,2))</f>
        <v/>
      </c>
      <c r="H309">
        <f>IF(ABS(F309)&lt;=0.01,"Correct",IF(F309&lt;0,"Underbilled","Overbilled"))</f>
        <v/>
      </c>
    </row>
    <row r="310">
      <c r="A310" t="inlineStr">
        <is>
          <t>INV0009199</t>
        </is>
      </c>
      <c r="B310" t="inlineStr">
        <is>
          <t>MER00436</t>
        </is>
      </c>
      <c r="C310">
        <f>XLOOKUP(B310,Merchants!$A$4:$A$1000,Merchants!$B$4:$B$1000,"Not found")</f>
        <v/>
      </c>
      <c r="D310">
        <f>XLOOKUP(A310,tblInvoices[invoice_id],tblInvoices[expected_fee])</f>
        <v/>
      </c>
      <c r="E310">
        <f>XLOOKUP(A310,tblInvoices[invoice_id],tblInvoices[billed_fee])</f>
        <v/>
      </c>
      <c r="F310">
        <f>E310-D310</f>
        <v/>
      </c>
      <c r="G310">
        <f>IF(D310=0,0,ROUND(100*F310/D310,2))</f>
        <v/>
      </c>
      <c r="H310">
        <f>IF(ABS(F310)&lt;=0.01,"Correct",IF(F310&lt;0,"Underbilled","Overbilled"))</f>
        <v/>
      </c>
    </row>
    <row r="311">
      <c r="A311" t="inlineStr">
        <is>
          <t>INV0009200</t>
        </is>
      </c>
      <c r="B311" t="inlineStr">
        <is>
          <t>MER00436</t>
        </is>
      </c>
      <c r="C311">
        <f>XLOOKUP(B311,Merchants!$A$4:$A$1000,Merchants!$B$4:$B$1000,"Not found")</f>
        <v/>
      </c>
      <c r="D311">
        <f>XLOOKUP(A311,tblInvoices[invoice_id],tblInvoices[expected_fee])</f>
        <v/>
      </c>
      <c r="E311">
        <f>XLOOKUP(A311,tblInvoices[invoice_id],tblInvoices[billed_fee])</f>
        <v/>
      </c>
      <c r="F311">
        <f>E311-D311</f>
        <v/>
      </c>
      <c r="G311">
        <f>IF(D311=0,0,ROUND(100*F311/D311,2))</f>
        <v/>
      </c>
      <c r="H311">
        <f>IF(ABS(F311)&lt;=0.01,"Correct",IF(F311&lt;0,"Underbilled","Overbilled"))</f>
        <v/>
      </c>
    </row>
    <row r="312">
      <c r="A312" t="inlineStr">
        <is>
          <t>INV0009201</t>
        </is>
      </c>
      <c r="B312" t="inlineStr">
        <is>
          <t>MER00436</t>
        </is>
      </c>
      <c r="C312">
        <f>XLOOKUP(B312,Merchants!$A$4:$A$1000,Merchants!$B$4:$B$1000,"Not found")</f>
        <v/>
      </c>
      <c r="D312">
        <f>XLOOKUP(A312,tblInvoices[invoice_id],tblInvoices[expected_fee])</f>
        <v/>
      </c>
      <c r="E312">
        <f>XLOOKUP(A312,tblInvoices[invoice_id],tblInvoices[billed_fee])</f>
        <v/>
      </c>
      <c r="F312">
        <f>E312-D312</f>
        <v/>
      </c>
      <c r="G312">
        <f>IF(D312=0,0,ROUND(100*F312/D312,2))</f>
        <v/>
      </c>
      <c r="H312">
        <f>IF(ABS(F312)&lt;=0.01,"Correct",IF(F312&lt;0,"Underbilled","Overbilled"))</f>
        <v/>
      </c>
    </row>
    <row r="313">
      <c r="A313" t="inlineStr">
        <is>
          <t>INV0009202</t>
        </is>
      </c>
      <c r="B313" t="inlineStr">
        <is>
          <t>MER00436</t>
        </is>
      </c>
      <c r="C313">
        <f>XLOOKUP(B313,Merchants!$A$4:$A$1000,Merchants!$B$4:$B$1000,"Not found")</f>
        <v/>
      </c>
      <c r="D313">
        <f>XLOOKUP(A313,tblInvoices[invoice_id],tblInvoices[expected_fee])</f>
        <v/>
      </c>
      <c r="E313">
        <f>XLOOKUP(A313,tblInvoices[invoice_id],tblInvoices[billed_fee])</f>
        <v/>
      </c>
      <c r="F313">
        <f>E313-D313</f>
        <v/>
      </c>
      <c r="G313">
        <f>IF(D313=0,0,ROUND(100*F313/D313,2))</f>
        <v/>
      </c>
      <c r="H313">
        <f>IF(ABS(F313)&lt;=0.01,"Correct",IF(F313&lt;0,"Underbilled","Overbilled"))</f>
        <v/>
      </c>
    </row>
    <row r="314">
      <c r="A314" t="inlineStr">
        <is>
          <t>INV0009203</t>
        </is>
      </c>
      <c r="B314" t="inlineStr">
        <is>
          <t>MER00436</t>
        </is>
      </c>
      <c r="C314">
        <f>XLOOKUP(B314,Merchants!$A$4:$A$1000,Merchants!$B$4:$B$1000,"Not found")</f>
        <v/>
      </c>
      <c r="D314">
        <f>XLOOKUP(A314,tblInvoices[invoice_id],tblInvoices[expected_fee])</f>
        <v/>
      </c>
      <c r="E314">
        <f>XLOOKUP(A314,tblInvoices[invoice_id],tblInvoices[billed_fee])</f>
        <v/>
      </c>
      <c r="F314">
        <f>E314-D314</f>
        <v/>
      </c>
      <c r="G314">
        <f>IF(D314=0,0,ROUND(100*F314/D314,2))</f>
        <v/>
      </c>
      <c r="H314">
        <f>IF(ABS(F314)&lt;=0.01,"Correct",IF(F314&lt;0,"Underbilled","Overbilled"))</f>
        <v/>
      </c>
    </row>
    <row r="315">
      <c r="A315" t="inlineStr">
        <is>
          <t>INV0009204</t>
        </is>
      </c>
      <c r="B315" t="inlineStr">
        <is>
          <t>MER00436</t>
        </is>
      </c>
      <c r="C315">
        <f>XLOOKUP(B315,Merchants!$A$4:$A$1000,Merchants!$B$4:$B$1000,"Not found")</f>
        <v/>
      </c>
      <c r="D315">
        <f>XLOOKUP(A315,tblInvoices[invoice_id],tblInvoices[expected_fee])</f>
        <v/>
      </c>
      <c r="E315">
        <f>XLOOKUP(A315,tblInvoices[invoice_id],tblInvoices[billed_fee])</f>
        <v/>
      </c>
      <c r="F315">
        <f>E315-D315</f>
        <v/>
      </c>
      <c r="G315">
        <f>IF(D315=0,0,ROUND(100*F315/D315,2))</f>
        <v/>
      </c>
      <c r="H315">
        <f>IF(ABS(F315)&lt;=0.01,"Correct",IF(F315&lt;0,"Underbilled","Overbilled"))</f>
        <v/>
      </c>
    </row>
    <row r="316">
      <c r="A316" t="inlineStr">
        <is>
          <t>INV0009205</t>
        </is>
      </c>
      <c r="B316" t="inlineStr">
        <is>
          <t>MER00436</t>
        </is>
      </c>
      <c r="C316">
        <f>XLOOKUP(B316,Merchants!$A$4:$A$1000,Merchants!$B$4:$B$1000,"Not found")</f>
        <v/>
      </c>
      <c r="D316">
        <f>XLOOKUP(A316,tblInvoices[invoice_id],tblInvoices[expected_fee])</f>
        <v/>
      </c>
      <c r="E316">
        <f>XLOOKUP(A316,tblInvoices[invoice_id],tblInvoices[billed_fee])</f>
        <v/>
      </c>
      <c r="F316">
        <f>E316-D316</f>
        <v/>
      </c>
      <c r="G316">
        <f>IF(D316=0,0,ROUND(100*F316/D316,2))</f>
        <v/>
      </c>
      <c r="H316">
        <f>IF(ABS(F316)&lt;=0.01,"Correct",IF(F316&lt;0,"Underbilled","Overbilled"))</f>
        <v/>
      </c>
    </row>
    <row r="317">
      <c r="A317" t="inlineStr">
        <is>
          <t>INV0009206</t>
        </is>
      </c>
      <c r="B317" t="inlineStr">
        <is>
          <t>MER00436</t>
        </is>
      </c>
      <c r="C317">
        <f>XLOOKUP(B317,Merchants!$A$4:$A$1000,Merchants!$B$4:$B$1000,"Not found")</f>
        <v/>
      </c>
      <c r="D317">
        <f>XLOOKUP(A317,tblInvoices[invoice_id],tblInvoices[expected_fee])</f>
        <v/>
      </c>
      <c r="E317">
        <f>XLOOKUP(A317,tblInvoices[invoice_id],tblInvoices[billed_fee])</f>
        <v/>
      </c>
      <c r="F317">
        <f>E317-D317</f>
        <v/>
      </c>
      <c r="G317">
        <f>IF(D317=0,0,ROUND(100*F317/D317,2))</f>
        <v/>
      </c>
      <c r="H317">
        <f>IF(ABS(F317)&lt;=0.01,"Correct",IF(F317&lt;0,"Underbilled","Overbilled"))</f>
        <v/>
      </c>
    </row>
    <row r="318">
      <c r="A318" t="inlineStr">
        <is>
          <t>INV0009207</t>
        </is>
      </c>
      <c r="B318" t="inlineStr">
        <is>
          <t>MER00436</t>
        </is>
      </c>
      <c r="C318">
        <f>XLOOKUP(B318,Merchants!$A$4:$A$1000,Merchants!$B$4:$B$1000,"Not found")</f>
        <v/>
      </c>
      <c r="D318">
        <f>XLOOKUP(A318,tblInvoices[invoice_id],tblInvoices[expected_fee])</f>
        <v/>
      </c>
      <c r="E318">
        <f>XLOOKUP(A318,tblInvoices[invoice_id],tblInvoices[billed_fee])</f>
        <v/>
      </c>
      <c r="F318">
        <f>E318-D318</f>
        <v/>
      </c>
      <c r="G318">
        <f>IF(D318=0,0,ROUND(100*F318/D318,2))</f>
        <v/>
      </c>
      <c r="H318">
        <f>IF(ABS(F318)&lt;=0.01,"Correct",IF(F318&lt;0,"Underbilled","Overbilled"))</f>
        <v/>
      </c>
    </row>
    <row r="319">
      <c r="A319" t="inlineStr">
        <is>
          <t>INV0009208</t>
        </is>
      </c>
      <c r="B319" t="inlineStr">
        <is>
          <t>MER00436</t>
        </is>
      </c>
      <c r="C319">
        <f>XLOOKUP(B319,Merchants!$A$4:$A$1000,Merchants!$B$4:$B$1000,"Not found")</f>
        <v/>
      </c>
      <c r="D319">
        <f>XLOOKUP(A319,tblInvoices[invoice_id],tblInvoices[expected_fee])</f>
        <v/>
      </c>
      <c r="E319">
        <f>XLOOKUP(A319,tblInvoices[invoice_id],tblInvoices[billed_fee])</f>
        <v/>
      </c>
      <c r="F319">
        <f>E319-D319</f>
        <v/>
      </c>
      <c r="G319">
        <f>IF(D319=0,0,ROUND(100*F319/D319,2))</f>
        <v/>
      </c>
      <c r="H319">
        <f>IF(ABS(F319)&lt;=0.01,"Correct",IF(F319&lt;0,"Underbilled","Overbilled"))</f>
        <v/>
      </c>
    </row>
    <row r="320">
      <c r="A320" t="inlineStr">
        <is>
          <t>INV0009209</t>
        </is>
      </c>
      <c r="B320" t="inlineStr">
        <is>
          <t>MER00436</t>
        </is>
      </c>
      <c r="C320">
        <f>XLOOKUP(B320,Merchants!$A$4:$A$1000,Merchants!$B$4:$B$1000,"Not found")</f>
        <v/>
      </c>
      <c r="D320">
        <f>XLOOKUP(A320,tblInvoices[invoice_id],tblInvoices[expected_fee])</f>
        <v/>
      </c>
      <c r="E320">
        <f>XLOOKUP(A320,tblInvoices[invoice_id],tblInvoices[billed_fee])</f>
        <v/>
      </c>
      <c r="F320">
        <f>E320-D320</f>
        <v/>
      </c>
      <c r="G320">
        <f>IF(D320=0,0,ROUND(100*F320/D320,2))</f>
        <v/>
      </c>
      <c r="H320">
        <f>IF(ABS(F320)&lt;=0.01,"Correct",IF(F320&lt;0,"Underbilled","Overbilled"))</f>
        <v/>
      </c>
    </row>
    <row r="321">
      <c r="A321" t="inlineStr">
        <is>
          <t>INV0009210</t>
        </is>
      </c>
      <c r="B321" t="inlineStr">
        <is>
          <t>MER00436</t>
        </is>
      </c>
      <c r="C321">
        <f>XLOOKUP(B321,Merchants!$A$4:$A$1000,Merchants!$B$4:$B$1000,"Not found")</f>
        <v/>
      </c>
      <c r="D321">
        <f>XLOOKUP(A321,tblInvoices[invoice_id],tblInvoices[expected_fee])</f>
        <v/>
      </c>
      <c r="E321">
        <f>XLOOKUP(A321,tblInvoices[invoice_id],tblInvoices[billed_fee])</f>
        <v/>
      </c>
      <c r="F321">
        <f>E321-D321</f>
        <v/>
      </c>
      <c r="G321">
        <f>IF(D321=0,0,ROUND(100*F321/D321,2))</f>
        <v/>
      </c>
      <c r="H321">
        <f>IF(ABS(F321)&lt;=0.01,"Correct",IF(F321&lt;0,"Underbilled","Overbilled"))</f>
        <v/>
      </c>
    </row>
    <row r="322">
      <c r="A322" t="inlineStr">
        <is>
          <t>INV0009211</t>
        </is>
      </c>
      <c r="B322" t="inlineStr">
        <is>
          <t>MER00436</t>
        </is>
      </c>
      <c r="C322">
        <f>XLOOKUP(B322,Merchants!$A$4:$A$1000,Merchants!$B$4:$B$1000,"Not found")</f>
        <v/>
      </c>
      <c r="D322">
        <f>XLOOKUP(A322,tblInvoices[invoice_id],tblInvoices[expected_fee])</f>
        <v/>
      </c>
      <c r="E322">
        <f>XLOOKUP(A322,tblInvoices[invoice_id],tblInvoices[billed_fee])</f>
        <v/>
      </c>
      <c r="F322">
        <f>E322-D322</f>
        <v/>
      </c>
      <c r="G322">
        <f>IF(D322=0,0,ROUND(100*F322/D322,2))</f>
        <v/>
      </c>
      <c r="H322">
        <f>IF(ABS(F322)&lt;=0.01,"Correct",IF(F322&lt;0,"Underbilled","Overbilled"))</f>
        <v/>
      </c>
    </row>
    <row r="323">
      <c r="A323" t="inlineStr">
        <is>
          <t>INV0009212</t>
        </is>
      </c>
      <c r="B323" t="inlineStr">
        <is>
          <t>MER00436</t>
        </is>
      </c>
      <c r="C323">
        <f>XLOOKUP(B323,Merchants!$A$4:$A$1000,Merchants!$B$4:$B$1000,"Not found")</f>
        <v/>
      </c>
      <c r="D323">
        <f>XLOOKUP(A323,tblInvoices[invoice_id],tblInvoices[expected_fee])</f>
        <v/>
      </c>
      <c r="E323">
        <f>XLOOKUP(A323,tblInvoices[invoice_id],tblInvoices[billed_fee])</f>
        <v/>
      </c>
      <c r="F323">
        <f>E323-D323</f>
        <v/>
      </c>
      <c r="G323">
        <f>IF(D323=0,0,ROUND(100*F323/D323,2))</f>
        <v/>
      </c>
      <c r="H323">
        <f>IF(ABS(F323)&lt;=0.01,"Correct",IF(F323&lt;0,"Underbilled","Overbilled"))</f>
        <v/>
      </c>
    </row>
    <row r="324">
      <c r="A324" t="inlineStr">
        <is>
          <t>INV0009213</t>
        </is>
      </c>
      <c r="B324" t="inlineStr">
        <is>
          <t>MER00436</t>
        </is>
      </c>
      <c r="C324">
        <f>XLOOKUP(B324,Merchants!$A$4:$A$1000,Merchants!$B$4:$B$1000,"Not found")</f>
        <v/>
      </c>
      <c r="D324">
        <f>XLOOKUP(A324,tblInvoices[invoice_id],tblInvoices[expected_fee])</f>
        <v/>
      </c>
      <c r="E324">
        <f>XLOOKUP(A324,tblInvoices[invoice_id],tblInvoices[billed_fee])</f>
        <v/>
      </c>
      <c r="F324">
        <f>E324-D324</f>
        <v/>
      </c>
      <c r="G324">
        <f>IF(D324=0,0,ROUND(100*F324/D324,2))</f>
        <v/>
      </c>
      <c r="H324">
        <f>IF(ABS(F324)&lt;=0.01,"Correct",IF(F324&lt;0,"Underbilled","Overbilled"))</f>
        <v/>
      </c>
    </row>
    <row r="325">
      <c r="A325" t="inlineStr">
        <is>
          <t>INV0009214</t>
        </is>
      </c>
      <c r="B325" t="inlineStr">
        <is>
          <t>MER00436</t>
        </is>
      </c>
      <c r="C325">
        <f>XLOOKUP(B325,Merchants!$A$4:$A$1000,Merchants!$B$4:$B$1000,"Not found")</f>
        <v/>
      </c>
      <c r="D325">
        <f>XLOOKUP(A325,tblInvoices[invoice_id],tblInvoices[expected_fee])</f>
        <v/>
      </c>
      <c r="E325">
        <f>XLOOKUP(A325,tblInvoices[invoice_id],tblInvoices[billed_fee])</f>
        <v/>
      </c>
      <c r="F325">
        <f>E325-D325</f>
        <v/>
      </c>
      <c r="G325">
        <f>IF(D325=0,0,ROUND(100*F325/D325,2))</f>
        <v/>
      </c>
      <c r="H325">
        <f>IF(ABS(F325)&lt;=0.01,"Correct",IF(F325&lt;0,"Underbilled","Overbilled"))</f>
        <v/>
      </c>
    </row>
    <row r="326">
      <c r="A326" t="inlineStr">
        <is>
          <t>INV0009215</t>
        </is>
      </c>
      <c r="B326" t="inlineStr">
        <is>
          <t>MER00436</t>
        </is>
      </c>
      <c r="C326">
        <f>XLOOKUP(B326,Merchants!$A$4:$A$1000,Merchants!$B$4:$B$1000,"Not found")</f>
        <v/>
      </c>
      <c r="D326">
        <f>XLOOKUP(A326,tblInvoices[invoice_id],tblInvoices[expected_fee])</f>
        <v/>
      </c>
      <c r="E326">
        <f>XLOOKUP(A326,tblInvoices[invoice_id],tblInvoices[billed_fee])</f>
        <v/>
      </c>
      <c r="F326">
        <f>E326-D326</f>
        <v/>
      </c>
      <c r="G326">
        <f>IF(D326=0,0,ROUND(100*F326/D326,2))</f>
        <v/>
      </c>
      <c r="H326">
        <f>IF(ABS(F326)&lt;=0.01,"Correct",IF(F326&lt;0,"Underbilled","Overbilled"))</f>
        <v/>
      </c>
    </row>
    <row r="327">
      <c r="A327" t="inlineStr">
        <is>
          <t>INV0009216</t>
        </is>
      </c>
      <c r="B327" t="inlineStr">
        <is>
          <t>MER00436</t>
        </is>
      </c>
      <c r="C327">
        <f>XLOOKUP(B327,Merchants!$A$4:$A$1000,Merchants!$B$4:$B$1000,"Not found")</f>
        <v/>
      </c>
      <c r="D327">
        <f>XLOOKUP(A327,tblInvoices[invoice_id],tblInvoices[expected_fee])</f>
        <v/>
      </c>
      <c r="E327">
        <f>XLOOKUP(A327,tblInvoices[invoice_id],tblInvoices[billed_fee])</f>
        <v/>
      </c>
      <c r="F327">
        <f>E327-D327</f>
        <v/>
      </c>
      <c r="G327">
        <f>IF(D327=0,0,ROUND(100*F327/D327,2))</f>
        <v/>
      </c>
      <c r="H327">
        <f>IF(ABS(F327)&lt;=0.01,"Correct",IF(F327&lt;0,"Underbilled","Overbilled"))</f>
        <v/>
      </c>
    </row>
    <row r="328">
      <c r="A328" t="inlineStr">
        <is>
          <t>INV0009217</t>
        </is>
      </c>
      <c r="B328" t="inlineStr">
        <is>
          <t>MER00436</t>
        </is>
      </c>
      <c r="C328">
        <f>XLOOKUP(B328,Merchants!$A$4:$A$1000,Merchants!$B$4:$B$1000,"Not found")</f>
        <v/>
      </c>
      <c r="D328">
        <f>XLOOKUP(A328,tblInvoices[invoice_id],tblInvoices[expected_fee])</f>
        <v/>
      </c>
      <c r="E328">
        <f>XLOOKUP(A328,tblInvoices[invoice_id],tblInvoices[billed_fee])</f>
        <v/>
      </c>
      <c r="F328">
        <f>E328-D328</f>
        <v/>
      </c>
      <c r="G328">
        <f>IF(D328=0,0,ROUND(100*F328/D328,2))</f>
        <v/>
      </c>
      <c r="H328">
        <f>IF(ABS(F328)&lt;=0.01,"Correct",IF(F328&lt;0,"Underbilled","Overbilled"))</f>
        <v/>
      </c>
    </row>
    <row r="329">
      <c r="A329" t="inlineStr">
        <is>
          <t>INV0009218</t>
        </is>
      </c>
      <c r="B329" t="inlineStr">
        <is>
          <t>MER00436</t>
        </is>
      </c>
      <c r="C329">
        <f>XLOOKUP(B329,Merchants!$A$4:$A$1000,Merchants!$B$4:$B$1000,"Not found")</f>
        <v/>
      </c>
      <c r="D329">
        <f>XLOOKUP(A329,tblInvoices[invoice_id],tblInvoices[expected_fee])</f>
        <v/>
      </c>
      <c r="E329">
        <f>XLOOKUP(A329,tblInvoices[invoice_id],tblInvoices[billed_fee])</f>
        <v/>
      </c>
      <c r="F329">
        <f>E329-D329</f>
        <v/>
      </c>
      <c r="G329">
        <f>IF(D329=0,0,ROUND(100*F329/D329,2))</f>
        <v/>
      </c>
      <c r="H329">
        <f>IF(ABS(F329)&lt;=0.01,"Correct",IF(F329&lt;0,"Underbilled","Overbilled"))</f>
        <v/>
      </c>
    </row>
    <row r="330">
      <c r="A330" t="inlineStr">
        <is>
          <t>INV0009219</t>
        </is>
      </c>
      <c r="B330" t="inlineStr">
        <is>
          <t>MER00436</t>
        </is>
      </c>
      <c r="C330">
        <f>XLOOKUP(B330,Merchants!$A$4:$A$1000,Merchants!$B$4:$B$1000,"Not found")</f>
        <v/>
      </c>
      <c r="D330">
        <f>XLOOKUP(A330,tblInvoices[invoice_id],tblInvoices[expected_fee])</f>
        <v/>
      </c>
      <c r="E330">
        <f>XLOOKUP(A330,tblInvoices[invoice_id],tblInvoices[billed_fee])</f>
        <v/>
      </c>
      <c r="F330">
        <f>E330-D330</f>
        <v/>
      </c>
      <c r="G330">
        <f>IF(D330=0,0,ROUND(100*F330/D330,2))</f>
        <v/>
      </c>
      <c r="H330">
        <f>IF(ABS(F330)&lt;=0.01,"Correct",IF(F330&lt;0,"Underbilled","Overbilled"))</f>
        <v/>
      </c>
    </row>
    <row r="331">
      <c r="A331" t="inlineStr">
        <is>
          <t>INV0009220</t>
        </is>
      </c>
      <c r="B331" t="inlineStr">
        <is>
          <t>MER00436</t>
        </is>
      </c>
      <c r="C331">
        <f>XLOOKUP(B331,Merchants!$A$4:$A$1000,Merchants!$B$4:$B$1000,"Not found")</f>
        <v/>
      </c>
      <c r="D331">
        <f>XLOOKUP(A331,tblInvoices[invoice_id],tblInvoices[expected_fee])</f>
        <v/>
      </c>
      <c r="E331">
        <f>XLOOKUP(A331,tblInvoices[invoice_id],tblInvoices[billed_fee])</f>
        <v/>
      </c>
      <c r="F331">
        <f>E331-D331</f>
        <v/>
      </c>
      <c r="G331">
        <f>IF(D331=0,0,ROUND(100*F331/D331,2))</f>
        <v/>
      </c>
      <c r="H331">
        <f>IF(ABS(F331)&lt;=0.01,"Correct",IF(F331&lt;0,"Underbilled","Overbilled"))</f>
        <v/>
      </c>
    </row>
    <row r="332">
      <c r="A332" t="inlineStr">
        <is>
          <t>INV0009221</t>
        </is>
      </c>
      <c r="B332" t="inlineStr">
        <is>
          <t>MER00436</t>
        </is>
      </c>
      <c r="C332">
        <f>XLOOKUP(B332,Merchants!$A$4:$A$1000,Merchants!$B$4:$B$1000,"Not found")</f>
        <v/>
      </c>
      <c r="D332">
        <f>XLOOKUP(A332,tblInvoices[invoice_id],tblInvoices[expected_fee])</f>
        <v/>
      </c>
      <c r="E332">
        <f>XLOOKUP(A332,tblInvoices[invoice_id],tblInvoices[billed_fee])</f>
        <v/>
      </c>
      <c r="F332">
        <f>E332-D332</f>
        <v/>
      </c>
      <c r="G332">
        <f>IF(D332=0,0,ROUND(100*F332/D332,2))</f>
        <v/>
      </c>
      <c r="H332">
        <f>IF(ABS(F332)&lt;=0.01,"Correct",IF(F332&lt;0,"Underbilled","Overbilled"))</f>
        <v/>
      </c>
    </row>
    <row r="333">
      <c r="A333" t="inlineStr">
        <is>
          <t>INV0009222</t>
        </is>
      </c>
      <c r="B333" t="inlineStr">
        <is>
          <t>MER00436</t>
        </is>
      </c>
      <c r="C333">
        <f>XLOOKUP(B333,Merchants!$A$4:$A$1000,Merchants!$B$4:$B$1000,"Not found")</f>
        <v/>
      </c>
      <c r="D333">
        <f>XLOOKUP(A333,tblInvoices[invoice_id],tblInvoices[expected_fee])</f>
        <v/>
      </c>
      <c r="E333">
        <f>XLOOKUP(A333,tblInvoices[invoice_id],tblInvoices[billed_fee])</f>
        <v/>
      </c>
      <c r="F333">
        <f>E333-D333</f>
        <v/>
      </c>
      <c r="G333">
        <f>IF(D333=0,0,ROUND(100*F333/D333,2))</f>
        <v/>
      </c>
      <c r="H333">
        <f>IF(ABS(F333)&lt;=0.01,"Correct",IF(F333&lt;0,"Underbilled","Overbilled"))</f>
        <v/>
      </c>
    </row>
    <row r="334">
      <c r="A334" t="inlineStr">
        <is>
          <t>INV0009635</t>
        </is>
      </c>
      <c r="B334" t="inlineStr">
        <is>
          <t>MER00457</t>
        </is>
      </c>
      <c r="C334">
        <f>XLOOKUP(B334,Merchants!$A$4:$A$1000,Merchants!$B$4:$B$1000,"Not found")</f>
        <v/>
      </c>
      <c r="D334">
        <f>XLOOKUP(A334,tblInvoices[invoice_id],tblInvoices[expected_fee])</f>
        <v/>
      </c>
      <c r="E334">
        <f>XLOOKUP(A334,tblInvoices[invoice_id],tblInvoices[billed_fee])</f>
        <v/>
      </c>
      <c r="F334">
        <f>E334-D334</f>
        <v/>
      </c>
      <c r="G334">
        <f>IF(D334=0,0,ROUND(100*F334/D334,2))</f>
        <v/>
      </c>
      <c r="H334">
        <f>IF(ABS(F334)&lt;=0.01,"Correct",IF(F334&lt;0,"Underbilled","Overbilled"))</f>
        <v/>
      </c>
    </row>
    <row r="335">
      <c r="A335" t="inlineStr">
        <is>
          <t>INV0009636</t>
        </is>
      </c>
      <c r="B335" t="inlineStr">
        <is>
          <t>MER00457</t>
        </is>
      </c>
      <c r="C335">
        <f>XLOOKUP(B335,Merchants!$A$4:$A$1000,Merchants!$B$4:$B$1000,"Not found")</f>
        <v/>
      </c>
      <c r="D335">
        <f>XLOOKUP(A335,tblInvoices[invoice_id],tblInvoices[expected_fee])</f>
        <v/>
      </c>
      <c r="E335">
        <f>XLOOKUP(A335,tblInvoices[invoice_id],tblInvoices[billed_fee])</f>
        <v/>
      </c>
      <c r="F335">
        <f>E335-D335</f>
        <v/>
      </c>
      <c r="G335">
        <f>IF(D335=0,0,ROUND(100*F335/D335,2))</f>
        <v/>
      </c>
      <c r="H335">
        <f>IF(ABS(F335)&lt;=0.01,"Correct",IF(F335&lt;0,"Underbilled","Overbilled"))</f>
        <v/>
      </c>
    </row>
    <row r="336">
      <c r="A336" t="inlineStr">
        <is>
          <t>INV0009637</t>
        </is>
      </c>
      <c r="B336" t="inlineStr">
        <is>
          <t>MER00457</t>
        </is>
      </c>
      <c r="C336">
        <f>XLOOKUP(B336,Merchants!$A$4:$A$1000,Merchants!$B$4:$B$1000,"Not found")</f>
        <v/>
      </c>
      <c r="D336">
        <f>XLOOKUP(A336,tblInvoices[invoice_id],tblInvoices[expected_fee])</f>
        <v/>
      </c>
      <c r="E336">
        <f>XLOOKUP(A336,tblInvoices[invoice_id],tblInvoices[billed_fee])</f>
        <v/>
      </c>
      <c r="F336">
        <f>E336-D336</f>
        <v/>
      </c>
      <c r="G336">
        <f>IF(D336=0,0,ROUND(100*F336/D336,2))</f>
        <v/>
      </c>
      <c r="H336">
        <f>IF(ABS(F336)&lt;=0.01,"Correct",IF(F336&lt;0,"Underbilled","Overbilled"))</f>
        <v/>
      </c>
    </row>
    <row r="337">
      <c r="A337" t="inlineStr">
        <is>
          <t>INV0009638</t>
        </is>
      </c>
      <c r="B337" t="inlineStr">
        <is>
          <t>MER00457</t>
        </is>
      </c>
      <c r="C337">
        <f>XLOOKUP(B337,Merchants!$A$4:$A$1000,Merchants!$B$4:$B$1000,"Not found")</f>
        <v/>
      </c>
      <c r="D337">
        <f>XLOOKUP(A337,tblInvoices[invoice_id],tblInvoices[expected_fee])</f>
        <v/>
      </c>
      <c r="E337">
        <f>XLOOKUP(A337,tblInvoices[invoice_id],tblInvoices[billed_fee])</f>
        <v/>
      </c>
      <c r="F337">
        <f>E337-D337</f>
        <v/>
      </c>
      <c r="G337">
        <f>IF(D337=0,0,ROUND(100*F337/D337,2))</f>
        <v/>
      </c>
      <c r="H337">
        <f>IF(ABS(F337)&lt;=0.01,"Correct",IF(F337&lt;0,"Underbilled","Overbilled"))</f>
        <v/>
      </c>
    </row>
    <row r="338">
      <c r="A338" t="inlineStr">
        <is>
          <t>INV0009639</t>
        </is>
      </c>
      <c r="B338" t="inlineStr">
        <is>
          <t>MER00457</t>
        </is>
      </c>
      <c r="C338">
        <f>XLOOKUP(B338,Merchants!$A$4:$A$1000,Merchants!$B$4:$B$1000,"Not found")</f>
        <v/>
      </c>
      <c r="D338">
        <f>XLOOKUP(A338,tblInvoices[invoice_id],tblInvoices[expected_fee])</f>
        <v/>
      </c>
      <c r="E338">
        <f>XLOOKUP(A338,tblInvoices[invoice_id],tblInvoices[billed_fee])</f>
        <v/>
      </c>
      <c r="F338">
        <f>E338-D338</f>
        <v/>
      </c>
      <c r="G338">
        <f>IF(D338=0,0,ROUND(100*F338/D338,2))</f>
        <v/>
      </c>
      <c r="H338">
        <f>IF(ABS(F338)&lt;=0.01,"Correct",IF(F338&lt;0,"Underbilled","Overbilled"))</f>
        <v/>
      </c>
    </row>
    <row r="339">
      <c r="A339" t="inlineStr">
        <is>
          <t>INV0009640</t>
        </is>
      </c>
      <c r="B339" t="inlineStr">
        <is>
          <t>MER00457</t>
        </is>
      </c>
      <c r="C339">
        <f>XLOOKUP(B339,Merchants!$A$4:$A$1000,Merchants!$B$4:$B$1000,"Not found")</f>
        <v/>
      </c>
      <c r="D339">
        <f>XLOOKUP(A339,tblInvoices[invoice_id],tblInvoices[expected_fee])</f>
        <v/>
      </c>
      <c r="E339">
        <f>XLOOKUP(A339,tblInvoices[invoice_id],tblInvoices[billed_fee])</f>
        <v/>
      </c>
      <c r="F339">
        <f>E339-D339</f>
        <v/>
      </c>
      <c r="G339">
        <f>IF(D339=0,0,ROUND(100*F339/D339,2))</f>
        <v/>
      </c>
      <c r="H339">
        <f>IF(ABS(F339)&lt;=0.01,"Correct",IF(F339&lt;0,"Underbilled","Overbilled"))</f>
        <v/>
      </c>
    </row>
    <row r="340">
      <c r="A340" t="inlineStr">
        <is>
          <t>INV0009641</t>
        </is>
      </c>
      <c r="B340" t="inlineStr">
        <is>
          <t>MER00457</t>
        </is>
      </c>
      <c r="C340">
        <f>XLOOKUP(B340,Merchants!$A$4:$A$1000,Merchants!$B$4:$B$1000,"Not found")</f>
        <v/>
      </c>
      <c r="D340">
        <f>XLOOKUP(A340,tblInvoices[invoice_id],tblInvoices[expected_fee])</f>
        <v/>
      </c>
      <c r="E340">
        <f>XLOOKUP(A340,tblInvoices[invoice_id],tblInvoices[billed_fee])</f>
        <v/>
      </c>
      <c r="F340">
        <f>E340-D340</f>
        <v/>
      </c>
      <c r="G340">
        <f>IF(D340=0,0,ROUND(100*F340/D340,2))</f>
        <v/>
      </c>
      <c r="H340">
        <f>IF(ABS(F340)&lt;=0.01,"Correct",IF(F340&lt;0,"Underbilled","Overbilled"))</f>
        <v/>
      </c>
    </row>
    <row r="341">
      <c r="A341" t="inlineStr">
        <is>
          <t>INV0009642</t>
        </is>
      </c>
      <c r="B341" t="inlineStr">
        <is>
          <t>MER00457</t>
        </is>
      </c>
      <c r="C341">
        <f>XLOOKUP(B341,Merchants!$A$4:$A$1000,Merchants!$B$4:$B$1000,"Not found")</f>
        <v/>
      </c>
      <c r="D341">
        <f>XLOOKUP(A341,tblInvoices[invoice_id],tblInvoices[expected_fee])</f>
        <v/>
      </c>
      <c r="E341">
        <f>XLOOKUP(A341,tblInvoices[invoice_id],tblInvoices[billed_fee])</f>
        <v/>
      </c>
      <c r="F341">
        <f>E341-D341</f>
        <v/>
      </c>
      <c r="G341">
        <f>IF(D341=0,0,ROUND(100*F341/D341,2))</f>
        <v/>
      </c>
      <c r="H341">
        <f>IF(ABS(F341)&lt;=0.01,"Correct",IF(F341&lt;0,"Underbilled","Overbilled"))</f>
        <v/>
      </c>
    </row>
    <row r="342">
      <c r="A342" t="inlineStr">
        <is>
          <t>INV0009643</t>
        </is>
      </c>
      <c r="B342" t="inlineStr">
        <is>
          <t>MER00457</t>
        </is>
      </c>
      <c r="C342">
        <f>XLOOKUP(B342,Merchants!$A$4:$A$1000,Merchants!$B$4:$B$1000,"Not found")</f>
        <v/>
      </c>
      <c r="D342">
        <f>XLOOKUP(A342,tblInvoices[invoice_id],tblInvoices[expected_fee])</f>
        <v/>
      </c>
      <c r="E342">
        <f>XLOOKUP(A342,tblInvoices[invoice_id],tblInvoices[billed_fee])</f>
        <v/>
      </c>
      <c r="F342">
        <f>E342-D342</f>
        <v/>
      </c>
      <c r="G342">
        <f>IF(D342=0,0,ROUND(100*F342/D342,2))</f>
        <v/>
      </c>
      <c r="H342">
        <f>IF(ABS(F342)&lt;=0.01,"Correct",IF(F342&lt;0,"Underbilled","Overbilled"))</f>
        <v/>
      </c>
    </row>
    <row r="343">
      <c r="A343" t="inlineStr">
        <is>
          <t>INV0009644</t>
        </is>
      </c>
      <c r="B343" t="inlineStr">
        <is>
          <t>MER00457</t>
        </is>
      </c>
      <c r="C343">
        <f>XLOOKUP(B343,Merchants!$A$4:$A$1000,Merchants!$B$4:$B$1000,"Not found")</f>
        <v/>
      </c>
      <c r="D343">
        <f>XLOOKUP(A343,tblInvoices[invoice_id],tblInvoices[expected_fee])</f>
        <v/>
      </c>
      <c r="E343">
        <f>XLOOKUP(A343,tblInvoices[invoice_id],tblInvoices[billed_fee])</f>
        <v/>
      </c>
      <c r="F343">
        <f>E343-D343</f>
        <v/>
      </c>
      <c r="G343">
        <f>IF(D343=0,0,ROUND(100*F343/D343,2))</f>
        <v/>
      </c>
      <c r="H343">
        <f>IF(ABS(F343)&lt;=0.01,"Correct",IF(F343&lt;0,"Underbilled","Overbilled"))</f>
        <v/>
      </c>
    </row>
    <row r="344">
      <c r="A344" t="inlineStr">
        <is>
          <t>INV0009645</t>
        </is>
      </c>
      <c r="B344" t="inlineStr">
        <is>
          <t>MER00457</t>
        </is>
      </c>
      <c r="C344">
        <f>XLOOKUP(B344,Merchants!$A$4:$A$1000,Merchants!$B$4:$B$1000,"Not found")</f>
        <v/>
      </c>
      <c r="D344">
        <f>XLOOKUP(A344,tblInvoices[invoice_id],tblInvoices[expected_fee])</f>
        <v/>
      </c>
      <c r="E344">
        <f>XLOOKUP(A344,tblInvoices[invoice_id],tblInvoices[billed_fee])</f>
        <v/>
      </c>
      <c r="F344">
        <f>E344-D344</f>
        <v/>
      </c>
      <c r="G344">
        <f>IF(D344=0,0,ROUND(100*F344/D344,2))</f>
        <v/>
      </c>
      <c r="H344">
        <f>IF(ABS(F344)&lt;=0.01,"Correct",IF(F344&lt;0,"Underbilled","Overbilled"))</f>
        <v/>
      </c>
    </row>
    <row r="345">
      <c r="A345" t="inlineStr">
        <is>
          <t>INV0009646</t>
        </is>
      </c>
      <c r="B345" t="inlineStr">
        <is>
          <t>MER00457</t>
        </is>
      </c>
      <c r="C345">
        <f>XLOOKUP(B345,Merchants!$A$4:$A$1000,Merchants!$B$4:$B$1000,"Not found")</f>
        <v/>
      </c>
      <c r="D345">
        <f>XLOOKUP(A345,tblInvoices[invoice_id],tblInvoices[expected_fee])</f>
        <v/>
      </c>
      <c r="E345">
        <f>XLOOKUP(A345,tblInvoices[invoice_id],tblInvoices[billed_fee])</f>
        <v/>
      </c>
      <c r="F345">
        <f>E345-D345</f>
        <v/>
      </c>
      <c r="G345">
        <f>IF(D345=0,0,ROUND(100*F345/D345,2))</f>
        <v/>
      </c>
      <c r="H345">
        <f>IF(ABS(F345)&lt;=0.01,"Correct",IF(F345&lt;0,"Underbilled","Overbilled"))</f>
        <v/>
      </c>
    </row>
    <row r="346">
      <c r="A346" t="inlineStr">
        <is>
          <t>INV0009647</t>
        </is>
      </c>
      <c r="B346" t="inlineStr">
        <is>
          <t>MER00457</t>
        </is>
      </c>
      <c r="C346">
        <f>XLOOKUP(B346,Merchants!$A$4:$A$1000,Merchants!$B$4:$B$1000,"Not found")</f>
        <v/>
      </c>
      <c r="D346">
        <f>XLOOKUP(A346,tblInvoices[invoice_id],tblInvoices[expected_fee])</f>
        <v/>
      </c>
      <c r="E346">
        <f>XLOOKUP(A346,tblInvoices[invoice_id],tblInvoices[billed_fee])</f>
        <v/>
      </c>
      <c r="F346">
        <f>E346-D346</f>
        <v/>
      </c>
      <c r="G346">
        <f>IF(D346=0,0,ROUND(100*F346/D346,2))</f>
        <v/>
      </c>
      <c r="H346">
        <f>IF(ABS(F346)&lt;=0.01,"Correct",IF(F346&lt;0,"Underbilled","Overbilled"))</f>
        <v/>
      </c>
    </row>
    <row r="347">
      <c r="A347" t="inlineStr">
        <is>
          <t>INV0009648</t>
        </is>
      </c>
      <c r="B347" t="inlineStr">
        <is>
          <t>MER00457</t>
        </is>
      </c>
      <c r="C347">
        <f>XLOOKUP(B347,Merchants!$A$4:$A$1000,Merchants!$B$4:$B$1000,"Not found")</f>
        <v/>
      </c>
      <c r="D347">
        <f>XLOOKUP(A347,tblInvoices[invoice_id],tblInvoices[expected_fee])</f>
        <v/>
      </c>
      <c r="E347">
        <f>XLOOKUP(A347,tblInvoices[invoice_id],tblInvoices[billed_fee])</f>
        <v/>
      </c>
      <c r="F347">
        <f>E347-D347</f>
        <v/>
      </c>
      <c r="G347">
        <f>IF(D347=0,0,ROUND(100*F347/D347,2))</f>
        <v/>
      </c>
      <c r="H347">
        <f>IF(ABS(F347)&lt;=0.01,"Correct",IF(F347&lt;0,"Underbilled","Overbilled"))</f>
        <v/>
      </c>
    </row>
    <row r="348">
      <c r="A348" t="inlineStr">
        <is>
          <t>INV0009649</t>
        </is>
      </c>
      <c r="B348" t="inlineStr">
        <is>
          <t>MER00457</t>
        </is>
      </c>
      <c r="C348">
        <f>XLOOKUP(B348,Merchants!$A$4:$A$1000,Merchants!$B$4:$B$1000,"Not found")</f>
        <v/>
      </c>
      <c r="D348">
        <f>XLOOKUP(A348,tblInvoices[invoice_id],tblInvoices[expected_fee])</f>
        <v/>
      </c>
      <c r="E348">
        <f>XLOOKUP(A348,tblInvoices[invoice_id],tblInvoices[billed_fee])</f>
        <v/>
      </c>
      <c r="F348">
        <f>E348-D348</f>
        <v/>
      </c>
      <c r="G348">
        <f>IF(D348=0,0,ROUND(100*F348/D348,2))</f>
        <v/>
      </c>
      <c r="H348">
        <f>IF(ABS(F348)&lt;=0.01,"Correct",IF(F348&lt;0,"Underbilled","Overbilled"))</f>
        <v/>
      </c>
    </row>
    <row r="349">
      <c r="A349" t="inlineStr">
        <is>
          <t>INV0009650</t>
        </is>
      </c>
      <c r="B349" t="inlineStr">
        <is>
          <t>MER00457</t>
        </is>
      </c>
      <c r="C349">
        <f>XLOOKUP(B349,Merchants!$A$4:$A$1000,Merchants!$B$4:$B$1000,"Not found")</f>
        <v/>
      </c>
      <c r="D349">
        <f>XLOOKUP(A349,tblInvoices[invoice_id],tblInvoices[expected_fee])</f>
        <v/>
      </c>
      <c r="E349">
        <f>XLOOKUP(A349,tblInvoices[invoice_id],tblInvoices[billed_fee])</f>
        <v/>
      </c>
      <c r="F349">
        <f>E349-D349</f>
        <v/>
      </c>
      <c r="G349">
        <f>IF(D349=0,0,ROUND(100*F349/D349,2))</f>
        <v/>
      </c>
      <c r="H349">
        <f>IF(ABS(F349)&lt;=0.01,"Correct",IF(F349&lt;0,"Underbilled","Overbilled"))</f>
        <v/>
      </c>
    </row>
    <row r="350">
      <c r="A350" t="inlineStr">
        <is>
          <t>INV0009651</t>
        </is>
      </c>
      <c r="B350" t="inlineStr">
        <is>
          <t>MER00457</t>
        </is>
      </c>
      <c r="C350">
        <f>XLOOKUP(B350,Merchants!$A$4:$A$1000,Merchants!$B$4:$B$1000,"Not found")</f>
        <v/>
      </c>
      <c r="D350">
        <f>XLOOKUP(A350,tblInvoices[invoice_id],tblInvoices[expected_fee])</f>
        <v/>
      </c>
      <c r="E350">
        <f>XLOOKUP(A350,tblInvoices[invoice_id],tblInvoices[billed_fee])</f>
        <v/>
      </c>
      <c r="F350">
        <f>E350-D350</f>
        <v/>
      </c>
      <c r="G350">
        <f>IF(D350=0,0,ROUND(100*F350/D350,2))</f>
        <v/>
      </c>
      <c r="H350">
        <f>IF(ABS(F350)&lt;=0.01,"Correct",IF(F350&lt;0,"Underbilled","Overbilled"))</f>
        <v/>
      </c>
    </row>
    <row r="351">
      <c r="A351" t="inlineStr">
        <is>
          <t>INV0009652</t>
        </is>
      </c>
      <c r="B351" t="inlineStr">
        <is>
          <t>MER00457</t>
        </is>
      </c>
      <c r="C351">
        <f>XLOOKUP(B351,Merchants!$A$4:$A$1000,Merchants!$B$4:$B$1000,"Not found")</f>
        <v/>
      </c>
      <c r="D351">
        <f>XLOOKUP(A351,tblInvoices[invoice_id],tblInvoices[expected_fee])</f>
        <v/>
      </c>
      <c r="E351">
        <f>XLOOKUP(A351,tblInvoices[invoice_id],tblInvoices[billed_fee])</f>
        <v/>
      </c>
      <c r="F351">
        <f>E351-D351</f>
        <v/>
      </c>
      <c r="G351">
        <f>IF(D351=0,0,ROUND(100*F351/D351,2))</f>
        <v/>
      </c>
      <c r="H351">
        <f>IF(ABS(F351)&lt;=0.01,"Correct",IF(F351&lt;0,"Underbilled","Overbilled"))</f>
        <v/>
      </c>
    </row>
    <row r="352">
      <c r="A352" t="inlineStr">
        <is>
          <t>INV0009653</t>
        </is>
      </c>
      <c r="B352" t="inlineStr">
        <is>
          <t>MER00457</t>
        </is>
      </c>
      <c r="C352">
        <f>XLOOKUP(B352,Merchants!$A$4:$A$1000,Merchants!$B$4:$B$1000,"Not found")</f>
        <v/>
      </c>
      <c r="D352">
        <f>XLOOKUP(A352,tblInvoices[invoice_id],tblInvoices[expected_fee])</f>
        <v/>
      </c>
      <c r="E352">
        <f>XLOOKUP(A352,tblInvoices[invoice_id],tblInvoices[billed_fee])</f>
        <v/>
      </c>
      <c r="F352">
        <f>E352-D352</f>
        <v/>
      </c>
      <c r="G352">
        <f>IF(D352=0,0,ROUND(100*F352/D352,2))</f>
        <v/>
      </c>
      <c r="H352">
        <f>IF(ABS(F352)&lt;=0.01,"Correct",IF(F352&lt;0,"Underbilled","Overbilled"))</f>
        <v/>
      </c>
    </row>
    <row r="353">
      <c r="A353" t="inlineStr">
        <is>
          <t>INV0009654</t>
        </is>
      </c>
      <c r="B353" t="inlineStr">
        <is>
          <t>MER00457</t>
        </is>
      </c>
      <c r="C353">
        <f>XLOOKUP(B353,Merchants!$A$4:$A$1000,Merchants!$B$4:$B$1000,"Not found")</f>
        <v/>
      </c>
      <c r="D353">
        <f>XLOOKUP(A353,tblInvoices[invoice_id],tblInvoices[expected_fee])</f>
        <v/>
      </c>
      <c r="E353">
        <f>XLOOKUP(A353,tblInvoices[invoice_id],tblInvoices[billed_fee])</f>
        <v/>
      </c>
      <c r="F353">
        <f>E353-D353</f>
        <v/>
      </c>
      <c r="G353">
        <f>IF(D353=0,0,ROUND(100*F353/D353,2))</f>
        <v/>
      </c>
      <c r="H353">
        <f>IF(ABS(F353)&lt;=0.01,"Correct",IF(F353&lt;0,"Underbilled","Overbilled"))</f>
        <v/>
      </c>
    </row>
    <row r="354">
      <c r="A354" t="inlineStr">
        <is>
          <t>INV0009655</t>
        </is>
      </c>
      <c r="B354" t="inlineStr">
        <is>
          <t>MER00457</t>
        </is>
      </c>
      <c r="C354">
        <f>XLOOKUP(B354,Merchants!$A$4:$A$1000,Merchants!$B$4:$B$1000,"Not found")</f>
        <v/>
      </c>
      <c r="D354">
        <f>XLOOKUP(A354,tblInvoices[invoice_id],tblInvoices[expected_fee])</f>
        <v/>
      </c>
      <c r="E354">
        <f>XLOOKUP(A354,tblInvoices[invoice_id],tblInvoices[billed_fee])</f>
        <v/>
      </c>
      <c r="F354">
        <f>E354-D354</f>
        <v/>
      </c>
      <c r="G354">
        <f>IF(D354=0,0,ROUND(100*F354/D354,2))</f>
        <v/>
      </c>
      <c r="H354">
        <f>IF(ABS(F354)&lt;=0.01,"Correct",IF(F354&lt;0,"Underbilled","Overbilled"))</f>
        <v/>
      </c>
    </row>
    <row r="355">
      <c r="A355" t="inlineStr">
        <is>
          <t>INV0009656</t>
        </is>
      </c>
      <c r="B355" t="inlineStr">
        <is>
          <t>MER00457</t>
        </is>
      </c>
      <c r="C355">
        <f>XLOOKUP(B355,Merchants!$A$4:$A$1000,Merchants!$B$4:$B$1000,"Not found")</f>
        <v/>
      </c>
      <c r="D355">
        <f>XLOOKUP(A355,tblInvoices[invoice_id],tblInvoices[expected_fee])</f>
        <v/>
      </c>
      <c r="E355">
        <f>XLOOKUP(A355,tblInvoices[invoice_id],tblInvoices[billed_fee])</f>
        <v/>
      </c>
      <c r="F355">
        <f>E355-D355</f>
        <v/>
      </c>
      <c r="G355">
        <f>IF(D355=0,0,ROUND(100*F355/D355,2))</f>
        <v/>
      </c>
      <c r="H355">
        <f>IF(ABS(F355)&lt;=0.01,"Correct",IF(F355&lt;0,"Underbilled","Overbilled"))</f>
        <v/>
      </c>
    </row>
    <row r="356">
      <c r="A356" t="inlineStr">
        <is>
          <t>INV0009657</t>
        </is>
      </c>
      <c r="B356" t="inlineStr">
        <is>
          <t>MER00457</t>
        </is>
      </c>
      <c r="C356">
        <f>XLOOKUP(B356,Merchants!$A$4:$A$1000,Merchants!$B$4:$B$1000,"Not found")</f>
        <v/>
      </c>
      <c r="D356">
        <f>XLOOKUP(A356,tblInvoices[invoice_id],tblInvoices[expected_fee])</f>
        <v/>
      </c>
      <c r="E356">
        <f>XLOOKUP(A356,tblInvoices[invoice_id],tblInvoices[billed_fee])</f>
        <v/>
      </c>
      <c r="F356">
        <f>E356-D356</f>
        <v/>
      </c>
      <c r="G356">
        <f>IF(D356=0,0,ROUND(100*F356/D356,2))</f>
        <v/>
      </c>
      <c r="H356">
        <f>IF(ABS(F356)&lt;=0.01,"Correct",IF(F356&lt;0,"Underbilled","Overbilled"))</f>
        <v/>
      </c>
    </row>
    <row r="357">
      <c r="A357" t="inlineStr">
        <is>
          <t>INV0009658</t>
        </is>
      </c>
      <c r="B357" t="inlineStr">
        <is>
          <t>MER00457</t>
        </is>
      </c>
      <c r="C357">
        <f>XLOOKUP(B357,Merchants!$A$4:$A$1000,Merchants!$B$4:$B$1000,"Not found")</f>
        <v/>
      </c>
      <c r="D357">
        <f>XLOOKUP(A357,tblInvoices[invoice_id],tblInvoices[expected_fee])</f>
        <v/>
      </c>
      <c r="E357">
        <f>XLOOKUP(A357,tblInvoices[invoice_id],tblInvoices[billed_fee])</f>
        <v/>
      </c>
      <c r="F357">
        <f>E357-D357</f>
        <v/>
      </c>
      <c r="G357">
        <f>IF(D357=0,0,ROUND(100*F357/D357,2))</f>
        <v/>
      </c>
      <c r="H357">
        <f>IF(ABS(F357)&lt;=0.01,"Correct",IF(F357&lt;0,"Underbilled","Overbilled"))</f>
        <v/>
      </c>
    </row>
    <row r="358">
      <c r="A358" t="inlineStr">
        <is>
          <t>INV0010152</t>
        </is>
      </c>
      <c r="B358" t="inlineStr">
        <is>
          <t>MER00480</t>
        </is>
      </c>
      <c r="C358">
        <f>XLOOKUP(B358,Merchants!$A$4:$A$1000,Merchants!$B$4:$B$1000,"Not found")</f>
        <v/>
      </c>
      <c r="D358">
        <f>XLOOKUP(A358,tblInvoices[invoice_id],tblInvoices[expected_fee])</f>
        <v/>
      </c>
      <c r="E358">
        <f>XLOOKUP(A358,tblInvoices[invoice_id],tblInvoices[billed_fee])</f>
        <v/>
      </c>
      <c r="F358">
        <f>E358-D358</f>
        <v/>
      </c>
      <c r="G358">
        <f>IF(D358=0,0,ROUND(100*F358/D358,2))</f>
        <v/>
      </c>
      <c r="H358">
        <f>IF(ABS(F358)&lt;=0.01,"Correct",IF(F358&lt;0,"Underbilled","Overbilled"))</f>
        <v/>
      </c>
    </row>
    <row r="359">
      <c r="A359" t="inlineStr">
        <is>
          <t>INV0010153</t>
        </is>
      </c>
      <c r="B359" t="inlineStr">
        <is>
          <t>MER00480</t>
        </is>
      </c>
      <c r="C359">
        <f>XLOOKUP(B359,Merchants!$A$4:$A$1000,Merchants!$B$4:$B$1000,"Not found")</f>
        <v/>
      </c>
      <c r="D359">
        <f>XLOOKUP(A359,tblInvoices[invoice_id],tblInvoices[expected_fee])</f>
        <v/>
      </c>
      <c r="E359">
        <f>XLOOKUP(A359,tblInvoices[invoice_id],tblInvoices[billed_fee])</f>
        <v/>
      </c>
      <c r="F359">
        <f>E359-D359</f>
        <v/>
      </c>
      <c r="G359">
        <f>IF(D359=0,0,ROUND(100*F359/D359,2))</f>
        <v/>
      </c>
      <c r="H359">
        <f>IF(ABS(F359)&lt;=0.01,"Correct",IF(F359&lt;0,"Underbilled","Overbilled"))</f>
        <v/>
      </c>
    </row>
    <row r="360">
      <c r="A360" t="inlineStr">
        <is>
          <t>INV0010154</t>
        </is>
      </c>
      <c r="B360" t="inlineStr">
        <is>
          <t>MER00480</t>
        </is>
      </c>
      <c r="C360">
        <f>XLOOKUP(B360,Merchants!$A$4:$A$1000,Merchants!$B$4:$B$1000,"Not found")</f>
        <v/>
      </c>
      <c r="D360">
        <f>XLOOKUP(A360,tblInvoices[invoice_id],tblInvoices[expected_fee])</f>
        <v/>
      </c>
      <c r="E360">
        <f>XLOOKUP(A360,tblInvoices[invoice_id],tblInvoices[billed_fee])</f>
        <v/>
      </c>
      <c r="F360">
        <f>E360-D360</f>
        <v/>
      </c>
      <c r="G360">
        <f>IF(D360=0,0,ROUND(100*F360/D360,2))</f>
        <v/>
      </c>
      <c r="H360">
        <f>IF(ABS(F360)&lt;=0.01,"Correct",IF(F360&lt;0,"Underbilled","Overbilled"))</f>
        <v/>
      </c>
    </row>
    <row r="361">
      <c r="A361" t="inlineStr">
        <is>
          <t>INV0010155</t>
        </is>
      </c>
      <c r="B361" t="inlineStr">
        <is>
          <t>MER00480</t>
        </is>
      </c>
      <c r="C361">
        <f>XLOOKUP(B361,Merchants!$A$4:$A$1000,Merchants!$B$4:$B$1000,"Not found")</f>
        <v/>
      </c>
      <c r="D361">
        <f>XLOOKUP(A361,tblInvoices[invoice_id],tblInvoices[expected_fee])</f>
        <v/>
      </c>
      <c r="E361">
        <f>XLOOKUP(A361,tblInvoices[invoice_id],tblInvoices[billed_fee])</f>
        <v/>
      </c>
      <c r="F361">
        <f>E361-D361</f>
        <v/>
      </c>
      <c r="G361">
        <f>IF(D361=0,0,ROUND(100*F361/D361,2))</f>
        <v/>
      </c>
      <c r="H361">
        <f>IF(ABS(F361)&lt;=0.01,"Correct",IF(F361&lt;0,"Underbilled","Overbilled"))</f>
        <v/>
      </c>
    </row>
    <row r="362">
      <c r="A362" t="inlineStr">
        <is>
          <t>INV0010156</t>
        </is>
      </c>
      <c r="B362" t="inlineStr">
        <is>
          <t>MER00480</t>
        </is>
      </c>
      <c r="C362">
        <f>XLOOKUP(B362,Merchants!$A$4:$A$1000,Merchants!$B$4:$B$1000,"Not found")</f>
        <v/>
      </c>
      <c r="D362">
        <f>XLOOKUP(A362,tblInvoices[invoice_id],tblInvoices[expected_fee])</f>
        <v/>
      </c>
      <c r="E362">
        <f>XLOOKUP(A362,tblInvoices[invoice_id],tblInvoices[billed_fee])</f>
        <v/>
      </c>
      <c r="F362">
        <f>E362-D362</f>
        <v/>
      </c>
      <c r="G362">
        <f>IF(D362=0,0,ROUND(100*F362/D362,2))</f>
        <v/>
      </c>
      <c r="H362">
        <f>IF(ABS(F362)&lt;=0.01,"Correct",IF(F362&lt;0,"Underbilled","Overbilled"))</f>
        <v/>
      </c>
    </row>
    <row r="363">
      <c r="A363" t="inlineStr">
        <is>
          <t>INV0010157</t>
        </is>
      </c>
      <c r="B363" t="inlineStr">
        <is>
          <t>MER00480</t>
        </is>
      </c>
      <c r="C363">
        <f>XLOOKUP(B363,Merchants!$A$4:$A$1000,Merchants!$B$4:$B$1000,"Not found")</f>
        <v/>
      </c>
      <c r="D363">
        <f>XLOOKUP(A363,tblInvoices[invoice_id],tblInvoices[expected_fee])</f>
        <v/>
      </c>
      <c r="E363">
        <f>XLOOKUP(A363,tblInvoices[invoice_id],tblInvoices[billed_fee])</f>
        <v/>
      </c>
      <c r="F363">
        <f>E363-D363</f>
        <v/>
      </c>
      <c r="G363">
        <f>IF(D363=0,0,ROUND(100*F363/D363,2))</f>
        <v/>
      </c>
      <c r="H363">
        <f>IF(ABS(F363)&lt;=0.01,"Correct",IF(F363&lt;0,"Underbilled","Overbilled"))</f>
        <v/>
      </c>
    </row>
    <row r="364">
      <c r="A364" t="inlineStr">
        <is>
          <t>INV0010158</t>
        </is>
      </c>
      <c r="B364" t="inlineStr">
        <is>
          <t>MER00480</t>
        </is>
      </c>
      <c r="C364">
        <f>XLOOKUP(B364,Merchants!$A$4:$A$1000,Merchants!$B$4:$B$1000,"Not found")</f>
        <v/>
      </c>
      <c r="D364">
        <f>XLOOKUP(A364,tblInvoices[invoice_id],tblInvoices[expected_fee])</f>
        <v/>
      </c>
      <c r="E364">
        <f>XLOOKUP(A364,tblInvoices[invoice_id],tblInvoices[billed_fee])</f>
        <v/>
      </c>
      <c r="F364">
        <f>E364-D364</f>
        <v/>
      </c>
      <c r="G364">
        <f>IF(D364=0,0,ROUND(100*F364/D364,2))</f>
        <v/>
      </c>
      <c r="H364">
        <f>IF(ABS(F364)&lt;=0.01,"Correct",IF(F364&lt;0,"Underbilled","Overbilled"))</f>
        <v/>
      </c>
    </row>
    <row r="365">
      <c r="A365" t="inlineStr">
        <is>
          <t>INV0010159</t>
        </is>
      </c>
      <c r="B365" t="inlineStr">
        <is>
          <t>MER00480</t>
        </is>
      </c>
      <c r="C365">
        <f>XLOOKUP(B365,Merchants!$A$4:$A$1000,Merchants!$B$4:$B$1000,"Not found")</f>
        <v/>
      </c>
      <c r="D365">
        <f>XLOOKUP(A365,tblInvoices[invoice_id],tblInvoices[expected_fee])</f>
        <v/>
      </c>
      <c r="E365">
        <f>XLOOKUP(A365,tblInvoices[invoice_id],tblInvoices[billed_fee])</f>
        <v/>
      </c>
      <c r="F365">
        <f>E365-D365</f>
        <v/>
      </c>
      <c r="G365">
        <f>IF(D365=0,0,ROUND(100*F365/D365,2))</f>
        <v/>
      </c>
      <c r="H365">
        <f>IF(ABS(F365)&lt;=0.01,"Correct",IF(F365&lt;0,"Underbilled","Overbilled"))</f>
        <v/>
      </c>
    </row>
    <row r="366">
      <c r="A366" t="inlineStr">
        <is>
          <t>INV0010160</t>
        </is>
      </c>
      <c r="B366" t="inlineStr">
        <is>
          <t>MER00480</t>
        </is>
      </c>
      <c r="C366">
        <f>XLOOKUP(B366,Merchants!$A$4:$A$1000,Merchants!$B$4:$B$1000,"Not found")</f>
        <v/>
      </c>
      <c r="D366">
        <f>XLOOKUP(A366,tblInvoices[invoice_id],tblInvoices[expected_fee])</f>
        <v/>
      </c>
      <c r="E366">
        <f>XLOOKUP(A366,tblInvoices[invoice_id],tblInvoices[billed_fee])</f>
        <v/>
      </c>
      <c r="F366">
        <f>E366-D366</f>
        <v/>
      </c>
      <c r="G366">
        <f>IF(D366=0,0,ROUND(100*F366/D366,2))</f>
        <v/>
      </c>
      <c r="H366">
        <f>IF(ABS(F366)&lt;=0.01,"Correct",IF(F366&lt;0,"Underbilled","Overbilled"))</f>
        <v/>
      </c>
    </row>
    <row r="367">
      <c r="A367" t="inlineStr">
        <is>
          <t>INV0010161</t>
        </is>
      </c>
      <c r="B367" t="inlineStr">
        <is>
          <t>MER00480</t>
        </is>
      </c>
      <c r="C367">
        <f>XLOOKUP(B367,Merchants!$A$4:$A$1000,Merchants!$B$4:$B$1000,"Not found")</f>
        <v/>
      </c>
      <c r="D367">
        <f>XLOOKUP(A367,tblInvoices[invoice_id],tblInvoices[expected_fee])</f>
        <v/>
      </c>
      <c r="E367">
        <f>XLOOKUP(A367,tblInvoices[invoice_id],tblInvoices[billed_fee])</f>
        <v/>
      </c>
      <c r="F367">
        <f>E367-D367</f>
        <v/>
      </c>
      <c r="G367">
        <f>IF(D367=0,0,ROUND(100*F367/D367,2))</f>
        <v/>
      </c>
      <c r="H367">
        <f>IF(ABS(F367)&lt;=0.01,"Correct",IF(F367&lt;0,"Underbilled","Overbilled"))</f>
        <v/>
      </c>
    </row>
    <row r="368">
      <c r="A368" t="inlineStr">
        <is>
          <t>INV0010162</t>
        </is>
      </c>
      <c r="B368" t="inlineStr">
        <is>
          <t>MER00480</t>
        </is>
      </c>
      <c r="C368">
        <f>XLOOKUP(B368,Merchants!$A$4:$A$1000,Merchants!$B$4:$B$1000,"Not found")</f>
        <v/>
      </c>
      <c r="D368">
        <f>XLOOKUP(A368,tblInvoices[invoice_id],tblInvoices[expected_fee])</f>
        <v/>
      </c>
      <c r="E368">
        <f>XLOOKUP(A368,tblInvoices[invoice_id],tblInvoices[billed_fee])</f>
        <v/>
      </c>
      <c r="F368">
        <f>E368-D368</f>
        <v/>
      </c>
      <c r="G368">
        <f>IF(D368=0,0,ROUND(100*F368/D368,2))</f>
        <v/>
      </c>
      <c r="H368">
        <f>IF(ABS(F368)&lt;=0.01,"Correct",IF(F368&lt;0,"Underbilled","Overbilled"))</f>
        <v/>
      </c>
    </row>
    <row r="369">
      <c r="A369" t="inlineStr">
        <is>
          <t>INV0010163</t>
        </is>
      </c>
      <c r="B369" t="inlineStr">
        <is>
          <t>MER00480</t>
        </is>
      </c>
      <c r="C369">
        <f>XLOOKUP(B369,Merchants!$A$4:$A$1000,Merchants!$B$4:$B$1000,"Not found")</f>
        <v/>
      </c>
      <c r="D369">
        <f>XLOOKUP(A369,tblInvoices[invoice_id],tblInvoices[expected_fee])</f>
        <v/>
      </c>
      <c r="E369">
        <f>XLOOKUP(A369,tblInvoices[invoice_id],tblInvoices[billed_fee])</f>
        <v/>
      </c>
      <c r="F369">
        <f>E369-D369</f>
        <v/>
      </c>
      <c r="G369">
        <f>IF(D369=0,0,ROUND(100*F369/D369,2))</f>
        <v/>
      </c>
      <c r="H369">
        <f>IF(ABS(F369)&lt;=0.01,"Correct",IF(F369&lt;0,"Underbilled","Overbilled"))</f>
        <v/>
      </c>
    </row>
    <row r="370">
      <c r="A370" t="inlineStr">
        <is>
          <t>INV0010164</t>
        </is>
      </c>
      <c r="B370" t="inlineStr">
        <is>
          <t>MER00480</t>
        </is>
      </c>
      <c r="C370">
        <f>XLOOKUP(B370,Merchants!$A$4:$A$1000,Merchants!$B$4:$B$1000,"Not found")</f>
        <v/>
      </c>
      <c r="D370">
        <f>XLOOKUP(A370,tblInvoices[invoice_id],tblInvoices[expected_fee])</f>
        <v/>
      </c>
      <c r="E370">
        <f>XLOOKUP(A370,tblInvoices[invoice_id],tblInvoices[billed_fee])</f>
        <v/>
      </c>
      <c r="F370">
        <f>E370-D370</f>
        <v/>
      </c>
      <c r="G370">
        <f>IF(D370=0,0,ROUND(100*F370/D370,2))</f>
        <v/>
      </c>
      <c r="H370">
        <f>IF(ABS(F370)&lt;=0.01,"Correct",IF(F370&lt;0,"Underbilled","Overbilled"))</f>
        <v/>
      </c>
    </row>
    <row r="371">
      <c r="A371" t="inlineStr">
        <is>
          <t>INV0010165</t>
        </is>
      </c>
      <c r="B371" t="inlineStr">
        <is>
          <t>MER00480</t>
        </is>
      </c>
      <c r="C371">
        <f>XLOOKUP(B371,Merchants!$A$4:$A$1000,Merchants!$B$4:$B$1000,"Not found")</f>
        <v/>
      </c>
      <c r="D371">
        <f>XLOOKUP(A371,tblInvoices[invoice_id],tblInvoices[expected_fee])</f>
        <v/>
      </c>
      <c r="E371">
        <f>XLOOKUP(A371,tblInvoices[invoice_id],tblInvoices[billed_fee])</f>
        <v/>
      </c>
      <c r="F371">
        <f>E371-D371</f>
        <v/>
      </c>
      <c r="G371">
        <f>IF(D371=0,0,ROUND(100*F371/D371,2))</f>
        <v/>
      </c>
      <c r="H371">
        <f>IF(ABS(F371)&lt;=0.01,"Correct",IF(F371&lt;0,"Underbilled","Overbilled"))</f>
        <v/>
      </c>
    </row>
    <row r="372">
      <c r="A372" t="inlineStr">
        <is>
          <t>INV0010166</t>
        </is>
      </c>
      <c r="B372" t="inlineStr">
        <is>
          <t>MER00480</t>
        </is>
      </c>
      <c r="C372">
        <f>XLOOKUP(B372,Merchants!$A$4:$A$1000,Merchants!$B$4:$B$1000,"Not found")</f>
        <v/>
      </c>
      <c r="D372">
        <f>XLOOKUP(A372,tblInvoices[invoice_id],tblInvoices[expected_fee])</f>
        <v/>
      </c>
      <c r="E372">
        <f>XLOOKUP(A372,tblInvoices[invoice_id],tblInvoices[billed_fee])</f>
        <v/>
      </c>
      <c r="F372">
        <f>E372-D372</f>
        <v/>
      </c>
      <c r="G372">
        <f>IF(D372=0,0,ROUND(100*F372/D372,2))</f>
        <v/>
      </c>
      <c r="H372">
        <f>IF(ABS(F372)&lt;=0.01,"Correct",IF(F372&lt;0,"Underbilled","Overbilled"))</f>
        <v/>
      </c>
    </row>
    <row r="373">
      <c r="A373" t="inlineStr">
        <is>
          <t>INV0010167</t>
        </is>
      </c>
      <c r="B373" t="inlineStr">
        <is>
          <t>MER00480</t>
        </is>
      </c>
      <c r="C373">
        <f>XLOOKUP(B373,Merchants!$A$4:$A$1000,Merchants!$B$4:$B$1000,"Not found")</f>
        <v/>
      </c>
      <c r="D373">
        <f>XLOOKUP(A373,tblInvoices[invoice_id],tblInvoices[expected_fee])</f>
        <v/>
      </c>
      <c r="E373">
        <f>XLOOKUP(A373,tblInvoices[invoice_id],tblInvoices[billed_fee])</f>
        <v/>
      </c>
      <c r="F373">
        <f>E373-D373</f>
        <v/>
      </c>
      <c r="G373">
        <f>IF(D373=0,0,ROUND(100*F373/D373,2))</f>
        <v/>
      </c>
      <c r="H373">
        <f>IF(ABS(F373)&lt;=0.01,"Correct",IF(F373&lt;0,"Underbilled","Overbilled"))</f>
        <v/>
      </c>
    </row>
    <row r="374">
      <c r="A374" t="inlineStr">
        <is>
          <t>INV0010168</t>
        </is>
      </c>
      <c r="B374" t="inlineStr">
        <is>
          <t>MER00480</t>
        </is>
      </c>
      <c r="C374">
        <f>XLOOKUP(B374,Merchants!$A$4:$A$1000,Merchants!$B$4:$B$1000,"Not found")</f>
        <v/>
      </c>
      <c r="D374">
        <f>XLOOKUP(A374,tblInvoices[invoice_id],tblInvoices[expected_fee])</f>
        <v/>
      </c>
      <c r="E374">
        <f>XLOOKUP(A374,tblInvoices[invoice_id],tblInvoices[billed_fee])</f>
        <v/>
      </c>
      <c r="F374">
        <f>E374-D374</f>
        <v/>
      </c>
      <c r="G374">
        <f>IF(D374=0,0,ROUND(100*F374/D374,2))</f>
        <v/>
      </c>
      <c r="H374">
        <f>IF(ABS(F374)&lt;=0.01,"Correct",IF(F374&lt;0,"Underbilled","Overbilled"))</f>
        <v/>
      </c>
    </row>
    <row r="375">
      <c r="A375" t="inlineStr">
        <is>
          <t>INV0010169</t>
        </is>
      </c>
      <c r="B375" t="inlineStr">
        <is>
          <t>MER00480</t>
        </is>
      </c>
      <c r="C375">
        <f>XLOOKUP(B375,Merchants!$A$4:$A$1000,Merchants!$B$4:$B$1000,"Not found")</f>
        <v/>
      </c>
      <c r="D375">
        <f>XLOOKUP(A375,tblInvoices[invoice_id],tblInvoices[expected_fee])</f>
        <v/>
      </c>
      <c r="E375">
        <f>XLOOKUP(A375,tblInvoices[invoice_id],tblInvoices[billed_fee])</f>
        <v/>
      </c>
      <c r="F375">
        <f>E375-D375</f>
        <v/>
      </c>
      <c r="G375">
        <f>IF(D375=0,0,ROUND(100*F375/D375,2))</f>
        <v/>
      </c>
      <c r="H375">
        <f>IF(ABS(F375)&lt;=0.01,"Correct",IF(F375&lt;0,"Underbilled","Overbilled"))</f>
        <v/>
      </c>
    </row>
    <row r="376">
      <c r="A376" t="inlineStr">
        <is>
          <t>INV0010170</t>
        </is>
      </c>
      <c r="B376" t="inlineStr">
        <is>
          <t>MER00480</t>
        </is>
      </c>
      <c r="C376">
        <f>XLOOKUP(B376,Merchants!$A$4:$A$1000,Merchants!$B$4:$B$1000,"Not found")</f>
        <v/>
      </c>
      <c r="D376">
        <f>XLOOKUP(A376,tblInvoices[invoice_id],tblInvoices[expected_fee])</f>
        <v/>
      </c>
      <c r="E376">
        <f>XLOOKUP(A376,tblInvoices[invoice_id],tblInvoices[billed_fee])</f>
        <v/>
      </c>
      <c r="F376">
        <f>E376-D376</f>
        <v/>
      </c>
      <c r="G376">
        <f>IF(D376=0,0,ROUND(100*F376/D376,2))</f>
        <v/>
      </c>
      <c r="H376">
        <f>IF(ABS(F376)&lt;=0.01,"Correct",IF(F376&lt;0,"Underbilled","Overbilled"))</f>
        <v/>
      </c>
    </row>
    <row r="377">
      <c r="A377" t="inlineStr">
        <is>
          <t>INV0010171</t>
        </is>
      </c>
      <c r="B377" t="inlineStr">
        <is>
          <t>MER00480</t>
        </is>
      </c>
      <c r="C377">
        <f>XLOOKUP(B377,Merchants!$A$4:$A$1000,Merchants!$B$4:$B$1000,"Not found")</f>
        <v/>
      </c>
      <c r="D377">
        <f>XLOOKUP(A377,tblInvoices[invoice_id],tblInvoices[expected_fee])</f>
        <v/>
      </c>
      <c r="E377">
        <f>XLOOKUP(A377,tblInvoices[invoice_id],tblInvoices[billed_fee])</f>
        <v/>
      </c>
      <c r="F377">
        <f>E377-D377</f>
        <v/>
      </c>
      <c r="G377">
        <f>IF(D377=0,0,ROUND(100*F377/D377,2))</f>
        <v/>
      </c>
      <c r="H377">
        <f>IF(ABS(F377)&lt;=0.01,"Correct",IF(F377&lt;0,"Underbilled","Overbilled"))</f>
        <v/>
      </c>
    </row>
    <row r="378">
      <c r="A378" t="inlineStr">
        <is>
          <t>INV0010172</t>
        </is>
      </c>
      <c r="B378" t="inlineStr">
        <is>
          <t>MER00480</t>
        </is>
      </c>
      <c r="C378">
        <f>XLOOKUP(B378,Merchants!$A$4:$A$1000,Merchants!$B$4:$B$1000,"Not found")</f>
        <v/>
      </c>
      <c r="D378">
        <f>XLOOKUP(A378,tblInvoices[invoice_id],tblInvoices[expected_fee])</f>
        <v/>
      </c>
      <c r="E378">
        <f>XLOOKUP(A378,tblInvoices[invoice_id],tblInvoices[billed_fee])</f>
        <v/>
      </c>
      <c r="F378">
        <f>E378-D378</f>
        <v/>
      </c>
      <c r="G378">
        <f>IF(D378=0,0,ROUND(100*F378/D378,2))</f>
        <v/>
      </c>
      <c r="H378">
        <f>IF(ABS(F378)&lt;=0.01,"Correct",IF(F378&lt;0,"Underbilled","Overbilled"))</f>
        <v/>
      </c>
    </row>
    <row r="379">
      <c r="A379" t="inlineStr">
        <is>
          <t>INV0010173</t>
        </is>
      </c>
      <c r="B379" t="inlineStr">
        <is>
          <t>MER00480</t>
        </is>
      </c>
      <c r="C379">
        <f>XLOOKUP(B379,Merchants!$A$4:$A$1000,Merchants!$B$4:$B$1000,"Not found")</f>
        <v/>
      </c>
      <c r="D379">
        <f>XLOOKUP(A379,tblInvoices[invoice_id],tblInvoices[expected_fee])</f>
        <v/>
      </c>
      <c r="E379">
        <f>XLOOKUP(A379,tblInvoices[invoice_id],tblInvoices[billed_fee])</f>
        <v/>
      </c>
      <c r="F379">
        <f>E379-D379</f>
        <v/>
      </c>
      <c r="G379">
        <f>IF(D379=0,0,ROUND(100*F379/D379,2))</f>
        <v/>
      </c>
      <c r="H379">
        <f>IF(ABS(F379)&lt;=0.01,"Correct",IF(F379&lt;0,"Underbilled","Overbilled"))</f>
        <v/>
      </c>
    </row>
    <row r="380">
      <c r="A380" t="inlineStr">
        <is>
          <t>INV0010174</t>
        </is>
      </c>
      <c r="B380" t="inlineStr">
        <is>
          <t>MER00480</t>
        </is>
      </c>
      <c r="C380">
        <f>XLOOKUP(B380,Merchants!$A$4:$A$1000,Merchants!$B$4:$B$1000,"Not found")</f>
        <v/>
      </c>
      <c r="D380">
        <f>XLOOKUP(A380,tblInvoices[invoice_id],tblInvoices[expected_fee])</f>
        <v/>
      </c>
      <c r="E380">
        <f>XLOOKUP(A380,tblInvoices[invoice_id],tblInvoices[billed_fee])</f>
        <v/>
      </c>
      <c r="F380">
        <f>E380-D380</f>
        <v/>
      </c>
      <c r="G380">
        <f>IF(D380=0,0,ROUND(100*F380/D380,2))</f>
        <v/>
      </c>
      <c r="H380">
        <f>IF(ABS(F380)&lt;=0.01,"Correct",IF(F380&lt;0,"Underbilled","Overbilled"))</f>
        <v/>
      </c>
    </row>
    <row r="381">
      <c r="A381" t="inlineStr">
        <is>
          <t>INV0010175</t>
        </is>
      </c>
      <c r="B381" t="inlineStr">
        <is>
          <t>MER00480</t>
        </is>
      </c>
      <c r="C381">
        <f>XLOOKUP(B381,Merchants!$A$4:$A$1000,Merchants!$B$4:$B$1000,"Not found")</f>
        <v/>
      </c>
      <c r="D381">
        <f>XLOOKUP(A381,tblInvoices[invoice_id],tblInvoices[expected_fee])</f>
        <v/>
      </c>
      <c r="E381">
        <f>XLOOKUP(A381,tblInvoices[invoice_id],tblInvoices[billed_fee])</f>
        <v/>
      </c>
      <c r="F381">
        <f>E381-D381</f>
        <v/>
      </c>
      <c r="G381">
        <f>IF(D381=0,0,ROUND(100*F381/D381,2))</f>
        <v/>
      </c>
      <c r="H381">
        <f>IF(ABS(F381)&lt;=0.01,"Correct",IF(F381&lt;0,"Underbilled","Overbilled"))</f>
        <v/>
      </c>
    </row>
    <row r="382">
      <c r="A382" t="inlineStr">
        <is>
          <t>INV0010246</t>
        </is>
      </c>
      <c r="B382" t="inlineStr">
        <is>
          <t>MER00484</t>
        </is>
      </c>
      <c r="C382">
        <f>XLOOKUP(B382,Merchants!$A$4:$A$1000,Merchants!$B$4:$B$1000,"Not found")</f>
        <v/>
      </c>
      <c r="D382">
        <f>XLOOKUP(A382,tblInvoices[invoice_id],tblInvoices[expected_fee])</f>
        <v/>
      </c>
      <c r="E382">
        <f>XLOOKUP(A382,tblInvoices[invoice_id],tblInvoices[billed_fee])</f>
        <v/>
      </c>
      <c r="F382">
        <f>E382-D382</f>
        <v/>
      </c>
      <c r="G382">
        <f>IF(D382=0,0,ROUND(100*F382/D382,2))</f>
        <v/>
      </c>
      <c r="H382">
        <f>IF(ABS(F382)&lt;=0.01,"Correct",IF(F382&lt;0,"Underbilled","Overbilled"))</f>
        <v/>
      </c>
    </row>
    <row r="383">
      <c r="A383" t="inlineStr">
        <is>
          <t>INV0010247</t>
        </is>
      </c>
      <c r="B383" t="inlineStr">
        <is>
          <t>MER00484</t>
        </is>
      </c>
      <c r="C383">
        <f>XLOOKUP(B383,Merchants!$A$4:$A$1000,Merchants!$B$4:$B$1000,"Not found")</f>
        <v/>
      </c>
      <c r="D383">
        <f>XLOOKUP(A383,tblInvoices[invoice_id],tblInvoices[expected_fee])</f>
        <v/>
      </c>
      <c r="E383">
        <f>XLOOKUP(A383,tblInvoices[invoice_id],tblInvoices[billed_fee])</f>
        <v/>
      </c>
      <c r="F383">
        <f>E383-D383</f>
        <v/>
      </c>
      <c r="G383">
        <f>IF(D383=0,0,ROUND(100*F383/D383,2))</f>
        <v/>
      </c>
      <c r="H383">
        <f>IF(ABS(F383)&lt;=0.01,"Correct",IF(F383&lt;0,"Underbilled","Overbilled"))</f>
        <v/>
      </c>
    </row>
    <row r="384">
      <c r="A384" t="inlineStr">
        <is>
          <t>INV0010248</t>
        </is>
      </c>
      <c r="B384" t="inlineStr">
        <is>
          <t>MER00484</t>
        </is>
      </c>
      <c r="C384">
        <f>XLOOKUP(B384,Merchants!$A$4:$A$1000,Merchants!$B$4:$B$1000,"Not found")</f>
        <v/>
      </c>
      <c r="D384">
        <f>XLOOKUP(A384,tblInvoices[invoice_id],tblInvoices[expected_fee])</f>
        <v/>
      </c>
      <c r="E384">
        <f>XLOOKUP(A384,tblInvoices[invoice_id],tblInvoices[billed_fee])</f>
        <v/>
      </c>
      <c r="F384">
        <f>E384-D384</f>
        <v/>
      </c>
      <c r="G384">
        <f>IF(D384=0,0,ROUND(100*F384/D384,2))</f>
        <v/>
      </c>
      <c r="H384">
        <f>IF(ABS(F384)&lt;=0.01,"Correct",IF(F384&lt;0,"Underbilled","Overbilled"))</f>
        <v/>
      </c>
    </row>
    <row r="385">
      <c r="A385" t="inlineStr">
        <is>
          <t>INV0010249</t>
        </is>
      </c>
      <c r="B385" t="inlineStr">
        <is>
          <t>MER00484</t>
        </is>
      </c>
      <c r="C385">
        <f>XLOOKUP(B385,Merchants!$A$4:$A$1000,Merchants!$B$4:$B$1000,"Not found")</f>
        <v/>
      </c>
      <c r="D385">
        <f>XLOOKUP(A385,tblInvoices[invoice_id],tblInvoices[expected_fee])</f>
        <v/>
      </c>
      <c r="E385">
        <f>XLOOKUP(A385,tblInvoices[invoice_id],tblInvoices[billed_fee])</f>
        <v/>
      </c>
      <c r="F385">
        <f>E385-D385</f>
        <v/>
      </c>
      <c r="G385">
        <f>IF(D385=0,0,ROUND(100*F385/D385,2))</f>
        <v/>
      </c>
      <c r="H385">
        <f>IF(ABS(F385)&lt;=0.01,"Correct",IF(F385&lt;0,"Underbilled","Overbilled"))</f>
        <v/>
      </c>
    </row>
    <row r="386">
      <c r="A386" t="inlineStr">
        <is>
          <t>INV0010250</t>
        </is>
      </c>
      <c r="B386" t="inlineStr">
        <is>
          <t>MER00484</t>
        </is>
      </c>
      <c r="C386">
        <f>XLOOKUP(B386,Merchants!$A$4:$A$1000,Merchants!$B$4:$B$1000,"Not found")</f>
        <v/>
      </c>
      <c r="D386">
        <f>XLOOKUP(A386,tblInvoices[invoice_id],tblInvoices[expected_fee])</f>
        <v/>
      </c>
      <c r="E386">
        <f>XLOOKUP(A386,tblInvoices[invoice_id],tblInvoices[billed_fee])</f>
        <v/>
      </c>
      <c r="F386">
        <f>E386-D386</f>
        <v/>
      </c>
      <c r="G386">
        <f>IF(D386=0,0,ROUND(100*F386/D386,2))</f>
        <v/>
      </c>
      <c r="H386">
        <f>IF(ABS(F386)&lt;=0.01,"Correct",IF(F386&lt;0,"Underbilled","Overbilled"))</f>
        <v/>
      </c>
    </row>
    <row r="387">
      <c r="A387" t="inlineStr">
        <is>
          <t>INV0010251</t>
        </is>
      </c>
      <c r="B387" t="inlineStr">
        <is>
          <t>MER00484</t>
        </is>
      </c>
      <c r="C387">
        <f>XLOOKUP(B387,Merchants!$A$4:$A$1000,Merchants!$B$4:$B$1000,"Not found")</f>
        <v/>
      </c>
      <c r="D387">
        <f>XLOOKUP(A387,tblInvoices[invoice_id],tblInvoices[expected_fee])</f>
        <v/>
      </c>
      <c r="E387">
        <f>XLOOKUP(A387,tblInvoices[invoice_id],tblInvoices[billed_fee])</f>
        <v/>
      </c>
      <c r="F387">
        <f>E387-D387</f>
        <v/>
      </c>
      <c r="G387">
        <f>IF(D387=0,0,ROUND(100*F387/D387,2))</f>
        <v/>
      </c>
      <c r="H387">
        <f>IF(ABS(F387)&lt;=0.01,"Correct",IF(F387&lt;0,"Underbilled","Overbilled"))</f>
        <v/>
      </c>
    </row>
    <row r="388">
      <c r="A388" t="inlineStr">
        <is>
          <t>INV0010252</t>
        </is>
      </c>
      <c r="B388" t="inlineStr">
        <is>
          <t>MER00484</t>
        </is>
      </c>
      <c r="C388">
        <f>XLOOKUP(B388,Merchants!$A$4:$A$1000,Merchants!$B$4:$B$1000,"Not found")</f>
        <v/>
      </c>
      <c r="D388">
        <f>XLOOKUP(A388,tblInvoices[invoice_id],tblInvoices[expected_fee])</f>
        <v/>
      </c>
      <c r="E388">
        <f>XLOOKUP(A388,tblInvoices[invoice_id],tblInvoices[billed_fee])</f>
        <v/>
      </c>
      <c r="F388">
        <f>E388-D388</f>
        <v/>
      </c>
      <c r="G388">
        <f>IF(D388=0,0,ROUND(100*F388/D388,2))</f>
        <v/>
      </c>
      <c r="H388">
        <f>IF(ABS(F388)&lt;=0.01,"Correct",IF(F388&lt;0,"Underbilled","Overbilled"))</f>
        <v/>
      </c>
    </row>
    <row r="389">
      <c r="A389" t="inlineStr">
        <is>
          <t>INV0010253</t>
        </is>
      </c>
      <c r="B389" t="inlineStr">
        <is>
          <t>MER00484</t>
        </is>
      </c>
      <c r="C389">
        <f>XLOOKUP(B389,Merchants!$A$4:$A$1000,Merchants!$B$4:$B$1000,"Not found")</f>
        <v/>
      </c>
      <c r="D389">
        <f>XLOOKUP(A389,tblInvoices[invoice_id],tblInvoices[expected_fee])</f>
        <v/>
      </c>
      <c r="E389">
        <f>XLOOKUP(A389,tblInvoices[invoice_id],tblInvoices[billed_fee])</f>
        <v/>
      </c>
      <c r="F389">
        <f>E389-D389</f>
        <v/>
      </c>
      <c r="G389">
        <f>IF(D389=0,0,ROUND(100*F389/D389,2))</f>
        <v/>
      </c>
      <c r="H389">
        <f>IF(ABS(F389)&lt;=0.01,"Correct",IF(F389&lt;0,"Underbilled","Overbilled"))</f>
        <v/>
      </c>
    </row>
    <row r="390">
      <c r="A390" t="inlineStr">
        <is>
          <t>INV0010254</t>
        </is>
      </c>
      <c r="B390" t="inlineStr">
        <is>
          <t>MER00484</t>
        </is>
      </c>
      <c r="C390">
        <f>XLOOKUP(B390,Merchants!$A$4:$A$1000,Merchants!$B$4:$B$1000,"Not found")</f>
        <v/>
      </c>
      <c r="D390">
        <f>XLOOKUP(A390,tblInvoices[invoice_id],tblInvoices[expected_fee])</f>
        <v/>
      </c>
      <c r="E390">
        <f>XLOOKUP(A390,tblInvoices[invoice_id],tblInvoices[billed_fee])</f>
        <v/>
      </c>
      <c r="F390">
        <f>E390-D390</f>
        <v/>
      </c>
      <c r="G390">
        <f>IF(D390=0,0,ROUND(100*F390/D390,2))</f>
        <v/>
      </c>
      <c r="H390">
        <f>IF(ABS(F390)&lt;=0.01,"Correct",IF(F390&lt;0,"Underbilled","Overbilled"))</f>
        <v/>
      </c>
    </row>
    <row r="391">
      <c r="A391" t="inlineStr">
        <is>
          <t>INV0010255</t>
        </is>
      </c>
      <c r="B391" t="inlineStr">
        <is>
          <t>MER00484</t>
        </is>
      </c>
      <c r="C391">
        <f>XLOOKUP(B391,Merchants!$A$4:$A$1000,Merchants!$B$4:$B$1000,"Not found")</f>
        <v/>
      </c>
      <c r="D391">
        <f>XLOOKUP(A391,tblInvoices[invoice_id],tblInvoices[expected_fee])</f>
        <v/>
      </c>
      <c r="E391">
        <f>XLOOKUP(A391,tblInvoices[invoice_id],tblInvoices[billed_fee])</f>
        <v/>
      </c>
      <c r="F391">
        <f>E391-D391</f>
        <v/>
      </c>
      <c r="G391">
        <f>IF(D391=0,0,ROUND(100*F391/D391,2))</f>
        <v/>
      </c>
      <c r="H391">
        <f>IF(ABS(F391)&lt;=0.01,"Correct",IF(F391&lt;0,"Underbilled","Overbilled"))</f>
        <v/>
      </c>
    </row>
    <row r="392">
      <c r="A392" t="inlineStr">
        <is>
          <t>INV0010256</t>
        </is>
      </c>
      <c r="B392" t="inlineStr">
        <is>
          <t>MER00484</t>
        </is>
      </c>
      <c r="C392">
        <f>XLOOKUP(B392,Merchants!$A$4:$A$1000,Merchants!$B$4:$B$1000,"Not found")</f>
        <v/>
      </c>
      <c r="D392">
        <f>XLOOKUP(A392,tblInvoices[invoice_id],tblInvoices[expected_fee])</f>
        <v/>
      </c>
      <c r="E392">
        <f>XLOOKUP(A392,tblInvoices[invoice_id],tblInvoices[billed_fee])</f>
        <v/>
      </c>
      <c r="F392">
        <f>E392-D392</f>
        <v/>
      </c>
      <c r="G392">
        <f>IF(D392=0,0,ROUND(100*F392/D392,2))</f>
        <v/>
      </c>
      <c r="H392">
        <f>IF(ABS(F392)&lt;=0.01,"Correct",IF(F392&lt;0,"Underbilled","Overbilled"))</f>
        <v/>
      </c>
    </row>
    <row r="393">
      <c r="A393" t="inlineStr">
        <is>
          <t>INV0010257</t>
        </is>
      </c>
      <c r="B393" t="inlineStr">
        <is>
          <t>MER00484</t>
        </is>
      </c>
      <c r="C393">
        <f>XLOOKUP(B393,Merchants!$A$4:$A$1000,Merchants!$B$4:$B$1000,"Not found")</f>
        <v/>
      </c>
      <c r="D393">
        <f>XLOOKUP(A393,tblInvoices[invoice_id],tblInvoices[expected_fee])</f>
        <v/>
      </c>
      <c r="E393">
        <f>XLOOKUP(A393,tblInvoices[invoice_id],tblInvoices[billed_fee])</f>
        <v/>
      </c>
      <c r="F393">
        <f>E393-D393</f>
        <v/>
      </c>
      <c r="G393">
        <f>IF(D393=0,0,ROUND(100*F393/D393,2))</f>
        <v/>
      </c>
      <c r="H393">
        <f>IF(ABS(F393)&lt;=0.01,"Correct",IF(F393&lt;0,"Underbilled","Overbilled"))</f>
        <v/>
      </c>
    </row>
    <row r="394">
      <c r="A394" t="inlineStr">
        <is>
          <t>INV0010258</t>
        </is>
      </c>
      <c r="B394" t="inlineStr">
        <is>
          <t>MER00484</t>
        </is>
      </c>
      <c r="C394">
        <f>XLOOKUP(B394,Merchants!$A$4:$A$1000,Merchants!$B$4:$B$1000,"Not found")</f>
        <v/>
      </c>
      <c r="D394">
        <f>XLOOKUP(A394,tblInvoices[invoice_id],tblInvoices[expected_fee])</f>
        <v/>
      </c>
      <c r="E394">
        <f>XLOOKUP(A394,tblInvoices[invoice_id],tblInvoices[billed_fee])</f>
        <v/>
      </c>
      <c r="F394">
        <f>E394-D394</f>
        <v/>
      </c>
      <c r="G394">
        <f>IF(D394=0,0,ROUND(100*F394/D394,2))</f>
        <v/>
      </c>
      <c r="H394">
        <f>IF(ABS(F394)&lt;=0.01,"Correct",IF(F394&lt;0,"Underbilled","Overbilled"))</f>
        <v/>
      </c>
    </row>
    <row r="395">
      <c r="A395" t="inlineStr">
        <is>
          <t>INV0010259</t>
        </is>
      </c>
      <c r="B395" t="inlineStr">
        <is>
          <t>MER00484</t>
        </is>
      </c>
      <c r="C395">
        <f>XLOOKUP(B395,Merchants!$A$4:$A$1000,Merchants!$B$4:$B$1000,"Not found")</f>
        <v/>
      </c>
      <c r="D395">
        <f>XLOOKUP(A395,tblInvoices[invoice_id],tblInvoices[expected_fee])</f>
        <v/>
      </c>
      <c r="E395">
        <f>XLOOKUP(A395,tblInvoices[invoice_id],tblInvoices[billed_fee])</f>
        <v/>
      </c>
      <c r="F395">
        <f>E395-D395</f>
        <v/>
      </c>
      <c r="G395">
        <f>IF(D395=0,0,ROUND(100*F395/D395,2))</f>
        <v/>
      </c>
      <c r="H395">
        <f>IF(ABS(F395)&lt;=0.01,"Correct",IF(F395&lt;0,"Underbilled","Overbilled"))</f>
        <v/>
      </c>
    </row>
    <row r="396">
      <c r="A396" t="inlineStr">
        <is>
          <t>INV0010260</t>
        </is>
      </c>
      <c r="B396" t="inlineStr">
        <is>
          <t>MER00484</t>
        </is>
      </c>
      <c r="C396">
        <f>XLOOKUP(B396,Merchants!$A$4:$A$1000,Merchants!$B$4:$B$1000,"Not found")</f>
        <v/>
      </c>
      <c r="D396">
        <f>XLOOKUP(A396,tblInvoices[invoice_id],tblInvoices[expected_fee])</f>
        <v/>
      </c>
      <c r="E396">
        <f>XLOOKUP(A396,tblInvoices[invoice_id],tblInvoices[billed_fee])</f>
        <v/>
      </c>
      <c r="F396">
        <f>E396-D396</f>
        <v/>
      </c>
      <c r="G396">
        <f>IF(D396=0,0,ROUND(100*F396/D396,2))</f>
        <v/>
      </c>
      <c r="H396">
        <f>IF(ABS(F396)&lt;=0.01,"Correct",IF(F396&lt;0,"Underbilled","Overbilled"))</f>
        <v/>
      </c>
    </row>
    <row r="397">
      <c r="A397" t="inlineStr">
        <is>
          <t>INV0010261</t>
        </is>
      </c>
      <c r="B397" t="inlineStr">
        <is>
          <t>MER00484</t>
        </is>
      </c>
      <c r="C397">
        <f>XLOOKUP(B397,Merchants!$A$4:$A$1000,Merchants!$B$4:$B$1000,"Not found")</f>
        <v/>
      </c>
      <c r="D397">
        <f>XLOOKUP(A397,tblInvoices[invoice_id],tblInvoices[expected_fee])</f>
        <v/>
      </c>
      <c r="E397">
        <f>XLOOKUP(A397,tblInvoices[invoice_id],tblInvoices[billed_fee])</f>
        <v/>
      </c>
      <c r="F397">
        <f>E397-D397</f>
        <v/>
      </c>
      <c r="G397">
        <f>IF(D397=0,0,ROUND(100*F397/D397,2))</f>
        <v/>
      </c>
      <c r="H397">
        <f>IF(ABS(F397)&lt;=0.01,"Correct",IF(F397&lt;0,"Underbilled","Overbilled"))</f>
        <v/>
      </c>
    </row>
    <row r="398">
      <c r="A398" t="inlineStr">
        <is>
          <t>INV0010262</t>
        </is>
      </c>
      <c r="B398" t="inlineStr">
        <is>
          <t>MER00484</t>
        </is>
      </c>
      <c r="C398">
        <f>XLOOKUP(B398,Merchants!$A$4:$A$1000,Merchants!$B$4:$B$1000,"Not found")</f>
        <v/>
      </c>
      <c r="D398">
        <f>XLOOKUP(A398,tblInvoices[invoice_id],tblInvoices[expected_fee])</f>
        <v/>
      </c>
      <c r="E398">
        <f>XLOOKUP(A398,tblInvoices[invoice_id],tblInvoices[billed_fee])</f>
        <v/>
      </c>
      <c r="F398">
        <f>E398-D398</f>
        <v/>
      </c>
      <c r="G398">
        <f>IF(D398=0,0,ROUND(100*F398/D398,2))</f>
        <v/>
      </c>
      <c r="H398">
        <f>IF(ABS(F398)&lt;=0.01,"Correct",IF(F398&lt;0,"Underbilled","Overbilled"))</f>
        <v/>
      </c>
    </row>
    <row r="399">
      <c r="A399" t="inlineStr">
        <is>
          <t>INV0010263</t>
        </is>
      </c>
      <c r="B399" t="inlineStr">
        <is>
          <t>MER00484</t>
        </is>
      </c>
      <c r="C399">
        <f>XLOOKUP(B399,Merchants!$A$4:$A$1000,Merchants!$B$4:$B$1000,"Not found")</f>
        <v/>
      </c>
      <c r="D399">
        <f>XLOOKUP(A399,tblInvoices[invoice_id],tblInvoices[expected_fee])</f>
        <v/>
      </c>
      <c r="E399">
        <f>XLOOKUP(A399,tblInvoices[invoice_id],tblInvoices[billed_fee])</f>
        <v/>
      </c>
      <c r="F399">
        <f>E399-D399</f>
        <v/>
      </c>
      <c r="G399">
        <f>IF(D399=0,0,ROUND(100*F399/D399,2))</f>
        <v/>
      </c>
      <c r="H399">
        <f>IF(ABS(F399)&lt;=0.01,"Correct",IF(F399&lt;0,"Underbilled","Overbilled"))</f>
        <v/>
      </c>
    </row>
    <row r="400">
      <c r="A400" t="inlineStr">
        <is>
          <t>INV0010264</t>
        </is>
      </c>
      <c r="B400" t="inlineStr">
        <is>
          <t>MER00484</t>
        </is>
      </c>
      <c r="C400">
        <f>XLOOKUP(B400,Merchants!$A$4:$A$1000,Merchants!$B$4:$B$1000,"Not found")</f>
        <v/>
      </c>
      <c r="D400">
        <f>XLOOKUP(A400,tblInvoices[invoice_id],tblInvoices[expected_fee])</f>
        <v/>
      </c>
      <c r="E400">
        <f>XLOOKUP(A400,tblInvoices[invoice_id],tblInvoices[billed_fee])</f>
        <v/>
      </c>
      <c r="F400">
        <f>E400-D400</f>
        <v/>
      </c>
      <c r="G400">
        <f>IF(D400=0,0,ROUND(100*F400/D400,2))</f>
        <v/>
      </c>
      <c r="H400">
        <f>IF(ABS(F400)&lt;=0.01,"Correct",IF(F400&lt;0,"Underbilled","Overbilled"))</f>
        <v/>
      </c>
    </row>
    <row r="401">
      <c r="A401" t="inlineStr">
        <is>
          <t>INV0010265</t>
        </is>
      </c>
      <c r="B401" t="inlineStr">
        <is>
          <t>MER00484</t>
        </is>
      </c>
      <c r="C401">
        <f>XLOOKUP(B401,Merchants!$A$4:$A$1000,Merchants!$B$4:$B$1000,"Not found")</f>
        <v/>
      </c>
      <c r="D401">
        <f>XLOOKUP(A401,tblInvoices[invoice_id],tblInvoices[expected_fee])</f>
        <v/>
      </c>
      <c r="E401">
        <f>XLOOKUP(A401,tblInvoices[invoice_id],tblInvoices[billed_fee])</f>
        <v/>
      </c>
      <c r="F401">
        <f>E401-D401</f>
        <v/>
      </c>
      <c r="G401">
        <f>IF(D401=0,0,ROUND(100*F401/D401,2))</f>
        <v/>
      </c>
      <c r="H401">
        <f>IF(ABS(F401)&lt;=0.01,"Correct",IF(F401&lt;0,"Underbilled","Overbilled"))</f>
        <v/>
      </c>
    </row>
    <row r="402">
      <c r="A402" t="inlineStr">
        <is>
          <t>INV0010266</t>
        </is>
      </c>
      <c r="B402" t="inlineStr">
        <is>
          <t>MER00484</t>
        </is>
      </c>
      <c r="C402">
        <f>XLOOKUP(B402,Merchants!$A$4:$A$1000,Merchants!$B$4:$B$1000,"Not found")</f>
        <v/>
      </c>
      <c r="D402">
        <f>XLOOKUP(A402,tblInvoices[invoice_id],tblInvoices[expected_fee])</f>
        <v/>
      </c>
      <c r="E402">
        <f>XLOOKUP(A402,tblInvoices[invoice_id],tblInvoices[billed_fee])</f>
        <v/>
      </c>
      <c r="F402">
        <f>E402-D402</f>
        <v/>
      </c>
      <c r="G402">
        <f>IF(D402=0,0,ROUND(100*F402/D402,2))</f>
        <v/>
      </c>
      <c r="H402">
        <f>IF(ABS(F402)&lt;=0.01,"Correct",IF(F402&lt;0,"Underbilled","Overbilled"))</f>
        <v/>
      </c>
    </row>
    <row r="403">
      <c r="A403" t="inlineStr">
        <is>
          <t>INV0010267</t>
        </is>
      </c>
      <c r="B403" t="inlineStr">
        <is>
          <t>MER00484</t>
        </is>
      </c>
      <c r="C403">
        <f>XLOOKUP(B403,Merchants!$A$4:$A$1000,Merchants!$B$4:$B$1000,"Not found")</f>
        <v/>
      </c>
      <c r="D403">
        <f>XLOOKUP(A403,tblInvoices[invoice_id],tblInvoices[expected_fee])</f>
        <v/>
      </c>
      <c r="E403">
        <f>XLOOKUP(A403,tblInvoices[invoice_id],tblInvoices[billed_fee])</f>
        <v/>
      </c>
      <c r="F403">
        <f>E403-D403</f>
        <v/>
      </c>
      <c r="G403">
        <f>IF(D403=0,0,ROUND(100*F403/D403,2))</f>
        <v/>
      </c>
      <c r="H403">
        <f>IF(ABS(F403)&lt;=0.01,"Correct",IF(F403&lt;0,"Underbilled","Overbilled"))</f>
        <v/>
      </c>
    </row>
    <row r="404">
      <c r="A404" t="inlineStr">
        <is>
          <t>INV0010268</t>
        </is>
      </c>
      <c r="B404" t="inlineStr">
        <is>
          <t>MER00484</t>
        </is>
      </c>
      <c r="C404">
        <f>XLOOKUP(B404,Merchants!$A$4:$A$1000,Merchants!$B$4:$B$1000,"Not found")</f>
        <v/>
      </c>
      <c r="D404">
        <f>XLOOKUP(A404,tblInvoices[invoice_id],tblInvoices[expected_fee])</f>
        <v/>
      </c>
      <c r="E404">
        <f>XLOOKUP(A404,tblInvoices[invoice_id],tblInvoices[billed_fee])</f>
        <v/>
      </c>
      <c r="F404">
        <f>E404-D404</f>
        <v/>
      </c>
      <c r="G404">
        <f>IF(D404=0,0,ROUND(100*F404/D404,2))</f>
        <v/>
      </c>
      <c r="H404">
        <f>IF(ABS(F404)&lt;=0.01,"Correct",IF(F404&lt;0,"Underbilled","Overbilled"))</f>
        <v/>
      </c>
    </row>
    <row r="405">
      <c r="A405" t="inlineStr">
        <is>
          <t>INV0010269</t>
        </is>
      </c>
      <c r="B405" t="inlineStr">
        <is>
          <t>MER00484</t>
        </is>
      </c>
      <c r="C405">
        <f>XLOOKUP(B405,Merchants!$A$4:$A$1000,Merchants!$B$4:$B$1000,"Not found")</f>
        <v/>
      </c>
      <c r="D405">
        <f>XLOOKUP(A405,tblInvoices[invoice_id],tblInvoices[expected_fee])</f>
        <v/>
      </c>
      <c r="E405">
        <f>XLOOKUP(A405,tblInvoices[invoice_id],tblInvoices[billed_fee])</f>
        <v/>
      </c>
      <c r="F405">
        <f>E405-D405</f>
        <v/>
      </c>
      <c r="G405">
        <f>IF(D405=0,0,ROUND(100*F405/D405,2))</f>
        <v/>
      </c>
      <c r="H405">
        <f>IF(ABS(F405)&lt;=0.01,"Correct",IF(F405&lt;0,"Underbilled","Overbilled"))</f>
        <v/>
      </c>
    </row>
    <row r="406">
      <c r="A406" t="inlineStr">
        <is>
          <t>INV0010618</t>
        </is>
      </c>
      <c r="B406" t="inlineStr">
        <is>
          <t>MER00502</t>
        </is>
      </c>
      <c r="C406">
        <f>XLOOKUP(B406,Merchants!$A$4:$A$1000,Merchants!$B$4:$B$1000,"Not found")</f>
        <v/>
      </c>
      <c r="D406">
        <f>XLOOKUP(A406,tblInvoices[invoice_id],tblInvoices[expected_fee])</f>
        <v/>
      </c>
      <c r="E406">
        <f>XLOOKUP(A406,tblInvoices[invoice_id],tblInvoices[billed_fee])</f>
        <v/>
      </c>
      <c r="F406">
        <f>E406-D406</f>
        <v/>
      </c>
      <c r="G406">
        <f>IF(D406=0,0,ROUND(100*F406/D406,2))</f>
        <v/>
      </c>
      <c r="H406">
        <f>IF(ABS(F406)&lt;=0.01,"Correct",IF(F406&lt;0,"Underbilled","Overbilled"))</f>
        <v/>
      </c>
    </row>
    <row r="407">
      <c r="A407" t="inlineStr">
        <is>
          <t>INV0010619</t>
        </is>
      </c>
      <c r="B407" t="inlineStr">
        <is>
          <t>MER00502</t>
        </is>
      </c>
      <c r="C407">
        <f>XLOOKUP(B407,Merchants!$A$4:$A$1000,Merchants!$B$4:$B$1000,"Not found")</f>
        <v/>
      </c>
      <c r="D407">
        <f>XLOOKUP(A407,tblInvoices[invoice_id],tblInvoices[expected_fee])</f>
        <v/>
      </c>
      <c r="E407">
        <f>XLOOKUP(A407,tblInvoices[invoice_id],tblInvoices[billed_fee])</f>
        <v/>
      </c>
      <c r="F407">
        <f>E407-D407</f>
        <v/>
      </c>
      <c r="G407">
        <f>IF(D407=0,0,ROUND(100*F407/D407,2))</f>
        <v/>
      </c>
      <c r="H407">
        <f>IF(ABS(F407)&lt;=0.01,"Correct",IF(F407&lt;0,"Underbilled","Overbilled"))</f>
        <v/>
      </c>
    </row>
    <row r="408">
      <c r="A408" t="inlineStr">
        <is>
          <t>INV0010620</t>
        </is>
      </c>
      <c r="B408" t="inlineStr">
        <is>
          <t>MER00502</t>
        </is>
      </c>
      <c r="C408">
        <f>XLOOKUP(B408,Merchants!$A$4:$A$1000,Merchants!$B$4:$B$1000,"Not found")</f>
        <v/>
      </c>
      <c r="D408">
        <f>XLOOKUP(A408,tblInvoices[invoice_id],tblInvoices[expected_fee])</f>
        <v/>
      </c>
      <c r="E408">
        <f>XLOOKUP(A408,tblInvoices[invoice_id],tblInvoices[billed_fee])</f>
        <v/>
      </c>
      <c r="F408">
        <f>E408-D408</f>
        <v/>
      </c>
      <c r="G408">
        <f>IF(D408=0,0,ROUND(100*F408/D408,2))</f>
        <v/>
      </c>
      <c r="H408">
        <f>IF(ABS(F408)&lt;=0.01,"Correct",IF(F408&lt;0,"Underbilled","Overbilled"))</f>
        <v/>
      </c>
    </row>
    <row r="409">
      <c r="A409" t="inlineStr">
        <is>
          <t>INV0010621</t>
        </is>
      </c>
      <c r="B409" t="inlineStr">
        <is>
          <t>MER00502</t>
        </is>
      </c>
      <c r="C409">
        <f>XLOOKUP(B409,Merchants!$A$4:$A$1000,Merchants!$B$4:$B$1000,"Not found")</f>
        <v/>
      </c>
      <c r="D409">
        <f>XLOOKUP(A409,tblInvoices[invoice_id],tblInvoices[expected_fee])</f>
        <v/>
      </c>
      <c r="E409">
        <f>XLOOKUP(A409,tblInvoices[invoice_id],tblInvoices[billed_fee])</f>
        <v/>
      </c>
      <c r="F409">
        <f>E409-D409</f>
        <v/>
      </c>
      <c r="G409">
        <f>IF(D409=0,0,ROUND(100*F409/D409,2))</f>
        <v/>
      </c>
      <c r="H409">
        <f>IF(ABS(F409)&lt;=0.01,"Correct",IF(F409&lt;0,"Underbilled","Overbilled"))</f>
        <v/>
      </c>
    </row>
    <row r="410">
      <c r="A410" t="inlineStr">
        <is>
          <t>INV0010622</t>
        </is>
      </c>
      <c r="B410" t="inlineStr">
        <is>
          <t>MER00502</t>
        </is>
      </c>
      <c r="C410">
        <f>XLOOKUP(B410,Merchants!$A$4:$A$1000,Merchants!$B$4:$B$1000,"Not found")</f>
        <v/>
      </c>
      <c r="D410">
        <f>XLOOKUP(A410,tblInvoices[invoice_id],tblInvoices[expected_fee])</f>
        <v/>
      </c>
      <c r="E410">
        <f>XLOOKUP(A410,tblInvoices[invoice_id],tblInvoices[billed_fee])</f>
        <v/>
      </c>
      <c r="F410">
        <f>E410-D410</f>
        <v/>
      </c>
      <c r="G410">
        <f>IF(D410=0,0,ROUND(100*F410/D410,2))</f>
        <v/>
      </c>
      <c r="H410">
        <f>IF(ABS(F410)&lt;=0.01,"Correct",IF(F410&lt;0,"Underbilled","Overbilled"))</f>
        <v/>
      </c>
    </row>
    <row r="411">
      <c r="A411" t="inlineStr">
        <is>
          <t>INV0010623</t>
        </is>
      </c>
      <c r="B411" t="inlineStr">
        <is>
          <t>MER00502</t>
        </is>
      </c>
      <c r="C411">
        <f>XLOOKUP(B411,Merchants!$A$4:$A$1000,Merchants!$B$4:$B$1000,"Not found")</f>
        <v/>
      </c>
      <c r="D411">
        <f>XLOOKUP(A411,tblInvoices[invoice_id],tblInvoices[expected_fee])</f>
        <v/>
      </c>
      <c r="E411">
        <f>XLOOKUP(A411,tblInvoices[invoice_id],tblInvoices[billed_fee])</f>
        <v/>
      </c>
      <c r="F411">
        <f>E411-D411</f>
        <v/>
      </c>
      <c r="G411">
        <f>IF(D411=0,0,ROUND(100*F411/D411,2))</f>
        <v/>
      </c>
      <c r="H411">
        <f>IF(ABS(F411)&lt;=0.01,"Correct",IF(F411&lt;0,"Underbilled","Overbilled"))</f>
        <v/>
      </c>
    </row>
    <row r="412">
      <c r="A412" t="inlineStr">
        <is>
          <t>INV0010624</t>
        </is>
      </c>
      <c r="B412" t="inlineStr">
        <is>
          <t>MER00502</t>
        </is>
      </c>
      <c r="C412">
        <f>XLOOKUP(B412,Merchants!$A$4:$A$1000,Merchants!$B$4:$B$1000,"Not found")</f>
        <v/>
      </c>
      <c r="D412">
        <f>XLOOKUP(A412,tblInvoices[invoice_id],tblInvoices[expected_fee])</f>
        <v/>
      </c>
      <c r="E412">
        <f>XLOOKUP(A412,tblInvoices[invoice_id],tblInvoices[billed_fee])</f>
        <v/>
      </c>
      <c r="F412">
        <f>E412-D412</f>
        <v/>
      </c>
      <c r="G412">
        <f>IF(D412=0,0,ROUND(100*F412/D412,2))</f>
        <v/>
      </c>
      <c r="H412">
        <f>IF(ABS(F412)&lt;=0.01,"Correct",IF(F412&lt;0,"Underbilled","Overbilled"))</f>
        <v/>
      </c>
    </row>
    <row r="413">
      <c r="A413" t="inlineStr">
        <is>
          <t>INV0010625</t>
        </is>
      </c>
      <c r="B413" t="inlineStr">
        <is>
          <t>MER00502</t>
        </is>
      </c>
      <c r="C413">
        <f>XLOOKUP(B413,Merchants!$A$4:$A$1000,Merchants!$B$4:$B$1000,"Not found")</f>
        <v/>
      </c>
      <c r="D413">
        <f>XLOOKUP(A413,tblInvoices[invoice_id],tblInvoices[expected_fee])</f>
        <v/>
      </c>
      <c r="E413">
        <f>XLOOKUP(A413,tblInvoices[invoice_id],tblInvoices[billed_fee])</f>
        <v/>
      </c>
      <c r="F413">
        <f>E413-D413</f>
        <v/>
      </c>
      <c r="G413">
        <f>IF(D413=0,0,ROUND(100*F413/D413,2))</f>
        <v/>
      </c>
      <c r="H413">
        <f>IF(ABS(F413)&lt;=0.01,"Correct",IF(F413&lt;0,"Underbilled","Overbilled"))</f>
        <v/>
      </c>
    </row>
    <row r="414">
      <c r="A414" t="inlineStr">
        <is>
          <t>INV0010626</t>
        </is>
      </c>
      <c r="B414" t="inlineStr">
        <is>
          <t>MER00502</t>
        </is>
      </c>
      <c r="C414">
        <f>XLOOKUP(B414,Merchants!$A$4:$A$1000,Merchants!$B$4:$B$1000,"Not found")</f>
        <v/>
      </c>
      <c r="D414">
        <f>XLOOKUP(A414,tblInvoices[invoice_id],tblInvoices[expected_fee])</f>
        <v/>
      </c>
      <c r="E414">
        <f>XLOOKUP(A414,tblInvoices[invoice_id],tblInvoices[billed_fee])</f>
        <v/>
      </c>
      <c r="F414">
        <f>E414-D414</f>
        <v/>
      </c>
      <c r="G414">
        <f>IF(D414=0,0,ROUND(100*F414/D414,2))</f>
        <v/>
      </c>
      <c r="H414">
        <f>IF(ABS(F414)&lt;=0.01,"Correct",IF(F414&lt;0,"Underbilled","Overbilled"))</f>
        <v/>
      </c>
    </row>
    <row r="415">
      <c r="A415" t="inlineStr">
        <is>
          <t>INV0010627</t>
        </is>
      </c>
      <c r="B415" t="inlineStr">
        <is>
          <t>MER00502</t>
        </is>
      </c>
      <c r="C415">
        <f>XLOOKUP(B415,Merchants!$A$4:$A$1000,Merchants!$B$4:$B$1000,"Not found")</f>
        <v/>
      </c>
      <c r="D415">
        <f>XLOOKUP(A415,tblInvoices[invoice_id],tblInvoices[expected_fee])</f>
        <v/>
      </c>
      <c r="E415">
        <f>XLOOKUP(A415,tblInvoices[invoice_id],tblInvoices[billed_fee])</f>
        <v/>
      </c>
      <c r="F415">
        <f>E415-D415</f>
        <v/>
      </c>
      <c r="G415">
        <f>IF(D415=0,0,ROUND(100*F415/D415,2))</f>
        <v/>
      </c>
      <c r="H415">
        <f>IF(ABS(F415)&lt;=0.01,"Correct",IF(F415&lt;0,"Underbilled","Overbilled"))</f>
        <v/>
      </c>
    </row>
    <row r="416">
      <c r="A416" t="inlineStr">
        <is>
          <t>INV0010628</t>
        </is>
      </c>
      <c r="B416" t="inlineStr">
        <is>
          <t>MER00502</t>
        </is>
      </c>
      <c r="C416">
        <f>XLOOKUP(B416,Merchants!$A$4:$A$1000,Merchants!$B$4:$B$1000,"Not found")</f>
        <v/>
      </c>
      <c r="D416">
        <f>XLOOKUP(A416,tblInvoices[invoice_id],tblInvoices[expected_fee])</f>
        <v/>
      </c>
      <c r="E416">
        <f>XLOOKUP(A416,tblInvoices[invoice_id],tblInvoices[billed_fee])</f>
        <v/>
      </c>
      <c r="F416">
        <f>E416-D416</f>
        <v/>
      </c>
      <c r="G416">
        <f>IF(D416=0,0,ROUND(100*F416/D416,2))</f>
        <v/>
      </c>
      <c r="H416">
        <f>IF(ABS(F416)&lt;=0.01,"Correct",IF(F416&lt;0,"Underbilled","Overbilled"))</f>
        <v/>
      </c>
    </row>
    <row r="417">
      <c r="A417" t="inlineStr">
        <is>
          <t>INV0010629</t>
        </is>
      </c>
      <c r="B417" t="inlineStr">
        <is>
          <t>MER00502</t>
        </is>
      </c>
      <c r="C417">
        <f>XLOOKUP(B417,Merchants!$A$4:$A$1000,Merchants!$B$4:$B$1000,"Not found")</f>
        <v/>
      </c>
      <c r="D417">
        <f>XLOOKUP(A417,tblInvoices[invoice_id],tblInvoices[expected_fee])</f>
        <v/>
      </c>
      <c r="E417">
        <f>XLOOKUP(A417,tblInvoices[invoice_id],tblInvoices[billed_fee])</f>
        <v/>
      </c>
      <c r="F417">
        <f>E417-D417</f>
        <v/>
      </c>
      <c r="G417">
        <f>IF(D417=0,0,ROUND(100*F417/D417,2))</f>
        <v/>
      </c>
      <c r="H417">
        <f>IF(ABS(F417)&lt;=0.01,"Correct",IF(F417&lt;0,"Underbilled","Overbilled"))</f>
        <v/>
      </c>
    </row>
    <row r="418">
      <c r="A418" t="inlineStr">
        <is>
          <t>INV0010630</t>
        </is>
      </c>
      <c r="B418" t="inlineStr">
        <is>
          <t>MER00502</t>
        </is>
      </c>
      <c r="C418">
        <f>XLOOKUP(B418,Merchants!$A$4:$A$1000,Merchants!$B$4:$B$1000,"Not found")</f>
        <v/>
      </c>
      <c r="D418">
        <f>XLOOKUP(A418,tblInvoices[invoice_id],tblInvoices[expected_fee])</f>
        <v/>
      </c>
      <c r="E418">
        <f>XLOOKUP(A418,tblInvoices[invoice_id],tblInvoices[billed_fee])</f>
        <v/>
      </c>
      <c r="F418">
        <f>E418-D418</f>
        <v/>
      </c>
      <c r="G418">
        <f>IF(D418=0,0,ROUND(100*F418/D418,2))</f>
        <v/>
      </c>
      <c r="H418">
        <f>IF(ABS(F418)&lt;=0.01,"Correct",IF(F418&lt;0,"Underbilled","Overbilled"))</f>
        <v/>
      </c>
    </row>
    <row r="419">
      <c r="A419" t="inlineStr">
        <is>
          <t>INV0010631</t>
        </is>
      </c>
      <c r="B419" t="inlineStr">
        <is>
          <t>MER00502</t>
        </is>
      </c>
      <c r="C419">
        <f>XLOOKUP(B419,Merchants!$A$4:$A$1000,Merchants!$B$4:$B$1000,"Not found")</f>
        <v/>
      </c>
      <c r="D419">
        <f>XLOOKUP(A419,tblInvoices[invoice_id],tblInvoices[expected_fee])</f>
        <v/>
      </c>
      <c r="E419">
        <f>XLOOKUP(A419,tblInvoices[invoice_id],tblInvoices[billed_fee])</f>
        <v/>
      </c>
      <c r="F419">
        <f>E419-D419</f>
        <v/>
      </c>
      <c r="G419">
        <f>IF(D419=0,0,ROUND(100*F419/D419,2))</f>
        <v/>
      </c>
      <c r="H419">
        <f>IF(ABS(F419)&lt;=0.01,"Correct",IF(F419&lt;0,"Underbilled","Overbilled"))</f>
        <v/>
      </c>
    </row>
    <row r="420">
      <c r="A420" t="inlineStr">
        <is>
          <t>INV0010632</t>
        </is>
      </c>
      <c r="B420" t="inlineStr">
        <is>
          <t>MER00502</t>
        </is>
      </c>
      <c r="C420">
        <f>XLOOKUP(B420,Merchants!$A$4:$A$1000,Merchants!$B$4:$B$1000,"Not found")</f>
        <v/>
      </c>
      <c r="D420">
        <f>XLOOKUP(A420,tblInvoices[invoice_id],tblInvoices[expected_fee])</f>
        <v/>
      </c>
      <c r="E420">
        <f>XLOOKUP(A420,tblInvoices[invoice_id],tblInvoices[billed_fee])</f>
        <v/>
      </c>
      <c r="F420">
        <f>E420-D420</f>
        <v/>
      </c>
      <c r="G420">
        <f>IF(D420=0,0,ROUND(100*F420/D420,2))</f>
        <v/>
      </c>
      <c r="H420">
        <f>IF(ABS(F420)&lt;=0.01,"Correct",IF(F420&lt;0,"Underbilled","Overbilled"))</f>
        <v/>
      </c>
    </row>
    <row r="421">
      <c r="A421" t="inlineStr">
        <is>
          <t>INV0010633</t>
        </is>
      </c>
      <c r="B421" t="inlineStr">
        <is>
          <t>MER00502</t>
        </is>
      </c>
      <c r="C421">
        <f>XLOOKUP(B421,Merchants!$A$4:$A$1000,Merchants!$B$4:$B$1000,"Not found")</f>
        <v/>
      </c>
      <c r="D421">
        <f>XLOOKUP(A421,tblInvoices[invoice_id],tblInvoices[expected_fee])</f>
        <v/>
      </c>
      <c r="E421">
        <f>XLOOKUP(A421,tblInvoices[invoice_id],tblInvoices[billed_fee])</f>
        <v/>
      </c>
      <c r="F421">
        <f>E421-D421</f>
        <v/>
      </c>
      <c r="G421">
        <f>IF(D421=0,0,ROUND(100*F421/D421,2))</f>
        <v/>
      </c>
      <c r="H421">
        <f>IF(ABS(F421)&lt;=0.01,"Correct",IF(F421&lt;0,"Underbilled","Overbilled"))</f>
        <v/>
      </c>
    </row>
    <row r="422">
      <c r="A422" t="inlineStr">
        <is>
          <t>INV0010634</t>
        </is>
      </c>
      <c r="B422" t="inlineStr">
        <is>
          <t>MER00502</t>
        </is>
      </c>
      <c r="C422">
        <f>XLOOKUP(B422,Merchants!$A$4:$A$1000,Merchants!$B$4:$B$1000,"Not found")</f>
        <v/>
      </c>
      <c r="D422">
        <f>XLOOKUP(A422,tblInvoices[invoice_id],tblInvoices[expected_fee])</f>
        <v/>
      </c>
      <c r="E422">
        <f>XLOOKUP(A422,tblInvoices[invoice_id],tblInvoices[billed_fee])</f>
        <v/>
      </c>
      <c r="F422">
        <f>E422-D422</f>
        <v/>
      </c>
      <c r="G422">
        <f>IF(D422=0,0,ROUND(100*F422/D422,2))</f>
        <v/>
      </c>
      <c r="H422">
        <f>IF(ABS(F422)&lt;=0.01,"Correct",IF(F422&lt;0,"Underbilled","Overbilled"))</f>
        <v/>
      </c>
    </row>
    <row r="423">
      <c r="A423" t="inlineStr">
        <is>
          <t>INV0010635</t>
        </is>
      </c>
      <c r="B423" t="inlineStr">
        <is>
          <t>MER00502</t>
        </is>
      </c>
      <c r="C423">
        <f>XLOOKUP(B423,Merchants!$A$4:$A$1000,Merchants!$B$4:$B$1000,"Not found")</f>
        <v/>
      </c>
      <c r="D423">
        <f>XLOOKUP(A423,tblInvoices[invoice_id],tblInvoices[expected_fee])</f>
        <v/>
      </c>
      <c r="E423">
        <f>XLOOKUP(A423,tblInvoices[invoice_id],tblInvoices[billed_fee])</f>
        <v/>
      </c>
      <c r="F423">
        <f>E423-D423</f>
        <v/>
      </c>
      <c r="G423">
        <f>IF(D423=0,0,ROUND(100*F423/D423,2))</f>
        <v/>
      </c>
      <c r="H423">
        <f>IF(ABS(F423)&lt;=0.01,"Correct",IF(F423&lt;0,"Underbilled","Overbilled"))</f>
        <v/>
      </c>
    </row>
    <row r="424">
      <c r="A424" t="inlineStr">
        <is>
          <t>INV0010636</t>
        </is>
      </c>
      <c r="B424" t="inlineStr">
        <is>
          <t>MER00502</t>
        </is>
      </c>
      <c r="C424">
        <f>XLOOKUP(B424,Merchants!$A$4:$A$1000,Merchants!$B$4:$B$1000,"Not found")</f>
        <v/>
      </c>
      <c r="D424">
        <f>XLOOKUP(A424,tblInvoices[invoice_id],tblInvoices[expected_fee])</f>
        <v/>
      </c>
      <c r="E424">
        <f>XLOOKUP(A424,tblInvoices[invoice_id],tblInvoices[billed_fee])</f>
        <v/>
      </c>
      <c r="F424">
        <f>E424-D424</f>
        <v/>
      </c>
      <c r="G424">
        <f>IF(D424=0,0,ROUND(100*F424/D424,2))</f>
        <v/>
      </c>
      <c r="H424">
        <f>IF(ABS(F424)&lt;=0.01,"Correct",IF(F424&lt;0,"Underbilled","Overbilled"))</f>
        <v/>
      </c>
    </row>
    <row r="425">
      <c r="A425" t="inlineStr">
        <is>
          <t>INV0010637</t>
        </is>
      </c>
      <c r="B425" t="inlineStr">
        <is>
          <t>MER00502</t>
        </is>
      </c>
      <c r="C425">
        <f>XLOOKUP(B425,Merchants!$A$4:$A$1000,Merchants!$B$4:$B$1000,"Not found")</f>
        <v/>
      </c>
      <c r="D425">
        <f>XLOOKUP(A425,tblInvoices[invoice_id],tblInvoices[expected_fee])</f>
        <v/>
      </c>
      <c r="E425">
        <f>XLOOKUP(A425,tblInvoices[invoice_id],tblInvoices[billed_fee])</f>
        <v/>
      </c>
      <c r="F425">
        <f>E425-D425</f>
        <v/>
      </c>
      <c r="G425">
        <f>IF(D425=0,0,ROUND(100*F425/D425,2))</f>
        <v/>
      </c>
      <c r="H425">
        <f>IF(ABS(F425)&lt;=0.01,"Correct",IF(F425&lt;0,"Underbilled","Overbilled"))</f>
        <v/>
      </c>
    </row>
    <row r="426">
      <c r="A426" t="inlineStr">
        <is>
          <t>INV0010638</t>
        </is>
      </c>
      <c r="B426" t="inlineStr">
        <is>
          <t>MER00502</t>
        </is>
      </c>
      <c r="C426">
        <f>XLOOKUP(B426,Merchants!$A$4:$A$1000,Merchants!$B$4:$B$1000,"Not found")</f>
        <v/>
      </c>
      <c r="D426">
        <f>XLOOKUP(A426,tblInvoices[invoice_id],tblInvoices[expected_fee])</f>
        <v/>
      </c>
      <c r="E426">
        <f>XLOOKUP(A426,tblInvoices[invoice_id],tblInvoices[billed_fee])</f>
        <v/>
      </c>
      <c r="F426">
        <f>E426-D426</f>
        <v/>
      </c>
      <c r="G426">
        <f>IF(D426=0,0,ROUND(100*F426/D426,2))</f>
        <v/>
      </c>
      <c r="H426">
        <f>IF(ABS(F426)&lt;=0.01,"Correct",IF(F426&lt;0,"Underbilled","Overbilled"))</f>
        <v/>
      </c>
    </row>
    <row r="427">
      <c r="A427" t="inlineStr">
        <is>
          <t>INV0010639</t>
        </is>
      </c>
      <c r="B427" t="inlineStr">
        <is>
          <t>MER00502</t>
        </is>
      </c>
      <c r="C427">
        <f>XLOOKUP(B427,Merchants!$A$4:$A$1000,Merchants!$B$4:$B$1000,"Not found")</f>
        <v/>
      </c>
      <c r="D427">
        <f>XLOOKUP(A427,tblInvoices[invoice_id],tblInvoices[expected_fee])</f>
        <v/>
      </c>
      <c r="E427">
        <f>XLOOKUP(A427,tblInvoices[invoice_id],tblInvoices[billed_fee])</f>
        <v/>
      </c>
      <c r="F427">
        <f>E427-D427</f>
        <v/>
      </c>
      <c r="G427">
        <f>IF(D427=0,0,ROUND(100*F427/D427,2))</f>
        <v/>
      </c>
      <c r="H427">
        <f>IF(ABS(F427)&lt;=0.01,"Correct",IF(F427&lt;0,"Underbilled","Overbilled"))</f>
        <v/>
      </c>
    </row>
    <row r="428">
      <c r="A428" t="inlineStr">
        <is>
          <t>INV0010640</t>
        </is>
      </c>
      <c r="B428" t="inlineStr">
        <is>
          <t>MER00502</t>
        </is>
      </c>
      <c r="C428">
        <f>XLOOKUP(B428,Merchants!$A$4:$A$1000,Merchants!$B$4:$B$1000,"Not found")</f>
        <v/>
      </c>
      <c r="D428">
        <f>XLOOKUP(A428,tblInvoices[invoice_id],tblInvoices[expected_fee])</f>
        <v/>
      </c>
      <c r="E428">
        <f>XLOOKUP(A428,tblInvoices[invoice_id],tblInvoices[billed_fee])</f>
        <v/>
      </c>
      <c r="F428">
        <f>E428-D428</f>
        <v/>
      </c>
      <c r="G428">
        <f>IF(D428=0,0,ROUND(100*F428/D428,2))</f>
        <v/>
      </c>
      <c r="H428">
        <f>IF(ABS(F428)&lt;=0.01,"Correct",IF(F428&lt;0,"Underbilled","Overbilled"))</f>
        <v/>
      </c>
    </row>
    <row r="429">
      <c r="A429" t="inlineStr">
        <is>
          <t>INV0011058</t>
        </is>
      </c>
      <c r="B429" t="inlineStr">
        <is>
          <t>MER00523</t>
        </is>
      </c>
      <c r="C429">
        <f>XLOOKUP(B429,Merchants!$A$4:$A$1000,Merchants!$B$4:$B$1000,"Not found")</f>
        <v/>
      </c>
      <c r="D429">
        <f>XLOOKUP(A429,tblInvoices[invoice_id],tblInvoices[expected_fee])</f>
        <v/>
      </c>
      <c r="E429">
        <f>XLOOKUP(A429,tblInvoices[invoice_id],tblInvoices[billed_fee])</f>
        <v/>
      </c>
      <c r="F429">
        <f>E429-D429</f>
        <v/>
      </c>
      <c r="G429">
        <f>IF(D429=0,0,ROUND(100*F429/D429,2))</f>
        <v/>
      </c>
      <c r="H429">
        <f>IF(ABS(F429)&lt;=0.01,"Correct",IF(F429&lt;0,"Underbilled","Overbilled"))</f>
        <v/>
      </c>
    </row>
    <row r="430">
      <c r="A430" t="inlineStr">
        <is>
          <t>INV0011059</t>
        </is>
      </c>
      <c r="B430" t="inlineStr">
        <is>
          <t>MER00523</t>
        </is>
      </c>
      <c r="C430">
        <f>XLOOKUP(B430,Merchants!$A$4:$A$1000,Merchants!$B$4:$B$1000,"Not found")</f>
        <v/>
      </c>
      <c r="D430">
        <f>XLOOKUP(A430,tblInvoices[invoice_id],tblInvoices[expected_fee])</f>
        <v/>
      </c>
      <c r="E430">
        <f>XLOOKUP(A430,tblInvoices[invoice_id],tblInvoices[billed_fee])</f>
        <v/>
      </c>
      <c r="F430">
        <f>E430-D430</f>
        <v/>
      </c>
      <c r="G430">
        <f>IF(D430=0,0,ROUND(100*F430/D430,2))</f>
        <v/>
      </c>
      <c r="H430">
        <f>IF(ABS(F430)&lt;=0.01,"Correct",IF(F430&lt;0,"Underbilled","Overbilled"))</f>
        <v/>
      </c>
    </row>
    <row r="431">
      <c r="A431" t="inlineStr">
        <is>
          <t>INV0011060</t>
        </is>
      </c>
      <c r="B431" t="inlineStr">
        <is>
          <t>MER00523</t>
        </is>
      </c>
      <c r="C431">
        <f>XLOOKUP(B431,Merchants!$A$4:$A$1000,Merchants!$B$4:$B$1000,"Not found")</f>
        <v/>
      </c>
      <c r="D431">
        <f>XLOOKUP(A431,tblInvoices[invoice_id],tblInvoices[expected_fee])</f>
        <v/>
      </c>
      <c r="E431">
        <f>XLOOKUP(A431,tblInvoices[invoice_id],tblInvoices[billed_fee])</f>
        <v/>
      </c>
      <c r="F431">
        <f>E431-D431</f>
        <v/>
      </c>
      <c r="G431">
        <f>IF(D431=0,0,ROUND(100*F431/D431,2))</f>
        <v/>
      </c>
      <c r="H431">
        <f>IF(ABS(F431)&lt;=0.01,"Correct",IF(F431&lt;0,"Underbilled","Overbilled"))</f>
        <v/>
      </c>
    </row>
    <row r="432">
      <c r="A432" t="inlineStr">
        <is>
          <t>INV0011061</t>
        </is>
      </c>
      <c r="B432" t="inlineStr">
        <is>
          <t>MER00523</t>
        </is>
      </c>
      <c r="C432">
        <f>XLOOKUP(B432,Merchants!$A$4:$A$1000,Merchants!$B$4:$B$1000,"Not found")</f>
        <v/>
      </c>
      <c r="D432">
        <f>XLOOKUP(A432,tblInvoices[invoice_id],tblInvoices[expected_fee])</f>
        <v/>
      </c>
      <c r="E432">
        <f>XLOOKUP(A432,tblInvoices[invoice_id],tblInvoices[billed_fee])</f>
        <v/>
      </c>
      <c r="F432">
        <f>E432-D432</f>
        <v/>
      </c>
      <c r="G432">
        <f>IF(D432=0,0,ROUND(100*F432/D432,2))</f>
        <v/>
      </c>
      <c r="H432">
        <f>IF(ABS(F432)&lt;=0.01,"Correct",IF(F432&lt;0,"Underbilled","Overbilled"))</f>
        <v/>
      </c>
    </row>
    <row r="433">
      <c r="A433" t="inlineStr">
        <is>
          <t>INV0011062</t>
        </is>
      </c>
      <c r="B433" t="inlineStr">
        <is>
          <t>MER00523</t>
        </is>
      </c>
      <c r="C433">
        <f>XLOOKUP(B433,Merchants!$A$4:$A$1000,Merchants!$B$4:$B$1000,"Not found")</f>
        <v/>
      </c>
      <c r="D433">
        <f>XLOOKUP(A433,tblInvoices[invoice_id],tblInvoices[expected_fee])</f>
        <v/>
      </c>
      <c r="E433">
        <f>XLOOKUP(A433,tblInvoices[invoice_id],tblInvoices[billed_fee])</f>
        <v/>
      </c>
      <c r="F433">
        <f>E433-D433</f>
        <v/>
      </c>
      <c r="G433">
        <f>IF(D433=0,0,ROUND(100*F433/D433,2))</f>
        <v/>
      </c>
      <c r="H433">
        <f>IF(ABS(F433)&lt;=0.01,"Correct",IF(F433&lt;0,"Underbilled","Overbilled"))</f>
        <v/>
      </c>
    </row>
    <row r="434">
      <c r="A434" t="inlineStr">
        <is>
          <t>INV0011063</t>
        </is>
      </c>
      <c r="B434" t="inlineStr">
        <is>
          <t>MER00523</t>
        </is>
      </c>
      <c r="C434">
        <f>XLOOKUP(B434,Merchants!$A$4:$A$1000,Merchants!$B$4:$B$1000,"Not found")</f>
        <v/>
      </c>
      <c r="D434">
        <f>XLOOKUP(A434,tblInvoices[invoice_id],tblInvoices[expected_fee])</f>
        <v/>
      </c>
      <c r="E434">
        <f>XLOOKUP(A434,tblInvoices[invoice_id],tblInvoices[billed_fee])</f>
        <v/>
      </c>
      <c r="F434">
        <f>E434-D434</f>
        <v/>
      </c>
      <c r="G434">
        <f>IF(D434=0,0,ROUND(100*F434/D434,2))</f>
        <v/>
      </c>
      <c r="H434">
        <f>IF(ABS(F434)&lt;=0.01,"Correct",IF(F434&lt;0,"Underbilled","Overbilled"))</f>
        <v/>
      </c>
    </row>
    <row r="435">
      <c r="A435" t="inlineStr">
        <is>
          <t>INV0011064</t>
        </is>
      </c>
      <c r="B435" t="inlineStr">
        <is>
          <t>MER00523</t>
        </is>
      </c>
      <c r="C435">
        <f>XLOOKUP(B435,Merchants!$A$4:$A$1000,Merchants!$B$4:$B$1000,"Not found")</f>
        <v/>
      </c>
      <c r="D435">
        <f>XLOOKUP(A435,tblInvoices[invoice_id],tblInvoices[expected_fee])</f>
        <v/>
      </c>
      <c r="E435">
        <f>XLOOKUP(A435,tblInvoices[invoice_id],tblInvoices[billed_fee])</f>
        <v/>
      </c>
      <c r="F435">
        <f>E435-D435</f>
        <v/>
      </c>
      <c r="G435">
        <f>IF(D435=0,0,ROUND(100*F435/D435,2))</f>
        <v/>
      </c>
      <c r="H435">
        <f>IF(ABS(F435)&lt;=0.01,"Correct",IF(F435&lt;0,"Underbilled","Overbilled"))</f>
        <v/>
      </c>
    </row>
    <row r="436">
      <c r="A436" t="inlineStr">
        <is>
          <t>INV0011065</t>
        </is>
      </c>
      <c r="B436" t="inlineStr">
        <is>
          <t>MER00523</t>
        </is>
      </c>
      <c r="C436">
        <f>XLOOKUP(B436,Merchants!$A$4:$A$1000,Merchants!$B$4:$B$1000,"Not found")</f>
        <v/>
      </c>
      <c r="D436">
        <f>XLOOKUP(A436,tblInvoices[invoice_id],tblInvoices[expected_fee])</f>
        <v/>
      </c>
      <c r="E436">
        <f>XLOOKUP(A436,tblInvoices[invoice_id],tblInvoices[billed_fee])</f>
        <v/>
      </c>
      <c r="F436">
        <f>E436-D436</f>
        <v/>
      </c>
      <c r="G436">
        <f>IF(D436=0,0,ROUND(100*F436/D436,2))</f>
        <v/>
      </c>
      <c r="H436">
        <f>IF(ABS(F436)&lt;=0.01,"Correct",IF(F436&lt;0,"Underbilled","Overbilled"))</f>
        <v/>
      </c>
    </row>
    <row r="437">
      <c r="A437" t="inlineStr">
        <is>
          <t>INV0011066</t>
        </is>
      </c>
      <c r="B437" t="inlineStr">
        <is>
          <t>MER00523</t>
        </is>
      </c>
      <c r="C437">
        <f>XLOOKUP(B437,Merchants!$A$4:$A$1000,Merchants!$B$4:$B$1000,"Not found")</f>
        <v/>
      </c>
      <c r="D437">
        <f>XLOOKUP(A437,tblInvoices[invoice_id],tblInvoices[expected_fee])</f>
        <v/>
      </c>
      <c r="E437">
        <f>XLOOKUP(A437,tblInvoices[invoice_id],tblInvoices[billed_fee])</f>
        <v/>
      </c>
      <c r="F437">
        <f>E437-D437</f>
        <v/>
      </c>
      <c r="G437">
        <f>IF(D437=0,0,ROUND(100*F437/D437,2))</f>
        <v/>
      </c>
      <c r="H437">
        <f>IF(ABS(F437)&lt;=0.01,"Correct",IF(F437&lt;0,"Underbilled","Overbilled"))</f>
        <v/>
      </c>
    </row>
    <row r="438">
      <c r="A438" t="inlineStr">
        <is>
          <t>INV0011067</t>
        </is>
      </c>
      <c r="B438" t="inlineStr">
        <is>
          <t>MER00523</t>
        </is>
      </c>
      <c r="C438">
        <f>XLOOKUP(B438,Merchants!$A$4:$A$1000,Merchants!$B$4:$B$1000,"Not found")</f>
        <v/>
      </c>
      <c r="D438">
        <f>XLOOKUP(A438,tblInvoices[invoice_id],tblInvoices[expected_fee])</f>
        <v/>
      </c>
      <c r="E438">
        <f>XLOOKUP(A438,tblInvoices[invoice_id],tblInvoices[billed_fee])</f>
        <v/>
      </c>
      <c r="F438">
        <f>E438-D438</f>
        <v/>
      </c>
      <c r="G438">
        <f>IF(D438=0,0,ROUND(100*F438/D438,2))</f>
        <v/>
      </c>
      <c r="H438">
        <f>IF(ABS(F438)&lt;=0.01,"Correct",IF(F438&lt;0,"Underbilled","Overbilled"))</f>
        <v/>
      </c>
    </row>
    <row r="439">
      <c r="A439" t="inlineStr">
        <is>
          <t>INV0011068</t>
        </is>
      </c>
      <c r="B439" t="inlineStr">
        <is>
          <t>MER00523</t>
        </is>
      </c>
      <c r="C439">
        <f>XLOOKUP(B439,Merchants!$A$4:$A$1000,Merchants!$B$4:$B$1000,"Not found")</f>
        <v/>
      </c>
      <c r="D439">
        <f>XLOOKUP(A439,tblInvoices[invoice_id],tblInvoices[expected_fee])</f>
        <v/>
      </c>
      <c r="E439">
        <f>XLOOKUP(A439,tblInvoices[invoice_id],tblInvoices[billed_fee])</f>
        <v/>
      </c>
      <c r="F439">
        <f>E439-D439</f>
        <v/>
      </c>
      <c r="G439">
        <f>IF(D439=0,0,ROUND(100*F439/D439,2))</f>
        <v/>
      </c>
      <c r="H439">
        <f>IF(ABS(F439)&lt;=0.01,"Correct",IF(F439&lt;0,"Underbilled","Overbilled"))</f>
        <v/>
      </c>
    </row>
    <row r="440">
      <c r="A440" t="inlineStr">
        <is>
          <t>INV0011069</t>
        </is>
      </c>
      <c r="B440" t="inlineStr">
        <is>
          <t>MER00523</t>
        </is>
      </c>
      <c r="C440">
        <f>XLOOKUP(B440,Merchants!$A$4:$A$1000,Merchants!$B$4:$B$1000,"Not found")</f>
        <v/>
      </c>
      <c r="D440">
        <f>XLOOKUP(A440,tblInvoices[invoice_id],tblInvoices[expected_fee])</f>
        <v/>
      </c>
      <c r="E440">
        <f>XLOOKUP(A440,tblInvoices[invoice_id],tblInvoices[billed_fee])</f>
        <v/>
      </c>
      <c r="F440">
        <f>E440-D440</f>
        <v/>
      </c>
      <c r="G440">
        <f>IF(D440=0,0,ROUND(100*F440/D440,2))</f>
        <v/>
      </c>
      <c r="H440">
        <f>IF(ABS(F440)&lt;=0.01,"Correct",IF(F440&lt;0,"Underbilled","Overbilled"))</f>
        <v/>
      </c>
    </row>
    <row r="441">
      <c r="A441" t="inlineStr">
        <is>
          <t>INV0011070</t>
        </is>
      </c>
      <c r="B441" t="inlineStr">
        <is>
          <t>MER00523</t>
        </is>
      </c>
      <c r="C441">
        <f>XLOOKUP(B441,Merchants!$A$4:$A$1000,Merchants!$B$4:$B$1000,"Not found")</f>
        <v/>
      </c>
      <c r="D441">
        <f>XLOOKUP(A441,tblInvoices[invoice_id],tblInvoices[expected_fee])</f>
        <v/>
      </c>
      <c r="E441">
        <f>XLOOKUP(A441,tblInvoices[invoice_id],tblInvoices[billed_fee])</f>
        <v/>
      </c>
      <c r="F441">
        <f>E441-D441</f>
        <v/>
      </c>
      <c r="G441">
        <f>IF(D441=0,0,ROUND(100*F441/D441,2))</f>
        <v/>
      </c>
      <c r="H441">
        <f>IF(ABS(F441)&lt;=0.01,"Correct",IF(F441&lt;0,"Underbilled","Overbilled"))</f>
        <v/>
      </c>
    </row>
    <row r="442">
      <c r="A442" t="inlineStr">
        <is>
          <t>INV0011071</t>
        </is>
      </c>
      <c r="B442" t="inlineStr">
        <is>
          <t>MER00523</t>
        </is>
      </c>
      <c r="C442">
        <f>XLOOKUP(B442,Merchants!$A$4:$A$1000,Merchants!$B$4:$B$1000,"Not found")</f>
        <v/>
      </c>
      <c r="D442">
        <f>XLOOKUP(A442,tblInvoices[invoice_id],tblInvoices[expected_fee])</f>
        <v/>
      </c>
      <c r="E442">
        <f>XLOOKUP(A442,tblInvoices[invoice_id],tblInvoices[billed_fee])</f>
        <v/>
      </c>
      <c r="F442">
        <f>E442-D442</f>
        <v/>
      </c>
      <c r="G442">
        <f>IF(D442=0,0,ROUND(100*F442/D442,2))</f>
        <v/>
      </c>
      <c r="H442">
        <f>IF(ABS(F442)&lt;=0.01,"Correct",IF(F442&lt;0,"Underbilled","Overbilled"))</f>
        <v/>
      </c>
    </row>
    <row r="443">
      <c r="A443" t="inlineStr">
        <is>
          <t>INV0011072</t>
        </is>
      </c>
      <c r="B443" t="inlineStr">
        <is>
          <t>MER00523</t>
        </is>
      </c>
      <c r="C443">
        <f>XLOOKUP(B443,Merchants!$A$4:$A$1000,Merchants!$B$4:$B$1000,"Not found")</f>
        <v/>
      </c>
      <c r="D443">
        <f>XLOOKUP(A443,tblInvoices[invoice_id],tblInvoices[expected_fee])</f>
        <v/>
      </c>
      <c r="E443">
        <f>XLOOKUP(A443,tblInvoices[invoice_id],tblInvoices[billed_fee])</f>
        <v/>
      </c>
      <c r="F443">
        <f>E443-D443</f>
        <v/>
      </c>
      <c r="G443">
        <f>IF(D443=0,0,ROUND(100*F443/D443,2))</f>
        <v/>
      </c>
      <c r="H443">
        <f>IF(ABS(F443)&lt;=0.01,"Correct",IF(F443&lt;0,"Underbilled","Overbilled"))</f>
        <v/>
      </c>
    </row>
    <row r="444">
      <c r="A444" t="inlineStr">
        <is>
          <t>INV0011073</t>
        </is>
      </c>
      <c r="B444" t="inlineStr">
        <is>
          <t>MER00523</t>
        </is>
      </c>
      <c r="C444">
        <f>XLOOKUP(B444,Merchants!$A$4:$A$1000,Merchants!$B$4:$B$1000,"Not found")</f>
        <v/>
      </c>
      <c r="D444">
        <f>XLOOKUP(A444,tblInvoices[invoice_id],tblInvoices[expected_fee])</f>
        <v/>
      </c>
      <c r="E444">
        <f>XLOOKUP(A444,tblInvoices[invoice_id],tblInvoices[billed_fee])</f>
        <v/>
      </c>
      <c r="F444">
        <f>E444-D444</f>
        <v/>
      </c>
      <c r="G444">
        <f>IF(D444=0,0,ROUND(100*F444/D444,2))</f>
        <v/>
      </c>
      <c r="H444">
        <f>IF(ABS(F444)&lt;=0.01,"Correct",IF(F444&lt;0,"Underbilled","Overbilled"))</f>
        <v/>
      </c>
    </row>
    <row r="445">
      <c r="A445" t="inlineStr">
        <is>
          <t>INV0011074</t>
        </is>
      </c>
      <c r="B445" t="inlineStr">
        <is>
          <t>MER00523</t>
        </is>
      </c>
      <c r="C445">
        <f>XLOOKUP(B445,Merchants!$A$4:$A$1000,Merchants!$B$4:$B$1000,"Not found")</f>
        <v/>
      </c>
      <c r="D445">
        <f>XLOOKUP(A445,tblInvoices[invoice_id],tblInvoices[expected_fee])</f>
        <v/>
      </c>
      <c r="E445">
        <f>XLOOKUP(A445,tblInvoices[invoice_id],tblInvoices[billed_fee])</f>
        <v/>
      </c>
      <c r="F445">
        <f>E445-D445</f>
        <v/>
      </c>
      <c r="G445">
        <f>IF(D445=0,0,ROUND(100*F445/D445,2))</f>
        <v/>
      </c>
      <c r="H445">
        <f>IF(ABS(F445)&lt;=0.01,"Correct",IF(F445&lt;0,"Underbilled","Overbilled"))</f>
        <v/>
      </c>
    </row>
    <row r="446">
      <c r="A446" t="inlineStr">
        <is>
          <t>INV0011075</t>
        </is>
      </c>
      <c r="B446" t="inlineStr">
        <is>
          <t>MER00523</t>
        </is>
      </c>
      <c r="C446">
        <f>XLOOKUP(B446,Merchants!$A$4:$A$1000,Merchants!$B$4:$B$1000,"Not found")</f>
        <v/>
      </c>
      <c r="D446">
        <f>XLOOKUP(A446,tblInvoices[invoice_id],tblInvoices[expected_fee])</f>
        <v/>
      </c>
      <c r="E446">
        <f>XLOOKUP(A446,tblInvoices[invoice_id],tblInvoices[billed_fee])</f>
        <v/>
      </c>
      <c r="F446">
        <f>E446-D446</f>
        <v/>
      </c>
      <c r="G446">
        <f>IF(D446=0,0,ROUND(100*F446/D446,2))</f>
        <v/>
      </c>
      <c r="H446">
        <f>IF(ABS(F446)&lt;=0.01,"Correct",IF(F446&lt;0,"Underbilled","Overbilled"))</f>
        <v/>
      </c>
    </row>
    <row r="447">
      <c r="A447" t="inlineStr">
        <is>
          <t>INV0011076</t>
        </is>
      </c>
      <c r="B447" t="inlineStr">
        <is>
          <t>MER00523</t>
        </is>
      </c>
      <c r="C447">
        <f>XLOOKUP(B447,Merchants!$A$4:$A$1000,Merchants!$B$4:$B$1000,"Not found")</f>
        <v/>
      </c>
      <c r="D447">
        <f>XLOOKUP(A447,tblInvoices[invoice_id],tblInvoices[expected_fee])</f>
        <v/>
      </c>
      <c r="E447">
        <f>XLOOKUP(A447,tblInvoices[invoice_id],tblInvoices[billed_fee])</f>
        <v/>
      </c>
      <c r="F447">
        <f>E447-D447</f>
        <v/>
      </c>
      <c r="G447">
        <f>IF(D447=0,0,ROUND(100*F447/D447,2))</f>
        <v/>
      </c>
      <c r="H447">
        <f>IF(ABS(F447)&lt;=0.01,"Correct",IF(F447&lt;0,"Underbilled","Overbilled"))</f>
        <v/>
      </c>
    </row>
    <row r="448">
      <c r="A448" t="inlineStr">
        <is>
          <t>INV0011077</t>
        </is>
      </c>
      <c r="B448" t="inlineStr">
        <is>
          <t>MER00523</t>
        </is>
      </c>
      <c r="C448">
        <f>XLOOKUP(B448,Merchants!$A$4:$A$1000,Merchants!$B$4:$B$1000,"Not found")</f>
        <v/>
      </c>
      <c r="D448">
        <f>XLOOKUP(A448,tblInvoices[invoice_id],tblInvoices[expected_fee])</f>
        <v/>
      </c>
      <c r="E448">
        <f>XLOOKUP(A448,tblInvoices[invoice_id],tblInvoices[billed_fee])</f>
        <v/>
      </c>
      <c r="F448">
        <f>E448-D448</f>
        <v/>
      </c>
      <c r="G448">
        <f>IF(D448=0,0,ROUND(100*F448/D448,2))</f>
        <v/>
      </c>
      <c r="H448">
        <f>IF(ABS(F448)&lt;=0.01,"Correct",IF(F448&lt;0,"Underbilled","Overbilled"))</f>
        <v/>
      </c>
    </row>
    <row r="449">
      <c r="A449" t="inlineStr">
        <is>
          <t>INV0011078</t>
        </is>
      </c>
      <c r="B449" t="inlineStr">
        <is>
          <t>MER00523</t>
        </is>
      </c>
      <c r="C449">
        <f>XLOOKUP(B449,Merchants!$A$4:$A$1000,Merchants!$B$4:$B$1000,"Not found")</f>
        <v/>
      </c>
      <c r="D449">
        <f>XLOOKUP(A449,tblInvoices[invoice_id],tblInvoices[expected_fee])</f>
        <v/>
      </c>
      <c r="E449">
        <f>XLOOKUP(A449,tblInvoices[invoice_id],tblInvoices[billed_fee])</f>
        <v/>
      </c>
      <c r="F449">
        <f>E449-D449</f>
        <v/>
      </c>
      <c r="G449">
        <f>IF(D449=0,0,ROUND(100*F449/D449,2))</f>
        <v/>
      </c>
      <c r="H449">
        <f>IF(ABS(F449)&lt;=0.01,"Correct",IF(F449&lt;0,"Underbilled","Overbilled"))</f>
        <v/>
      </c>
    </row>
    <row r="450">
      <c r="A450" t="inlineStr">
        <is>
          <t>INV0011079</t>
        </is>
      </c>
      <c r="B450" t="inlineStr">
        <is>
          <t>MER00523</t>
        </is>
      </c>
      <c r="C450">
        <f>XLOOKUP(B450,Merchants!$A$4:$A$1000,Merchants!$B$4:$B$1000,"Not found")</f>
        <v/>
      </c>
      <c r="D450">
        <f>XLOOKUP(A450,tblInvoices[invoice_id],tblInvoices[expected_fee])</f>
        <v/>
      </c>
      <c r="E450">
        <f>XLOOKUP(A450,tblInvoices[invoice_id],tblInvoices[billed_fee])</f>
        <v/>
      </c>
      <c r="F450">
        <f>E450-D450</f>
        <v/>
      </c>
      <c r="G450">
        <f>IF(D450=0,0,ROUND(100*F450/D450,2))</f>
        <v/>
      </c>
      <c r="H450">
        <f>IF(ABS(F450)&lt;=0.01,"Correct",IF(F450&lt;0,"Underbilled","Overbilled"))</f>
        <v/>
      </c>
    </row>
    <row r="451">
      <c r="A451" t="inlineStr">
        <is>
          <t>INV0011080</t>
        </is>
      </c>
      <c r="B451" t="inlineStr">
        <is>
          <t>MER00523</t>
        </is>
      </c>
      <c r="C451">
        <f>XLOOKUP(B451,Merchants!$A$4:$A$1000,Merchants!$B$4:$B$1000,"Not found")</f>
        <v/>
      </c>
      <c r="D451">
        <f>XLOOKUP(A451,tblInvoices[invoice_id],tblInvoices[expected_fee])</f>
        <v/>
      </c>
      <c r="E451">
        <f>XLOOKUP(A451,tblInvoices[invoice_id],tblInvoices[billed_fee])</f>
        <v/>
      </c>
      <c r="F451">
        <f>E451-D451</f>
        <v/>
      </c>
      <c r="G451">
        <f>IF(D451=0,0,ROUND(100*F451/D451,2))</f>
        <v/>
      </c>
      <c r="H451">
        <f>IF(ABS(F451)&lt;=0.01,"Correct",IF(F451&lt;0,"Underbilled","Overbilled"))</f>
        <v/>
      </c>
    </row>
    <row r="452">
      <c r="A452" t="inlineStr">
        <is>
          <t>INV0011081</t>
        </is>
      </c>
      <c r="B452" t="inlineStr">
        <is>
          <t>MER00523</t>
        </is>
      </c>
      <c r="C452">
        <f>XLOOKUP(B452,Merchants!$A$4:$A$1000,Merchants!$B$4:$B$1000,"Not found")</f>
        <v/>
      </c>
      <c r="D452">
        <f>XLOOKUP(A452,tblInvoices[invoice_id],tblInvoices[expected_fee])</f>
        <v/>
      </c>
      <c r="E452">
        <f>XLOOKUP(A452,tblInvoices[invoice_id],tblInvoices[billed_fee])</f>
        <v/>
      </c>
      <c r="F452">
        <f>E452-D452</f>
        <v/>
      </c>
      <c r="G452">
        <f>IF(D452=0,0,ROUND(100*F452/D452,2))</f>
        <v/>
      </c>
      <c r="H452">
        <f>IF(ABS(F452)&lt;=0.01,"Correct",IF(F452&lt;0,"Underbilled","Overbilled"))</f>
        <v/>
      </c>
    </row>
    <row r="453">
      <c r="A453" t="inlineStr">
        <is>
          <t>INV0011206</t>
        </is>
      </c>
      <c r="B453" t="inlineStr">
        <is>
          <t>MER00530</t>
        </is>
      </c>
      <c r="C453">
        <f>XLOOKUP(B453,Merchants!$A$4:$A$1000,Merchants!$B$4:$B$1000,"Not found")</f>
        <v/>
      </c>
      <c r="D453">
        <f>XLOOKUP(A453,tblInvoices[invoice_id],tblInvoices[expected_fee])</f>
        <v/>
      </c>
      <c r="E453">
        <f>XLOOKUP(A453,tblInvoices[invoice_id],tblInvoices[billed_fee])</f>
        <v/>
      </c>
      <c r="F453">
        <f>E453-D453</f>
        <v/>
      </c>
      <c r="G453">
        <f>IF(D453=0,0,ROUND(100*F453/D453,2))</f>
        <v/>
      </c>
      <c r="H453">
        <f>IF(ABS(F453)&lt;=0.01,"Correct",IF(F453&lt;0,"Underbilled","Overbilled"))</f>
        <v/>
      </c>
    </row>
    <row r="454">
      <c r="A454" t="inlineStr">
        <is>
          <t>INV0011207</t>
        </is>
      </c>
      <c r="B454" t="inlineStr">
        <is>
          <t>MER00530</t>
        </is>
      </c>
      <c r="C454">
        <f>XLOOKUP(B454,Merchants!$A$4:$A$1000,Merchants!$B$4:$B$1000,"Not found")</f>
        <v/>
      </c>
      <c r="D454">
        <f>XLOOKUP(A454,tblInvoices[invoice_id],tblInvoices[expected_fee])</f>
        <v/>
      </c>
      <c r="E454">
        <f>XLOOKUP(A454,tblInvoices[invoice_id],tblInvoices[billed_fee])</f>
        <v/>
      </c>
      <c r="F454">
        <f>E454-D454</f>
        <v/>
      </c>
      <c r="G454">
        <f>IF(D454=0,0,ROUND(100*F454/D454,2))</f>
        <v/>
      </c>
      <c r="H454">
        <f>IF(ABS(F454)&lt;=0.01,"Correct",IF(F454&lt;0,"Underbilled","Overbilled"))</f>
        <v/>
      </c>
    </row>
    <row r="455">
      <c r="A455" t="inlineStr">
        <is>
          <t>INV0011208</t>
        </is>
      </c>
      <c r="B455" t="inlineStr">
        <is>
          <t>MER00530</t>
        </is>
      </c>
      <c r="C455">
        <f>XLOOKUP(B455,Merchants!$A$4:$A$1000,Merchants!$B$4:$B$1000,"Not found")</f>
        <v/>
      </c>
      <c r="D455">
        <f>XLOOKUP(A455,tblInvoices[invoice_id],tblInvoices[expected_fee])</f>
        <v/>
      </c>
      <c r="E455">
        <f>XLOOKUP(A455,tblInvoices[invoice_id],tblInvoices[billed_fee])</f>
        <v/>
      </c>
      <c r="F455">
        <f>E455-D455</f>
        <v/>
      </c>
      <c r="G455">
        <f>IF(D455=0,0,ROUND(100*F455/D455,2))</f>
        <v/>
      </c>
      <c r="H455">
        <f>IF(ABS(F455)&lt;=0.01,"Correct",IF(F455&lt;0,"Underbilled","Overbilled"))</f>
        <v/>
      </c>
    </row>
    <row r="456">
      <c r="A456" t="inlineStr">
        <is>
          <t>INV0011209</t>
        </is>
      </c>
      <c r="B456" t="inlineStr">
        <is>
          <t>MER00530</t>
        </is>
      </c>
      <c r="C456">
        <f>XLOOKUP(B456,Merchants!$A$4:$A$1000,Merchants!$B$4:$B$1000,"Not found")</f>
        <v/>
      </c>
      <c r="D456">
        <f>XLOOKUP(A456,tblInvoices[invoice_id],tblInvoices[expected_fee])</f>
        <v/>
      </c>
      <c r="E456">
        <f>XLOOKUP(A456,tblInvoices[invoice_id],tblInvoices[billed_fee])</f>
        <v/>
      </c>
      <c r="F456">
        <f>E456-D456</f>
        <v/>
      </c>
      <c r="G456">
        <f>IF(D456=0,0,ROUND(100*F456/D456,2))</f>
        <v/>
      </c>
      <c r="H456">
        <f>IF(ABS(F456)&lt;=0.01,"Correct",IF(F456&lt;0,"Underbilled","Overbilled"))</f>
        <v/>
      </c>
    </row>
    <row r="457">
      <c r="A457" t="inlineStr">
        <is>
          <t>INV0011210</t>
        </is>
      </c>
      <c r="B457" t="inlineStr">
        <is>
          <t>MER00530</t>
        </is>
      </c>
      <c r="C457">
        <f>XLOOKUP(B457,Merchants!$A$4:$A$1000,Merchants!$B$4:$B$1000,"Not found")</f>
        <v/>
      </c>
      <c r="D457">
        <f>XLOOKUP(A457,tblInvoices[invoice_id],tblInvoices[expected_fee])</f>
        <v/>
      </c>
      <c r="E457">
        <f>XLOOKUP(A457,tblInvoices[invoice_id],tblInvoices[billed_fee])</f>
        <v/>
      </c>
      <c r="F457">
        <f>E457-D457</f>
        <v/>
      </c>
      <c r="G457">
        <f>IF(D457=0,0,ROUND(100*F457/D457,2))</f>
        <v/>
      </c>
      <c r="H457">
        <f>IF(ABS(F457)&lt;=0.01,"Correct",IF(F457&lt;0,"Underbilled","Overbilled"))</f>
        <v/>
      </c>
    </row>
    <row r="458">
      <c r="A458" t="inlineStr">
        <is>
          <t>INV0011211</t>
        </is>
      </c>
      <c r="B458" t="inlineStr">
        <is>
          <t>MER00530</t>
        </is>
      </c>
      <c r="C458">
        <f>XLOOKUP(B458,Merchants!$A$4:$A$1000,Merchants!$B$4:$B$1000,"Not found")</f>
        <v/>
      </c>
      <c r="D458">
        <f>XLOOKUP(A458,tblInvoices[invoice_id],tblInvoices[expected_fee])</f>
        <v/>
      </c>
      <c r="E458">
        <f>XLOOKUP(A458,tblInvoices[invoice_id],tblInvoices[billed_fee])</f>
        <v/>
      </c>
      <c r="F458">
        <f>E458-D458</f>
        <v/>
      </c>
      <c r="G458">
        <f>IF(D458=0,0,ROUND(100*F458/D458,2))</f>
        <v/>
      </c>
      <c r="H458">
        <f>IF(ABS(F458)&lt;=0.01,"Correct",IF(F458&lt;0,"Underbilled","Overbilled"))</f>
        <v/>
      </c>
    </row>
    <row r="459">
      <c r="A459" t="inlineStr">
        <is>
          <t>INV0011212</t>
        </is>
      </c>
      <c r="B459" t="inlineStr">
        <is>
          <t>MER00530</t>
        </is>
      </c>
      <c r="C459">
        <f>XLOOKUP(B459,Merchants!$A$4:$A$1000,Merchants!$B$4:$B$1000,"Not found")</f>
        <v/>
      </c>
      <c r="D459">
        <f>XLOOKUP(A459,tblInvoices[invoice_id],tblInvoices[expected_fee])</f>
        <v/>
      </c>
      <c r="E459">
        <f>XLOOKUP(A459,tblInvoices[invoice_id],tblInvoices[billed_fee])</f>
        <v/>
      </c>
      <c r="F459">
        <f>E459-D459</f>
        <v/>
      </c>
      <c r="G459">
        <f>IF(D459=0,0,ROUND(100*F459/D459,2))</f>
        <v/>
      </c>
      <c r="H459">
        <f>IF(ABS(F459)&lt;=0.01,"Correct",IF(F459&lt;0,"Underbilled","Overbilled"))</f>
        <v/>
      </c>
    </row>
    <row r="460">
      <c r="A460" t="inlineStr">
        <is>
          <t>INV0011213</t>
        </is>
      </c>
      <c r="B460" t="inlineStr">
        <is>
          <t>MER00530</t>
        </is>
      </c>
      <c r="C460">
        <f>XLOOKUP(B460,Merchants!$A$4:$A$1000,Merchants!$B$4:$B$1000,"Not found")</f>
        <v/>
      </c>
      <c r="D460">
        <f>XLOOKUP(A460,tblInvoices[invoice_id],tblInvoices[expected_fee])</f>
        <v/>
      </c>
      <c r="E460">
        <f>XLOOKUP(A460,tblInvoices[invoice_id],tblInvoices[billed_fee])</f>
        <v/>
      </c>
      <c r="F460">
        <f>E460-D460</f>
        <v/>
      </c>
      <c r="G460">
        <f>IF(D460=0,0,ROUND(100*F460/D460,2))</f>
        <v/>
      </c>
      <c r="H460">
        <f>IF(ABS(F460)&lt;=0.01,"Correct",IF(F460&lt;0,"Underbilled","Overbilled"))</f>
        <v/>
      </c>
    </row>
    <row r="461">
      <c r="A461" t="inlineStr">
        <is>
          <t>INV0011214</t>
        </is>
      </c>
      <c r="B461" t="inlineStr">
        <is>
          <t>MER00530</t>
        </is>
      </c>
      <c r="C461">
        <f>XLOOKUP(B461,Merchants!$A$4:$A$1000,Merchants!$B$4:$B$1000,"Not found")</f>
        <v/>
      </c>
      <c r="D461">
        <f>XLOOKUP(A461,tblInvoices[invoice_id],tblInvoices[expected_fee])</f>
        <v/>
      </c>
      <c r="E461">
        <f>XLOOKUP(A461,tblInvoices[invoice_id],tblInvoices[billed_fee])</f>
        <v/>
      </c>
      <c r="F461">
        <f>E461-D461</f>
        <v/>
      </c>
      <c r="G461">
        <f>IF(D461=0,0,ROUND(100*F461/D461,2))</f>
        <v/>
      </c>
      <c r="H461">
        <f>IF(ABS(F461)&lt;=0.01,"Correct",IF(F461&lt;0,"Underbilled","Overbilled"))</f>
        <v/>
      </c>
    </row>
    <row r="462">
      <c r="A462" t="inlineStr">
        <is>
          <t>INV0011215</t>
        </is>
      </c>
      <c r="B462" t="inlineStr">
        <is>
          <t>MER00530</t>
        </is>
      </c>
      <c r="C462">
        <f>XLOOKUP(B462,Merchants!$A$4:$A$1000,Merchants!$B$4:$B$1000,"Not found")</f>
        <v/>
      </c>
      <c r="D462">
        <f>XLOOKUP(A462,tblInvoices[invoice_id],tblInvoices[expected_fee])</f>
        <v/>
      </c>
      <c r="E462">
        <f>XLOOKUP(A462,tblInvoices[invoice_id],tblInvoices[billed_fee])</f>
        <v/>
      </c>
      <c r="F462">
        <f>E462-D462</f>
        <v/>
      </c>
      <c r="G462">
        <f>IF(D462=0,0,ROUND(100*F462/D462,2))</f>
        <v/>
      </c>
      <c r="H462">
        <f>IF(ABS(F462)&lt;=0.01,"Correct",IF(F462&lt;0,"Underbilled","Overbilled"))</f>
        <v/>
      </c>
    </row>
    <row r="463">
      <c r="A463" t="inlineStr">
        <is>
          <t>INV0011216</t>
        </is>
      </c>
      <c r="B463" t="inlineStr">
        <is>
          <t>MER00530</t>
        </is>
      </c>
      <c r="C463">
        <f>XLOOKUP(B463,Merchants!$A$4:$A$1000,Merchants!$B$4:$B$1000,"Not found")</f>
        <v/>
      </c>
      <c r="D463">
        <f>XLOOKUP(A463,tblInvoices[invoice_id],tblInvoices[expected_fee])</f>
        <v/>
      </c>
      <c r="E463">
        <f>XLOOKUP(A463,tblInvoices[invoice_id],tblInvoices[billed_fee])</f>
        <v/>
      </c>
      <c r="F463">
        <f>E463-D463</f>
        <v/>
      </c>
      <c r="G463">
        <f>IF(D463=0,0,ROUND(100*F463/D463,2))</f>
        <v/>
      </c>
      <c r="H463">
        <f>IF(ABS(F463)&lt;=0.01,"Correct",IF(F463&lt;0,"Underbilled","Overbilled"))</f>
        <v/>
      </c>
    </row>
    <row r="464">
      <c r="A464" t="inlineStr">
        <is>
          <t>INV0011217</t>
        </is>
      </c>
      <c r="B464" t="inlineStr">
        <is>
          <t>MER00530</t>
        </is>
      </c>
      <c r="C464">
        <f>XLOOKUP(B464,Merchants!$A$4:$A$1000,Merchants!$B$4:$B$1000,"Not found")</f>
        <v/>
      </c>
      <c r="D464">
        <f>XLOOKUP(A464,tblInvoices[invoice_id],tblInvoices[expected_fee])</f>
        <v/>
      </c>
      <c r="E464">
        <f>XLOOKUP(A464,tblInvoices[invoice_id],tblInvoices[billed_fee])</f>
        <v/>
      </c>
      <c r="F464">
        <f>E464-D464</f>
        <v/>
      </c>
      <c r="G464">
        <f>IF(D464=0,0,ROUND(100*F464/D464,2))</f>
        <v/>
      </c>
      <c r="H464">
        <f>IF(ABS(F464)&lt;=0.01,"Correct",IF(F464&lt;0,"Underbilled","Overbilled"))</f>
        <v/>
      </c>
    </row>
    <row r="465">
      <c r="A465" t="inlineStr">
        <is>
          <t>INV0011218</t>
        </is>
      </c>
      <c r="B465" t="inlineStr">
        <is>
          <t>MER00530</t>
        </is>
      </c>
      <c r="C465">
        <f>XLOOKUP(B465,Merchants!$A$4:$A$1000,Merchants!$B$4:$B$1000,"Not found")</f>
        <v/>
      </c>
      <c r="D465">
        <f>XLOOKUP(A465,tblInvoices[invoice_id],tblInvoices[expected_fee])</f>
        <v/>
      </c>
      <c r="E465">
        <f>XLOOKUP(A465,tblInvoices[invoice_id],tblInvoices[billed_fee])</f>
        <v/>
      </c>
      <c r="F465">
        <f>E465-D465</f>
        <v/>
      </c>
      <c r="G465">
        <f>IF(D465=0,0,ROUND(100*F465/D465,2))</f>
        <v/>
      </c>
      <c r="H465">
        <f>IF(ABS(F465)&lt;=0.01,"Correct",IF(F465&lt;0,"Underbilled","Overbilled"))</f>
        <v/>
      </c>
    </row>
    <row r="466">
      <c r="A466" t="inlineStr">
        <is>
          <t>INV0011219</t>
        </is>
      </c>
      <c r="B466" t="inlineStr">
        <is>
          <t>MER00530</t>
        </is>
      </c>
      <c r="C466">
        <f>XLOOKUP(B466,Merchants!$A$4:$A$1000,Merchants!$B$4:$B$1000,"Not found")</f>
        <v/>
      </c>
      <c r="D466">
        <f>XLOOKUP(A466,tblInvoices[invoice_id],tblInvoices[expected_fee])</f>
        <v/>
      </c>
      <c r="E466">
        <f>XLOOKUP(A466,tblInvoices[invoice_id],tblInvoices[billed_fee])</f>
        <v/>
      </c>
      <c r="F466">
        <f>E466-D466</f>
        <v/>
      </c>
      <c r="G466">
        <f>IF(D466=0,0,ROUND(100*F466/D466,2))</f>
        <v/>
      </c>
      <c r="H466">
        <f>IF(ABS(F466)&lt;=0.01,"Correct",IF(F466&lt;0,"Underbilled","Overbilled"))</f>
        <v/>
      </c>
    </row>
    <row r="467">
      <c r="A467" t="inlineStr">
        <is>
          <t>INV0011220</t>
        </is>
      </c>
      <c r="B467" t="inlineStr">
        <is>
          <t>MER00530</t>
        </is>
      </c>
      <c r="C467">
        <f>XLOOKUP(B467,Merchants!$A$4:$A$1000,Merchants!$B$4:$B$1000,"Not found")</f>
        <v/>
      </c>
      <c r="D467">
        <f>XLOOKUP(A467,tblInvoices[invoice_id],tblInvoices[expected_fee])</f>
        <v/>
      </c>
      <c r="E467">
        <f>XLOOKUP(A467,tblInvoices[invoice_id],tblInvoices[billed_fee])</f>
        <v/>
      </c>
      <c r="F467">
        <f>E467-D467</f>
        <v/>
      </c>
      <c r="G467">
        <f>IF(D467=0,0,ROUND(100*F467/D467,2))</f>
        <v/>
      </c>
      <c r="H467">
        <f>IF(ABS(F467)&lt;=0.01,"Correct",IF(F467&lt;0,"Underbilled","Overbilled"))</f>
        <v/>
      </c>
    </row>
    <row r="468">
      <c r="A468" t="inlineStr">
        <is>
          <t>INV0011221</t>
        </is>
      </c>
      <c r="B468" t="inlineStr">
        <is>
          <t>MER00530</t>
        </is>
      </c>
      <c r="C468">
        <f>XLOOKUP(B468,Merchants!$A$4:$A$1000,Merchants!$B$4:$B$1000,"Not found")</f>
        <v/>
      </c>
      <c r="D468">
        <f>XLOOKUP(A468,tblInvoices[invoice_id],tblInvoices[expected_fee])</f>
        <v/>
      </c>
      <c r="E468">
        <f>XLOOKUP(A468,tblInvoices[invoice_id],tblInvoices[billed_fee])</f>
        <v/>
      </c>
      <c r="F468">
        <f>E468-D468</f>
        <v/>
      </c>
      <c r="G468">
        <f>IF(D468=0,0,ROUND(100*F468/D468,2))</f>
        <v/>
      </c>
      <c r="H468">
        <f>IF(ABS(F468)&lt;=0.01,"Correct",IF(F468&lt;0,"Underbilled","Overbilled"))</f>
        <v/>
      </c>
    </row>
    <row r="469">
      <c r="A469" t="inlineStr">
        <is>
          <t>INV0011222</t>
        </is>
      </c>
      <c r="B469" t="inlineStr">
        <is>
          <t>MER00530</t>
        </is>
      </c>
      <c r="C469">
        <f>XLOOKUP(B469,Merchants!$A$4:$A$1000,Merchants!$B$4:$B$1000,"Not found")</f>
        <v/>
      </c>
      <c r="D469">
        <f>XLOOKUP(A469,tblInvoices[invoice_id],tblInvoices[expected_fee])</f>
        <v/>
      </c>
      <c r="E469">
        <f>XLOOKUP(A469,tblInvoices[invoice_id],tblInvoices[billed_fee])</f>
        <v/>
      </c>
      <c r="F469">
        <f>E469-D469</f>
        <v/>
      </c>
      <c r="G469">
        <f>IF(D469=0,0,ROUND(100*F469/D469,2))</f>
        <v/>
      </c>
      <c r="H469">
        <f>IF(ABS(F469)&lt;=0.01,"Correct",IF(F469&lt;0,"Underbilled","Overbilled"))</f>
        <v/>
      </c>
    </row>
    <row r="470">
      <c r="A470" t="inlineStr">
        <is>
          <t>INV0011223</t>
        </is>
      </c>
      <c r="B470" t="inlineStr">
        <is>
          <t>MER00530</t>
        </is>
      </c>
      <c r="C470">
        <f>XLOOKUP(B470,Merchants!$A$4:$A$1000,Merchants!$B$4:$B$1000,"Not found")</f>
        <v/>
      </c>
      <c r="D470">
        <f>XLOOKUP(A470,tblInvoices[invoice_id],tblInvoices[expected_fee])</f>
        <v/>
      </c>
      <c r="E470">
        <f>XLOOKUP(A470,tblInvoices[invoice_id],tblInvoices[billed_fee])</f>
        <v/>
      </c>
      <c r="F470">
        <f>E470-D470</f>
        <v/>
      </c>
      <c r="G470">
        <f>IF(D470=0,0,ROUND(100*F470/D470,2))</f>
        <v/>
      </c>
      <c r="H470">
        <f>IF(ABS(F470)&lt;=0.01,"Correct",IF(F470&lt;0,"Underbilled","Overbilled"))</f>
        <v/>
      </c>
    </row>
    <row r="471">
      <c r="A471" t="inlineStr">
        <is>
          <t>INV0011224</t>
        </is>
      </c>
      <c r="B471" t="inlineStr">
        <is>
          <t>MER00530</t>
        </is>
      </c>
      <c r="C471">
        <f>XLOOKUP(B471,Merchants!$A$4:$A$1000,Merchants!$B$4:$B$1000,"Not found")</f>
        <v/>
      </c>
      <c r="D471">
        <f>XLOOKUP(A471,tblInvoices[invoice_id],tblInvoices[expected_fee])</f>
        <v/>
      </c>
      <c r="E471">
        <f>XLOOKUP(A471,tblInvoices[invoice_id],tblInvoices[billed_fee])</f>
        <v/>
      </c>
      <c r="F471">
        <f>E471-D471</f>
        <v/>
      </c>
      <c r="G471">
        <f>IF(D471=0,0,ROUND(100*F471/D471,2))</f>
        <v/>
      </c>
      <c r="H471">
        <f>IF(ABS(F471)&lt;=0.01,"Correct",IF(F471&lt;0,"Underbilled","Overbilled"))</f>
        <v/>
      </c>
    </row>
    <row r="472">
      <c r="A472" t="inlineStr">
        <is>
          <t>INV0011225</t>
        </is>
      </c>
      <c r="B472" t="inlineStr">
        <is>
          <t>MER00530</t>
        </is>
      </c>
      <c r="C472">
        <f>XLOOKUP(B472,Merchants!$A$4:$A$1000,Merchants!$B$4:$B$1000,"Not found")</f>
        <v/>
      </c>
      <c r="D472">
        <f>XLOOKUP(A472,tblInvoices[invoice_id],tblInvoices[expected_fee])</f>
        <v/>
      </c>
      <c r="E472">
        <f>XLOOKUP(A472,tblInvoices[invoice_id],tblInvoices[billed_fee])</f>
        <v/>
      </c>
      <c r="F472">
        <f>E472-D472</f>
        <v/>
      </c>
      <c r="G472">
        <f>IF(D472=0,0,ROUND(100*F472/D472,2))</f>
        <v/>
      </c>
      <c r="H472">
        <f>IF(ABS(F472)&lt;=0.01,"Correct",IF(F472&lt;0,"Underbilled","Overbilled"))</f>
        <v/>
      </c>
    </row>
    <row r="473">
      <c r="A473" t="inlineStr">
        <is>
          <t>INV0011226</t>
        </is>
      </c>
      <c r="B473" t="inlineStr">
        <is>
          <t>MER00530</t>
        </is>
      </c>
      <c r="C473">
        <f>XLOOKUP(B473,Merchants!$A$4:$A$1000,Merchants!$B$4:$B$1000,"Not found")</f>
        <v/>
      </c>
      <c r="D473">
        <f>XLOOKUP(A473,tblInvoices[invoice_id],tblInvoices[expected_fee])</f>
        <v/>
      </c>
      <c r="E473">
        <f>XLOOKUP(A473,tblInvoices[invoice_id],tblInvoices[billed_fee])</f>
        <v/>
      </c>
      <c r="F473">
        <f>E473-D473</f>
        <v/>
      </c>
      <c r="G473">
        <f>IF(D473=0,0,ROUND(100*F473/D473,2))</f>
        <v/>
      </c>
      <c r="H473">
        <f>IF(ABS(F473)&lt;=0.01,"Correct",IF(F473&lt;0,"Underbilled","Overbilled"))</f>
        <v/>
      </c>
    </row>
    <row r="474">
      <c r="A474" t="inlineStr">
        <is>
          <t>INV0011227</t>
        </is>
      </c>
      <c r="B474" t="inlineStr">
        <is>
          <t>MER00530</t>
        </is>
      </c>
      <c r="C474">
        <f>XLOOKUP(B474,Merchants!$A$4:$A$1000,Merchants!$B$4:$B$1000,"Not found")</f>
        <v/>
      </c>
      <c r="D474">
        <f>XLOOKUP(A474,tblInvoices[invoice_id],tblInvoices[expected_fee])</f>
        <v/>
      </c>
      <c r="E474">
        <f>XLOOKUP(A474,tblInvoices[invoice_id],tblInvoices[billed_fee])</f>
        <v/>
      </c>
      <c r="F474">
        <f>E474-D474</f>
        <v/>
      </c>
      <c r="G474">
        <f>IF(D474=0,0,ROUND(100*F474/D474,2))</f>
        <v/>
      </c>
      <c r="H474">
        <f>IF(ABS(F474)&lt;=0.01,"Correct",IF(F474&lt;0,"Underbilled","Overbilled"))</f>
        <v/>
      </c>
    </row>
    <row r="475">
      <c r="A475" t="inlineStr">
        <is>
          <t>INV0011228</t>
        </is>
      </c>
      <c r="B475" t="inlineStr">
        <is>
          <t>MER00530</t>
        </is>
      </c>
      <c r="C475">
        <f>XLOOKUP(B475,Merchants!$A$4:$A$1000,Merchants!$B$4:$B$1000,"Not found")</f>
        <v/>
      </c>
      <c r="D475">
        <f>XLOOKUP(A475,tblInvoices[invoice_id],tblInvoices[expected_fee])</f>
        <v/>
      </c>
      <c r="E475">
        <f>XLOOKUP(A475,tblInvoices[invoice_id],tblInvoices[billed_fee])</f>
        <v/>
      </c>
      <c r="F475">
        <f>E475-D475</f>
        <v/>
      </c>
      <c r="G475">
        <f>IF(D475=0,0,ROUND(100*F475/D475,2))</f>
        <v/>
      </c>
      <c r="H475">
        <f>IF(ABS(F475)&lt;=0.01,"Correct",IF(F475&lt;0,"Underbilled","Overbilled"))</f>
        <v/>
      </c>
    </row>
    <row r="476">
      <c r="A476" t="inlineStr">
        <is>
          <t>INV0011229</t>
        </is>
      </c>
      <c r="B476" t="inlineStr">
        <is>
          <t>MER00530</t>
        </is>
      </c>
      <c r="C476">
        <f>XLOOKUP(B476,Merchants!$A$4:$A$1000,Merchants!$B$4:$B$1000,"Not found")</f>
        <v/>
      </c>
      <c r="D476">
        <f>XLOOKUP(A476,tblInvoices[invoice_id],tblInvoices[expected_fee])</f>
        <v/>
      </c>
      <c r="E476">
        <f>XLOOKUP(A476,tblInvoices[invoice_id],tblInvoices[billed_fee])</f>
        <v/>
      </c>
      <c r="F476">
        <f>E476-D476</f>
        <v/>
      </c>
      <c r="G476">
        <f>IF(D476=0,0,ROUND(100*F476/D476,2))</f>
        <v/>
      </c>
      <c r="H476">
        <f>IF(ABS(F476)&lt;=0.01,"Correct",IF(F476&lt;0,"Underbilled","Overbilled"))</f>
        <v/>
      </c>
    </row>
    <row r="477">
      <c r="A477" t="inlineStr">
        <is>
          <t>INV0011615</t>
        </is>
      </c>
      <c r="B477" t="inlineStr">
        <is>
          <t>MER00549</t>
        </is>
      </c>
      <c r="C477">
        <f>XLOOKUP(B477,Merchants!$A$4:$A$1000,Merchants!$B$4:$B$1000,"Not found")</f>
        <v/>
      </c>
      <c r="D477">
        <f>XLOOKUP(A477,tblInvoices[invoice_id],tblInvoices[expected_fee])</f>
        <v/>
      </c>
      <c r="E477">
        <f>XLOOKUP(A477,tblInvoices[invoice_id],tblInvoices[billed_fee])</f>
        <v/>
      </c>
      <c r="F477">
        <f>E477-D477</f>
        <v/>
      </c>
      <c r="G477">
        <f>IF(D477=0,0,ROUND(100*F477/D477,2))</f>
        <v/>
      </c>
      <c r="H477">
        <f>IF(ABS(F477)&lt;=0.01,"Correct",IF(F477&lt;0,"Underbilled","Overbilled"))</f>
        <v/>
      </c>
    </row>
    <row r="478">
      <c r="A478" t="inlineStr">
        <is>
          <t>INV0011616</t>
        </is>
      </c>
      <c r="B478" t="inlineStr">
        <is>
          <t>MER00549</t>
        </is>
      </c>
      <c r="C478">
        <f>XLOOKUP(B478,Merchants!$A$4:$A$1000,Merchants!$B$4:$B$1000,"Not found")</f>
        <v/>
      </c>
      <c r="D478">
        <f>XLOOKUP(A478,tblInvoices[invoice_id],tblInvoices[expected_fee])</f>
        <v/>
      </c>
      <c r="E478">
        <f>XLOOKUP(A478,tblInvoices[invoice_id],tblInvoices[billed_fee])</f>
        <v/>
      </c>
      <c r="F478">
        <f>E478-D478</f>
        <v/>
      </c>
      <c r="G478">
        <f>IF(D478=0,0,ROUND(100*F478/D478,2))</f>
        <v/>
      </c>
      <c r="H478">
        <f>IF(ABS(F478)&lt;=0.01,"Correct",IF(F478&lt;0,"Underbilled","Overbilled"))</f>
        <v/>
      </c>
    </row>
    <row r="479">
      <c r="A479" t="inlineStr">
        <is>
          <t>INV0011617</t>
        </is>
      </c>
      <c r="B479" t="inlineStr">
        <is>
          <t>MER00549</t>
        </is>
      </c>
      <c r="C479">
        <f>XLOOKUP(B479,Merchants!$A$4:$A$1000,Merchants!$B$4:$B$1000,"Not found")</f>
        <v/>
      </c>
      <c r="D479">
        <f>XLOOKUP(A479,tblInvoices[invoice_id],tblInvoices[expected_fee])</f>
        <v/>
      </c>
      <c r="E479">
        <f>XLOOKUP(A479,tblInvoices[invoice_id],tblInvoices[billed_fee])</f>
        <v/>
      </c>
      <c r="F479">
        <f>E479-D479</f>
        <v/>
      </c>
      <c r="G479">
        <f>IF(D479=0,0,ROUND(100*F479/D479,2))</f>
        <v/>
      </c>
      <c r="H479">
        <f>IF(ABS(F479)&lt;=0.01,"Correct",IF(F479&lt;0,"Underbilled","Overbilled"))</f>
        <v/>
      </c>
    </row>
    <row r="480">
      <c r="A480" t="inlineStr">
        <is>
          <t>INV0011618</t>
        </is>
      </c>
      <c r="B480" t="inlineStr">
        <is>
          <t>MER00549</t>
        </is>
      </c>
      <c r="C480">
        <f>XLOOKUP(B480,Merchants!$A$4:$A$1000,Merchants!$B$4:$B$1000,"Not found")</f>
        <v/>
      </c>
      <c r="D480">
        <f>XLOOKUP(A480,tblInvoices[invoice_id],tblInvoices[expected_fee])</f>
        <v/>
      </c>
      <c r="E480">
        <f>XLOOKUP(A480,tblInvoices[invoice_id],tblInvoices[billed_fee])</f>
        <v/>
      </c>
      <c r="F480">
        <f>E480-D480</f>
        <v/>
      </c>
      <c r="G480">
        <f>IF(D480=0,0,ROUND(100*F480/D480,2))</f>
        <v/>
      </c>
      <c r="H480">
        <f>IF(ABS(F480)&lt;=0.01,"Correct",IF(F480&lt;0,"Underbilled","Overbilled"))</f>
        <v/>
      </c>
    </row>
    <row r="481">
      <c r="A481" t="inlineStr">
        <is>
          <t>INV0011619</t>
        </is>
      </c>
      <c r="B481" t="inlineStr">
        <is>
          <t>MER00549</t>
        </is>
      </c>
      <c r="C481">
        <f>XLOOKUP(B481,Merchants!$A$4:$A$1000,Merchants!$B$4:$B$1000,"Not found")</f>
        <v/>
      </c>
      <c r="D481">
        <f>XLOOKUP(A481,tblInvoices[invoice_id],tblInvoices[expected_fee])</f>
        <v/>
      </c>
      <c r="E481">
        <f>XLOOKUP(A481,tblInvoices[invoice_id],tblInvoices[billed_fee])</f>
        <v/>
      </c>
      <c r="F481">
        <f>E481-D481</f>
        <v/>
      </c>
      <c r="G481">
        <f>IF(D481=0,0,ROUND(100*F481/D481,2))</f>
        <v/>
      </c>
      <c r="H481">
        <f>IF(ABS(F481)&lt;=0.01,"Correct",IF(F481&lt;0,"Underbilled","Overbilled"))</f>
        <v/>
      </c>
    </row>
    <row r="482">
      <c r="A482" t="inlineStr">
        <is>
          <t>INV0011620</t>
        </is>
      </c>
      <c r="B482" t="inlineStr">
        <is>
          <t>MER00549</t>
        </is>
      </c>
      <c r="C482">
        <f>XLOOKUP(B482,Merchants!$A$4:$A$1000,Merchants!$B$4:$B$1000,"Not found")</f>
        <v/>
      </c>
      <c r="D482">
        <f>XLOOKUP(A482,tblInvoices[invoice_id],tblInvoices[expected_fee])</f>
        <v/>
      </c>
      <c r="E482">
        <f>XLOOKUP(A482,tblInvoices[invoice_id],tblInvoices[billed_fee])</f>
        <v/>
      </c>
      <c r="F482">
        <f>E482-D482</f>
        <v/>
      </c>
      <c r="G482">
        <f>IF(D482=0,0,ROUND(100*F482/D482,2))</f>
        <v/>
      </c>
      <c r="H482">
        <f>IF(ABS(F482)&lt;=0.01,"Correct",IF(F482&lt;0,"Underbilled","Overbilled"))</f>
        <v/>
      </c>
    </row>
    <row r="483">
      <c r="A483" t="inlineStr">
        <is>
          <t>INV0011621</t>
        </is>
      </c>
      <c r="B483" t="inlineStr">
        <is>
          <t>MER00549</t>
        </is>
      </c>
      <c r="C483">
        <f>XLOOKUP(B483,Merchants!$A$4:$A$1000,Merchants!$B$4:$B$1000,"Not found")</f>
        <v/>
      </c>
      <c r="D483">
        <f>XLOOKUP(A483,tblInvoices[invoice_id],tblInvoices[expected_fee])</f>
        <v/>
      </c>
      <c r="E483">
        <f>XLOOKUP(A483,tblInvoices[invoice_id],tblInvoices[billed_fee])</f>
        <v/>
      </c>
      <c r="F483">
        <f>E483-D483</f>
        <v/>
      </c>
      <c r="G483">
        <f>IF(D483=0,0,ROUND(100*F483/D483,2))</f>
        <v/>
      </c>
      <c r="H483">
        <f>IF(ABS(F483)&lt;=0.01,"Correct",IF(F483&lt;0,"Underbilled","Overbilled"))</f>
        <v/>
      </c>
    </row>
    <row r="484">
      <c r="A484" t="inlineStr">
        <is>
          <t>INV0011622</t>
        </is>
      </c>
      <c r="B484" t="inlineStr">
        <is>
          <t>MER00549</t>
        </is>
      </c>
      <c r="C484">
        <f>XLOOKUP(B484,Merchants!$A$4:$A$1000,Merchants!$B$4:$B$1000,"Not found")</f>
        <v/>
      </c>
      <c r="D484">
        <f>XLOOKUP(A484,tblInvoices[invoice_id],tblInvoices[expected_fee])</f>
        <v/>
      </c>
      <c r="E484">
        <f>XLOOKUP(A484,tblInvoices[invoice_id],tblInvoices[billed_fee])</f>
        <v/>
      </c>
      <c r="F484">
        <f>E484-D484</f>
        <v/>
      </c>
      <c r="G484">
        <f>IF(D484=0,0,ROUND(100*F484/D484,2))</f>
        <v/>
      </c>
      <c r="H484">
        <f>IF(ABS(F484)&lt;=0.01,"Correct",IF(F484&lt;0,"Underbilled","Overbilled"))</f>
        <v/>
      </c>
    </row>
    <row r="485">
      <c r="A485" t="inlineStr">
        <is>
          <t>INV0011623</t>
        </is>
      </c>
      <c r="B485" t="inlineStr">
        <is>
          <t>MER00549</t>
        </is>
      </c>
      <c r="C485">
        <f>XLOOKUP(B485,Merchants!$A$4:$A$1000,Merchants!$B$4:$B$1000,"Not found")</f>
        <v/>
      </c>
      <c r="D485">
        <f>XLOOKUP(A485,tblInvoices[invoice_id],tblInvoices[expected_fee])</f>
        <v/>
      </c>
      <c r="E485">
        <f>XLOOKUP(A485,tblInvoices[invoice_id],tblInvoices[billed_fee])</f>
        <v/>
      </c>
      <c r="F485">
        <f>E485-D485</f>
        <v/>
      </c>
      <c r="G485">
        <f>IF(D485=0,0,ROUND(100*F485/D485,2))</f>
        <v/>
      </c>
      <c r="H485">
        <f>IF(ABS(F485)&lt;=0.01,"Correct",IF(F485&lt;0,"Underbilled","Overbilled"))</f>
        <v/>
      </c>
    </row>
    <row r="486">
      <c r="A486" t="inlineStr">
        <is>
          <t>INV0011624</t>
        </is>
      </c>
      <c r="B486" t="inlineStr">
        <is>
          <t>MER00549</t>
        </is>
      </c>
      <c r="C486">
        <f>XLOOKUP(B486,Merchants!$A$4:$A$1000,Merchants!$B$4:$B$1000,"Not found")</f>
        <v/>
      </c>
      <c r="D486">
        <f>XLOOKUP(A486,tblInvoices[invoice_id],tblInvoices[expected_fee])</f>
        <v/>
      </c>
      <c r="E486">
        <f>XLOOKUP(A486,tblInvoices[invoice_id],tblInvoices[billed_fee])</f>
        <v/>
      </c>
      <c r="F486">
        <f>E486-D486</f>
        <v/>
      </c>
      <c r="G486">
        <f>IF(D486=0,0,ROUND(100*F486/D486,2))</f>
        <v/>
      </c>
      <c r="H486">
        <f>IF(ABS(F486)&lt;=0.01,"Correct",IF(F486&lt;0,"Underbilled","Overbilled"))</f>
        <v/>
      </c>
    </row>
    <row r="487">
      <c r="A487" t="inlineStr">
        <is>
          <t>INV0011625</t>
        </is>
      </c>
      <c r="B487" t="inlineStr">
        <is>
          <t>MER00549</t>
        </is>
      </c>
      <c r="C487">
        <f>XLOOKUP(B487,Merchants!$A$4:$A$1000,Merchants!$B$4:$B$1000,"Not found")</f>
        <v/>
      </c>
      <c r="D487">
        <f>XLOOKUP(A487,tblInvoices[invoice_id],tblInvoices[expected_fee])</f>
        <v/>
      </c>
      <c r="E487">
        <f>XLOOKUP(A487,tblInvoices[invoice_id],tblInvoices[billed_fee])</f>
        <v/>
      </c>
      <c r="F487">
        <f>E487-D487</f>
        <v/>
      </c>
      <c r="G487">
        <f>IF(D487=0,0,ROUND(100*F487/D487,2))</f>
        <v/>
      </c>
      <c r="H487">
        <f>IF(ABS(F487)&lt;=0.01,"Correct",IF(F487&lt;0,"Underbilled","Overbilled"))</f>
        <v/>
      </c>
    </row>
    <row r="488">
      <c r="A488" t="inlineStr">
        <is>
          <t>INV0011626</t>
        </is>
      </c>
      <c r="B488" t="inlineStr">
        <is>
          <t>MER00549</t>
        </is>
      </c>
      <c r="C488">
        <f>XLOOKUP(B488,Merchants!$A$4:$A$1000,Merchants!$B$4:$B$1000,"Not found")</f>
        <v/>
      </c>
      <c r="D488">
        <f>XLOOKUP(A488,tblInvoices[invoice_id],tblInvoices[expected_fee])</f>
        <v/>
      </c>
      <c r="E488">
        <f>XLOOKUP(A488,tblInvoices[invoice_id],tblInvoices[billed_fee])</f>
        <v/>
      </c>
      <c r="F488">
        <f>E488-D488</f>
        <v/>
      </c>
      <c r="G488">
        <f>IF(D488=0,0,ROUND(100*F488/D488,2))</f>
        <v/>
      </c>
      <c r="H488">
        <f>IF(ABS(F488)&lt;=0.01,"Correct",IF(F488&lt;0,"Underbilled","Overbilled"))</f>
        <v/>
      </c>
    </row>
    <row r="489">
      <c r="A489" t="inlineStr">
        <is>
          <t>INV0011627</t>
        </is>
      </c>
      <c r="B489" t="inlineStr">
        <is>
          <t>MER00549</t>
        </is>
      </c>
      <c r="C489">
        <f>XLOOKUP(B489,Merchants!$A$4:$A$1000,Merchants!$B$4:$B$1000,"Not found")</f>
        <v/>
      </c>
      <c r="D489">
        <f>XLOOKUP(A489,tblInvoices[invoice_id],tblInvoices[expected_fee])</f>
        <v/>
      </c>
      <c r="E489">
        <f>XLOOKUP(A489,tblInvoices[invoice_id],tblInvoices[billed_fee])</f>
        <v/>
      </c>
      <c r="F489">
        <f>E489-D489</f>
        <v/>
      </c>
      <c r="G489">
        <f>IF(D489=0,0,ROUND(100*F489/D489,2))</f>
        <v/>
      </c>
      <c r="H489">
        <f>IF(ABS(F489)&lt;=0.01,"Correct",IF(F489&lt;0,"Underbilled","Overbilled"))</f>
        <v/>
      </c>
    </row>
    <row r="490">
      <c r="A490" t="inlineStr">
        <is>
          <t>INV0011628</t>
        </is>
      </c>
      <c r="B490" t="inlineStr">
        <is>
          <t>MER00549</t>
        </is>
      </c>
      <c r="C490">
        <f>XLOOKUP(B490,Merchants!$A$4:$A$1000,Merchants!$B$4:$B$1000,"Not found")</f>
        <v/>
      </c>
      <c r="D490">
        <f>XLOOKUP(A490,tblInvoices[invoice_id],tblInvoices[expected_fee])</f>
        <v/>
      </c>
      <c r="E490">
        <f>XLOOKUP(A490,tblInvoices[invoice_id],tblInvoices[billed_fee])</f>
        <v/>
      </c>
      <c r="F490">
        <f>E490-D490</f>
        <v/>
      </c>
      <c r="G490">
        <f>IF(D490=0,0,ROUND(100*F490/D490,2))</f>
        <v/>
      </c>
      <c r="H490">
        <f>IF(ABS(F490)&lt;=0.01,"Correct",IF(F490&lt;0,"Underbilled","Overbilled"))</f>
        <v/>
      </c>
    </row>
    <row r="491">
      <c r="A491" t="inlineStr">
        <is>
          <t>INV0011629</t>
        </is>
      </c>
      <c r="B491" t="inlineStr">
        <is>
          <t>MER00549</t>
        </is>
      </c>
      <c r="C491">
        <f>XLOOKUP(B491,Merchants!$A$4:$A$1000,Merchants!$B$4:$B$1000,"Not found")</f>
        <v/>
      </c>
      <c r="D491">
        <f>XLOOKUP(A491,tblInvoices[invoice_id],tblInvoices[expected_fee])</f>
        <v/>
      </c>
      <c r="E491">
        <f>XLOOKUP(A491,tblInvoices[invoice_id],tblInvoices[billed_fee])</f>
        <v/>
      </c>
      <c r="F491">
        <f>E491-D491</f>
        <v/>
      </c>
      <c r="G491">
        <f>IF(D491=0,0,ROUND(100*F491/D491,2))</f>
        <v/>
      </c>
      <c r="H491">
        <f>IF(ABS(F491)&lt;=0.01,"Correct",IF(F491&lt;0,"Underbilled","Overbilled"))</f>
        <v/>
      </c>
    </row>
    <row r="492">
      <c r="A492" t="inlineStr">
        <is>
          <t>INV0011630</t>
        </is>
      </c>
      <c r="B492" t="inlineStr">
        <is>
          <t>MER00549</t>
        </is>
      </c>
      <c r="C492">
        <f>XLOOKUP(B492,Merchants!$A$4:$A$1000,Merchants!$B$4:$B$1000,"Not found")</f>
        <v/>
      </c>
      <c r="D492">
        <f>XLOOKUP(A492,tblInvoices[invoice_id],tblInvoices[expected_fee])</f>
        <v/>
      </c>
      <c r="E492">
        <f>XLOOKUP(A492,tblInvoices[invoice_id],tblInvoices[billed_fee])</f>
        <v/>
      </c>
      <c r="F492">
        <f>E492-D492</f>
        <v/>
      </c>
      <c r="G492">
        <f>IF(D492=0,0,ROUND(100*F492/D492,2))</f>
        <v/>
      </c>
      <c r="H492">
        <f>IF(ABS(F492)&lt;=0.01,"Correct",IF(F492&lt;0,"Underbilled","Overbilled"))</f>
        <v/>
      </c>
    </row>
    <row r="493">
      <c r="A493" t="inlineStr">
        <is>
          <t>INV0011631</t>
        </is>
      </c>
      <c r="B493" t="inlineStr">
        <is>
          <t>MER00549</t>
        </is>
      </c>
      <c r="C493">
        <f>XLOOKUP(B493,Merchants!$A$4:$A$1000,Merchants!$B$4:$B$1000,"Not found")</f>
        <v/>
      </c>
      <c r="D493">
        <f>XLOOKUP(A493,tblInvoices[invoice_id],tblInvoices[expected_fee])</f>
        <v/>
      </c>
      <c r="E493">
        <f>XLOOKUP(A493,tblInvoices[invoice_id],tblInvoices[billed_fee])</f>
        <v/>
      </c>
      <c r="F493">
        <f>E493-D493</f>
        <v/>
      </c>
      <c r="G493">
        <f>IF(D493=0,0,ROUND(100*F493/D493,2))</f>
        <v/>
      </c>
      <c r="H493">
        <f>IF(ABS(F493)&lt;=0.01,"Correct",IF(F493&lt;0,"Underbilled","Overbilled"))</f>
        <v/>
      </c>
    </row>
    <row r="494">
      <c r="A494" t="inlineStr">
        <is>
          <t>INV0011632</t>
        </is>
      </c>
      <c r="B494" t="inlineStr">
        <is>
          <t>MER00549</t>
        </is>
      </c>
      <c r="C494">
        <f>XLOOKUP(B494,Merchants!$A$4:$A$1000,Merchants!$B$4:$B$1000,"Not found")</f>
        <v/>
      </c>
      <c r="D494">
        <f>XLOOKUP(A494,tblInvoices[invoice_id],tblInvoices[expected_fee])</f>
        <v/>
      </c>
      <c r="E494">
        <f>XLOOKUP(A494,tblInvoices[invoice_id],tblInvoices[billed_fee])</f>
        <v/>
      </c>
      <c r="F494">
        <f>E494-D494</f>
        <v/>
      </c>
      <c r="G494">
        <f>IF(D494=0,0,ROUND(100*F494/D494,2))</f>
        <v/>
      </c>
      <c r="H494">
        <f>IF(ABS(F494)&lt;=0.01,"Correct",IF(F494&lt;0,"Underbilled","Overbilled"))</f>
        <v/>
      </c>
    </row>
    <row r="495">
      <c r="A495" t="inlineStr">
        <is>
          <t>INV0011633</t>
        </is>
      </c>
      <c r="B495" t="inlineStr">
        <is>
          <t>MER00549</t>
        </is>
      </c>
      <c r="C495">
        <f>XLOOKUP(B495,Merchants!$A$4:$A$1000,Merchants!$B$4:$B$1000,"Not found")</f>
        <v/>
      </c>
      <c r="D495">
        <f>XLOOKUP(A495,tblInvoices[invoice_id],tblInvoices[expected_fee])</f>
        <v/>
      </c>
      <c r="E495">
        <f>XLOOKUP(A495,tblInvoices[invoice_id],tblInvoices[billed_fee])</f>
        <v/>
      </c>
      <c r="F495">
        <f>E495-D495</f>
        <v/>
      </c>
      <c r="G495">
        <f>IF(D495=0,0,ROUND(100*F495/D495,2))</f>
        <v/>
      </c>
      <c r="H495">
        <f>IF(ABS(F495)&lt;=0.01,"Correct",IF(F495&lt;0,"Underbilled","Overbilled"))</f>
        <v/>
      </c>
    </row>
    <row r="496">
      <c r="A496" t="inlineStr">
        <is>
          <t>INV0011634</t>
        </is>
      </c>
      <c r="B496" t="inlineStr">
        <is>
          <t>MER00549</t>
        </is>
      </c>
      <c r="C496">
        <f>XLOOKUP(B496,Merchants!$A$4:$A$1000,Merchants!$B$4:$B$1000,"Not found")</f>
        <v/>
      </c>
      <c r="D496">
        <f>XLOOKUP(A496,tblInvoices[invoice_id],tblInvoices[expected_fee])</f>
        <v/>
      </c>
      <c r="E496">
        <f>XLOOKUP(A496,tblInvoices[invoice_id],tblInvoices[billed_fee])</f>
        <v/>
      </c>
      <c r="F496">
        <f>E496-D496</f>
        <v/>
      </c>
      <c r="G496">
        <f>IF(D496=0,0,ROUND(100*F496/D496,2))</f>
        <v/>
      </c>
      <c r="H496">
        <f>IF(ABS(F496)&lt;=0.01,"Correct",IF(F496&lt;0,"Underbilled","Overbilled"))</f>
        <v/>
      </c>
    </row>
    <row r="497">
      <c r="A497" t="inlineStr">
        <is>
          <t>INV0011635</t>
        </is>
      </c>
      <c r="B497" t="inlineStr">
        <is>
          <t>MER00549</t>
        </is>
      </c>
      <c r="C497">
        <f>XLOOKUP(B497,Merchants!$A$4:$A$1000,Merchants!$B$4:$B$1000,"Not found")</f>
        <v/>
      </c>
      <c r="D497">
        <f>XLOOKUP(A497,tblInvoices[invoice_id],tblInvoices[expected_fee])</f>
        <v/>
      </c>
      <c r="E497">
        <f>XLOOKUP(A497,tblInvoices[invoice_id],tblInvoices[billed_fee])</f>
        <v/>
      </c>
      <c r="F497">
        <f>E497-D497</f>
        <v/>
      </c>
      <c r="G497">
        <f>IF(D497=0,0,ROUND(100*F497/D497,2))</f>
        <v/>
      </c>
      <c r="H497">
        <f>IF(ABS(F497)&lt;=0.01,"Correct",IF(F497&lt;0,"Underbilled","Overbilled"))</f>
        <v/>
      </c>
    </row>
    <row r="498">
      <c r="A498" t="inlineStr">
        <is>
          <t>INV0011636</t>
        </is>
      </c>
      <c r="B498" t="inlineStr">
        <is>
          <t>MER00549</t>
        </is>
      </c>
      <c r="C498">
        <f>XLOOKUP(B498,Merchants!$A$4:$A$1000,Merchants!$B$4:$B$1000,"Not found")</f>
        <v/>
      </c>
      <c r="D498">
        <f>XLOOKUP(A498,tblInvoices[invoice_id],tblInvoices[expected_fee])</f>
        <v/>
      </c>
      <c r="E498">
        <f>XLOOKUP(A498,tblInvoices[invoice_id],tblInvoices[billed_fee])</f>
        <v/>
      </c>
      <c r="F498">
        <f>E498-D498</f>
        <v/>
      </c>
      <c r="G498">
        <f>IF(D498=0,0,ROUND(100*F498/D498,2))</f>
        <v/>
      </c>
      <c r="H498">
        <f>IF(ABS(F498)&lt;=0.01,"Correct",IF(F498&lt;0,"Underbilled","Overbilled"))</f>
        <v/>
      </c>
    </row>
    <row r="499">
      <c r="A499" t="inlineStr">
        <is>
          <t>INV0011637</t>
        </is>
      </c>
      <c r="B499" t="inlineStr">
        <is>
          <t>MER00549</t>
        </is>
      </c>
      <c r="C499">
        <f>XLOOKUP(B499,Merchants!$A$4:$A$1000,Merchants!$B$4:$B$1000,"Not found")</f>
        <v/>
      </c>
      <c r="D499">
        <f>XLOOKUP(A499,tblInvoices[invoice_id],tblInvoices[expected_fee])</f>
        <v/>
      </c>
      <c r="E499">
        <f>XLOOKUP(A499,tblInvoices[invoice_id],tblInvoices[billed_fee])</f>
        <v/>
      </c>
      <c r="F499">
        <f>E499-D499</f>
        <v/>
      </c>
      <c r="G499">
        <f>IF(D499=0,0,ROUND(100*F499/D499,2))</f>
        <v/>
      </c>
      <c r="H499">
        <f>IF(ABS(F499)&lt;=0.01,"Correct",IF(F499&lt;0,"Underbilled","Overbilled"))</f>
        <v/>
      </c>
    </row>
    <row r="500">
      <c r="A500" t="inlineStr">
        <is>
          <t>INV0012092</t>
        </is>
      </c>
      <c r="B500" t="inlineStr">
        <is>
          <t>MER00572</t>
        </is>
      </c>
      <c r="C500">
        <f>XLOOKUP(B500,Merchants!$A$4:$A$1000,Merchants!$B$4:$B$1000,"Not found")</f>
        <v/>
      </c>
      <c r="D500">
        <f>XLOOKUP(A500,tblInvoices[invoice_id],tblInvoices[expected_fee])</f>
        <v/>
      </c>
      <c r="E500">
        <f>XLOOKUP(A500,tblInvoices[invoice_id],tblInvoices[billed_fee])</f>
        <v/>
      </c>
      <c r="F500">
        <f>E500-D500</f>
        <v/>
      </c>
      <c r="G500">
        <f>IF(D500=0,0,ROUND(100*F500/D500,2))</f>
        <v/>
      </c>
      <c r="H500">
        <f>IF(ABS(F500)&lt;=0.01,"Correct",IF(F500&lt;0,"Underbilled","Overbilled"))</f>
        <v/>
      </c>
    </row>
    <row r="501">
      <c r="A501" t="inlineStr">
        <is>
          <t>INV0012093</t>
        </is>
      </c>
      <c r="B501" t="inlineStr">
        <is>
          <t>MER00572</t>
        </is>
      </c>
      <c r="C501">
        <f>XLOOKUP(B501,Merchants!$A$4:$A$1000,Merchants!$B$4:$B$1000,"Not found")</f>
        <v/>
      </c>
      <c r="D501">
        <f>XLOOKUP(A501,tblInvoices[invoice_id],tblInvoices[expected_fee])</f>
        <v/>
      </c>
      <c r="E501">
        <f>XLOOKUP(A501,tblInvoices[invoice_id],tblInvoices[billed_fee])</f>
        <v/>
      </c>
      <c r="F501">
        <f>E501-D501</f>
        <v/>
      </c>
      <c r="G501">
        <f>IF(D501=0,0,ROUND(100*F501/D501,2))</f>
        <v/>
      </c>
      <c r="H501">
        <f>IF(ABS(F501)&lt;=0.01,"Correct",IF(F501&lt;0,"Underbilled","Overbilled"))</f>
        <v/>
      </c>
    </row>
    <row r="502">
      <c r="A502" t="inlineStr">
        <is>
          <t>INV0012094</t>
        </is>
      </c>
      <c r="B502" t="inlineStr">
        <is>
          <t>MER00572</t>
        </is>
      </c>
      <c r="C502">
        <f>XLOOKUP(B502,Merchants!$A$4:$A$1000,Merchants!$B$4:$B$1000,"Not found")</f>
        <v/>
      </c>
      <c r="D502">
        <f>XLOOKUP(A502,tblInvoices[invoice_id],tblInvoices[expected_fee])</f>
        <v/>
      </c>
      <c r="E502">
        <f>XLOOKUP(A502,tblInvoices[invoice_id],tblInvoices[billed_fee])</f>
        <v/>
      </c>
      <c r="F502">
        <f>E502-D502</f>
        <v/>
      </c>
      <c r="G502">
        <f>IF(D502=0,0,ROUND(100*F502/D502,2))</f>
        <v/>
      </c>
      <c r="H502">
        <f>IF(ABS(F502)&lt;=0.01,"Correct",IF(F502&lt;0,"Underbilled","Overbilled"))</f>
        <v/>
      </c>
    </row>
    <row r="503">
      <c r="A503" t="inlineStr">
        <is>
          <t>INV0012095</t>
        </is>
      </c>
      <c r="B503" t="inlineStr">
        <is>
          <t>MER00572</t>
        </is>
      </c>
      <c r="C503">
        <f>XLOOKUP(B503,Merchants!$A$4:$A$1000,Merchants!$B$4:$B$1000,"Not found")</f>
        <v/>
      </c>
      <c r="D503">
        <f>XLOOKUP(A503,tblInvoices[invoice_id],tblInvoices[expected_fee])</f>
        <v/>
      </c>
      <c r="E503">
        <f>XLOOKUP(A503,tblInvoices[invoice_id],tblInvoices[billed_fee])</f>
        <v/>
      </c>
      <c r="F503">
        <f>E503-D503</f>
        <v/>
      </c>
      <c r="G503">
        <f>IF(D503=0,0,ROUND(100*F503/D503,2))</f>
        <v/>
      </c>
      <c r="H503">
        <f>IF(ABS(F503)&lt;=0.01,"Correct",IF(F503&lt;0,"Underbilled","Overbilled"))</f>
        <v/>
      </c>
    </row>
    <row r="504">
      <c r="A504" t="inlineStr">
        <is>
          <t>INV0012096</t>
        </is>
      </c>
      <c r="B504" t="inlineStr">
        <is>
          <t>MER00572</t>
        </is>
      </c>
      <c r="C504">
        <f>XLOOKUP(B504,Merchants!$A$4:$A$1000,Merchants!$B$4:$B$1000,"Not found")</f>
        <v/>
      </c>
      <c r="D504">
        <f>XLOOKUP(A504,tblInvoices[invoice_id],tblInvoices[expected_fee])</f>
        <v/>
      </c>
      <c r="E504">
        <f>XLOOKUP(A504,tblInvoices[invoice_id],tblInvoices[billed_fee])</f>
        <v/>
      </c>
      <c r="F504">
        <f>E504-D504</f>
        <v/>
      </c>
      <c r="G504">
        <f>IF(D504=0,0,ROUND(100*F504/D504,2))</f>
        <v/>
      </c>
      <c r="H504">
        <f>IF(ABS(F504)&lt;=0.01,"Correct",IF(F504&lt;0,"Underbilled","Overbilled"))</f>
        <v/>
      </c>
    </row>
    <row r="505">
      <c r="A505" t="inlineStr">
        <is>
          <t>INV0012097</t>
        </is>
      </c>
      <c r="B505" t="inlineStr">
        <is>
          <t>MER00572</t>
        </is>
      </c>
      <c r="C505">
        <f>XLOOKUP(B505,Merchants!$A$4:$A$1000,Merchants!$B$4:$B$1000,"Not found")</f>
        <v/>
      </c>
      <c r="D505">
        <f>XLOOKUP(A505,tblInvoices[invoice_id],tblInvoices[expected_fee])</f>
        <v/>
      </c>
      <c r="E505">
        <f>XLOOKUP(A505,tblInvoices[invoice_id],tblInvoices[billed_fee])</f>
        <v/>
      </c>
      <c r="F505">
        <f>E505-D505</f>
        <v/>
      </c>
      <c r="G505">
        <f>IF(D505=0,0,ROUND(100*F505/D505,2))</f>
        <v/>
      </c>
      <c r="H505">
        <f>IF(ABS(F505)&lt;=0.01,"Correct",IF(F505&lt;0,"Underbilled","Overbilled"))</f>
        <v/>
      </c>
    </row>
    <row r="506">
      <c r="A506" t="inlineStr">
        <is>
          <t>INV0012098</t>
        </is>
      </c>
      <c r="B506" t="inlineStr">
        <is>
          <t>MER00572</t>
        </is>
      </c>
      <c r="C506">
        <f>XLOOKUP(B506,Merchants!$A$4:$A$1000,Merchants!$B$4:$B$1000,"Not found")</f>
        <v/>
      </c>
      <c r="D506">
        <f>XLOOKUP(A506,tblInvoices[invoice_id],tblInvoices[expected_fee])</f>
        <v/>
      </c>
      <c r="E506">
        <f>XLOOKUP(A506,tblInvoices[invoice_id],tblInvoices[billed_fee])</f>
        <v/>
      </c>
      <c r="F506">
        <f>E506-D506</f>
        <v/>
      </c>
      <c r="G506">
        <f>IF(D506=0,0,ROUND(100*F506/D506,2))</f>
        <v/>
      </c>
      <c r="H506">
        <f>IF(ABS(F506)&lt;=0.01,"Correct",IF(F506&lt;0,"Underbilled","Overbilled"))</f>
        <v/>
      </c>
    </row>
    <row r="507">
      <c r="A507" t="inlineStr">
        <is>
          <t>INV0012099</t>
        </is>
      </c>
      <c r="B507" t="inlineStr">
        <is>
          <t>MER00572</t>
        </is>
      </c>
      <c r="C507">
        <f>XLOOKUP(B507,Merchants!$A$4:$A$1000,Merchants!$B$4:$B$1000,"Not found")</f>
        <v/>
      </c>
      <c r="D507">
        <f>XLOOKUP(A507,tblInvoices[invoice_id],tblInvoices[expected_fee])</f>
        <v/>
      </c>
      <c r="E507">
        <f>XLOOKUP(A507,tblInvoices[invoice_id],tblInvoices[billed_fee])</f>
        <v/>
      </c>
      <c r="F507">
        <f>E507-D507</f>
        <v/>
      </c>
      <c r="G507">
        <f>IF(D507=0,0,ROUND(100*F507/D507,2))</f>
        <v/>
      </c>
      <c r="H507">
        <f>IF(ABS(F507)&lt;=0.01,"Correct",IF(F507&lt;0,"Underbilled","Overbilled"))</f>
        <v/>
      </c>
    </row>
    <row r="508">
      <c r="A508" t="inlineStr">
        <is>
          <t>INV0012100</t>
        </is>
      </c>
      <c r="B508" t="inlineStr">
        <is>
          <t>MER00572</t>
        </is>
      </c>
      <c r="C508">
        <f>XLOOKUP(B508,Merchants!$A$4:$A$1000,Merchants!$B$4:$B$1000,"Not found")</f>
        <v/>
      </c>
      <c r="D508">
        <f>XLOOKUP(A508,tblInvoices[invoice_id],tblInvoices[expected_fee])</f>
        <v/>
      </c>
      <c r="E508">
        <f>XLOOKUP(A508,tblInvoices[invoice_id],tblInvoices[billed_fee])</f>
        <v/>
      </c>
      <c r="F508">
        <f>E508-D508</f>
        <v/>
      </c>
      <c r="G508">
        <f>IF(D508=0,0,ROUND(100*F508/D508,2))</f>
        <v/>
      </c>
      <c r="H508">
        <f>IF(ABS(F508)&lt;=0.01,"Correct",IF(F508&lt;0,"Underbilled","Overbilled"))</f>
        <v/>
      </c>
    </row>
    <row r="509">
      <c r="A509" t="inlineStr">
        <is>
          <t>INV0012101</t>
        </is>
      </c>
      <c r="B509" t="inlineStr">
        <is>
          <t>MER00572</t>
        </is>
      </c>
      <c r="C509">
        <f>XLOOKUP(B509,Merchants!$A$4:$A$1000,Merchants!$B$4:$B$1000,"Not found")</f>
        <v/>
      </c>
      <c r="D509">
        <f>XLOOKUP(A509,tblInvoices[invoice_id],tblInvoices[expected_fee])</f>
        <v/>
      </c>
      <c r="E509">
        <f>XLOOKUP(A509,tblInvoices[invoice_id],tblInvoices[billed_fee])</f>
        <v/>
      </c>
      <c r="F509">
        <f>E509-D509</f>
        <v/>
      </c>
      <c r="G509">
        <f>IF(D509=0,0,ROUND(100*F509/D509,2))</f>
        <v/>
      </c>
      <c r="H509">
        <f>IF(ABS(F509)&lt;=0.01,"Correct",IF(F509&lt;0,"Underbilled","Overbilled"))</f>
        <v/>
      </c>
    </row>
    <row r="510">
      <c r="A510" t="inlineStr">
        <is>
          <t>INV0012102</t>
        </is>
      </c>
      <c r="B510" t="inlineStr">
        <is>
          <t>MER00572</t>
        </is>
      </c>
      <c r="C510">
        <f>XLOOKUP(B510,Merchants!$A$4:$A$1000,Merchants!$B$4:$B$1000,"Not found")</f>
        <v/>
      </c>
      <c r="D510">
        <f>XLOOKUP(A510,tblInvoices[invoice_id],tblInvoices[expected_fee])</f>
        <v/>
      </c>
      <c r="E510">
        <f>XLOOKUP(A510,tblInvoices[invoice_id],tblInvoices[billed_fee])</f>
        <v/>
      </c>
      <c r="F510">
        <f>E510-D510</f>
        <v/>
      </c>
      <c r="G510">
        <f>IF(D510=0,0,ROUND(100*F510/D510,2))</f>
        <v/>
      </c>
      <c r="H510">
        <f>IF(ABS(F510)&lt;=0.01,"Correct",IF(F510&lt;0,"Underbilled","Overbilled"))</f>
        <v/>
      </c>
    </row>
    <row r="511">
      <c r="A511" t="inlineStr">
        <is>
          <t>INV0012103</t>
        </is>
      </c>
      <c r="B511" t="inlineStr">
        <is>
          <t>MER00572</t>
        </is>
      </c>
      <c r="C511">
        <f>XLOOKUP(B511,Merchants!$A$4:$A$1000,Merchants!$B$4:$B$1000,"Not found")</f>
        <v/>
      </c>
      <c r="D511">
        <f>XLOOKUP(A511,tblInvoices[invoice_id],tblInvoices[expected_fee])</f>
        <v/>
      </c>
      <c r="E511">
        <f>XLOOKUP(A511,tblInvoices[invoice_id],tblInvoices[billed_fee])</f>
        <v/>
      </c>
      <c r="F511">
        <f>E511-D511</f>
        <v/>
      </c>
      <c r="G511">
        <f>IF(D511=0,0,ROUND(100*F511/D511,2))</f>
        <v/>
      </c>
      <c r="H511">
        <f>IF(ABS(F511)&lt;=0.01,"Correct",IF(F511&lt;0,"Underbilled","Overbilled"))</f>
        <v/>
      </c>
    </row>
    <row r="512">
      <c r="A512" t="inlineStr">
        <is>
          <t>INV0012104</t>
        </is>
      </c>
      <c r="B512" t="inlineStr">
        <is>
          <t>MER00572</t>
        </is>
      </c>
      <c r="C512">
        <f>XLOOKUP(B512,Merchants!$A$4:$A$1000,Merchants!$B$4:$B$1000,"Not found")</f>
        <v/>
      </c>
      <c r="D512">
        <f>XLOOKUP(A512,tblInvoices[invoice_id],tblInvoices[expected_fee])</f>
        <v/>
      </c>
      <c r="E512">
        <f>XLOOKUP(A512,tblInvoices[invoice_id],tblInvoices[billed_fee])</f>
        <v/>
      </c>
      <c r="F512">
        <f>E512-D512</f>
        <v/>
      </c>
      <c r="G512">
        <f>IF(D512=0,0,ROUND(100*F512/D512,2))</f>
        <v/>
      </c>
      <c r="H512">
        <f>IF(ABS(F512)&lt;=0.01,"Correct",IF(F512&lt;0,"Underbilled","Overbilled"))</f>
        <v/>
      </c>
    </row>
    <row r="513">
      <c r="A513" t="inlineStr">
        <is>
          <t>INV0012105</t>
        </is>
      </c>
      <c r="B513" t="inlineStr">
        <is>
          <t>MER00572</t>
        </is>
      </c>
      <c r="C513">
        <f>XLOOKUP(B513,Merchants!$A$4:$A$1000,Merchants!$B$4:$B$1000,"Not found")</f>
        <v/>
      </c>
      <c r="D513">
        <f>XLOOKUP(A513,tblInvoices[invoice_id],tblInvoices[expected_fee])</f>
        <v/>
      </c>
      <c r="E513">
        <f>XLOOKUP(A513,tblInvoices[invoice_id],tblInvoices[billed_fee])</f>
        <v/>
      </c>
      <c r="F513">
        <f>E513-D513</f>
        <v/>
      </c>
      <c r="G513">
        <f>IF(D513=0,0,ROUND(100*F513/D513,2))</f>
        <v/>
      </c>
      <c r="H513">
        <f>IF(ABS(F513)&lt;=0.01,"Correct",IF(F513&lt;0,"Underbilled","Overbilled"))</f>
        <v/>
      </c>
    </row>
    <row r="514">
      <c r="A514" t="inlineStr">
        <is>
          <t>INV0012106</t>
        </is>
      </c>
      <c r="B514" t="inlineStr">
        <is>
          <t>MER00572</t>
        </is>
      </c>
      <c r="C514">
        <f>XLOOKUP(B514,Merchants!$A$4:$A$1000,Merchants!$B$4:$B$1000,"Not found")</f>
        <v/>
      </c>
      <c r="D514">
        <f>XLOOKUP(A514,tblInvoices[invoice_id],tblInvoices[expected_fee])</f>
        <v/>
      </c>
      <c r="E514">
        <f>XLOOKUP(A514,tblInvoices[invoice_id],tblInvoices[billed_fee])</f>
        <v/>
      </c>
      <c r="F514">
        <f>E514-D514</f>
        <v/>
      </c>
      <c r="G514">
        <f>IF(D514=0,0,ROUND(100*F514/D514,2))</f>
        <v/>
      </c>
      <c r="H514">
        <f>IF(ABS(F514)&lt;=0.01,"Correct",IF(F514&lt;0,"Underbilled","Overbilled"))</f>
        <v/>
      </c>
    </row>
    <row r="515">
      <c r="A515" t="inlineStr">
        <is>
          <t>INV0012107</t>
        </is>
      </c>
      <c r="B515" t="inlineStr">
        <is>
          <t>MER00572</t>
        </is>
      </c>
      <c r="C515">
        <f>XLOOKUP(B515,Merchants!$A$4:$A$1000,Merchants!$B$4:$B$1000,"Not found")</f>
        <v/>
      </c>
      <c r="D515">
        <f>XLOOKUP(A515,tblInvoices[invoice_id],tblInvoices[expected_fee])</f>
        <v/>
      </c>
      <c r="E515">
        <f>XLOOKUP(A515,tblInvoices[invoice_id],tblInvoices[billed_fee])</f>
        <v/>
      </c>
      <c r="F515">
        <f>E515-D515</f>
        <v/>
      </c>
      <c r="G515">
        <f>IF(D515=0,0,ROUND(100*F515/D515,2))</f>
        <v/>
      </c>
      <c r="H515">
        <f>IF(ABS(F515)&lt;=0.01,"Correct",IF(F515&lt;0,"Underbilled","Overbilled"))</f>
        <v/>
      </c>
    </row>
    <row r="516">
      <c r="A516" t="inlineStr">
        <is>
          <t>INV0012108</t>
        </is>
      </c>
      <c r="B516" t="inlineStr">
        <is>
          <t>MER00572</t>
        </is>
      </c>
      <c r="C516">
        <f>XLOOKUP(B516,Merchants!$A$4:$A$1000,Merchants!$B$4:$B$1000,"Not found")</f>
        <v/>
      </c>
      <c r="D516">
        <f>XLOOKUP(A516,tblInvoices[invoice_id],tblInvoices[expected_fee])</f>
        <v/>
      </c>
      <c r="E516">
        <f>XLOOKUP(A516,tblInvoices[invoice_id],tblInvoices[billed_fee])</f>
        <v/>
      </c>
      <c r="F516">
        <f>E516-D516</f>
        <v/>
      </c>
      <c r="G516">
        <f>IF(D516=0,0,ROUND(100*F516/D516,2))</f>
        <v/>
      </c>
      <c r="H516">
        <f>IF(ABS(F516)&lt;=0.01,"Correct",IF(F516&lt;0,"Underbilled","Overbilled"))</f>
        <v/>
      </c>
    </row>
    <row r="517">
      <c r="A517" t="inlineStr">
        <is>
          <t>INV0012109</t>
        </is>
      </c>
      <c r="B517" t="inlineStr">
        <is>
          <t>MER00572</t>
        </is>
      </c>
      <c r="C517">
        <f>XLOOKUP(B517,Merchants!$A$4:$A$1000,Merchants!$B$4:$B$1000,"Not found")</f>
        <v/>
      </c>
      <c r="D517">
        <f>XLOOKUP(A517,tblInvoices[invoice_id],tblInvoices[expected_fee])</f>
        <v/>
      </c>
      <c r="E517">
        <f>XLOOKUP(A517,tblInvoices[invoice_id],tblInvoices[billed_fee])</f>
        <v/>
      </c>
      <c r="F517">
        <f>E517-D517</f>
        <v/>
      </c>
      <c r="G517">
        <f>IF(D517=0,0,ROUND(100*F517/D517,2))</f>
        <v/>
      </c>
      <c r="H517">
        <f>IF(ABS(F517)&lt;=0.01,"Correct",IF(F517&lt;0,"Underbilled","Overbilled"))</f>
        <v/>
      </c>
    </row>
    <row r="518">
      <c r="A518" t="inlineStr">
        <is>
          <t>INV0012110</t>
        </is>
      </c>
      <c r="B518" t="inlineStr">
        <is>
          <t>MER00572</t>
        </is>
      </c>
      <c r="C518">
        <f>XLOOKUP(B518,Merchants!$A$4:$A$1000,Merchants!$B$4:$B$1000,"Not found")</f>
        <v/>
      </c>
      <c r="D518">
        <f>XLOOKUP(A518,tblInvoices[invoice_id],tblInvoices[expected_fee])</f>
        <v/>
      </c>
      <c r="E518">
        <f>XLOOKUP(A518,tblInvoices[invoice_id],tblInvoices[billed_fee])</f>
        <v/>
      </c>
      <c r="F518">
        <f>E518-D518</f>
        <v/>
      </c>
      <c r="G518">
        <f>IF(D518=0,0,ROUND(100*F518/D518,2))</f>
        <v/>
      </c>
      <c r="H518">
        <f>IF(ABS(F518)&lt;=0.01,"Correct",IF(F518&lt;0,"Underbilled","Overbilled"))</f>
        <v/>
      </c>
    </row>
    <row r="519">
      <c r="A519" t="inlineStr">
        <is>
          <t>INV0012111</t>
        </is>
      </c>
      <c r="B519" t="inlineStr">
        <is>
          <t>MER00572</t>
        </is>
      </c>
      <c r="C519">
        <f>XLOOKUP(B519,Merchants!$A$4:$A$1000,Merchants!$B$4:$B$1000,"Not found")</f>
        <v/>
      </c>
      <c r="D519">
        <f>XLOOKUP(A519,tblInvoices[invoice_id],tblInvoices[expected_fee])</f>
        <v/>
      </c>
      <c r="E519">
        <f>XLOOKUP(A519,tblInvoices[invoice_id],tblInvoices[billed_fee])</f>
        <v/>
      </c>
      <c r="F519">
        <f>E519-D519</f>
        <v/>
      </c>
      <c r="G519">
        <f>IF(D519=0,0,ROUND(100*F519/D519,2))</f>
        <v/>
      </c>
      <c r="H519">
        <f>IF(ABS(F519)&lt;=0.01,"Correct",IF(F519&lt;0,"Underbilled","Overbilled"))</f>
        <v/>
      </c>
    </row>
    <row r="520">
      <c r="A520" t="inlineStr">
        <is>
          <t>INV0012112</t>
        </is>
      </c>
      <c r="B520" t="inlineStr">
        <is>
          <t>MER00572</t>
        </is>
      </c>
      <c r="C520">
        <f>XLOOKUP(B520,Merchants!$A$4:$A$1000,Merchants!$B$4:$B$1000,"Not found")</f>
        <v/>
      </c>
      <c r="D520">
        <f>XLOOKUP(A520,tblInvoices[invoice_id],tblInvoices[expected_fee])</f>
        <v/>
      </c>
      <c r="E520">
        <f>XLOOKUP(A520,tblInvoices[invoice_id],tblInvoices[billed_fee])</f>
        <v/>
      </c>
      <c r="F520">
        <f>E520-D520</f>
        <v/>
      </c>
      <c r="G520">
        <f>IF(D520=0,0,ROUND(100*F520/D520,2))</f>
        <v/>
      </c>
      <c r="H520">
        <f>IF(ABS(F520)&lt;=0.01,"Correct",IF(F520&lt;0,"Underbilled","Overbilled"))</f>
        <v/>
      </c>
    </row>
    <row r="521">
      <c r="A521" t="inlineStr">
        <is>
          <t>INV0012113</t>
        </is>
      </c>
      <c r="B521" t="inlineStr">
        <is>
          <t>MER00572</t>
        </is>
      </c>
      <c r="C521">
        <f>XLOOKUP(B521,Merchants!$A$4:$A$1000,Merchants!$B$4:$B$1000,"Not found")</f>
        <v/>
      </c>
      <c r="D521">
        <f>XLOOKUP(A521,tblInvoices[invoice_id],tblInvoices[expected_fee])</f>
        <v/>
      </c>
      <c r="E521">
        <f>XLOOKUP(A521,tblInvoices[invoice_id],tblInvoices[billed_fee])</f>
        <v/>
      </c>
      <c r="F521">
        <f>E521-D521</f>
        <v/>
      </c>
      <c r="G521">
        <f>IF(D521=0,0,ROUND(100*F521/D521,2))</f>
        <v/>
      </c>
      <c r="H521">
        <f>IF(ABS(F521)&lt;=0.01,"Correct",IF(F521&lt;0,"Underbilled","Overbilled"))</f>
        <v/>
      </c>
    </row>
    <row r="522">
      <c r="A522" t="inlineStr">
        <is>
          <t>INV0012114</t>
        </is>
      </c>
      <c r="B522" t="inlineStr">
        <is>
          <t>MER00572</t>
        </is>
      </c>
      <c r="C522">
        <f>XLOOKUP(B522,Merchants!$A$4:$A$1000,Merchants!$B$4:$B$1000,"Not found")</f>
        <v/>
      </c>
      <c r="D522">
        <f>XLOOKUP(A522,tblInvoices[invoice_id],tblInvoices[expected_fee])</f>
        <v/>
      </c>
      <c r="E522">
        <f>XLOOKUP(A522,tblInvoices[invoice_id],tblInvoices[billed_fee])</f>
        <v/>
      </c>
      <c r="F522">
        <f>E522-D522</f>
        <v/>
      </c>
      <c r="G522">
        <f>IF(D522=0,0,ROUND(100*F522/D522,2))</f>
        <v/>
      </c>
      <c r="H522">
        <f>IF(ABS(F522)&lt;=0.01,"Correct",IF(F522&lt;0,"Underbilled","Overbilled"))</f>
        <v/>
      </c>
    </row>
    <row r="523">
      <c r="A523" t="inlineStr">
        <is>
          <t>INV0013743</t>
        </is>
      </c>
      <c r="B523" t="inlineStr">
        <is>
          <t>MER00649</t>
        </is>
      </c>
      <c r="C523">
        <f>XLOOKUP(B523,Merchants!$A$4:$A$1000,Merchants!$B$4:$B$1000,"Not found")</f>
        <v/>
      </c>
      <c r="D523">
        <f>XLOOKUP(A523,tblInvoices[invoice_id],tblInvoices[expected_fee])</f>
        <v/>
      </c>
      <c r="E523">
        <f>XLOOKUP(A523,tblInvoices[invoice_id],tblInvoices[billed_fee])</f>
        <v/>
      </c>
      <c r="F523">
        <f>E523-D523</f>
        <v/>
      </c>
      <c r="G523">
        <f>IF(D523=0,0,ROUND(100*F523/D523,2))</f>
        <v/>
      </c>
      <c r="H523">
        <f>IF(ABS(F523)&lt;=0.01,"Correct",IF(F523&lt;0,"Underbilled","Overbilled"))</f>
        <v/>
      </c>
    </row>
    <row r="524">
      <c r="A524" t="inlineStr">
        <is>
          <t>INV0013744</t>
        </is>
      </c>
      <c r="B524" t="inlineStr">
        <is>
          <t>MER00649</t>
        </is>
      </c>
      <c r="C524">
        <f>XLOOKUP(B524,Merchants!$A$4:$A$1000,Merchants!$B$4:$B$1000,"Not found")</f>
        <v/>
      </c>
      <c r="D524">
        <f>XLOOKUP(A524,tblInvoices[invoice_id],tblInvoices[expected_fee])</f>
        <v/>
      </c>
      <c r="E524">
        <f>XLOOKUP(A524,tblInvoices[invoice_id],tblInvoices[billed_fee])</f>
        <v/>
      </c>
      <c r="F524">
        <f>E524-D524</f>
        <v/>
      </c>
      <c r="G524">
        <f>IF(D524=0,0,ROUND(100*F524/D524,2))</f>
        <v/>
      </c>
      <c r="H524">
        <f>IF(ABS(F524)&lt;=0.01,"Correct",IF(F524&lt;0,"Underbilled","Overbilled"))</f>
        <v/>
      </c>
    </row>
    <row r="525">
      <c r="A525" t="inlineStr">
        <is>
          <t>INV0013745</t>
        </is>
      </c>
      <c r="B525" t="inlineStr">
        <is>
          <t>MER00649</t>
        </is>
      </c>
      <c r="C525">
        <f>XLOOKUP(B525,Merchants!$A$4:$A$1000,Merchants!$B$4:$B$1000,"Not found")</f>
        <v/>
      </c>
      <c r="D525">
        <f>XLOOKUP(A525,tblInvoices[invoice_id],tblInvoices[expected_fee])</f>
        <v/>
      </c>
      <c r="E525">
        <f>XLOOKUP(A525,tblInvoices[invoice_id],tblInvoices[billed_fee])</f>
        <v/>
      </c>
      <c r="F525">
        <f>E525-D525</f>
        <v/>
      </c>
      <c r="G525">
        <f>IF(D525=0,0,ROUND(100*F525/D525,2))</f>
        <v/>
      </c>
      <c r="H525">
        <f>IF(ABS(F525)&lt;=0.01,"Correct",IF(F525&lt;0,"Underbilled","Overbilled"))</f>
        <v/>
      </c>
    </row>
    <row r="526">
      <c r="A526" t="inlineStr">
        <is>
          <t>INV0013746</t>
        </is>
      </c>
      <c r="B526" t="inlineStr">
        <is>
          <t>MER00649</t>
        </is>
      </c>
      <c r="C526">
        <f>XLOOKUP(B526,Merchants!$A$4:$A$1000,Merchants!$B$4:$B$1000,"Not found")</f>
        <v/>
      </c>
      <c r="D526">
        <f>XLOOKUP(A526,tblInvoices[invoice_id],tblInvoices[expected_fee])</f>
        <v/>
      </c>
      <c r="E526">
        <f>XLOOKUP(A526,tblInvoices[invoice_id],tblInvoices[billed_fee])</f>
        <v/>
      </c>
      <c r="F526">
        <f>E526-D526</f>
        <v/>
      </c>
      <c r="G526">
        <f>IF(D526=0,0,ROUND(100*F526/D526,2))</f>
        <v/>
      </c>
      <c r="H526">
        <f>IF(ABS(F526)&lt;=0.01,"Correct",IF(F526&lt;0,"Underbilled","Overbilled"))</f>
        <v/>
      </c>
    </row>
    <row r="527">
      <c r="A527" t="inlineStr">
        <is>
          <t>INV0013747</t>
        </is>
      </c>
      <c r="B527" t="inlineStr">
        <is>
          <t>MER00649</t>
        </is>
      </c>
      <c r="C527">
        <f>XLOOKUP(B527,Merchants!$A$4:$A$1000,Merchants!$B$4:$B$1000,"Not found")</f>
        <v/>
      </c>
      <c r="D527">
        <f>XLOOKUP(A527,tblInvoices[invoice_id],tblInvoices[expected_fee])</f>
        <v/>
      </c>
      <c r="E527">
        <f>XLOOKUP(A527,tblInvoices[invoice_id],tblInvoices[billed_fee])</f>
        <v/>
      </c>
      <c r="F527">
        <f>E527-D527</f>
        <v/>
      </c>
      <c r="G527">
        <f>IF(D527=0,0,ROUND(100*F527/D527,2))</f>
        <v/>
      </c>
      <c r="H527">
        <f>IF(ABS(F527)&lt;=0.01,"Correct",IF(F527&lt;0,"Underbilled","Overbilled"))</f>
        <v/>
      </c>
    </row>
    <row r="528">
      <c r="A528" t="inlineStr">
        <is>
          <t>INV0013748</t>
        </is>
      </c>
      <c r="B528" t="inlineStr">
        <is>
          <t>MER00649</t>
        </is>
      </c>
      <c r="C528">
        <f>XLOOKUP(B528,Merchants!$A$4:$A$1000,Merchants!$B$4:$B$1000,"Not found")</f>
        <v/>
      </c>
      <c r="D528">
        <f>XLOOKUP(A528,tblInvoices[invoice_id],tblInvoices[expected_fee])</f>
        <v/>
      </c>
      <c r="E528">
        <f>XLOOKUP(A528,tblInvoices[invoice_id],tblInvoices[billed_fee])</f>
        <v/>
      </c>
      <c r="F528">
        <f>E528-D528</f>
        <v/>
      </c>
      <c r="G528">
        <f>IF(D528=0,0,ROUND(100*F528/D528,2))</f>
        <v/>
      </c>
      <c r="H528">
        <f>IF(ABS(F528)&lt;=0.01,"Correct",IF(F528&lt;0,"Underbilled","Overbilled"))</f>
        <v/>
      </c>
    </row>
    <row r="529">
      <c r="A529" t="inlineStr">
        <is>
          <t>INV0013749</t>
        </is>
      </c>
      <c r="B529" t="inlineStr">
        <is>
          <t>MER00649</t>
        </is>
      </c>
      <c r="C529">
        <f>XLOOKUP(B529,Merchants!$A$4:$A$1000,Merchants!$B$4:$B$1000,"Not found")</f>
        <v/>
      </c>
      <c r="D529">
        <f>XLOOKUP(A529,tblInvoices[invoice_id],tblInvoices[expected_fee])</f>
        <v/>
      </c>
      <c r="E529">
        <f>XLOOKUP(A529,tblInvoices[invoice_id],tblInvoices[billed_fee])</f>
        <v/>
      </c>
      <c r="F529">
        <f>E529-D529</f>
        <v/>
      </c>
      <c r="G529">
        <f>IF(D529=0,0,ROUND(100*F529/D529,2))</f>
        <v/>
      </c>
      <c r="H529">
        <f>IF(ABS(F529)&lt;=0.01,"Correct",IF(F529&lt;0,"Underbilled","Overbilled"))</f>
        <v/>
      </c>
    </row>
    <row r="530">
      <c r="A530" t="inlineStr">
        <is>
          <t>INV0013750</t>
        </is>
      </c>
      <c r="B530" t="inlineStr">
        <is>
          <t>MER00649</t>
        </is>
      </c>
      <c r="C530">
        <f>XLOOKUP(B530,Merchants!$A$4:$A$1000,Merchants!$B$4:$B$1000,"Not found")</f>
        <v/>
      </c>
      <c r="D530">
        <f>XLOOKUP(A530,tblInvoices[invoice_id],tblInvoices[expected_fee])</f>
        <v/>
      </c>
      <c r="E530">
        <f>XLOOKUP(A530,tblInvoices[invoice_id],tblInvoices[billed_fee])</f>
        <v/>
      </c>
      <c r="F530">
        <f>E530-D530</f>
        <v/>
      </c>
      <c r="G530">
        <f>IF(D530=0,0,ROUND(100*F530/D530,2))</f>
        <v/>
      </c>
      <c r="H530">
        <f>IF(ABS(F530)&lt;=0.01,"Correct",IF(F530&lt;0,"Underbilled","Overbilled"))</f>
        <v/>
      </c>
    </row>
    <row r="531">
      <c r="A531" t="inlineStr">
        <is>
          <t>INV0013751</t>
        </is>
      </c>
      <c r="B531" t="inlineStr">
        <is>
          <t>MER00649</t>
        </is>
      </c>
      <c r="C531">
        <f>XLOOKUP(B531,Merchants!$A$4:$A$1000,Merchants!$B$4:$B$1000,"Not found")</f>
        <v/>
      </c>
      <c r="D531">
        <f>XLOOKUP(A531,tblInvoices[invoice_id],tblInvoices[expected_fee])</f>
        <v/>
      </c>
      <c r="E531">
        <f>XLOOKUP(A531,tblInvoices[invoice_id],tblInvoices[billed_fee])</f>
        <v/>
      </c>
      <c r="F531">
        <f>E531-D531</f>
        <v/>
      </c>
      <c r="G531">
        <f>IF(D531=0,0,ROUND(100*F531/D531,2))</f>
        <v/>
      </c>
      <c r="H531">
        <f>IF(ABS(F531)&lt;=0.01,"Correct",IF(F531&lt;0,"Underbilled","Overbilled"))</f>
        <v/>
      </c>
    </row>
    <row r="532">
      <c r="A532" t="inlineStr">
        <is>
          <t>INV0013752</t>
        </is>
      </c>
      <c r="B532" t="inlineStr">
        <is>
          <t>MER00649</t>
        </is>
      </c>
      <c r="C532">
        <f>XLOOKUP(B532,Merchants!$A$4:$A$1000,Merchants!$B$4:$B$1000,"Not found")</f>
        <v/>
      </c>
      <c r="D532">
        <f>XLOOKUP(A532,tblInvoices[invoice_id],tblInvoices[expected_fee])</f>
        <v/>
      </c>
      <c r="E532">
        <f>XLOOKUP(A532,tblInvoices[invoice_id],tblInvoices[billed_fee])</f>
        <v/>
      </c>
      <c r="F532">
        <f>E532-D532</f>
        <v/>
      </c>
      <c r="G532">
        <f>IF(D532=0,0,ROUND(100*F532/D532,2))</f>
        <v/>
      </c>
      <c r="H532">
        <f>IF(ABS(F532)&lt;=0.01,"Correct",IF(F532&lt;0,"Underbilled","Overbilled"))</f>
        <v/>
      </c>
    </row>
    <row r="533">
      <c r="A533" t="inlineStr">
        <is>
          <t>INV0013753</t>
        </is>
      </c>
      <c r="B533" t="inlineStr">
        <is>
          <t>MER00649</t>
        </is>
      </c>
      <c r="C533">
        <f>XLOOKUP(B533,Merchants!$A$4:$A$1000,Merchants!$B$4:$B$1000,"Not found")</f>
        <v/>
      </c>
      <c r="D533">
        <f>XLOOKUP(A533,tblInvoices[invoice_id],tblInvoices[expected_fee])</f>
        <v/>
      </c>
      <c r="E533">
        <f>XLOOKUP(A533,tblInvoices[invoice_id],tblInvoices[billed_fee])</f>
        <v/>
      </c>
      <c r="F533">
        <f>E533-D533</f>
        <v/>
      </c>
      <c r="G533">
        <f>IF(D533=0,0,ROUND(100*F533/D533,2))</f>
        <v/>
      </c>
      <c r="H533">
        <f>IF(ABS(F533)&lt;=0.01,"Correct",IF(F533&lt;0,"Underbilled","Overbilled"))</f>
        <v/>
      </c>
    </row>
    <row r="534">
      <c r="A534" t="inlineStr">
        <is>
          <t>INV0013754</t>
        </is>
      </c>
      <c r="B534" t="inlineStr">
        <is>
          <t>MER00649</t>
        </is>
      </c>
      <c r="C534">
        <f>XLOOKUP(B534,Merchants!$A$4:$A$1000,Merchants!$B$4:$B$1000,"Not found")</f>
        <v/>
      </c>
      <c r="D534">
        <f>XLOOKUP(A534,tblInvoices[invoice_id],tblInvoices[expected_fee])</f>
        <v/>
      </c>
      <c r="E534">
        <f>XLOOKUP(A534,tblInvoices[invoice_id],tblInvoices[billed_fee])</f>
        <v/>
      </c>
      <c r="F534">
        <f>E534-D534</f>
        <v/>
      </c>
      <c r="G534">
        <f>IF(D534=0,0,ROUND(100*F534/D534,2))</f>
        <v/>
      </c>
      <c r="H534">
        <f>IF(ABS(F534)&lt;=0.01,"Correct",IF(F534&lt;0,"Underbilled","Overbilled"))</f>
        <v/>
      </c>
    </row>
    <row r="535">
      <c r="A535" t="inlineStr">
        <is>
          <t>INV0013755</t>
        </is>
      </c>
      <c r="B535" t="inlineStr">
        <is>
          <t>MER00649</t>
        </is>
      </c>
      <c r="C535">
        <f>XLOOKUP(B535,Merchants!$A$4:$A$1000,Merchants!$B$4:$B$1000,"Not found")</f>
        <v/>
      </c>
      <c r="D535">
        <f>XLOOKUP(A535,tblInvoices[invoice_id],tblInvoices[expected_fee])</f>
        <v/>
      </c>
      <c r="E535">
        <f>XLOOKUP(A535,tblInvoices[invoice_id],tblInvoices[billed_fee])</f>
        <v/>
      </c>
      <c r="F535">
        <f>E535-D535</f>
        <v/>
      </c>
      <c r="G535">
        <f>IF(D535=0,0,ROUND(100*F535/D535,2))</f>
        <v/>
      </c>
      <c r="H535">
        <f>IF(ABS(F535)&lt;=0.01,"Correct",IF(F535&lt;0,"Underbilled","Overbilled"))</f>
        <v/>
      </c>
    </row>
    <row r="536">
      <c r="A536" t="inlineStr">
        <is>
          <t>INV0013756</t>
        </is>
      </c>
      <c r="B536" t="inlineStr">
        <is>
          <t>MER00649</t>
        </is>
      </c>
      <c r="C536">
        <f>XLOOKUP(B536,Merchants!$A$4:$A$1000,Merchants!$B$4:$B$1000,"Not found")</f>
        <v/>
      </c>
      <c r="D536">
        <f>XLOOKUP(A536,tblInvoices[invoice_id],tblInvoices[expected_fee])</f>
        <v/>
      </c>
      <c r="E536">
        <f>XLOOKUP(A536,tblInvoices[invoice_id],tblInvoices[billed_fee])</f>
        <v/>
      </c>
      <c r="F536">
        <f>E536-D536</f>
        <v/>
      </c>
      <c r="G536">
        <f>IF(D536=0,0,ROUND(100*F536/D536,2))</f>
        <v/>
      </c>
      <c r="H536">
        <f>IF(ABS(F536)&lt;=0.01,"Correct",IF(F536&lt;0,"Underbilled","Overbilled"))</f>
        <v/>
      </c>
    </row>
    <row r="537">
      <c r="A537" t="inlineStr">
        <is>
          <t>INV0013757</t>
        </is>
      </c>
      <c r="B537" t="inlineStr">
        <is>
          <t>MER00649</t>
        </is>
      </c>
      <c r="C537">
        <f>XLOOKUP(B537,Merchants!$A$4:$A$1000,Merchants!$B$4:$B$1000,"Not found")</f>
        <v/>
      </c>
      <c r="D537">
        <f>XLOOKUP(A537,tblInvoices[invoice_id],tblInvoices[expected_fee])</f>
        <v/>
      </c>
      <c r="E537">
        <f>XLOOKUP(A537,tblInvoices[invoice_id],tblInvoices[billed_fee])</f>
        <v/>
      </c>
      <c r="F537">
        <f>E537-D537</f>
        <v/>
      </c>
      <c r="G537">
        <f>IF(D537=0,0,ROUND(100*F537/D537,2))</f>
        <v/>
      </c>
      <c r="H537">
        <f>IF(ABS(F537)&lt;=0.01,"Correct",IF(F537&lt;0,"Underbilled","Overbilled"))</f>
        <v/>
      </c>
    </row>
    <row r="538">
      <c r="A538" t="inlineStr">
        <is>
          <t>INV0013758</t>
        </is>
      </c>
      <c r="B538" t="inlineStr">
        <is>
          <t>MER00649</t>
        </is>
      </c>
      <c r="C538">
        <f>XLOOKUP(B538,Merchants!$A$4:$A$1000,Merchants!$B$4:$B$1000,"Not found")</f>
        <v/>
      </c>
      <c r="D538">
        <f>XLOOKUP(A538,tblInvoices[invoice_id],tblInvoices[expected_fee])</f>
        <v/>
      </c>
      <c r="E538">
        <f>XLOOKUP(A538,tblInvoices[invoice_id],tblInvoices[billed_fee])</f>
        <v/>
      </c>
      <c r="F538">
        <f>E538-D538</f>
        <v/>
      </c>
      <c r="G538">
        <f>IF(D538=0,0,ROUND(100*F538/D538,2))</f>
        <v/>
      </c>
      <c r="H538">
        <f>IF(ABS(F538)&lt;=0.01,"Correct",IF(F538&lt;0,"Underbilled","Overbilled"))</f>
        <v/>
      </c>
    </row>
    <row r="539">
      <c r="A539" t="inlineStr">
        <is>
          <t>INV0013759</t>
        </is>
      </c>
      <c r="B539" t="inlineStr">
        <is>
          <t>MER00649</t>
        </is>
      </c>
      <c r="C539">
        <f>XLOOKUP(B539,Merchants!$A$4:$A$1000,Merchants!$B$4:$B$1000,"Not found")</f>
        <v/>
      </c>
      <c r="D539">
        <f>XLOOKUP(A539,tblInvoices[invoice_id],tblInvoices[expected_fee])</f>
        <v/>
      </c>
      <c r="E539">
        <f>XLOOKUP(A539,tblInvoices[invoice_id],tblInvoices[billed_fee])</f>
        <v/>
      </c>
      <c r="F539">
        <f>E539-D539</f>
        <v/>
      </c>
      <c r="G539">
        <f>IF(D539=0,0,ROUND(100*F539/D539,2))</f>
        <v/>
      </c>
      <c r="H539">
        <f>IF(ABS(F539)&lt;=0.01,"Correct",IF(F539&lt;0,"Underbilled","Overbilled"))</f>
        <v/>
      </c>
    </row>
    <row r="540">
      <c r="A540" t="inlineStr">
        <is>
          <t>INV0013760</t>
        </is>
      </c>
      <c r="B540" t="inlineStr">
        <is>
          <t>MER00649</t>
        </is>
      </c>
      <c r="C540">
        <f>XLOOKUP(B540,Merchants!$A$4:$A$1000,Merchants!$B$4:$B$1000,"Not found")</f>
        <v/>
      </c>
      <c r="D540">
        <f>XLOOKUP(A540,tblInvoices[invoice_id],tblInvoices[expected_fee])</f>
        <v/>
      </c>
      <c r="E540">
        <f>XLOOKUP(A540,tblInvoices[invoice_id],tblInvoices[billed_fee])</f>
        <v/>
      </c>
      <c r="F540">
        <f>E540-D540</f>
        <v/>
      </c>
      <c r="G540">
        <f>IF(D540=0,0,ROUND(100*F540/D540,2))</f>
        <v/>
      </c>
      <c r="H540">
        <f>IF(ABS(F540)&lt;=0.01,"Correct",IF(F540&lt;0,"Underbilled","Overbilled"))</f>
        <v/>
      </c>
    </row>
    <row r="541">
      <c r="A541" t="inlineStr">
        <is>
          <t>INV0013761</t>
        </is>
      </c>
      <c r="B541" t="inlineStr">
        <is>
          <t>MER00649</t>
        </is>
      </c>
      <c r="C541">
        <f>XLOOKUP(B541,Merchants!$A$4:$A$1000,Merchants!$B$4:$B$1000,"Not found")</f>
        <v/>
      </c>
      <c r="D541">
        <f>XLOOKUP(A541,tblInvoices[invoice_id],tblInvoices[expected_fee])</f>
        <v/>
      </c>
      <c r="E541">
        <f>XLOOKUP(A541,tblInvoices[invoice_id],tblInvoices[billed_fee])</f>
        <v/>
      </c>
      <c r="F541">
        <f>E541-D541</f>
        <v/>
      </c>
      <c r="G541">
        <f>IF(D541=0,0,ROUND(100*F541/D541,2))</f>
        <v/>
      </c>
      <c r="H541">
        <f>IF(ABS(F541)&lt;=0.01,"Correct",IF(F541&lt;0,"Underbilled","Overbilled"))</f>
        <v/>
      </c>
    </row>
    <row r="542">
      <c r="A542" t="inlineStr">
        <is>
          <t>INV0013762</t>
        </is>
      </c>
      <c r="B542" t="inlineStr">
        <is>
          <t>MER00649</t>
        </is>
      </c>
      <c r="C542">
        <f>XLOOKUP(B542,Merchants!$A$4:$A$1000,Merchants!$B$4:$B$1000,"Not found")</f>
        <v/>
      </c>
      <c r="D542">
        <f>XLOOKUP(A542,tblInvoices[invoice_id],tblInvoices[expected_fee])</f>
        <v/>
      </c>
      <c r="E542">
        <f>XLOOKUP(A542,tblInvoices[invoice_id],tblInvoices[billed_fee])</f>
        <v/>
      </c>
      <c r="F542">
        <f>E542-D542</f>
        <v/>
      </c>
      <c r="G542">
        <f>IF(D542=0,0,ROUND(100*F542/D542,2))</f>
        <v/>
      </c>
      <c r="H542">
        <f>IF(ABS(F542)&lt;=0.01,"Correct",IF(F542&lt;0,"Underbilled","Overbilled"))</f>
        <v/>
      </c>
    </row>
    <row r="543">
      <c r="A543" t="inlineStr">
        <is>
          <t>INV0013763</t>
        </is>
      </c>
      <c r="B543" t="inlineStr">
        <is>
          <t>MER00649</t>
        </is>
      </c>
      <c r="C543">
        <f>XLOOKUP(B543,Merchants!$A$4:$A$1000,Merchants!$B$4:$B$1000,"Not found")</f>
        <v/>
      </c>
      <c r="D543">
        <f>XLOOKUP(A543,tblInvoices[invoice_id],tblInvoices[expected_fee])</f>
        <v/>
      </c>
      <c r="E543">
        <f>XLOOKUP(A543,tblInvoices[invoice_id],tblInvoices[billed_fee])</f>
        <v/>
      </c>
      <c r="F543">
        <f>E543-D543</f>
        <v/>
      </c>
      <c r="G543">
        <f>IF(D543=0,0,ROUND(100*F543/D543,2))</f>
        <v/>
      </c>
      <c r="H543">
        <f>IF(ABS(F543)&lt;=0.01,"Correct",IF(F543&lt;0,"Underbilled","Overbilled"))</f>
        <v/>
      </c>
    </row>
    <row r="544">
      <c r="A544" t="inlineStr">
        <is>
          <t>INV0013764</t>
        </is>
      </c>
      <c r="B544" t="inlineStr">
        <is>
          <t>MER00649</t>
        </is>
      </c>
      <c r="C544">
        <f>XLOOKUP(B544,Merchants!$A$4:$A$1000,Merchants!$B$4:$B$1000,"Not found")</f>
        <v/>
      </c>
      <c r="D544">
        <f>XLOOKUP(A544,tblInvoices[invoice_id],tblInvoices[expected_fee])</f>
        <v/>
      </c>
      <c r="E544">
        <f>XLOOKUP(A544,tblInvoices[invoice_id],tblInvoices[billed_fee])</f>
        <v/>
      </c>
      <c r="F544">
        <f>E544-D544</f>
        <v/>
      </c>
      <c r="G544">
        <f>IF(D544=0,0,ROUND(100*F544/D544,2))</f>
        <v/>
      </c>
      <c r="H544">
        <f>IF(ABS(F544)&lt;=0.01,"Correct",IF(F544&lt;0,"Underbilled","Overbilled"))</f>
        <v/>
      </c>
    </row>
    <row r="545">
      <c r="A545" t="inlineStr">
        <is>
          <t>INV0013765</t>
        </is>
      </c>
      <c r="B545" t="inlineStr">
        <is>
          <t>MER00649</t>
        </is>
      </c>
      <c r="C545">
        <f>XLOOKUP(B545,Merchants!$A$4:$A$1000,Merchants!$B$4:$B$1000,"Not found")</f>
        <v/>
      </c>
      <c r="D545">
        <f>XLOOKUP(A545,tblInvoices[invoice_id],tblInvoices[expected_fee])</f>
        <v/>
      </c>
      <c r="E545">
        <f>XLOOKUP(A545,tblInvoices[invoice_id],tblInvoices[billed_fee])</f>
        <v/>
      </c>
      <c r="F545">
        <f>E545-D545</f>
        <v/>
      </c>
      <c r="G545">
        <f>IF(D545=0,0,ROUND(100*F545/D545,2))</f>
        <v/>
      </c>
      <c r="H545">
        <f>IF(ABS(F545)&lt;=0.01,"Correct",IF(F545&lt;0,"Underbilled","Overbilled"))</f>
        <v/>
      </c>
    </row>
    <row r="546">
      <c r="A546" t="inlineStr">
        <is>
          <t>INV0013766</t>
        </is>
      </c>
      <c r="B546" t="inlineStr">
        <is>
          <t>MER00649</t>
        </is>
      </c>
      <c r="C546">
        <f>XLOOKUP(B546,Merchants!$A$4:$A$1000,Merchants!$B$4:$B$1000,"Not found")</f>
        <v/>
      </c>
      <c r="D546">
        <f>XLOOKUP(A546,tblInvoices[invoice_id],tblInvoices[expected_fee])</f>
        <v/>
      </c>
      <c r="E546">
        <f>XLOOKUP(A546,tblInvoices[invoice_id],tblInvoices[billed_fee])</f>
        <v/>
      </c>
      <c r="F546">
        <f>E546-D546</f>
        <v/>
      </c>
      <c r="G546">
        <f>IF(D546=0,0,ROUND(100*F546/D546,2))</f>
        <v/>
      </c>
      <c r="H546">
        <f>IF(ABS(F546)&lt;=0.01,"Correct",IF(F546&lt;0,"Underbilled","Overbilled"))</f>
        <v/>
      </c>
    </row>
    <row r="547">
      <c r="A547" t="inlineStr">
        <is>
          <t>INV0013942</t>
        </is>
      </c>
      <c r="B547" t="inlineStr">
        <is>
          <t>MER00658</t>
        </is>
      </c>
      <c r="C547">
        <f>XLOOKUP(B547,Merchants!$A$4:$A$1000,Merchants!$B$4:$B$1000,"Not found")</f>
        <v/>
      </c>
      <c r="D547">
        <f>XLOOKUP(A547,tblInvoices[invoice_id],tblInvoices[expected_fee])</f>
        <v/>
      </c>
      <c r="E547">
        <f>XLOOKUP(A547,tblInvoices[invoice_id],tblInvoices[billed_fee])</f>
        <v/>
      </c>
      <c r="F547">
        <f>E547-D547</f>
        <v/>
      </c>
      <c r="G547">
        <f>IF(D547=0,0,ROUND(100*F547/D547,2))</f>
        <v/>
      </c>
      <c r="H547">
        <f>IF(ABS(F547)&lt;=0.01,"Correct",IF(F547&lt;0,"Underbilled","Overbilled"))</f>
        <v/>
      </c>
    </row>
    <row r="548">
      <c r="A548" t="inlineStr">
        <is>
          <t>INV0013943</t>
        </is>
      </c>
      <c r="B548" t="inlineStr">
        <is>
          <t>MER00658</t>
        </is>
      </c>
      <c r="C548">
        <f>XLOOKUP(B548,Merchants!$A$4:$A$1000,Merchants!$B$4:$B$1000,"Not found")</f>
        <v/>
      </c>
      <c r="D548">
        <f>XLOOKUP(A548,tblInvoices[invoice_id],tblInvoices[expected_fee])</f>
        <v/>
      </c>
      <c r="E548">
        <f>XLOOKUP(A548,tblInvoices[invoice_id],tblInvoices[billed_fee])</f>
        <v/>
      </c>
      <c r="F548">
        <f>E548-D548</f>
        <v/>
      </c>
      <c r="G548">
        <f>IF(D548=0,0,ROUND(100*F548/D548,2))</f>
        <v/>
      </c>
      <c r="H548">
        <f>IF(ABS(F548)&lt;=0.01,"Correct",IF(F548&lt;0,"Underbilled","Overbilled"))</f>
        <v/>
      </c>
    </row>
    <row r="549">
      <c r="A549" t="inlineStr">
        <is>
          <t>INV0013944</t>
        </is>
      </c>
      <c r="B549" t="inlineStr">
        <is>
          <t>MER00658</t>
        </is>
      </c>
      <c r="C549">
        <f>XLOOKUP(B549,Merchants!$A$4:$A$1000,Merchants!$B$4:$B$1000,"Not found")</f>
        <v/>
      </c>
      <c r="D549">
        <f>XLOOKUP(A549,tblInvoices[invoice_id],tblInvoices[expected_fee])</f>
        <v/>
      </c>
      <c r="E549">
        <f>XLOOKUP(A549,tblInvoices[invoice_id],tblInvoices[billed_fee])</f>
        <v/>
      </c>
      <c r="F549">
        <f>E549-D549</f>
        <v/>
      </c>
      <c r="G549">
        <f>IF(D549=0,0,ROUND(100*F549/D549,2))</f>
        <v/>
      </c>
      <c r="H549">
        <f>IF(ABS(F549)&lt;=0.01,"Correct",IF(F549&lt;0,"Underbilled","Overbilled"))</f>
        <v/>
      </c>
    </row>
    <row r="550">
      <c r="A550" t="inlineStr">
        <is>
          <t>INV0013945</t>
        </is>
      </c>
      <c r="B550" t="inlineStr">
        <is>
          <t>MER00658</t>
        </is>
      </c>
      <c r="C550">
        <f>XLOOKUP(B550,Merchants!$A$4:$A$1000,Merchants!$B$4:$B$1000,"Not found")</f>
        <v/>
      </c>
      <c r="D550">
        <f>XLOOKUP(A550,tblInvoices[invoice_id],tblInvoices[expected_fee])</f>
        <v/>
      </c>
      <c r="E550">
        <f>XLOOKUP(A550,tblInvoices[invoice_id],tblInvoices[billed_fee])</f>
        <v/>
      </c>
      <c r="F550">
        <f>E550-D550</f>
        <v/>
      </c>
      <c r="G550">
        <f>IF(D550=0,0,ROUND(100*F550/D550,2))</f>
        <v/>
      </c>
      <c r="H550">
        <f>IF(ABS(F550)&lt;=0.01,"Correct",IF(F550&lt;0,"Underbilled","Overbilled"))</f>
        <v/>
      </c>
    </row>
    <row r="551">
      <c r="A551" t="inlineStr">
        <is>
          <t>INV0013946</t>
        </is>
      </c>
      <c r="B551" t="inlineStr">
        <is>
          <t>MER00658</t>
        </is>
      </c>
      <c r="C551">
        <f>XLOOKUP(B551,Merchants!$A$4:$A$1000,Merchants!$B$4:$B$1000,"Not found")</f>
        <v/>
      </c>
      <c r="D551">
        <f>XLOOKUP(A551,tblInvoices[invoice_id],tblInvoices[expected_fee])</f>
        <v/>
      </c>
      <c r="E551">
        <f>XLOOKUP(A551,tblInvoices[invoice_id],tblInvoices[billed_fee])</f>
        <v/>
      </c>
      <c r="F551">
        <f>E551-D551</f>
        <v/>
      </c>
      <c r="G551">
        <f>IF(D551=0,0,ROUND(100*F551/D551,2))</f>
        <v/>
      </c>
      <c r="H551">
        <f>IF(ABS(F551)&lt;=0.01,"Correct",IF(F551&lt;0,"Underbilled","Overbilled"))</f>
        <v/>
      </c>
    </row>
    <row r="552">
      <c r="A552" t="inlineStr">
        <is>
          <t>INV0013947</t>
        </is>
      </c>
      <c r="B552" t="inlineStr">
        <is>
          <t>MER00658</t>
        </is>
      </c>
      <c r="C552">
        <f>XLOOKUP(B552,Merchants!$A$4:$A$1000,Merchants!$B$4:$B$1000,"Not found")</f>
        <v/>
      </c>
      <c r="D552">
        <f>XLOOKUP(A552,tblInvoices[invoice_id],tblInvoices[expected_fee])</f>
        <v/>
      </c>
      <c r="E552">
        <f>XLOOKUP(A552,tblInvoices[invoice_id],tblInvoices[billed_fee])</f>
        <v/>
      </c>
      <c r="F552">
        <f>E552-D552</f>
        <v/>
      </c>
      <c r="G552">
        <f>IF(D552=0,0,ROUND(100*F552/D552,2))</f>
        <v/>
      </c>
      <c r="H552">
        <f>IF(ABS(F552)&lt;=0.01,"Correct",IF(F552&lt;0,"Underbilled","Overbilled"))</f>
        <v/>
      </c>
    </row>
    <row r="553">
      <c r="A553" t="inlineStr">
        <is>
          <t>INV0013948</t>
        </is>
      </c>
      <c r="B553" t="inlineStr">
        <is>
          <t>MER00658</t>
        </is>
      </c>
      <c r="C553">
        <f>XLOOKUP(B553,Merchants!$A$4:$A$1000,Merchants!$B$4:$B$1000,"Not found")</f>
        <v/>
      </c>
      <c r="D553">
        <f>XLOOKUP(A553,tblInvoices[invoice_id],tblInvoices[expected_fee])</f>
        <v/>
      </c>
      <c r="E553">
        <f>XLOOKUP(A553,tblInvoices[invoice_id],tblInvoices[billed_fee])</f>
        <v/>
      </c>
      <c r="F553">
        <f>E553-D553</f>
        <v/>
      </c>
      <c r="G553">
        <f>IF(D553=0,0,ROUND(100*F553/D553,2))</f>
        <v/>
      </c>
      <c r="H553">
        <f>IF(ABS(F553)&lt;=0.01,"Correct",IF(F553&lt;0,"Underbilled","Overbilled"))</f>
        <v/>
      </c>
    </row>
    <row r="554">
      <c r="A554" t="inlineStr">
        <is>
          <t>INV0013949</t>
        </is>
      </c>
      <c r="B554" t="inlineStr">
        <is>
          <t>MER00658</t>
        </is>
      </c>
      <c r="C554">
        <f>XLOOKUP(B554,Merchants!$A$4:$A$1000,Merchants!$B$4:$B$1000,"Not found")</f>
        <v/>
      </c>
      <c r="D554">
        <f>XLOOKUP(A554,tblInvoices[invoice_id],tblInvoices[expected_fee])</f>
        <v/>
      </c>
      <c r="E554">
        <f>XLOOKUP(A554,tblInvoices[invoice_id],tblInvoices[billed_fee])</f>
        <v/>
      </c>
      <c r="F554">
        <f>E554-D554</f>
        <v/>
      </c>
      <c r="G554">
        <f>IF(D554=0,0,ROUND(100*F554/D554,2))</f>
        <v/>
      </c>
      <c r="H554">
        <f>IF(ABS(F554)&lt;=0.01,"Correct",IF(F554&lt;0,"Underbilled","Overbilled"))</f>
        <v/>
      </c>
    </row>
    <row r="555">
      <c r="A555" t="inlineStr">
        <is>
          <t>INV0013950</t>
        </is>
      </c>
      <c r="B555" t="inlineStr">
        <is>
          <t>MER00658</t>
        </is>
      </c>
      <c r="C555">
        <f>XLOOKUP(B555,Merchants!$A$4:$A$1000,Merchants!$B$4:$B$1000,"Not found")</f>
        <v/>
      </c>
      <c r="D555">
        <f>XLOOKUP(A555,tblInvoices[invoice_id],tblInvoices[expected_fee])</f>
        <v/>
      </c>
      <c r="E555">
        <f>XLOOKUP(A555,tblInvoices[invoice_id],tblInvoices[billed_fee])</f>
        <v/>
      </c>
      <c r="F555">
        <f>E555-D555</f>
        <v/>
      </c>
      <c r="G555">
        <f>IF(D555=0,0,ROUND(100*F555/D555,2))</f>
        <v/>
      </c>
      <c r="H555">
        <f>IF(ABS(F555)&lt;=0.01,"Correct",IF(F555&lt;0,"Underbilled","Overbilled"))</f>
        <v/>
      </c>
    </row>
    <row r="556">
      <c r="A556" t="inlineStr">
        <is>
          <t>INV0013951</t>
        </is>
      </c>
      <c r="B556" t="inlineStr">
        <is>
          <t>MER00658</t>
        </is>
      </c>
      <c r="C556">
        <f>XLOOKUP(B556,Merchants!$A$4:$A$1000,Merchants!$B$4:$B$1000,"Not found")</f>
        <v/>
      </c>
      <c r="D556">
        <f>XLOOKUP(A556,tblInvoices[invoice_id],tblInvoices[expected_fee])</f>
        <v/>
      </c>
      <c r="E556">
        <f>XLOOKUP(A556,tblInvoices[invoice_id],tblInvoices[billed_fee])</f>
        <v/>
      </c>
      <c r="F556">
        <f>E556-D556</f>
        <v/>
      </c>
      <c r="G556">
        <f>IF(D556=0,0,ROUND(100*F556/D556,2))</f>
        <v/>
      </c>
      <c r="H556">
        <f>IF(ABS(F556)&lt;=0.01,"Correct",IF(F556&lt;0,"Underbilled","Overbilled"))</f>
        <v/>
      </c>
    </row>
    <row r="557">
      <c r="A557" t="inlineStr">
        <is>
          <t>INV0013952</t>
        </is>
      </c>
      <c r="B557" t="inlineStr">
        <is>
          <t>MER00658</t>
        </is>
      </c>
      <c r="C557">
        <f>XLOOKUP(B557,Merchants!$A$4:$A$1000,Merchants!$B$4:$B$1000,"Not found")</f>
        <v/>
      </c>
      <c r="D557">
        <f>XLOOKUP(A557,tblInvoices[invoice_id],tblInvoices[expected_fee])</f>
        <v/>
      </c>
      <c r="E557">
        <f>XLOOKUP(A557,tblInvoices[invoice_id],tblInvoices[billed_fee])</f>
        <v/>
      </c>
      <c r="F557">
        <f>E557-D557</f>
        <v/>
      </c>
      <c r="G557">
        <f>IF(D557=0,0,ROUND(100*F557/D557,2))</f>
        <v/>
      </c>
      <c r="H557">
        <f>IF(ABS(F557)&lt;=0.01,"Correct",IF(F557&lt;0,"Underbilled","Overbilled"))</f>
        <v/>
      </c>
    </row>
    <row r="558">
      <c r="A558" t="inlineStr">
        <is>
          <t>INV0013953</t>
        </is>
      </c>
      <c r="B558" t="inlineStr">
        <is>
          <t>MER00658</t>
        </is>
      </c>
      <c r="C558">
        <f>XLOOKUP(B558,Merchants!$A$4:$A$1000,Merchants!$B$4:$B$1000,"Not found")</f>
        <v/>
      </c>
      <c r="D558">
        <f>XLOOKUP(A558,tblInvoices[invoice_id],tblInvoices[expected_fee])</f>
        <v/>
      </c>
      <c r="E558">
        <f>XLOOKUP(A558,tblInvoices[invoice_id],tblInvoices[billed_fee])</f>
        <v/>
      </c>
      <c r="F558">
        <f>E558-D558</f>
        <v/>
      </c>
      <c r="G558">
        <f>IF(D558=0,0,ROUND(100*F558/D558,2))</f>
        <v/>
      </c>
      <c r="H558">
        <f>IF(ABS(F558)&lt;=0.01,"Correct",IF(F558&lt;0,"Underbilled","Overbilled"))</f>
        <v/>
      </c>
    </row>
    <row r="559">
      <c r="A559" t="inlineStr">
        <is>
          <t>INV0013954</t>
        </is>
      </c>
      <c r="B559" t="inlineStr">
        <is>
          <t>MER00658</t>
        </is>
      </c>
      <c r="C559">
        <f>XLOOKUP(B559,Merchants!$A$4:$A$1000,Merchants!$B$4:$B$1000,"Not found")</f>
        <v/>
      </c>
      <c r="D559">
        <f>XLOOKUP(A559,tblInvoices[invoice_id],tblInvoices[expected_fee])</f>
        <v/>
      </c>
      <c r="E559">
        <f>XLOOKUP(A559,tblInvoices[invoice_id],tblInvoices[billed_fee])</f>
        <v/>
      </c>
      <c r="F559">
        <f>E559-D559</f>
        <v/>
      </c>
      <c r="G559">
        <f>IF(D559=0,0,ROUND(100*F559/D559,2))</f>
        <v/>
      </c>
      <c r="H559">
        <f>IF(ABS(F559)&lt;=0.01,"Correct",IF(F559&lt;0,"Underbilled","Overbilled"))</f>
        <v/>
      </c>
    </row>
    <row r="560">
      <c r="A560" t="inlineStr">
        <is>
          <t>INV0013955</t>
        </is>
      </c>
      <c r="B560" t="inlineStr">
        <is>
          <t>MER00658</t>
        </is>
      </c>
      <c r="C560">
        <f>XLOOKUP(B560,Merchants!$A$4:$A$1000,Merchants!$B$4:$B$1000,"Not found")</f>
        <v/>
      </c>
      <c r="D560">
        <f>XLOOKUP(A560,tblInvoices[invoice_id],tblInvoices[expected_fee])</f>
        <v/>
      </c>
      <c r="E560">
        <f>XLOOKUP(A560,tblInvoices[invoice_id],tblInvoices[billed_fee])</f>
        <v/>
      </c>
      <c r="F560">
        <f>E560-D560</f>
        <v/>
      </c>
      <c r="G560">
        <f>IF(D560=0,0,ROUND(100*F560/D560,2))</f>
        <v/>
      </c>
      <c r="H560">
        <f>IF(ABS(F560)&lt;=0.01,"Correct",IF(F560&lt;0,"Underbilled","Overbilled"))</f>
        <v/>
      </c>
    </row>
    <row r="561">
      <c r="A561" t="inlineStr">
        <is>
          <t>INV0013956</t>
        </is>
      </c>
      <c r="B561" t="inlineStr">
        <is>
          <t>MER00658</t>
        </is>
      </c>
      <c r="C561">
        <f>XLOOKUP(B561,Merchants!$A$4:$A$1000,Merchants!$B$4:$B$1000,"Not found")</f>
        <v/>
      </c>
      <c r="D561">
        <f>XLOOKUP(A561,tblInvoices[invoice_id],tblInvoices[expected_fee])</f>
        <v/>
      </c>
      <c r="E561">
        <f>XLOOKUP(A561,tblInvoices[invoice_id],tblInvoices[billed_fee])</f>
        <v/>
      </c>
      <c r="F561">
        <f>E561-D561</f>
        <v/>
      </c>
      <c r="G561">
        <f>IF(D561=0,0,ROUND(100*F561/D561,2))</f>
        <v/>
      </c>
      <c r="H561">
        <f>IF(ABS(F561)&lt;=0.01,"Correct",IF(F561&lt;0,"Underbilled","Overbilled"))</f>
        <v/>
      </c>
    </row>
    <row r="562">
      <c r="A562" t="inlineStr">
        <is>
          <t>INV0013957</t>
        </is>
      </c>
      <c r="B562" t="inlineStr">
        <is>
          <t>MER00658</t>
        </is>
      </c>
      <c r="C562">
        <f>XLOOKUP(B562,Merchants!$A$4:$A$1000,Merchants!$B$4:$B$1000,"Not found")</f>
        <v/>
      </c>
      <c r="D562">
        <f>XLOOKUP(A562,tblInvoices[invoice_id],tblInvoices[expected_fee])</f>
        <v/>
      </c>
      <c r="E562">
        <f>XLOOKUP(A562,tblInvoices[invoice_id],tblInvoices[billed_fee])</f>
        <v/>
      </c>
      <c r="F562">
        <f>E562-D562</f>
        <v/>
      </c>
      <c r="G562">
        <f>IF(D562=0,0,ROUND(100*F562/D562,2))</f>
        <v/>
      </c>
      <c r="H562">
        <f>IF(ABS(F562)&lt;=0.01,"Correct",IF(F562&lt;0,"Underbilled","Overbilled"))</f>
        <v/>
      </c>
    </row>
    <row r="563">
      <c r="A563" t="inlineStr">
        <is>
          <t>INV0013958</t>
        </is>
      </c>
      <c r="B563" t="inlineStr">
        <is>
          <t>MER00658</t>
        </is>
      </c>
      <c r="C563">
        <f>XLOOKUP(B563,Merchants!$A$4:$A$1000,Merchants!$B$4:$B$1000,"Not found")</f>
        <v/>
      </c>
      <c r="D563">
        <f>XLOOKUP(A563,tblInvoices[invoice_id],tblInvoices[expected_fee])</f>
        <v/>
      </c>
      <c r="E563">
        <f>XLOOKUP(A563,tblInvoices[invoice_id],tblInvoices[billed_fee])</f>
        <v/>
      </c>
      <c r="F563">
        <f>E563-D563</f>
        <v/>
      </c>
      <c r="G563">
        <f>IF(D563=0,0,ROUND(100*F563/D563,2))</f>
        <v/>
      </c>
      <c r="H563">
        <f>IF(ABS(F563)&lt;=0.01,"Correct",IF(F563&lt;0,"Underbilled","Overbilled"))</f>
        <v/>
      </c>
    </row>
    <row r="564">
      <c r="A564" t="inlineStr">
        <is>
          <t>INV0013959</t>
        </is>
      </c>
      <c r="B564" t="inlineStr">
        <is>
          <t>MER00658</t>
        </is>
      </c>
      <c r="C564">
        <f>XLOOKUP(B564,Merchants!$A$4:$A$1000,Merchants!$B$4:$B$1000,"Not found")</f>
        <v/>
      </c>
      <c r="D564">
        <f>XLOOKUP(A564,tblInvoices[invoice_id],tblInvoices[expected_fee])</f>
        <v/>
      </c>
      <c r="E564">
        <f>XLOOKUP(A564,tblInvoices[invoice_id],tblInvoices[billed_fee])</f>
        <v/>
      </c>
      <c r="F564">
        <f>E564-D564</f>
        <v/>
      </c>
      <c r="G564">
        <f>IF(D564=0,0,ROUND(100*F564/D564,2))</f>
        <v/>
      </c>
      <c r="H564">
        <f>IF(ABS(F564)&lt;=0.01,"Correct",IF(F564&lt;0,"Underbilled","Overbilled"))</f>
        <v/>
      </c>
    </row>
    <row r="565">
      <c r="A565" t="inlineStr">
        <is>
          <t>INV0013960</t>
        </is>
      </c>
      <c r="B565" t="inlineStr">
        <is>
          <t>MER00658</t>
        </is>
      </c>
      <c r="C565">
        <f>XLOOKUP(B565,Merchants!$A$4:$A$1000,Merchants!$B$4:$B$1000,"Not found")</f>
        <v/>
      </c>
      <c r="D565">
        <f>XLOOKUP(A565,tblInvoices[invoice_id],tblInvoices[expected_fee])</f>
        <v/>
      </c>
      <c r="E565">
        <f>XLOOKUP(A565,tblInvoices[invoice_id],tblInvoices[billed_fee])</f>
        <v/>
      </c>
      <c r="F565">
        <f>E565-D565</f>
        <v/>
      </c>
      <c r="G565">
        <f>IF(D565=0,0,ROUND(100*F565/D565,2))</f>
        <v/>
      </c>
      <c r="H565">
        <f>IF(ABS(F565)&lt;=0.01,"Correct",IF(F565&lt;0,"Underbilled","Overbilled"))</f>
        <v/>
      </c>
    </row>
    <row r="566">
      <c r="A566" t="inlineStr">
        <is>
          <t>INV0013961</t>
        </is>
      </c>
      <c r="B566" t="inlineStr">
        <is>
          <t>MER00658</t>
        </is>
      </c>
      <c r="C566">
        <f>XLOOKUP(B566,Merchants!$A$4:$A$1000,Merchants!$B$4:$B$1000,"Not found")</f>
        <v/>
      </c>
      <c r="D566">
        <f>XLOOKUP(A566,tblInvoices[invoice_id],tblInvoices[expected_fee])</f>
        <v/>
      </c>
      <c r="E566">
        <f>XLOOKUP(A566,tblInvoices[invoice_id],tblInvoices[billed_fee])</f>
        <v/>
      </c>
      <c r="F566">
        <f>E566-D566</f>
        <v/>
      </c>
      <c r="G566">
        <f>IF(D566=0,0,ROUND(100*F566/D566,2))</f>
        <v/>
      </c>
      <c r="H566">
        <f>IF(ABS(F566)&lt;=0.01,"Correct",IF(F566&lt;0,"Underbilled","Overbilled"))</f>
        <v/>
      </c>
    </row>
    <row r="567">
      <c r="A567" t="inlineStr">
        <is>
          <t>INV0013962</t>
        </is>
      </c>
      <c r="B567" t="inlineStr">
        <is>
          <t>MER00658</t>
        </is>
      </c>
      <c r="C567">
        <f>XLOOKUP(B567,Merchants!$A$4:$A$1000,Merchants!$B$4:$B$1000,"Not found")</f>
        <v/>
      </c>
      <c r="D567">
        <f>XLOOKUP(A567,tblInvoices[invoice_id],tblInvoices[expected_fee])</f>
        <v/>
      </c>
      <c r="E567">
        <f>XLOOKUP(A567,tblInvoices[invoice_id],tblInvoices[billed_fee])</f>
        <v/>
      </c>
      <c r="F567">
        <f>E567-D567</f>
        <v/>
      </c>
      <c r="G567">
        <f>IF(D567=0,0,ROUND(100*F567/D567,2))</f>
        <v/>
      </c>
      <c r="H567">
        <f>IF(ABS(F567)&lt;=0.01,"Correct",IF(F567&lt;0,"Underbilled","Overbilled"))</f>
        <v/>
      </c>
    </row>
    <row r="568">
      <c r="A568" t="inlineStr">
        <is>
          <t>INV0013963</t>
        </is>
      </c>
      <c r="B568" t="inlineStr">
        <is>
          <t>MER00658</t>
        </is>
      </c>
      <c r="C568">
        <f>XLOOKUP(B568,Merchants!$A$4:$A$1000,Merchants!$B$4:$B$1000,"Not found")</f>
        <v/>
      </c>
      <c r="D568">
        <f>XLOOKUP(A568,tblInvoices[invoice_id],tblInvoices[expected_fee])</f>
        <v/>
      </c>
      <c r="E568">
        <f>XLOOKUP(A568,tblInvoices[invoice_id],tblInvoices[billed_fee])</f>
        <v/>
      </c>
      <c r="F568">
        <f>E568-D568</f>
        <v/>
      </c>
      <c r="G568">
        <f>IF(D568=0,0,ROUND(100*F568/D568,2))</f>
        <v/>
      </c>
      <c r="H568">
        <f>IF(ABS(F568)&lt;=0.01,"Correct",IF(F568&lt;0,"Underbilled","Overbilled"))</f>
        <v/>
      </c>
    </row>
    <row r="569">
      <c r="A569" t="inlineStr">
        <is>
          <t>INV0013964</t>
        </is>
      </c>
      <c r="B569" t="inlineStr">
        <is>
          <t>MER00658</t>
        </is>
      </c>
      <c r="C569">
        <f>XLOOKUP(B569,Merchants!$A$4:$A$1000,Merchants!$B$4:$B$1000,"Not found")</f>
        <v/>
      </c>
      <c r="D569">
        <f>XLOOKUP(A569,tblInvoices[invoice_id],tblInvoices[expected_fee])</f>
        <v/>
      </c>
      <c r="E569">
        <f>XLOOKUP(A569,tblInvoices[invoice_id],tblInvoices[billed_fee])</f>
        <v/>
      </c>
      <c r="F569">
        <f>E569-D569</f>
        <v/>
      </c>
      <c r="G569">
        <f>IF(D569=0,0,ROUND(100*F569/D569,2))</f>
        <v/>
      </c>
      <c r="H569">
        <f>IF(ABS(F569)&lt;=0.01,"Correct",IF(F569&lt;0,"Underbilled","Overbilled"))</f>
        <v/>
      </c>
    </row>
    <row r="570">
      <c r="A570" t="inlineStr">
        <is>
          <t>INV0013965</t>
        </is>
      </c>
      <c r="B570" t="inlineStr">
        <is>
          <t>MER00658</t>
        </is>
      </c>
      <c r="C570">
        <f>XLOOKUP(B570,Merchants!$A$4:$A$1000,Merchants!$B$4:$B$1000,"Not found")</f>
        <v/>
      </c>
      <c r="D570">
        <f>XLOOKUP(A570,tblInvoices[invoice_id],tblInvoices[expected_fee])</f>
        <v/>
      </c>
      <c r="E570">
        <f>XLOOKUP(A570,tblInvoices[invoice_id],tblInvoices[billed_fee])</f>
        <v/>
      </c>
      <c r="F570">
        <f>E570-D570</f>
        <v/>
      </c>
      <c r="G570">
        <f>IF(D570=0,0,ROUND(100*F570/D570,2))</f>
        <v/>
      </c>
      <c r="H570">
        <f>IF(ABS(F570)&lt;=0.01,"Correct",IF(F570&lt;0,"Underbilled","Overbilled"))</f>
        <v/>
      </c>
    </row>
    <row r="571">
      <c r="A571" t="inlineStr">
        <is>
          <t>INV0014036</t>
        </is>
      </c>
      <c r="B571" t="inlineStr">
        <is>
          <t>MER00662</t>
        </is>
      </c>
      <c r="C571">
        <f>XLOOKUP(B571,Merchants!$A$4:$A$1000,Merchants!$B$4:$B$1000,"Not found")</f>
        <v/>
      </c>
      <c r="D571">
        <f>XLOOKUP(A571,tblInvoices[invoice_id],tblInvoices[expected_fee])</f>
        <v/>
      </c>
      <c r="E571">
        <f>XLOOKUP(A571,tblInvoices[invoice_id],tblInvoices[billed_fee])</f>
        <v/>
      </c>
      <c r="F571">
        <f>E571-D571</f>
        <v/>
      </c>
      <c r="G571">
        <f>IF(D571=0,0,ROUND(100*F571/D571,2))</f>
        <v/>
      </c>
      <c r="H571">
        <f>IF(ABS(F571)&lt;=0.01,"Correct",IF(F571&lt;0,"Underbilled","Overbilled"))</f>
        <v/>
      </c>
    </row>
    <row r="572">
      <c r="A572" t="inlineStr">
        <is>
          <t>INV0014037</t>
        </is>
      </c>
      <c r="B572" t="inlineStr">
        <is>
          <t>MER00662</t>
        </is>
      </c>
      <c r="C572">
        <f>XLOOKUP(B572,Merchants!$A$4:$A$1000,Merchants!$B$4:$B$1000,"Not found")</f>
        <v/>
      </c>
      <c r="D572">
        <f>XLOOKUP(A572,tblInvoices[invoice_id],tblInvoices[expected_fee])</f>
        <v/>
      </c>
      <c r="E572">
        <f>XLOOKUP(A572,tblInvoices[invoice_id],tblInvoices[billed_fee])</f>
        <v/>
      </c>
      <c r="F572">
        <f>E572-D572</f>
        <v/>
      </c>
      <c r="G572">
        <f>IF(D572=0,0,ROUND(100*F572/D572,2))</f>
        <v/>
      </c>
      <c r="H572">
        <f>IF(ABS(F572)&lt;=0.01,"Correct",IF(F572&lt;0,"Underbilled","Overbilled"))</f>
        <v/>
      </c>
    </row>
    <row r="573">
      <c r="A573" t="inlineStr">
        <is>
          <t>INV0014038</t>
        </is>
      </c>
      <c r="B573" t="inlineStr">
        <is>
          <t>MER00662</t>
        </is>
      </c>
      <c r="C573">
        <f>XLOOKUP(B573,Merchants!$A$4:$A$1000,Merchants!$B$4:$B$1000,"Not found")</f>
        <v/>
      </c>
      <c r="D573">
        <f>XLOOKUP(A573,tblInvoices[invoice_id],tblInvoices[expected_fee])</f>
        <v/>
      </c>
      <c r="E573">
        <f>XLOOKUP(A573,tblInvoices[invoice_id],tblInvoices[billed_fee])</f>
        <v/>
      </c>
      <c r="F573">
        <f>E573-D573</f>
        <v/>
      </c>
      <c r="G573">
        <f>IF(D573=0,0,ROUND(100*F573/D573,2))</f>
        <v/>
      </c>
      <c r="H573">
        <f>IF(ABS(F573)&lt;=0.01,"Correct",IF(F573&lt;0,"Underbilled","Overbilled"))</f>
        <v/>
      </c>
    </row>
    <row r="574">
      <c r="A574" t="inlineStr">
        <is>
          <t>INV0014039</t>
        </is>
      </c>
      <c r="B574" t="inlineStr">
        <is>
          <t>MER00662</t>
        </is>
      </c>
      <c r="C574">
        <f>XLOOKUP(B574,Merchants!$A$4:$A$1000,Merchants!$B$4:$B$1000,"Not found")</f>
        <v/>
      </c>
      <c r="D574">
        <f>XLOOKUP(A574,tblInvoices[invoice_id],tblInvoices[expected_fee])</f>
        <v/>
      </c>
      <c r="E574">
        <f>XLOOKUP(A574,tblInvoices[invoice_id],tblInvoices[billed_fee])</f>
        <v/>
      </c>
      <c r="F574">
        <f>E574-D574</f>
        <v/>
      </c>
      <c r="G574">
        <f>IF(D574=0,0,ROUND(100*F574/D574,2))</f>
        <v/>
      </c>
      <c r="H574">
        <f>IF(ABS(F574)&lt;=0.01,"Correct",IF(F574&lt;0,"Underbilled","Overbilled"))</f>
        <v/>
      </c>
    </row>
    <row r="575">
      <c r="A575" t="inlineStr">
        <is>
          <t>INV0014040</t>
        </is>
      </c>
      <c r="B575" t="inlineStr">
        <is>
          <t>MER00662</t>
        </is>
      </c>
      <c r="C575">
        <f>XLOOKUP(B575,Merchants!$A$4:$A$1000,Merchants!$B$4:$B$1000,"Not found")</f>
        <v/>
      </c>
      <c r="D575">
        <f>XLOOKUP(A575,tblInvoices[invoice_id],tblInvoices[expected_fee])</f>
        <v/>
      </c>
      <c r="E575">
        <f>XLOOKUP(A575,tblInvoices[invoice_id],tblInvoices[billed_fee])</f>
        <v/>
      </c>
      <c r="F575">
        <f>E575-D575</f>
        <v/>
      </c>
      <c r="G575">
        <f>IF(D575=0,0,ROUND(100*F575/D575,2))</f>
        <v/>
      </c>
      <c r="H575">
        <f>IF(ABS(F575)&lt;=0.01,"Correct",IF(F575&lt;0,"Underbilled","Overbilled"))</f>
        <v/>
      </c>
    </row>
    <row r="576">
      <c r="A576" t="inlineStr">
        <is>
          <t>INV0014041</t>
        </is>
      </c>
      <c r="B576" t="inlineStr">
        <is>
          <t>MER00662</t>
        </is>
      </c>
      <c r="C576">
        <f>XLOOKUP(B576,Merchants!$A$4:$A$1000,Merchants!$B$4:$B$1000,"Not found")</f>
        <v/>
      </c>
      <c r="D576">
        <f>XLOOKUP(A576,tblInvoices[invoice_id],tblInvoices[expected_fee])</f>
        <v/>
      </c>
      <c r="E576">
        <f>XLOOKUP(A576,tblInvoices[invoice_id],tblInvoices[billed_fee])</f>
        <v/>
      </c>
      <c r="F576">
        <f>E576-D576</f>
        <v/>
      </c>
      <c r="G576">
        <f>IF(D576=0,0,ROUND(100*F576/D576,2))</f>
        <v/>
      </c>
      <c r="H576">
        <f>IF(ABS(F576)&lt;=0.01,"Correct",IF(F576&lt;0,"Underbilled","Overbilled"))</f>
        <v/>
      </c>
    </row>
    <row r="577">
      <c r="A577" t="inlineStr">
        <is>
          <t>INV0014042</t>
        </is>
      </c>
      <c r="B577" t="inlineStr">
        <is>
          <t>MER00662</t>
        </is>
      </c>
      <c r="C577">
        <f>XLOOKUP(B577,Merchants!$A$4:$A$1000,Merchants!$B$4:$B$1000,"Not found")</f>
        <v/>
      </c>
      <c r="D577">
        <f>XLOOKUP(A577,tblInvoices[invoice_id],tblInvoices[expected_fee])</f>
        <v/>
      </c>
      <c r="E577">
        <f>XLOOKUP(A577,tblInvoices[invoice_id],tblInvoices[billed_fee])</f>
        <v/>
      </c>
      <c r="F577">
        <f>E577-D577</f>
        <v/>
      </c>
      <c r="G577">
        <f>IF(D577=0,0,ROUND(100*F577/D577,2))</f>
        <v/>
      </c>
      <c r="H577">
        <f>IF(ABS(F577)&lt;=0.01,"Correct",IF(F577&lt;0,"Underbilled","Overbilled"))</f>
        <v/>
      </c>
    </row>
    <row r="578">
      <c r="A578" t="inlineStr">
        <is>
          <t>INV0014043</t>
        </is>
      </c>
      <c r="B578" t="inlineStr">
        <is>
          <t>MER00662</t>
        </is>
      </c>
      <c r="C578">
        <f>XLOOKUP(B578,Merchants!$A$4:$A$1000,Merchants!$B$4:$B$1000,"Not found")</f>
        <v/>
      </c>
      <c r="D578">
        <f>XLOOKUP(A578,tblInvoices[invoice_id],tblInvoices[expected_fee])</f>
        <v/>
      </c>
      <c r="E578">
        <f>XLOOKUP(A578,tblInvoices[invoice_id],tblInvoices[billed_fee])</f>
        <v/>
      </c>
      <c r="F578">
        <f>E578-D578</f>
        <v/>
      </c>
      <c r="G578">
        <f>IF(D578=0,0,ROUND(100*F578/D578,2))</f>
        <v/>
      </c>
      <c r="H578">
        <f>IF(ABS(F578)&lt;=0.01,"Correct",IF(F578&lt;0,"Underbilled","Overbilled"))</f>
        <v/>
      </c>
    </row>
    <row r="579">
      <c r="A579" t="inlineStr">
        <is>
          <t>INV0014044</t>
        </is>
      </c>
      <c r="B579" t="inlineStr">
        <is>
          <t>MER00662</t>
        </is>
      </c>
      <c r="C579">
        <f>XLOOKUP(B579,Merchants!$A$4:$A$1000,Merchants!$B$4:$B$1000,"Not found")</f>
        <v/>
      </c>
      <c r="D579">
        <f>XLOOKUP(A579,tblInvoices[invoice_id],tblInvoices[expected_fee])</f>
        <v/>
      </c>
      <c r="E579">
        <f>XLOOKUP(A579,tblInvoices[invoice_id],tblInvoices[billed_fee])</f>
        <v/>
      </c>
      <c r="F579">
        <f>E579-D579</f>
        <v/>
      </c>
      <c r="G579">
        <f>IF(D579=0,0,ROUND(100*F579/D579,2))</f>
        <v/>
      </c>
      <c r="H579">
        <f>IF(ABS(F579)&lt;=0.01,"Correct",IF(F579&lt;0,"Underbilled","Overbilled"))</f>
        <v/>
      </c>
    </row>
    <row r="580">
      <c r="A580" t="inlineStr">
        <is>
          <t>INV0014045</t>
        </is>
      </c>
      <c r="B580" t="inlineStr">
        <is>
          <t>MER00662</t>
        </is>
      </c>
      <c r="C580">
        <f>XLOOKUP(B580,Merchants!$A$4:$A$1000,Merchants!$B$4:$B$1000,"Not found")</f>
        <v/>
      </c>
      <c r="D580">
        <f>XLOOKUP(A580,tblInvoices[invoice_id],tblInvoices[expected_fee])</f>
        <v/>
      </c>
      <c r="E580">
        <f>XLOOKUP(A580,tblInvoices[invoice_id],tblInvoices[billed_fee])</f>
        <v/>
      </c>
      <c r="F580">
        <f>E580-D580</f>
        <v/>
      </c>
      <c r="G580">
        <f>IF(D580=0,0,ROUND(100*F580/D580,2))</f>
        <v/>
      </c>
      <c r="H580">
        <f>IF(ABS(F580)&lt;=0.01,"Correct",IF(F580&lt;0,"Underbilled","Overbilled"))</f>
        <v/>
      </c>
    </row>
    <row r="581">
      <c r="A581" t="inlineStr">
        <is>
          <t>INV0014046</t>
        </is>
      </c>
      <c r="B581" t="inlineStr">
        <is>
          <t>MER00662</t>
        </is>
      </c>
      <c r="C581">
        <f>XLOOKUP(B581,Merchants!$A$4:$A$1000,Merchants!$B$4:$B$1000,"Not found")</f>
        <v/>
      </c>
      <c r="D581">
        <f>XLOOKUP(A581,tblInvoices[invoice_id],tblInvoices[expected_fee])</f>
        <v/>
      </c>
      <c r="E581">
        <f>XLOOKUP(A581,tblInvoices[invoice_id],tblInvoices[billed_fee])</f>
        <v/>
      </c>
      <c r="F581">
        <f>E581-D581</f>
        <v/>
      </c>
      <c r="G581">
        <f>IF(D581=0,0,ROUND(100*F581/D581,2))</f>
        <v/>
      </c>
      <c r="H581">
        <f>IF(ABS(F581)&lt;=0.01,"Correct",IF(F581&lt;0,"Underbilled","Overbilled"))</f>
        <v/>
      </c>
    </row>
    <row r="582">
      <c r="A582" t="inlineStr">
        <is>
          <t>INV0014047</t>
        </is>
      </c>
      <c r="B582" t="inlineStr">
        <is>
          <t>MER00662</t>
        </is>
      </c>
      <c r="C582">
        <f>XLOOKUP(B582,Merchants!$A$4:$A$1000,Merchants!$B$4:$B$1000,"Not found")</f>
        <v/>
      </c>
      <c r="D582">
        <f>XLOOKUP(A582,tblInvoices[invoice_id],tblInvoices[expected_fee])</f>
        <v/>
      </c>
      <c r="E582">
        <f>XLOOKUP(A582,tblInvoices[invoice_id],tblInvoices[billed_fee])</f>
        <v/>
      </c>
      <c r="F582">
        <f>E582-D582</f>
        <v/>
      </c>
      <c r="G582">
        <f>IF(D582=0,0,ROUND(100*F582/D582,2))</f>
        <v/>
      </c>
      <c r="H582">
        <f>IF(ABS(F582)&lt;=0.01,"Correct",IF(F582&lt;0,"Underbilled","Overbilled"))</f>
        <v/>
      </c>
    </row>
    <row r="583">
      <c r="A583" t="inlineStr">
        <is>
          <t>INV0014048</t>
        </is>
      </c>
      <c r="B583" t="inlineStr">
        <is>
          <t>MER00662</t>
        </is>
      </c>
      <c r="C583">
        <f>XLOOKUP(B583,Merchants!$A$4:$A$1000,Merchants!$B$4:$B$1000,"Not found")</f>
        <v/>
      </c>
      <c r="D583">
        <f>XLOOKUP(A583,tblInvoices[invoice_id],tblInvoices[expected_fee])</f>
        <v/>
      </c>
      <c r="E583">
        <f>XLOOKUP(A583,tblInvoices[invoice_id],tblInvoices[billed_fee])</f>
        <v/>
      </c>
      <c r="F583">
        <f>E583-D583</f>
        <v/>
      </c>
      <c r="G583">
        <f>IF(D583=0,0,ROUND(100*F583/D583,2))</f>
        <v/>
      </c>
      <c r="H583">
        <f>IF(ABS(F583)&lt;=0.01,"Correct",IF(F583&lt;0,"Underbilled","Overbilled"))</f>
        <v/>
      </c>
    </row>
    <row r="584">
      <c r="A584" t="inlineStr">
        <is>
          <t>INV0014049</t>
        </is>
      </c>
      <c r="B584" t="inlineStr">
        <is>
          <t>MER00662</t>
        </is>
      </c>
      <c r="C584">
        <f>XLOOKUP(B584,Merchants!$A$4:$A$1000,Merchants!$B$4:$B$1000,"Not found")</f>
        <v/>
      </c>
      <c r="D584">
        <f>XLOOKUP(A584,tblInvoices[invoice_id],tblInvoices[expected_fee])</f>
        <v/>
      </c>
      <c r="E584">
        <f>XLOOKUP(A584,tblInvoices[invoice_id],tblInvoices[billed_fee])</f>
        <v/>
      </c>
      <c r="F584">
        <f>E584-D584</f>
        <v/>
      </c>
      <c r="G584">
        <f>IF(D584=0,0,ROUND(100*F584/D584,2))</f>
        <v/>
      </c>
      <c r="H584">
        <f>IF(ABS(F584)&lt;=0.01,"Correct",IF(F584&lt;0,"Underbilled","Overbilled"))</f>
        <v/>
      </c>
    </row>
    <row r="585">
      <c r="A585" t="inlineStr">
        <is>
          <t>INV0014050</t>
        </is>
      </c>
      <c r="B585" t="inlineStr">
        <is>
          <t>MER00662</t>
        </is>
      </c>
      <c r="C585">
        <f>XLOOKUP(B585,Merchants!$A$4:$A$1000,Merchants!$B$4:$B$1000,"Not found")</f>
        <v/>
      </c>
      <c r="D585">
        <f>XLOOKUP(A585,tblInvoices[invoice_id],tblInvoices[expected_fee])</f>
        <v/>
      </c>
      <c r="E585">
        <f>XLOOKUP(A585,tblInvoices[invoice_id],tblInvoices[billed_fee])</f>
        <v/>
      </c>
      <c r="F585">
        <f>E585-D585</f>
        <v/>
      </c>
      <c r="G585">
        <f>IF(D585=0,0,ROUND(100*F585/D585,2))</f>
        <v/>
      </c>
      <c r="H585">
        <f>IF(ABS(F585)&lt;=0.01,"Correct",IF(F585&lt;0,"Underbilled","Overbilled"))</f>
        <v/>
      </c>
    </row>
    <row r="586">
      <c r="A586" t="inlineStr">
        <is>
          <t>INV0014051</t>
        </is>
      </c>
      <c r="B586" t="inlineStr">
        <is>
          <t>MER00662</t>
        </is>
      </c>
      <c r="C586">
        <f>XLOOKUP(B586,Merchants!$A$4:$A$1000,Merchants!$B$4:$B$1000,"Not found")</f>
        <v/>
      </c>
      <c r="D586">
        <f>XLOOKUP(A586,tblInvoices[invoice_id],tblInvoices[expected_fee])</f>
        <v/>
      </c>
      <c r="E586">
        <f>XLOOKUP(A586,tblInvoices[invoice_id],tblInvoices[billed_fee])</f>
        <v/>
      </c>
      <c r="F586">
        <f>E586-D586</f>
        <v/>
      </c>
      <c r="G586">
        <f>IF(D586=0,0,ROUND(100*F586/D586,2))</f>
        <v/>
      </c>
      <c r="H586">
        <f>IF(ABS(F586)&lt;=0.01,"Correct",IF(F586&lt;0,"Underbilled","Overbilled"))</f>
        <v/>
      </c>
    </row>
    <row r="587">
      <c r="A587" t="inlineStr">
        <is>
          <t>INV0014052</t>
        </is>
      </c>
      <c r="B587" t="inlineStr">
        <is>
          <t>MER00662</t>
        </is>
      </c>
      <c r="C587">
        <f>XLOOKUP(B587,Merchants!$A$4:$A$1000,Merchants!$B$4:$B$1000,"Not found")</f>
        <v/>
      </c>
      <c r="D587">
        <f>XLOOKUP(A587,tblInvoices[invoice_id],tblInvoices[expected_fee])</f>
        <v/>
      </c>
      <c r="E587">
        <f>XLOOKUP(A587,tblInvoices[invoice_id],tblInvoices[billed_fee])</f>
        <v/>
      </c>
      <c r="F587">
        <f>E587-D587</f>
        <v/>
      </c>
      <c r="G587">
        <f>IF(D587=0,0,ROUND(100*F587/D587,2))</f>
        <v/>
      </c>
      <c r="H587">
        <f>IF(ABS(F587)&lt;=0.01,"Correct",IF(F587&lt;0,"Underbilled","Overbilled"))</f>
        <v/>
      </c>
    </row>
    <row r="588">
      <c r="A588" t="inlineStr">
        <is>
          <t>INV0014053</t>
        </is>
      </c>
      <c r="B588" t="inlineStr">
        <is>
          <t>MER00662</t>
        </is>
      </c>
      <c r="C588">
        <f>XLOOKUP(B588,Merchants!$A$4:$A$1000,Merchants!$B$4:$B$1000,"Not found")</f>
        <v/>
      </c>
      <c r="D588">
        <f>XLOOKUP(A588,tblInvoices[invoice_id],tblInvoices[expected_fee])</f>
        <v/>
      </c>
      <c r="E588">
        <f>XLOOKUP(A588,tblInvoices[invoice_id],tblInvoices[billed_fee])</f>
        <v/>
      </c>
      <c r="F588">
        <f>E588-D588</f>
        <v/>
      </c>
      <c r="G588">
        <f>IF(D588=0,0,ROUND(100*F588/D588,2))</f>
        <v/>
      </c>
      <c r="H588">
        <f>IF(ABS(F588)&lt;=0.01,"Correct",IF(F588&lt;0,"Underbilled","Overbilled"))</f>
        <v/>
      </c>
    </row>
    <row r="589">
      <c r="A589" t="inlineStr">
        <is>
          <t>INV0014054</t>
        </is>
      </c>
      <c r="B589" t="inlineStr">
        <is>
          <t>MER00662</t>
        </is>
      </c>
      <c r="C589">
        <f>XLOOKUP(B589,Merchants!$A$4:$A$1000,Merchants!$B$4:$B$1000,"Not found")</f>
        <v/>
      </c>
      <c r="D589">
        <f>XLOOKUP(A589,tblInvoices[invoice_id],tblInvoices[expected_fee])</f>
        <v/>
      </c>
      <c r="E589">
        <f>XLOOKUP(A589,tblInvoices[invoice_id],tblInvoices[billed_fee])</f>
        <v/>
      </c>
      <c r="F589">
        <f>E589-D589</f>
        <v/>
      </c>
      <c r="G589">
        <f>IF(D589=0,0,ROUND(100*F589/D589,2))</f>
        <v/>
      </c>
      <c r="H589">
        <f>IF(ABS(F589)&lt;=0.01,"Correct",IF(F589&lt;0,"Underbilled","Overbilled"))</f>
        <v/>
      </c>
    </row>
    <row r="590">
      <c r="A590" t="inlineStr">
        <is>
          <t>INV0014055</t>
        </is>
      </c>
      <c r="B590" t="inlineStr">
        <is>
          <t>MER00662</t>
        </is>
      </c>
      <c r="C590">
        <f>XLOOKUP(B590,Merchants!$A$4:$A$1000,Merchants!$B$4:$B$1000,"Not found")</f>
        <v/>
      </c>
      <c r="D590">
        <f>XLOOKUP(A590,tblInvoices[invoice_id],tblInvoices[expected_fee])</f>
        <v/>
      </c>
      <c r="E590">
        <f>XLOOKUP(A590,tblInvoices[invoice_id],tblInvoices[billed_fee])</f>
        <v/>
      </c>
      <c r="F590">
        <f>E590-D590</f>
        <v/>
      </c>
      <c r="G590">
        <f>IF(D590=0,0,ROUND(100*F590/D590,2))</f>
        <v/>
      </c>
      <c r="H590">
        <f>IF(ABS(F590)&lt;=0.01,"Correct",IF(F590&lt;0,"Underbilled","Overbilled"))</f>
        <v/>
      </c>
    </row>
    <row r="591">
      <c r="A591" t="inlineStr">
        <is>
          <t>INV0014056</t>
        </is>
      </c>
      <c r="B591" t="inlineStr">
        <is>
          <t>MER00662</t>
        </is>
      </c>
      <c r="C591">
        <f>XLOOKUP(B591,Merchants!$A$4:$A$1000,Merchants!$B$4:$B$1000,"Not found")</f>
        <v/>
      </c>
      <c r="D591">
        <f>XLOOKUP(A591,tblInvoices[invoice_id],tblInvoices[expected_fee])</f>
        <v/>
      </c>
      <c r="E591">
        <f>XLOOKUP(A591,tblInvoices[invoice_id],tblInvoices[billed_fee])</f>
        <v/>
      </c>
      <c r="F591">
        <f>E591-D591</f>
        <v/>
      </c>
      <c r="G591">
        <f>IF(D591=0,0,ROUND(100*F591/D591,2))</f>
        <v/>
      </c>
      <c r="H591">
        <f>IF(ABS(F591)&lt;=0.01,"Correct",IF(F591&lt;0,"Underbilled","Overbilled"))</f>
        <v/>
      </c>
    </row>
    <row r="592">
      <c r="A592" t="inlineStr">
        <is>
          <t>INV0014057</t>
        </is>
      </c>
      <c r="B592" t="inlineStr">
        <is>
          <t>MER00662</t>
        </is>
      </c>
      <c r="C592">
        <f>XLOOKUP(B592,Merchants!$A$4:$A$1000,Merchants!$B$4:$B$1000,"Not found")</f>
        <v/>
      </c>
      <c r="D592">
        <f>XLOOKUP(A592,tblInvoices[invoice_id],tblInvoices[expected_fee])</f>
        <v/>
      </c>
      <c r="E592">
        <f>XLOOKUP(A592,tblInvoices[invoice_id],tblInvoices[billed_fee])</f>
        <v/>
      </c>
      <c r="F592">
        <f>E592-D592</f>
        <v/>
      </c>
      <c r="G592">
        <f>IF(D592=0,0,ROUND(100*F592/D592,2))</f>
        <v/>
      </c>
      <c r="H592">
        <f>IF(ABS(F592)&lt;=0.01,"Correct",IF(F592&lt;0,"Underbilled","Overbilled"))</f>
        <v/>
      </c>
    </row>
    <row r="593">
      <c r="A593" t="inlineStr">
        <is>
          <t>INV0014058</t>
        </is>
      </c>
      <c r="B593" t="inlineStr">
        <is>
          <t>MER00662</t>
        </is>
      </c>
      <c r="C593">
        <f>XLOOKUP(B593,Merchants!$A$4:$A$1000,Merchants!$B$4:$B$1000,"Not found")</f>
        <v/>
      </c>
      <c r="D593">
        <f>XLOOKUP(A593,tblInvoices[invoice_id],tblInvoices[expected_fee])</f>
        <v/>
      </c>
      <c r="E593">
        <f>XLOOKUP(A593,tblInvoices[invoice_id],tblInvoices[billed_fee])</f>
        <v/>
      </c>
      <c r="F593">
        <f>E593-D593</f>
        <v/>
      </c>
      <c r="G593">
        <f>IF(D593=0,0,ROUND(100*F593/D593,2))</f>
        <v/>
      </c>
      <c r="H593">
        <f>IF(ABS(F593)&lt;=0.01,"Correct",IF(F593&lt;0,"Underbilled","Overbilled"))</f>
        <v/>
      </c>
    </row>
    <row r="594">
      <c r="A594" t="inlineStr">
        <is>
          <t>INV0014059</t>
        </is>
      </c>
      <c r="B594" t="inlineStr">
        <is>
          <t>MER00662</t>
        </is>
      </c>
      <c r="C594">
        <f>XLOOKUP(B594,Merchants!$A$4:$A$1000,Merchants!$B$4:$B$1000,"Not found")</f>
        <v/>
      </c>
      <c r="D594">
        <f>XLOOKUP(A594,tblInvoices[invoice_id],tblInvoices[expected_fee])</f>
        <v/>
      </c>
      <c r="E594">
        <f>XLOOKUP(A594,tblInvoices[invoice_id],tblInvoices[billed_fee])</f>
        <v/>
      </c>
      <c r="F594">
        <f>E594-D594</f>
        <v/>
      </c>
      <c r="G594">
        <f>IF(D594=0,0,ROUND(100*F594/D594,2))</f>
        <v/>
      </c>
      <c r="H594">
        <f>IF(ABS(F594)&lt;=0.01,"Correct",IF(F594&lt;0,"Underbilled","Overbilled"))</f>
        <v/>
      </c>
    </row>
    <row r="595">
      <c r="A595" t="inlineStr">
        <is>
          <t>INV0014962</t>
        </is>
      </c>
      <c r="B595" t="inlineStr">
        <is>
          <t>MER00707</t>
        </is>
      </c>
      <c r="C595">
        <f>XLOOKUP(B595,Merchants!$A$4:$A$1000,Merchants!$B$4:$B$1000,"Not found")</f>
        <v/>
      </c>
      <c r="D595">
        <f>XLOOKUP(A595,tblInvoices[invoice_id],tblInvoices[expected_fee])</f>
        <v/>
      </c>
      <c r="E595">
        <f>XLOOKUP(A595,tblInvoices[invoice_id],tblInvoices[billed_fee])</f>
        <v/>
      </c>
      <c r="F595">
        <f>E595-D595</f>
        <v/>
      </c>
      <c r="G595">
        <f>IF(D595=0,0,ROUND(100*F595/D595,2))</f>
        <v/>
      </c>
      <c r="H595">
        <f>IF(ABS(F595)&lt;=0.01,"Correct",IF(F595&lt;0,"Underbilled","Overbilled"))</f>
        <v/>
      </c>
    </row>
    <row r="596">
      <c r="A596" t="inlineStr">
        <is>
          <t>INV0014963</t>
        </is>
      </c>
      <c r="B596" t="inlineStr">
        <is>
          <t>MER00707</t>
        </is>
      </c>
      <c r="C596">
        <f>XLOOKUP(B596,Merchants!$A$4:$A$1000,Merchants!$B$4:$B$1000,"Not found")</f>
        <v/>
      </c>
      <c r="D596">
        <f>XLOOKUP(A596,tblInvoices[invoice_id],tblInvoices[expected_fee])</f>
        <v/>
      </c>
      <c r="E596">
        <f>XLOOKUP(A596,tblInvoices[invoice_id],tblInvoices[billed_fee])</f>
        <v/>
      </c>
      <c r="F596">
        <f>E596-D596</f>
        <v/>
      </c>
      <c r="G596">
        <f>IF(D596=0,0,ROUND(100*F596/D596,2))</f>
        <v/>
      </c>
      <c r="H596">
        <f>IF(ABS(F596)&lt;=0.01,"Correct",IF(F596&lt;0,"Underbilled","Overbilled"))</f>
        <v/>
      </c>
    </row>
    <row r="597">
      <c r="A597" t="inlineStr">
        <is>
          <t>INV0014964</t>
        </is>
      </c>
      <c r="B597" t="inlineStr">
        <is>
          <t>MER00707</t>
        </is>
      </c>
      <c r="C597">
        <f>XLOOKUP(B597,Merchants!$A$4:$A$1000,Merchants!$B$4:$B$1000,"Not found")</f>
        <v/>
      </c>
      <c r="D597">
        <f>XLOOKUP(A597,tblInvoices[invoice_id],tblInvoices[expected_fee])</f>
        <v/>
      </c>
      <c r="E597">
        <f>XLOOKUP(A597,tblInvoices[invoice_id],tblInvoices[billed_fee])</f>
        <v/>
      </c>
      <c r="F597">
        <f>E597-D597</f>
        <v/>
      </c>
      <c r="G597">
        <f>IF(D597=0,0,ROUND(100*F597/D597,2))</f>
        <v/>
      </c>
      <c r="H597">
        <f>IF(ABS(F597)&lt;=0.01,"Correct",IF(F597&lt;0,"Underbilled","Overbilled"))</f>
        <v/>
      </c>
    </row>
    <row r="598">
      <c r="A598" t="inlineStr">
        <is>
          <t>INV0014965</t>
        </is>
      </c>
      <c r="B598" t="inlineStr">
        <is>
          <t>MER00707</t>
        </is>
      </c>
      <c r="C598">
        <f>XLOOKUP(B598,Merchants!$A$4:$A$1000,Merchants!$B$4:$B$1000,"Not found")</f>
        <v/>
      </c>
      <c r="D598">
        <f>XLOOKUP(A598,tblInvoices[invoice_id],tblInvoices[expected_fee])</f>
        <v/>
      </c>
      <c r="E598">
        <f>XLOOKUP(A598,tblInvoices[invoice_id],tblInvoices[billed_fee])</f>
        <v/>
      </c>
      <c r="F598">
        <f>E598-D598</f>
        <v/>
      </c>
      <c r="G598">
        <f>IF(D598=0,0,ROUND(100*F598/D598,2))</f>
        <v/>
      </c>
      <c r="H598">
        <f>IF(ABS(F598)&lt;=0.01,"Correct",IF(F598&lt;0,"Underbilled","Overbilled"))</f>
        <v/>
      </c>
    </row>
    <row r="599">
      <c r="A599" t="inlineStr">
        <is>
          <t>INV0014966</t>
        </is>
      </c>
      <c r="B599" t="inlineStr">
        <is>
          <t>MER00707</t>
        </is>
      </c>
      <c r="C599">
        <f>XLOOKUP(B599,Merchants!$A$4:$A$1000,Merchants!$B$4:$B$1000,"Not found")</f>
        <v/>
      </c>
      <c r="D599">
        <f>XLOOKUP(A599,tblInvoices[invoice_id],tblInvoices[expected_fee])</f>
        <v/>
      </c>
      <c r="E599">
        <f>XLOOKUP(A599,tblInvoices[invoice_id],tblInvoices[billed_fee])</f>
        <v/>
      </c>
      <c r="F599">
        <f>E599-D599</f>
        <v/>
      </c>
      <c r="G599">
        <f>IF(D599=0,0,ROUND(100*F599/D599,2))</f>
        <v/>
      </c>
      <c r="H599">
        <f>IF(ABS(F599)&lt;=0.01,"Correct",IF(F599&lt;0,"Underbilled","Overbilled"))</f>
        <v/>
      </c>
    </row>
    <row r="600">
      <c r="A600" t="inlineStr">
        <is>
          <t>INV0014967</t>
        </is>
      </c>
      <c r="B600" t="inlineStr">
        <is>
          <t>MER00707</t>
        </is>
      </c>
      <c r="C600">
        <f>XLOOKUP(B600,Merchants!$A$4:$A$1000,Merchants!$B$4:$B$1000,"Not found")</f>
        <v/>
      </c>
      <c r="D600">
        <f>XLOOKUP(A600,tblInvoices[invoice_id],tblInvoices[expected_fee])</f>
        <v/>
      </c>
      <c r="E600">
        <f>XLOOKUP(A600,tblInvoices[invoice_id],tblInvoices[billed_fee])</f>
        <v/>
      </c>
      <c r="F600">
        <f>E600-D600</f>
        <v/>
      </c>
      <c r="G600">
        <f>IF(D600=0,0,ROUND(100*F600/D600,2))</f>
        <v/>
      </c>
      <c r="H600">
        <f>IF(ABS(F600)&lt;=0.01,"Correct",IF(F600&lt;0,"Underbilled","Overbilled"))</f>
        <v/>
      </c>
    </row>
    <row r="601">
      <c r="A601" t="inlineStr">
        <is>
          <t>INV0014968</t>
        </is>
      </c>
      <c r="B601" t="inlineStr">
        <is>
          <t>MER00707</t>
        </is>
      </c>
      <c r="C601">
        <f>XLOOKUP(B601,Merchants!$A$4:$A$1000,Merchants!$B$4:$B$1000,"Not found")</f>
        <v/>
      </c>
      <c r="D601">
        <f>XLOOKUP(A601,tblInvoices[invoice_id],tblInvoices[expected_fee])</f>
        <v/>
      </c>
      <c r="E601">
        <f>XLOOKUP(A601,tblInvoices[invoice_id],tblInvoices[billed_fee])</f>
        <v/>
      </c>
      <c r="F601">
        <f>E601-D601</f>
        <v/>
      </c>
      <c r="G601">
        <f>IF(D601=0,0,ROUND(100*F601/D601,2))</f>
        <v/>
      </c>
      <c r="H601">
        <f>IF(ABS(F601)&lt;=0.01,"Correct",IF(F601&lt;0,"Underbilled","Overbilled"))</f>
        <v/>
      </c>
    </row>
    <row r="602">
      <c r="A602" t="inlineStr">
        <is>
          <t>INV0014969</t>
        </is>
      </c>
      <c r="B602" t="inlineStr">
        <is>
          <t>MER00707</t>
        </is>
      </c>
      <c r="C602">
        <f>XLOOKUP(B602,Merchants!$A$4:$A$1000,Merchants!$B$4:$B$1000,"Not found")</f>
        <v/>
      </c>
      <c r="D602">
        <f>XLOOKUP(A602,tblInvoices[invoice_id],tblInvoices[expected_fee])</f>
        <v/>
      </c>
      <c r="E602">
        <f>XLOOKUP(A602,tblInvoices[invoice_id],tblInvoices[billed_fee])</f>
        <v/>
      </c>
      <c r="F602">
        <f>E602-D602</f>
        <v/>
      </c>
      <c r="G602">
        <f>IF(D602=0,0,ROUND(100*F602/D602,2))</f>
        <v/>
      </c>
      <c r="H602">
        <f>IF(ABS(F602)&lt;=0.01,"Correct",IF(F602&lt;0,"Underbilled","Overbilled"))</f>
        <v/>
      </c>
    </row>
    <row r="603">
      <c r="A603" t="inlineStr">
        <is>
          <t>INV0014970</t>
        </is>
      </c>
      <c r="B603" t="inlineStr">
        <is>
          <t>MER00707</t>
        </is>
      </c>
      <c r="C603">
        <f>XLOOKUP(B603,Merchants!$A$4:$A$1000,Merchants!$B$4:$B$1000,"Not found")</f>
        <v/>
      </c>
      <c r="D603">
        <f>XLOOKUP(A603,tblInvoices[invoice_id],tblInvoices[expected_fee])</f>
        <v/>
      </c>
      <c r="E603">
        <f>XLOOKUP(A603,tblInvoices[invoice_id],tblInvoices[billed_fee])</f>
        <v/>
      </c>
      <c r="F603">
        <f>E603-D603</f>
        <v/>
      </c>
      <c r="G603">
        <f>IF(D603=0,0,ROUND(100*F603/D603,2))</f>
        <v/>
      </c>
      <c r="H603">
        <f>IF(ABS(F603)&lt;=0.01,"Correct",IF(F603&lt;0,"Underbilled","Overbilled"))</f>
        <v/>
      </c>
    </row>
    <row r="604">
      <c r="A604" t="inlineStr">
        <is>
          <t>INV0014971</t>
        </is>
      </c>
      <c r="B604" t="inlineStr">
        <is>
          <t>MER00707</t>
        </is>
      </c>
      <c r="C604">
        <f>XLOOKUP(B604,Merchants!$A$4:$A$1000,Merchants!$B$4:$B$1000,"Not found")</f>
        <v/>
      </c>
      <c r="D604">
        <f>XLOOKUP(A604,tblInvoices[invoice_id],tblInvoices[expected_fee])</f>
        <v/>
      </c>
      <c r="E604">
        <f>XLOOKUP(A604,tblInvoices[invoice_id],tblInvoices[billed_fee])</f>
        <v/>
      </c>
      <c r="F604">
        <f>E604-D604</f>
        <v/>
      </c>
      <c r="G604">
        <f>IF(D604=0,0,ROUND(100*F604/D604,2))</f>
        <v/>
      </c>
      <c r="H604">
        <f>IF(ABS(F604)&lt;=0.01,"Correct",IF(F604&lt;0,"Underbilled","Overbilled"))</f>
        <v/>
      </c>
    </row>
    <row r="605">
      <c r="A605" t="inlineStr">
        <is>
          <t>INV0014972</t>
        </is>
      </c>
      <c r="B605" t="inlineStr">
        <is>
          <t>MER00707</t>
        </is>
      </c>
      <c r="C605">
        <f>XLOOKUP(B605,Merchants!$A$4:$A$1000,Merchants!$B$4:$B$1000,"Not found")</f>
        <v/>
      </c>
      <c r="D605">
        <f>XLOOKUP(A605,tblInvoices[invoice_id],tblInvoices[expected_fee])</f>
        <v/>
      </c>
      <c r="E605">
        <f>XLOOKUP(A605,tblInvoices[invoice_id],tblInvoices[billed_fee])</f>
        <v/>
      </c>
      <c r="F605">
        <f>E605-D605</f>
        <v/>
      </c>
      <c r="G605">
        <f>IF(D605=0,0,ROUND(100*F605/D605,2))</f>
        <v/>
      </c>
      <c r="H605">
        <f>IF(ABS(F605)&lt;=0.01,"Correct",IF(F605&lt;0,"Underbilled","Overbilled"))</f>
        <v/>
      </c>
    </row>
    <row r="606">
      <c r="A606" t="inlineStr">
        <is>
          <t>INV0014973</t>
        </is>
      </c>
      <c r="B606" t="inlineStr">
        <is>
          <t>MER00707</t>
        </is>
      </c>
      <c r="C606">
        <f>XLOOKUP(B606,Merchants!$A$4:$A$1000,Merchants!$B$4:$B$1000,"Not found")</f>
        <v/>
      </c>
      <c r="D606">
        <f>XLOOKUP(A606,tblInvoices[invoice_id],tblInvoices[expected_fee])</f>
        <v/>
      </c>
      <c r="E606">
        <f>XLOOKUP(A606,tblInvoices[invoice_id],tblInvoices[billed_fee])</f>
        <v/>
      </c>
      <c r="F606">
        <f>E606-D606</f>
        <v/>
      </c>
      <c r="G606">
        <f>IF(D606=0,0,ROUND(100*F606/D606,2))</f>
        <v/>
      </c>
      <c r="H606">
        <f>IF(ABS(F606)&lt;=0.01,"Correct",IF(F606&lt;0,"Underbilled","Overbilled"))</f>
        <v/>
      </c>
    </row>
    <row r="607">
      <c r="A607" t="inlineStr">
        <is>
          <t>INV0014974</t>
        </is>
      </c>
      <c r="B607" t="inlineStr">
        <is>
          <t>MER00707</t>
        </is>
      </c>
      <c r="C607">
        <f>XLOOKUP(B607,Merchants!$A$4:$A$1000,Merchants!$B$4:$B$1000,"Not found")</f>
        <v/>
      </c>
      <c r="D607">
        <f>XLOOKUP(A607,tblInvoices[invoice_id],tblInvoices[expected_fee])</f>
        <v/>
      </c>
      <c r="E607">
        <f>XLOOKUP(A607,tblInvoices[invoice_id],tblInvoices[billed_fee])</f>
        <v/>
      </c>
      <c r="F607">
        <f>E607-D607</f>
        <v/>
      </c>
      <c r="G607">
        <f>IF(D607=0,0,ROUND(100*F607/D607,2))</f>
        <v/>
      </c>
      <c r="H607">
        <f>IF(ABS(F607)&lt;=0.01,"Correct",IF(F607&lt;0,"Underbilled","Overbilled"))</f>
        <v/>
      </c>
    </row>
    <row r="608">
      <c r="A608" t="inlineStr">
        <is>
          <t>INV0014975</t>
        </is>
      </c>
      <c r="B608" t="inlineStr">
        <is>
          <t>MER00707</t>
        </is>
      </c>
      <c r="C608">
        <f>XLOOKUP(B608,Merchants!$A$4:$A$1000,Merchants!$B$4:$B$1000,"Not found")</f>
        <v/>
      </c>
      <c r="D608">
        <f>XLOOKUP(A608,tblInvoices[invoice_id],tblInvoices[expected_fee])</f>
        <v/>
      </c>
      <c r="E608">
        <f>XLOOKUP(A608,tblInvoices[invoice_id],tblInvoices[billed_fee])</f>
        <v/>
      </c>
      <c r="F608">
        <f>E608-D608</f>
        <v/>
      </c>
      <c r="G608">
        <f>IF(D608=0,0,ROUND(100*F608/D608,2))</f>
        <v/>
      </c>
      <c r="H608">
        <f>IF(ABS(F608)&lt;=0.01,"Correct",IF(F608&lt;0,"Underbilled","Overbilled"))</f>
        <v/>
      </c>
    </row>
    <row r="609">
      <c r="A609" t="inlineStr">
        <is>
          <t>INV0014976</t>
        </is>
      </c>
      <c r="B609" t="inlineStr">
        <is>
          <t>MER00707</t>
        </is>
      </c>
      <c r="C609">
        <f>XLOOKUP(B609,Merchants!$A$4:$A$1000,Merchants!$B$4:$B$1000,"Not found")</f>
        <v/>
      </c>
      <c r="D609">
        <f>XLOOKUP(A609,tblInvoices[invoice_id],tblInvoices[expected_fee])</f>
        <v/>
      </c>
      <c r="E609">
        <f>XLOOKUP(A609,tblInvoices[invoice_id],tblInvoices[billed_fee])</f>
        <v/>
      </c>
      <c r="F609">
        <f>E609-D609</f>
        <v/>
      </c>
      <c r="G609">
        <f>IF(D609=0,0,ROUND(100*F609/D609,2))</f>
        <v/>
      </c>
      <c r="H609">
        <f>IF(ABS(F609)&lt;=0.01,"Correct",IF(F609&lt;0,"Underbilled","Overbilled"))</f>
        <v/>
      </c>
    </row>
    <row r="610">
      <c r="A610" t="inlineStr">
        <is>
          <t>INV0014977</t>
        </is>
      </c>
      <c r="B610" t="inlineStr">
        <is>
          <t>MER00707</t>
        </is>
      </c>
      <c r="C610">
        <f>XLOOKUP(B610,Merchants!$A$4:$A$1000,Merchants!$B$4:$B$1000,"Not found")</f>
        <v/>
      </c>
      <c r="D610">
        <f>XLOOKUP(A610,tblInvoices[invoice_id],tblInvoices[expected_fee])</f>
        <v/>
      </c>
      <c r="E610">
        <f>XLOOKUP(A610,tblInvoices[invoice_id],tblInvoices[billed_fee])</f>
        <v/>
      </c>
      <c r="F610">
        <f>E610-D610</f>
        <v/>
      </c>
      <c r="G610">
        <f>IF(D610=0,0,ROUND(100*F610/D610,2))</f>
        <v/>
      </c>
      <c r="H610">
        <f>IF(ABS(F610)&lt;=0.01,"Correct",IF(F610&lt;0,"Underbilled","Overbilled"))</f>
        <v/>
      </c>
    </row>
    <row r="611">
      <c r="A611" t="inlineStr">
        <is>
          <t>INV0014978</t>
        </is>
      </c>
      <c r="B611" t="inlineStr">
        <is>
          <t>MER00707</t>
        </is>
      </c>
      <c r="C611">
        <f>XLOOKUP(B611,Merchants!$A$4:$A$1000,Merchants!$B$4:$B$1000,"Not found")</f>
        <v/>
      </c>
      <c r="D611">
        <f>XLOOKUP(A611,tblInvoices[invoice_id],tblInvoices[expected_fee])</f>
        <v/>
      </c>
      <c r="E611">
        <f>XLOOKUP(A611,tblInvoices[invoice_id],tblInvoices[billed_fee])</f>
        <v/>
      </c>
      <c r="F611">
        <f>E611-D611</f>
        <v/>
      </c>
      <c r="G611">
        <f>IF(D611=0,0,ROUND(100*F611/D611,2))</f>
        <v/>
      </c>
      <c r="H611">
        <f>IF(ABS(F611)&lt;=0.01,"Correct",IF(F611&lt;0,"Underbilled","Overbilled"))</f>
        <v/>
      </c>
    </row>
    <row r="612">
      <c r="A612" t="inlineStr">
        <is>
          <t>INV0014979</t>
        </is>
      </c>
      <c r="B612" t="inlineStr">
        <is>
          <t>MER00707</t>
        </is>
      </c>
      <c r="C612">
        <f>XLOOKUP(B612,Merchants!$A$4:$A$1000,Merchants!$B$4:$B$1000,"Not found")</f>
        <v/>
      </c>
      <c r="D612">
        <f>XLOOKUP(A612,tblInvoices[invoice_id],tblInvoices[expected_fee])</f>
        <v/>
      </c>
      <c r="E612">
        <f>XLOOKUP(A612,tblInvoices[invoice_id],tblInvoices[billed_fee])</f>
        <v/>
      </c>
      <c r="F612">
        <f>E612-D612</f>
        <v/>
      </c>
      <c r="G612">
        <f>IF(D612=0,0,ROUND(100*F612/D612,2))</f>
        <v/>
      </c>
      <c r="H612">
        <f>IF(ABS(F612)&lt;=0.01,"Correct",IF(F612&lt;0,"Underbilled","Overbilled"))</f>
        <v/>
      </c>
    </row>
    <row r="613">
      <c r="A613" t="inlineStr">
        <is>
          <t>INV0014980</t>
        </is>
      </c>
      <c r="B613" t="inlineStr">
        <is>
          <t>MER00707</t>
        </is>
      </c>
      <c r="C613">
        <f>XLOOKUP(B613,Merchants!$A$4:$A$1000,Merchants!$B$4:$B$1000,"Not found")</f>
        <v/>
      </c>
      <c r="D613">
        <f>XLOOKUP(A613,tblInvoices[invoice_id],tblInvoices[expected_fee])</f>
        <v/>
      </c>
      <c r="E613">
        <f>XLOOKUP(A613,tblInvoices[invoice_id],tblInvoices[billed_fee])</f>
        <v/>
      </c>
      <c r="F613">
        <f>E613-D613</f>
        <v/>
      </c>
      <c r="G613">
        <f>IF(D613=0,0,ROUND(100*F613/D613,2))</f>
        <v/>
      </c>
      <c r="H613">
        <f>IF(ABS(F613)&lt;=0.01,"Correct",IF(F613&lt;0,"Underbilled","Overbilled"))</f>
        <v/>
      </c>
    </row>
    <row r="614">
      <c r="A614" t="inlineStr">
        <is>
          <t>INV0014981</t>
        </is>
      </c>
      <c r="B614" t="inlineStr">
        <is>
          <t>MER00707</t>
        </is>
      </c>
      <c r="C614">
        <f>XLOOKUP(B614,Merchants!$A$4:$A$1000,Merchants!$B$4:$B$1000,"Not found")</f>
        <v/>
      </c>
      <c r="D614">
        <f>XLOOKUP(A614,tblInvoices[invoice_id],tblInvoices[expected_fee])</f>
        <v/>
      </c>
      <c r="E614">
        <f>XLOOKUP(A614,tblInvoices[invoice_id],tblInvoices[billed_fee])</f>
        <v/>
      </c>
      <c r="F614">
        <f>E614-D614</f>
        <v/>
      </c>
      <c r="G614">
        <f>IF(D614=0,0,ROUND(100*F614/D614,2))</f>
        <v/>
      </c>
      <c r="H614">
        <f>IF(ABS(F614)&lt;=0.01,"Correct",IF(F614&lt;0,"Underbilled","Overbilled"))</f>
        <v/>
      </c>
    </row>
    <row r="615">
      <c r="A615" t="inlineStr">
        <is>
          <t>INV0014982</t>
        </is>
      </c>
      <c r="B615" t="inlineStr">
        <is>
          <t>MER00707</t>
        </is>
      </c>
      <c r="C615">
        <f>XLOOKUP(B615,Merchants!$A$4:$A$1000,Merchants!$B$4:$B$1000,"Not found")</f>
        <v/>
      </c>
      <c r="D615">
        <f>XLOOKUP(A615,tblInvoices[invoice_id],tblInvoices[expected_fee])</f>
        <v/>
      </c>
      <c r="E615">
        <f>XLOOKUP(A615,tblInvoices[invoice_id],tblInvoices[billed_fee])</f>
        <v/>
      </c>
      <c r="F615">
        <f>E615-D615</f>
        <v/>
      </c>
      <c r="G615">
        <f>IF(D615=0,0,ROUND(100*F615/D615,2))</f>
        <v/>
      </c>
      <c r="H615">
        <f>IF(ABS(F615)&lt;=0.01,"Correct",IF(F615&lt;0,"Underbilled","Overbilled"))</f>
        <v/>
      </c>
    </row>
    <row r="616">
      <c r="A616" t="inlineStr">
        <is>
          <t>INV0014983</t>
        </is>
      </c>
      <c r="B616" t="inlineStr">
        <is>
          <t>MER00707</t>
        </is>
      </c>
      <c r="C616">
        <f>XLOOKUP(B616,Merchants!$A$4:$A$1000,Merchants!$B$4:$B$1000,"Not found")</f>
        <v/>
      </c>
      <c r="D616">
        <f>XLOOKUP(A616,tblInvoices[invoice_id],tblInvoices[expected_fee])</f>
        <v/>
      </c>
      <c r="E616">
        <f>XLOOKUP(A616,tblInvoices[invoice_id],tblInvoices[billed_fee])</f>
        <v/>
      </c>
      <c r="F616">
        <f>E616-D616</f>
        <v/>
      </c>
      <c r="G616">
        <f>IF(D616=0,0,ROUND(100*F616/D616,2))</f>
        <v/>
      </c>
      <c r="H616">
        <f>IF(ABS(F616)&lt;=0.01,"Correct",IF(F616&lt;0,"Underbilled","Overbilled"))</f>
        <v/>
      </c>
    </row>
    <row r="617">
      <c r="A617" t="inlineStr">
        <is>
          <t>INV0014984</t>
        </is>
      </c>
      <c r="B617" t="inlineStr">
        <is>
          <t>MER00707</t>
        </is>
      </c>
      <c r="C617">
        <f>XLOOKUP(B617,Merchants!$A$4:$A$1000,Merchants!$B$4:$B$1000,"Not found")</f>
        <v/>
      </c>
      <c r="D617">
        <f>XLOOKUP(A617,tblInvoices[invoice_id],tblInvoices[expected_fee])</f>
        <v/>
      </c>
      <c r="E617">
        <f>XLOOKUP(A617,tblInvoices[invoice_id],tblInvoices[billed_fee])</f>
        <v/>
      </c>
      <c r="F617">
        <f>E617-D617</f>
        <v/>
      </c>
      <c r="G617">
        <f>IF(D617=0,0,ROUND(100*F617/D617,2))</f>
        <v/>
      </c>
      <c r="H617">
        <f>IF(ABS(F617)&lt;=0.01,"Correct",IF(F617&lt;0,"Underbilled","Overbilled"))</f>
        <v/>
      </c>
    </row>
    <row r="618">
      <c r="A618" t="inlineStr">
        <is>
          <t>INV0014985</t>
        </is>
      </c>
      <c r="B618" t="inlineStr">
        <is>
          <t>MER00707</t>
        </is>
      </c>
      <c r="C618">
        <f>XLOOKUP(B618,Merchants!$A$4:$A$1000,Merchants!$B$4:$B$1000,"Not found")</f>
        <v/>
      </c>
      <c r="D618">
        <f>XLOOKUP(A618,tblInvoices[invoice_id],tblInvoices[expected_fee])</f>
        <v/>
      </c>
      <c r="E618">
        <f>XLOOKUP(A618,tblInvoices[invoice_id],tblInvoices[billed_fee])</f>
        <v/>
      </c>
      <c r="F618">
        <f>E618-D618</f>
        <v/>
      </c>
      <c r="G618">
        <f>IF(D618=0,0,ROUND(100*F618/D618,2))</f>
        <v/>
      </c>
      <c r="H618">
        <f>IF(ABS(F618)&lt;=0.01,"Correct",IF(F618&lt;0,"Underbilled","Overbilled"))</f>
        <v/>
      </c>
    </row>
    <row r="619">
      <c r="A619" t="inlineStr">
        <is>
          <t>INV0014986</t>
        </is>
      </c>
      <c r="B619" t="inlineStr">
        <is>
          <t>MER00708</t>
        </is>
      </c>
      <c r="C619">
        <f>XLOOKUP(B619,Merchants!$A$4:$A$1000,Merchants!$B$4:$B$1000,"Not found")</f>
        <v/>
      </c>
      <c r="D619">
        <f>XLOOKUP(A619,tblInvoices[invoice_id],tblInvoices[expected_fee])</f>
        <v/>
      </c>
      <c r="E619">
        <f>XLOOKUP(A619,tblInvoices[invoice_id],tblInvoices[billed_fee])</f>
        <v/>
      </c>
      <c r="F619">
        <f>E619-D619</f>
        <v/>
      </c>
      <c r="G619">
        <f>IF(D619=0,0,ROUND(100*F619/D619,2))</f>
        <v/>
      </c>
      <c r="H619">
        <f>IF(ABS(F619)&lt;=0.01,"Correct",IF(F619&lt;0,"Underbilled","Overbilled"))</f>
        <v/>
      </c>
    </row>
    <row r="620">
      <c r="A620" t="inlineStr">
        <is>
          <t>INV0014987</t>
        </is>
      </c>
      <c r="B620" t="inlineStr">
        <is>
          <t>MER00708</t>
        </is>
      </c>
      <c r="C620">
        <f>XLOOKUP(B620,Merchants!$A$4:$A$1000,Merchants!$B$4:$B$1000,"Not found")</f>
        <v/>
      </c>
      <c r="D620">
        <f>XLOOKUP(A620,tblInvoices[invoice_id],tblInvoices[expected_fee])</f>
        <v/>
      </c>
      <c r="E620">
        <f>XLOOKUP(A620,tblInvoices[invoice_id],tblInvoices[billed_fee])</f>
        <v/>
      </c>
      <c r="F620">
        <f>E620-D620</f>
        <v/>
      </c>
      <c r="G620">
        <f>IF(D620=0,0,ROUND(100*F620/D620,2))</f>
        <v/>
      </c>
      <c r="H620">
        <f>IF(ABS(F620)&lt;=0.01,"Correct",IF(F620&lt;0,"Underbilled","Overbilled"))</f>
        <v/>
      </c>
    </row>
    <row r="621">
      <c r="A621" t="inlineStr">
        <is>
          <t>INV0014988</t>
        </is>
      </c>
      <c r="B621" t="inlineStr">
        <is>
          <t>MER00708</t>
        </is>
      </c>
      <c r="C621">
        <f>XLOOKUP(B621,Merchants!$A$4:$A$1000,Merchants!$B$4:$B$1000,"Not found")</f>
        <v/>
      </c>
      <c r="D621">
        <f>XLOOKUP(A621,tblInvoices[invoice_id],tblInvoices[expected_fee])</f>
        <v/>
      </c>
      <c r="E621">
        <f>XLOOKUP(A621,tblInvoices[invoice_id],tblInvoices[billed_fee])</f>
        <v/>
      </c>
      <c r="F621">
        <f>E621-D621</f>
        <v/>
      </c>
      <c r="G621">
        <f>IF(D621=0,0,ROUND(100*F621/D621,2))</f>
        <v/>
      </c>
      <c r="H621">
        <f>IF(ABS(F621)&lt;=0.01,"Correct",IF(F621&lt;0,"Underbilled","Overbilled"))</f>
        <v/>
      </c>
    </row>
    <row r="622">
      <c r="A622" t="inlineStr">
        <is>
          <t>INV0014989</t>
        </is>
      </c>
      <c r="B622" t="inlineStr">
        <is>
          <t>MER00708</t>
        </is>
      </c>
      <c r="C622">
        <f>XLOOKUP(B622,Merchants!$A$4:$A$1000,Merchants!$B$4:$B$1000,"Not found")</f>
        <v/>
      </c>
      <c r="D622">
        <f>XLOOKUP(A622,tblInvoices[invoice_id],tblInvoices[expected_fee])</f>
        <v/>
      </c>
      <c r="E622">
        <f>XLOOKUP(A622,tblInvoices[invoice_id],tblInvoices[billed_fee])</f>
        <v/>
      </c>
      <c r="F622">
        <f>E622-D622</f>
        <v/>
      </c>
      <c r="G622">
        <f>IF(D622=0,0,ROUND(100*F622/D622,2))</f>
        <v/>
      </c>
      <c r="H622">
        <f>IF(ABS(F622)&lt;=0.01,"Correct",IF(F622&lt;0,"Underbilled","Overbilled"))</f>
        <v/>
      </c>
    </row>
    <row r="623">
      <c r="A623" t="inlineStr">
        <is>
          <t>INV0014990</t>
        </is>
      </c>
      <c r="B623" t="inlineStr">
        <is>
          <t>MER00708</t>
        </is>
      </c>
      <c r="C623">
        <f>XLOOKUP(B623,Merchants!$A$4:$A$1000,Merchants!$B$4:$B$1000,"Not found")</f>
        <v/>
      </c>
      <c r="D623">
        <f>XLOOKUP(A623,tblInvoices[invoice_id],tblInvoices[expected_fee])</f>
        <v/>
      </c>
      <c r="E623">
        <f>XLOOKUP(A623,tblInvoices[invoice_id],tblInvoices[billed_fee])</f>
        <v/>
      </c>
      <c r="F623">
        <f>E623-D623</f>
        <v/>
      </c>
      <c r="G623">
        <f>IF(D623=0,0,ROUND(100*F623/D623,2))</f>
        <v/>
      </c>
      <c r="H623">
        <f>IF(ABS(F623)&lt;=0.01,"Correct",IF(F623&lt;0,"Underbilled","Overbilled"))</f>
        <v/>
      </c>
    </row>
    <row r="624">
      <c r="A624" t="inlineStr">
        <is>
          <t>INV0014991</t>
        </is>
      </c>
      <c r="B624" t="inlineStr">
        <is>
          <t>MER00708</t>
        </is>
      </c>
      <c r="C624">
        <f>XLOOKUP(B624,Merchants!$A$4:$A$1000,Merchants!$B$4:$B$1000,"Not found")</f>
        <v/>
      </c>
      <c r="D624">
        <f>XLOOKUP(A624,tblInvoices[invoice_id],tblInvoices[expected_fee])</f>
        <v/>
      </c>
      <c r="E624">
        <f>XLOOKUP(A624,tblInvoices[invoice_id],tblInvoices[billed_fee])</f>
        <v/>
      </c>
      <c r="F624">
        <f>E624-D624</f>
        <v/>
      </c>
      <c r="G624">
        <f>IF(D624=0,0,ROUND(100*F624/D624,2))</f>
        <v/>
      </c>
      <c r="H624">
        <f>IF(ABS(F624)&lt;=0.01,"Correct",IF(F624&lt;0,"Underbilled","Overbilled"))</f>
        <v/>
      </c>
    </row>
    <row r="625">
      <c r="A625" t="inlineStr">
        <is>
          <t>INV0014992</t>
        </is>
      </c>
      <c r="B625" t="inlineStr">
        <is>
          <t>MER00708</t>
        </is>
      </c>
      <c r="C625">
        <f>XLOOKUP(B625,Merchants!$A$4:$A$1000,Merchants!$B$4:$B$1000,"Not found")</f>
        <v/>
      </c>
      <c r="D625">
        <f>XLOOKUP(A625,tblInvoices[invoice_id],tblInvoices[expected_fee])</f>
        <v/>
      </c>
      <c r="E625">
        <f>XLOOKUP(A625,tblInvoices[invoice_id],tblInvoices[billed_fee])</f>
        <v/>
      </c>
      <c r="F625">
        <f>E625-D625</f>
        <v/>
      </c>
      <c r="G625">
        <f>IF(D625=0,0,ROUND(100*F625/D625,2))</f>
        <v/>
      </c>
      <c r="H625">
        <f>IF(ABS(F625)&lt;=0.01,"Correct",IF(F625&lt;0,"Underbilled","Overbilled"))</f>
        <v/>
      </c>
    </row>
    <row r="626">
      <c r="A626" t="inlineStr">
        <is>
          <t>INV0014993</t>
        </is>
      </c>
      <c r="B626" t="inlineStr">
        <is>
          <t>MER00708</t>
        </is>
      </c>
      <c r="C626">
        <f>XLOOKUP(B626,Merchants!$A$4:$A$1000,Merchants!$B$4:$B$1000,"Not found")</f>
        <v/>
      </c>
      <c r="D626">
        <f>XLOOKUP(A626,tblInvoices[invoice_id],tblInvoices[expected_fee])</f>
        <v/>
      </c>
      <c r="E626">
        <f>XLOOKUP(A626,tblInvoices[invoice_id],tblInvoices[billed_fee])</f>
        <v/>
      </c>
      <c r="F626">
        <f>E626-D626</f>
        <v/>
      </c>
      <c r="G626">
        <f>IF(D626=0,0,ROUND(100*F626/D626,2))</f>
        <v/>
      </c>
      <c r="H626">
        <f>IF(ABS(F626)&lt;=0.01,"Correct",IF(F626&lt;0,"Underbilled","Overbilled"))</f>
        <v/>
      </c>
    </row>
    <row r="627">
      <c r="A627" t="inlineStr">
        <is>
          <t>INV0014994</t>
        </is>
      </c>
      <c r="B627" t="inlineStr">
        <is>
          <t>MER00708</t>
        </is>
      </c>
      <c r="C627">
        <f>XLOOKUP(B627,Merchants!$A$4:$A$1000,Merchants!$B$4:$B$1000,"Not found")</f>
        <v/>
      </c>
      <c r="D627">
        <f>XLOOKUP(A627,tblInvoices[invoice_id],tblInvoices[expected_fee])</f>
        <v/>
      </c>
      <c r="E627">
        <f>XLOOKUP(A627,tblInvoices[invoice_id],tblInvoices[billed_fee])</f>
        <v/>
      </c>
      <c r="F627">
        <f>E627-D627</f>
        <v/>
      </c>
      <c r="G627">
        <f>IF(D627=0,0,ROUND(100*F627/D627,2))</f>
        <v/>
      </c>
      <c r="H627">
        <f>IF(ABS(F627)&lt;=0.01,"Correct",IF(F627&lt;0,"Underbilled","Overbilled"))</f>
        <v/>
      </c>
    </row>
    <row r="628">
      <c r="A628" t="inlineStr">
        <is>
          <t>INV0014995</t>
        </is>
      </c>
      <c r="B628" t="inlineStr">
        <is>
          <t>MER00708</t>
        </is>
      </c>
      <c r="C628">
        <f>XLOOKUP(B628,Merchants!$A$4:$A$1000,Merchants!$B$4:$B$1000,"Not found")</f>
        <v/>
      </c>
      <c r="D628">
        <f>XLOOKUP(A628,tblInvoices[invoice_id],tblInvoices[expected_fee])</f>
        <v/>
      </c>
      <c r="E628">
        <f>XLOOKUP(A628,tblInvoices[invoice_id],tblInvoices[billed_fee])</f>
        <v/>
      </c>
      <c r="F628">
        <f>E628-D628</f>
        <v/>
      </c>
      <c r="G628">
        <f>IF(D628=0,0,ROUND(100*F628/D628,2))</f>
        <v/>
      </c>
      <c r="H628">
        <f>IF(ABS(F628)&lt;=0.01,"Correct",IF(F628&lt;0,"Underbilled","Overbilled"))</f>
        <v/>
      </c>
    </row>
    <row r="629">
      <c r="A629" t="inlineStr">
        <is>
          <t>INV0014996</t>
        </is>
      </c>
      <c r="B629" t="inlineStr">
        <is>
          <t>MER00708</t>
        </is>
      </c>
      <c r="C629">
        <f>XLOOKUP(B629,Merchants!$A$4:$A$1000,Merchants!$B$4:$B$1000,"Not found")</f>
        <v/>
      </c>
      <c r="D629">
        <f>XLOOKUP(A629,tblInvoices[invoice_id],tblInvoices[expected_fee])</f>
        <v/>
      </c>
      <c r="E629">
        <f>XLOOKUP(A629,tblInvoices[invoice_id],tblInvoices[billed_fee])</f>
        <v/>
      </c>
      <c r="F629">
        <f>E629-D629</f>
        <v/>
      </c>
      <c r="G629">
        <f>IF(D629=0,0,ROUND(100*F629/D629,2))</f>
        <v/>
      </c>
      <c r="H629">
        <f>IF(ABS(F629)&lt;=0.01,"Correct",IF(F629&lt;0,"Underbilled","Overbilled"))</f>
        <v/>
      </c>
    </row>
    <row r="630">
      <c r="A630" t="inlineStr">
        <is>
          <t>INV0014997</t>
        </is>
      </c>
      <c r="B630" t="inlineStr">
        <is>
          <t>MER00708</t>
        </is>
      </c>
      <c r="C630">
        <f>XLOOKUP(B630,Merchants!$A$4:$A$1000,Merchants!$B$4:$B$1000,"Not found")</f>
        <v/>
      </c>
      <c r="D630">
        <f>XLOOKUP(A630,tblInvoices[invoice_id],tblInvoices[expected_fee])</f>
        <v/>
      </c>
      <c r="E630">
        <f>XLOOKUP(A630,tblInvoices[invoice_id],tblInvoices[billed_fee])</f>
        <v/>
      </c>
      <c r="F630">
        <f>E630-D630</f>
        <v/>
      </c>
      <c r="G630">
        <f>IF(D630=0,0,ROUND(100*F630/D630,2))</f>
        <v/>
      </c>
      <c r="H630">
        <f>IF(ABS(F630)&lt;=0.01,"Correct",IF(F630&lt;0,"Underbilled","Overbilled"))</f>
        <v/>
      </c>
    </row>
    <row r="631">
      <c r="A631" t="inlineStr">
        <is>
          <t>INV0014998</t>
        </is>
      </c>
      <c r="B631" t="inlineStr">
        <is>
          <t>MER00708</t>
        </is>
      </c>
      <c r="C631">
        <f>XLOOKUP(B631,Merchants!$A$4:$A$1000,Merchants!$B$4:$B$1000,"Not found")</f>
        <v/>
      </c>
      <c r="D631">
        <f>XLOOKUP(A631,tblInvoices[invoice_id],tblInvoices[expected_fee])</f>
        <v/>
      </c>
      <c r="E631">
        <f>XLOOKUP(A631,tblInvoices[invoice_id],tblInvoices[billed_fee])</f>
        <v/>
      </c>
      <c r="F631">
        <f>E631-D631</f>
        <v/>
      </c>
      <c r="G631">
        <f>IF(D631=0,0,ROUND(100*F631/D631,2))</f>
        <v/>
      </c>
      <c r="H631">
        <f>IF(ABS(F631)&lt;=0.01,"Correct",IF(F631&lt;0,"Underbilled","Overbilled"))</f>
        <v/>
      </c>
    </row>
    <row r="632">
      <c r="A632" t="inlineStr">
        <is>
          <t>INV0014999</t>
        </is>
      </c>
      <c r="B632" t="inlineStr">
        <is>
          <t>MER00708</t>
        </is>
      </c>
      <c r="C632">
        <f>XLOOKUP(B632,Merchants!$A$4:$A$1000,Merchants!$B$4:$B$1000,"Not found")</f>
        <v/>
      </c>
      <c r="D632">
        <f>XLOOKUP(A632,tblInvoices[invoice_id],tblInvoices[expected_fee])</f>
        <v/>
      </c>
      <c r="E632">
        <f>XLOOKUP(A632,tblInvoices[invoice_id],tblInvoices[billed_fee])</f>
        <v/>
      </c>
      <c r="F632">
        <f>E632-D632</f>
        <v/>
      </c>
      <c r="G632">
        <f>IF(D632=0,0,ROUND(100*F632/D632,2))</f>
        <v/>
      </c>
      <c r="H632">
        <f>IF(ABS(F632)&lt;=0.01,"Correct",IF(F632&lt;0,"Underbilled","Overbilled"))</f>
        <v/>
      </c>
    </row>
    <row r="633">
      <c r="A633" t="inlineStr">
        <is>
          <t>INV0015000</t>
        </is>
      </c>
      <c r="B633" t="inlineStr">
        <is>
          <t>MER00708</t>
        </is>
      </c>
      <c r="C633">
        <f>XLOOKUP(B633,Merchants!$A$4:$A$1000,Merchants!$B$4:$B$1000,"Not found")</f>
        <v/>
      </c>
      <c r="D633">
        <f>XLOOKUP(A633,tblInvoices[invoice_id],tblInvoices[expected_fee])</f>
        <v/>
      </c>
      <c r="E633">
        <f>XLOOKUP(A633,tblInvoices[invoice_id],tblInvoices[billed_fee])</f>
        <v/>
      </c>
      <c r="F633">
        <f>E633-D633</f>
        <v/>
      </c>
      <c r="G633">
        <f>IF(D633=0,0,ROUND(100*F633/D633,2))</f>
        <v/>
      </c>
      <c r="H633">
        <f>IF(ABS(F633)&lt;=0.01,"Correct",IF(F633&lt;0,"Underbilled","Overbilled"))</f>
        <v/>
      </c>
    </row>
    <row r="634">
      <c r="A634" t="inlineStr">
        <is>
          <t>INV0015001</t>
        </is>
      </c>
      <c r="B634" t="inlineStr">
        <is>
          <t>MER00708</t>
        </is>
      </c>
      <c r="C634">
        <f>XLOOKUP(B634,Merchants!$A$4:$A$1000,Merchants!$B$4:$B$1000,"Not found")</f>
        <v/>
      </c>
      <c r="D634">
        <f>XLOOKUP(A634,tblInvoices[invoice_id],tblInvoices[expected_fee])</f>
        <v/>
      </c>
      <c r="E634">
        <f>XLOOKUP(A634,tblInvoices[invoice_id],tblInvoices[billed_fee])</f>
        <v/>
      </c>
      <c r="F634">
        <f>E634-D634</f>
        <v/>
      </c>
      <c r="G634">
        <f>IF(D634=0,0,ROUND(100*F634/D634,2))</f>
        <v/>
      </c>
      <c r="H634">
        <f>IF(ABS(F634)&lt;=0.01,"Correct",IF(F634&lt;0,"Underbilled","Overbilled"))</f>
        <v/>
      </c>
    </row>
    <row r="635">
      <c r="A635" t="inlineStr">
        <is>
          <t>INV0015002</t>
        </is>
      </c>
      <c r="B635" t="inlineStr">
        <is>
          <t>MER00708</t>
        </is>
      </c>
      <c r="C635">
        <f>XLOOKUP(B635,Merchants!$A$4:$A$1000,Merchants!$B$4:$B$1000,"Not found")</f>
        <v/>
      </c>
      <c r="D635">
        <f>XLOOKUP(A635,tblInvoices[invoice_id],tblInvoices[expected_fee])</f>
        <v/>
      </c>
      <c r="E635">
        <f>XLOOKUP(A635,tblInvoices[invoice_id],tblInvoices[billed_fee])</f>
        <v/>
      </c>
      <c r="F635">
        <f>E635-D635</f>
        <v/>
      </c>
      <c r="G635">
        <f>IF(D635=0,0,ROUND(100*F635/D635,2))</f>
        <v/>
      </c>
      <c r="H635">
        <f>IF(ABS(F635)&lt;=0.01,"Correct",IF(F635&lt;0,"Underbilled","Overbilled"))</f>
        <v/>
      </c>
    </row>
    <row r="636">
      <c r="A636" t="inlineStr">
        <is>
          <t>INV0015003</t>
        </is>
      </c>
      <c r="B636" t="inlineStr">
        <is>
          <t>MER00708</t>
        </is>
      </c>
      <c r="C636">
        <f>XLOOKUP(B636,Merchants!$A$4:$A$1000,Merchants!$B$4:$B$1000,"Not found")</f>
        <v/>
      </c>
      <c r="D636">
        <f>XLOOKUP(A636,tblInvoices[invoice_id],tblInvoices[expected_fee])</f>
        <v/>
      </c>
      <c r="E636">
        <f>XLOOKUP(A636,tblInvoices[invoice_id],tblInvoices[billed_fee])</f>
        <v/>
      </c>
      <c r="F636">
        <f>E636-D636</f>
        <v/>
      </c>
      <c r="G636">
        <f>IF(D636=0,0,ROUND(100*F636/D636,2))</f>
        <v/>
      </c>
      <c r="H636">
        <f>IF(ABS(F636)&lt;=0.01,"Correct",IF(F636&lt;0,"Underbilled","Overbilled"))</f>
        <v/>
      </c>
    </row>
    <row r="637">
      <c r="A637" t="inlineStr">
        <is>
          <t>INV0015004</t>
        </is>
      </c>
      <c r="B637" t="inlineStr">
        <is>
          <t>MER00708</t>
        </is>
      </c>
      <c r="C637">
        <f>XLOOKUP(B637,Merchants!$A$4:$A$1000,Merchants!$B$4:$B$1000,"Not found")</f>
        <v/>
      </c>
      <c r="D637">
        <f>XLOOKUP(A637,tblInvoices[invoice_id],tblInvoices[expected_fee])</f>
        <v/>
      </c>
      <c r="E637">
        <f>XLOOKUP(A637,tblInvoices[invoice_id],tblInvoices[billed_fee])</f>
        <v/>
      </c>
      <c r="F637">
        <f>E637-D637</f>
        <v/>
      </c>
      <c r="G637">
        <f>IF(D637=0,0,ROUND(100*F637/D637,2))</f>
        <v/>
      </c>
      <c r="H637">
        <f>IF(ABS(F637)&lt;=0.01,"Correct",IF(F637&lt;0,"Underbilled","Overbilled"))</f>
        <v/>
      </c>
    </row>
    <row r="638">
      <c r="A638" t="inlineStr">
        <is>
          <t>INV0015005</t>
        </is>
      </c>
      <c r="B638" t="inlineStr">
        <is>
          <t>MER00708</t>
        </is>
      </c>
      <c r="C638">
        <f>XLOOKUP(B638,Merchants!$A$4:$A$1000,Merchants!$B$4:$B$1000,"Not found")</f>
        <v/>
      </c>
      <c r="D638">
        <f>XLOOKUP(A638,tblInvoices[invoice_id],tblInvoices[expected_fee])</f>
        <v/>
      </c>
      <c r="E638">
        <f>XLOOKUP(A638,tblInvoices[invoice_id],tblInvoices[billed_fee])</f>
        <v/>
      </c>
      <c r="F638">
        <f>E638-D638</f>
        <v/>
      </c>
      <c r="G638">
        <f>IF(D638=0,0,ROUND(100*F638/D638,2))</f>
        <v/>
      </c>
      <c r="H638">
        <f>IF(ABS(F638)&lt;=0.01,"Correct",IF(F638&lt;0,"Underbilled","Overbilled"))</f>
        <v/>
      </c>
    </row>
    <row r="639">
      <c r="A639" t="inlineStr">
        <is>
          <t>INV0015006</t>
        </is>
      </c>
      <c r="B639" t="inlineStr">
        <is>
          <t>MER00708</t>
        </is>
      </c>
      <c r="C639">
        <f>XLOOKUP(B639,Merchants!$A$4:$A$1000,Merchants!$B$4:$B$1000,"Not found")</f>
        <v/>
      </c>
      <c r="D639">
        <f>XLOOKUP(A639,tblInvoices[invoice_id],tblInvoices[expected_fee])</f>
        <v/>
      </c>
      <c r="E639">
        <f>XLOOKUP(A639,tblInvoices[invoice_id],tblInvoices[billed_fee])</f>
        <v/>
      </c>
      <c r="F639">
        <f>E639-D639</f>
        <v/>
      </c>
      <c r="G639">
        <f>IF(D639=0,0,ROUND(100*F639/D639,2))</f>
        <v/>
      </c>
      <c r="H639">
        <f>IF(ABS(F639)&lt;=0.01,"Correct",IF(F639&lt;0,"Underbilled","Overbilled"))</f>
        <v/>
      </c>
    </row>
    <row r="640">
      <c r="A640" t="inlineStr">
        <is>
          <t>INV0015007</t>
        </is>
      </c>
      <c r="B640" t="inlineStr">
        <is>
          <t>MER00708</t>
        </is>
      </c>
      <c r="C640">
        <f>XLOOKUP(B640,Merchants!$A$4:$A$1000,Merchants!$B$4:$B$1000,"Not found")</f>
        <v/>
      </c>
      <c r="D640">
        <f>XLOOKUP(A640,tblInvoices[invoice_id],tblInvoices[expected_fee])</f>
        <v/>
      </c>
      <c r="E640">
        <f>XLOOKUP(A640,tblInvoices[invoice_id],tblInvoices[billed_fee])</f>
        <v/>
      </c>
      <c r="F640">
        <f>E640-D640</f>
        <v/>
      </c>
      <c r="G640">
        <f>IF(D640=0,0,ROUND(100*F640/D640,2))</f>
        <v/>
      </c>
      <c r="H640">
        <f>IF(ABS(F640)&lt;=0.01,"Correct",IF(F640&lt;0,"Underbilled","Overbilled"))</f>
        <v/>
      </c>
    </row>
    <row r="641">
      <c r="A641" t="inlineStr">
        <is>
          <t>INV0015008</t>
        </is>
      </c>
      <c r="B641" t="inlineStr">
        <is>
          <t>MER00708</t>
        </is>
      </c>
      <c r="C641">
        <f>XLOOKUP(B641,Merchants!$A$4:$A$1000,Merchants!$B$4:$B$1000,"Not found")</f>
        <v/>
      </c>
      <c r="D641">
        <f>XLOOKUP(A641,tblInvoices[invoice_id],tblInvoices[expected_fee])</f>
        <v/>
      </c>
      <c r="E641">
        <f>XLOOKUP(A641,tblInvoices[invoice_id],tblInvoices[billed_fee])</f>
        <v/>
      </c>
      <c r="F641">
        <f>E641-D641</f>
        <v/>
      </c>
      <c r="G641">
        <f>IF(D641=0,0,ROUND(100*F641/D641,2))</f>
        <v/>
      </c>
      <c r="H641">
        <f>IF(ABS(F641)&lt;=0.01,"Correct",IF(F641&lt;0,"Underbilled","Overbilled"))</f>
        <v/>
      </c>
    </row>
    <row r="642">
      <c r="A642" t="inlineStr">
        <is>
          <t>INV0015009</t>
        </is>
      </c>
      <c r="B642" t="inlineStr">
        <is>
          <t>MER00708</t>
        </is>
      </c>
      <c r="C642">
        <f>XLOOKUP(B642,Merchants!$A$4:$A$1000,Merchants!$B$4:$B$1000,"Not found")</f>
        <v/>
      </c>
      <c r="D642">
        <f>XLOOKUP(A642,tblInvoices[invoice_id],tblInvoices[expected_fee])</f>
        <v/>
      </c>
      <c r="E642">
        <f>XLOOKUP(A642,tblInvoices[invoice_id],tblInvoices[billed_fee])</f>
        <v/>
      </c>
      <c r="F642">
        <f>E642-D642</f>
        <v/>
      </c>
      <c r="G642">
        <f>IF(D642=0,0,ROUND(100*F642/D642,2))</f>
        <v/>
      </c>
      <c r="H642">
        <f>IF(ABS(F642)&lt;=0.01,"Correct",IF(F642&lt;0,"Underbilled","Overbilled"))</f>
        <v/>
      </c>
    </row>
    <row r="643">
      <c r="A643" t="inlineStr">
        <is>
          <t>INV0015010</t>
        </is>
      </c>
      <c r="B643" t="inlineStr">
        <is>
          <t>MER00709</t>
        </is>
      </c>
      <c r="C643">
        <f>XLOOKUP(B643,Merchants!$A$4:$A$1000,Merchants!$B$4:$B$1000,"Not found")</f>
        <v/>
      </c>
      <c r="D643">
        <f>XLOOKUP(A643,tblInvoices[invoice_id],tblInvoices[expected_fee])</f>
        <v/>
      </c>
      <c r="E643">
        <f>XLOOKUP(A643,tblInvoices[invoice_id],tblInvoices[billed_fee])</f>
        <v/>
      </c>
      <c r="F643">
        <f>E643-D643</f>
        <v/>
      </c>
      <c r="G643">
        <f>IF(D643=0,0,ROUND(100*F643/D643,2))</f>
        <v/>
      </c>
      <c r="H643">
        <f>IF(ABS(F643)&lt;=0.01,"Correct",IF(F643&lt;0,"Underbilled","Overbilled"))</f>
        <v/>
      </c>
    </row>
    <row r="644">
      <c r="A644" t="inlineStr">
        <is>
          <t>INV0015011</t>
        </is>
      </c>
      <c r="B644" t="inlineStr">
        <is>
          <t>MER00709</t>
        </is>
      </c>
      <c r="C644">
        <f>XLOOKUP(B644,Merchants!$A$4:$A$1000,Merchants!$B$4:$B$1000,"Not found")</f>
        <v/>
      </c>
      <c r="D644">
        <f>XLOOKUP(A644,tblInvoices[invoice_id],tblInvoices[expected_fee])</f>
        <v/>
      </c>
      <c r="E644">
        <f>XLOOKUP(A644,tblInvoices[invoice_id],tblInvoices[billed_fee])</f>
        <v/>
      </c>
      <c r="F644">
        <f>E644-D644</f>
        <v/>
      </c>
      <c r="G644">
        <f>IF(D644=0,0,ROUND(100*F644/D644,2))</f>
        <v/>
      </c>
      <c r="H644">
        <f>IF(ABS(F644)&lt;=0.01,"Correct",IF(F644&lt;0,"Underbilled","Overbilled"))</f>
        <v/>
      </c>
    </row>
    <row r="645">
      <c r="A645" t="inlineStr">
        <is>
          <t>INV0015012</t>
        </is>
      </c>
      <c r="B645" t="inlineStr">
        <is>
          <t>MER00709</t>
        </is>
      </c>
      <c r="C645">
        <f>XLOOKUP(B645,Merchants!$A$4:$A$1000,Merchants!$B$4:$B$1000,"Not found")</f>
        <v/>
      </c>
      <c r="D645">
        <f>XLOOKUP(A645,tblInvoices[invoice_id],tblInvoices[expected_fee])</f>
        <v/>
      </c>
      <c r="E645">
        <f>XLOOKUP(A645,tblInvoices[invoice_id],tblInvoices[billed_fee])</f>
        <v/>
      </c>
      <c r="F645">
        <f>E645-D645</f>
        <v/>
      </c>
      <c r="G645">
        <f>IF(D645=0,0,ROUND(100*F645/D645,2))</f>
        <v/>
      </c>
      <c r="H645">
        <f>IF(ABS(F645)&lt;=0.01,"Correct",IF(F645&lt;0,"Underbilled","Overbilled"))</f>
        <v/>
      </c>
    </row>
    <row r="646">
      <c r="A646" t="inlineStr">
        <is>
          <t>INV0015013</t>
        </is>
      </c>
      <c r="B646" t="inlineStr">
        <is>
          <t>MER00709</t>
        </is>
      </c>
      <c r="C646">
        <f>XLOOKUP(B646,Merchants!$A$4:$A$1000,Merchants!$B$4:$B$1000,"Not found")</f>
        <v/>
      </c>
      <c r="D646">
        <f>XLOOKUP(A646,tblInvoices[invoice_id],tblInvoices[expected_fee])</f>
        <v/>
      </c>
      <c r="E646">
        <f>XLOOKUP(A646,tblInvoices[invoice_id],tblInvoices[billed_fee])</f>
        <v/>
      </c>
      <c r="F646">
        <f>E646-D646</f>
        <v/>
      </c>
      <c r="G646">
        <f>IF(D646=0,0,ROUND(100*F646/D646,2))</f>
        <v/>
      </c>
      <c r="H646">
        <f>IF(ABS(F646)&lt;=0.01,"Correct",IF(F646&lt;0,"Underbilled","Overbilled"))</f>
        <v/>
      </c>
    </row>
    <row r="647">
      <c r="A647" t="inlineStr">
        <is>
          <t>INV0015014</t>
        </is>
      </c>
      <c r="B647" t="inlineStr">
        <is>
          <t>MER00709</t>
        </is>
      </c>
      <c r="C647">
        <f>XLOOKUP(B647,Merchants!$A$4:$A$1000,Merchants!$B$4:$B$1000,"Not found")</f>
        <v/>
      </c>
      <c r="D647">
        <f>XLOOKUP(A647,tblInvoices[invoice_id],tblInvoices[expected_fee])</f>
        <v/>
      </c>
      <c r="E647">
        <f>XLOOKUP(A647,tblInvoices[invoice_id],tblInvoices[billed_fee])</f>
        <v/>
      </c>
      <c r="F647">
        <f>E647-D647</f>
        <v/>
      </c>
      <c r="G647">
        <f>IF(D647=0,0,ROUND(100*F647/D647,2))</f>
        <v/>
      </c>
      <c r="H647">
        <f>IF(ABS(F647)&lt;=0.01,"Correct",IF(F647&lt;0,"Underbilled","Overbilled"))</f>
        <v/>
      </c>
    </row>
    <row r="648">
      <c r="A648" t="inlineStr">
        <is>
          <t>INV0015015</t>
        </is>
      </c>
      <c r="B648" t="inlineStr">
        <is>
          <t>MER00709</t>
        </is>
      </c>
      <c r="C648">
        <f>XLOOKUP(B648,Merchants!$A$4:$A$1000,Merchants!$B$4:$B$1000,"Not found")</f>
        <v/>
      </c>
      <c r="D648">
        <f>XLOOKUP(A648,tblInvoices[invoice_id],tblInvoices[expected_fee])</f>
        <v/>
      </c>
      <c r="E648">
        <f>XLOOKUP(A648,tblInvoices[invoice_id],tblInvoices[billed_fee])</f>
        <v/>
      </c>
      <c r="F648">
        <f>E648-D648</f>
        <v/>
      </c>
      <c r="G648">
        <f>IF(D648=0,0,ROUND(100*F648/D648,2))</f>
        <v/>
      </c>
      <c r="H648">
        <f>IF(ABS(F648)&lt;=0.01,"Correct",IF(F648&lt;0,"Underbilled","Overbilled"))</f>
        <v/>
      </c>
    </row>
    <row r="649">
      <c r="A649" t="inlineStr">
        <is>
          <t>INV0015016</t>
        </is>
      </c>
      <c r="B649" t="inlineStr">
        <is>
          <t>MER00709</t>
        </is>
      </c>
      <c r="C649">
        <f>XLOOKUP(B649,Merchants!$A$4:$A$1000,Merchants!$B$4:$B$1000,"Not found")</f>
        <v/>
      </c>
      <c r="D649">
        <f>XLOOKUP(A649,tblInvoices[invoice_id],tblInvoices[expected_fee])</f>
        <v/>
      </c>
      <c r="E649">
        <f>XLOOKUP(A649,tblInvoices[invoice_id],tblInvoices[billed_fee])</f>
        <v/>
      </c>
      <c r="F649">
        <f>E649-D649</f>
        <v/>
      </c>
      <c r="G649">
        <f>IF(D649=0,0,ROUND(100*F649/D649,2))</f>
        <v/>
      </c>
      <c r="H649">
        <f>IF(ABS(F649)&lt;=0.01,"Correct",IF(F649&lt;0,"Underbilled","Overbilled"))</f>
        <v/>
      </c>
    </row>
    <row r="650">
      <c r="A650" t="inlineStr">
        <is>
          <t>INV0015017</t>
        </is>
      </c>
      <c r="B650" t="inlineStr">
        <is>
          <t>MER00709</t>
        </is>
      </c>
      <c r="C650">
        <f>XLOOKUP(B650,Merchants!$A$4:$A$1000,Merchants!$B$4:$B$1000,"Not found")</f>
        <v/>
      </c>
      <c r="D650">
        <f>XLOOKUP(A650,tblInvoices[invoice_id],tblInvoices[expected_fee])</f>
        <v/>
      </c>
      <c r="E650">
        <f>XLOOKUP(A650,tblInvoices[invoice_id],tblInvoices[billed_fee])</f>
        <v/>
      </c>
      <c r="F650">
        <f>E650-D650</f>
        <v/>
      </c>
      <c r="G650">
        <f>IF(D650=0,0,ROUND(100*F650/D650,2))</f>
        <v/>
      </c>
      <c r="H650">
        <f>IF(ABS(F650)&lt;=0.01,"Correct",IF(F650&lt;0,"Underbilled","Overbilled"))</f>
        <v/>
      </c>
    </row>
    <row r="651">
      <c r="A651" t="inlineStr">
        <is>
          <t>INV0015018</t>
        </is>
      </c>
      <c r="B651" t="inlineStr">
        <is>
          <t>MER00709</t>
        </is>
      </c>
      <c r="C651">
        <f>XLOOKUP(B651,Merchants!$A$4:$A$1000,Merchants!$B$4:$B$1000,"Not found")</f>
        <v/>
      </c>
      <c r="D651">
        <f>XLOOKUP(A651,tblInvoices[invoice_id],tblInvoices[expected_fee])</f>
        <v/>
      </c>
      <c r="E651">
        <f>XLOOKUP(A651,tblInvoices[invoice_id],tblInvoices[billed_fee])</f>
        <v/>
      </c>
      <c r="F651">
        <f>E651-D651</f>
        <v/>
      </c>
      <c r="G651">
        <f>IF(D651=0,0,ROUND(100*F651/D651,2))</f>
        <v/>
      </c>
      <c r="H651">
        <f>IF(ABS(F651)&lt;=0.01,"Correct",IF(F651&lt;0,"Underbilled","Overbilled"))</f>
        <v/>
      </c>
    </row>
    <row r="652">
      <c r="A652" t="inlineStr">
        <is>
          <t>INV0015019</t>
        </is>
      </c>
      <c r="B652" t="inlineStr">
        <is>
          <t>MER00709</t>
        </is>
      </c>
      <c r="C652">
        <f>XLOOKUP(B652,Merchants!$A$4:$A$1000,Merchants!$B$4:$B$1000,"Not found")</f>
        <v/>
      </c>
      <c r="D652">
        <f>XLOOKUP(A652,tblInvoices[invoice_id],tblInvoices[expected_fee])</f>
        <v/>
      </c>
      <c r="E652">
        <f>XLOOKUP(A652,tblInvoices[invoice_id],tblInvoices[billed_fee])</f>
        <v/>
      </c>
      <c r="F652">
        <f>E652-D652</f>
        <v/>
      </c>
      <c r="G652">
        <f>IF(D652=0,0,ROUND(100*F652/D652,2))</f>
        <v/>
      </c>
      <c r="H652">
        <f>IF(ABS(F652)&lt;=0.01,"Correct",IF(F652&lt;0,"Underbilled","Overbilled"))</f>
        <v/>
      </c>
    </row>
    <row r="653">
      <c r="A653" t="inlineStr">
        <is>
          <t>INV0015020</t>
        </is>
      </c>
      <c r="B653" t="inlineStr">
        <is>
          <t>MER00709</t>
        </is>
      </c>
      <c r="C653">
        <f>XLOOKUP(B653,Merchants!$A$4:$A$1000,Merchants!$B$4:$B$1000,"Not found")</f>
        <v/>
      </c>
      <c r="D653">
        <f>XLOOKUP(A653,tblInvoices[invoice_id],tblInvoices[expected_fee])</f>
        <v/>
      </c>
      <c r="E653">
        <f>XLOOKUP(A653,tblInvoices[invoice_id],tblInvoices[billed_fee])</f>
        <v/>
      </c>
      <c r="F653">
        <f>E653-D653</f>
        <v/>
      </c>
      <c r="G653">
        <f>IF(D653=0,0,ROUND(100*F653/D653,2))</f>
        <v/>
      </c>
      <c r="H653">
        <f>IF(ABS(F653)&lt;=0.01,"Correct",IF(F653&lt;0,"Underbilled","Overbilled"))</f>
        <v/>
      </c>
    </row>
    <row r="654">
      <c r="A654" t="inlineStr">
        <is>
          <t>INV0015021</t>
        </is>
      </c>
      <c r="B654" t="inlineStr">
        <is>
          <t>MER00709</t>
        </is>
      </c>
      <c r="C654">
        <f>XLOOKUP(B654,Merchants!$A$4:$A$1000,Merchants!$B$4:$B$1000,"Not found")</f>
        <v/>
      </c>
      <c r="D654">
        <f>XLOOKUP(A654,tblInvoices[invoice_id],tblInvoices[expected_fee])</f>
        <v/>
      </c>
      <c r="E654">
        <f>XLOOKUP(A654,tblInvoices[invoice_id],tblInvoices[billed_fee])</f>
        <v/>
      </c>
      <c r="F654">
        <f>E654-D654</f>
        <v/>
      </c>
      <c r="G654">
        <f>IF(D654=0,0,ROUND(100*F654/D654,2))</f>
        <v/>
      </c>
      <c r="H654">
        <f>IF(ABS(F654)&lt;=0.01,"Correct",IF(F654&lt;0,"Underbilled","Overbilled"))</f>
        <v/>
      </c>
    </row>
    <row r="655">
      <c r="A655" t="inlineStr">
        <is>
          <t>INV0015022</t>
        </is>
      </c>
      <c r="B655" t="inlineStr">
        <is>
          <t>MER00709</t>
        </is>
      </c>
      <c r="C655">
        <f>XLOOKUP(B655,Merchants!$A$4:$A$1000,Merchants!$B$4:$B$1000,"Not found")</f>
        <v/>
      </c>
      <c r="D655">
        <f>XLOOKUP(A655,tblInvoices[invoice_id],tblInvoices[expected_fee])</f>
        <v/>
      </c>
      <c r="E655">
        <f>XLOOKUP(A655,tblInvoices[invoice_id],tblInvoices[billed_fee])</f>
        <v/>
      </c>
      <c r="F655">
        <f>E655-D655</f>
        <v/>
      </c>
      <c r="G655">
        <f>IF(D655=0,0,ROUND(100*F655/D655,2))</f>
        <v/>
      </c>
      <c r="H655">
        <f>IF(ABS(F655)&lt;=0.01,"Correct",IF(F655&lt;0,"Underbilled","Overbilled"))</f>
        <v/>
      </c>
    </row>
    <row r="656">
      <c r="A656" t="inlineStr">
        <is>
          <t>INV0015023</t>
        </is>
      </c>
      <c r="B656" t="inlineStr">
        <is>
          <t>MER00709</t>
        </is>
      </c>
      <c r="C656">
        <f>XLOOKUP(B656,Merchants!$A$4:$A$1000,Merchants!$B$4:$B$1000,"Not found")</f>
        <v/>
      </c>
      <c r="D656">
        <f>XLOOKUP(A656,tblInvoices[invoice_id],tblInvoices[expected_fee])</f>
        <v/>
      </c>
      <c r="E656">
        <f>XLOOKUP(A656,tblInvoices[invoice_id],tblInvoices[billed_fee])</f>
        <v/>
      </c>
      <c r="F656">
        <f>E656-D656</f>
        <v/>
      </c>
      <c r="G656">
        <f>IF(D656=0,0,ROUND(100*F656/D656,2))</f>
        <v/>
      </c>
      <c r="H656">
        <f>IF(ABS(F656)&lt;=0.01,"Correct",IF(F656&lt;0,"Underbilled","Overbilled"))</f>
        <v/>
      </c>
    </row>
    <row r="657">
      <c r="A657" t="inlineStr">
        <is>
          <t>INV0015024</t>
        </is>
      </c>
      <c r="B657" t="inlineStr">
        <is>
          <t>MER00709</t>
        </is>
      </c>
      <c r="C657">
        <f>XLOOKUP(B657,Merchants!$A$4:$A$1000,Merchants!$B$4:$B$1000,"Not found")</f>
        <v/>
      </c>
      <c r="D657">
        <f>XLOOKUP(A657,tblInvoices[invoice_id],tblInvoices[expected_fee])</f>
        <v/>
      </c>
      <c r="E657">
        <f>XLOOKUP(A657,tblInvoices[invoice_id],tblInvoices[billed_fee])</f>
        <v/>
      </c>
      <c r="F657">
        <f>E657-D657</f>
        <v/>
      </c>
      <c r="G657">
        <f>IF(D657=0,0,ROUND(100*F657/D657,2))</f>
        <v/>
      </c>
      <c r="H657">
        <f>IF(ABS(F657)&lt;=0.01,"Correct",IF(F657&lt;0,"Underbilled","Overbilled"))</f>
        <v/>
      </c>
    </row>
    <row r="658">
      <c r="A658" t="inlineStr">
        <is>
          <t>INV0015025</t>
        </is>
      </c>
      <c r="B658" t="inlineStr">
        <is>
          <t>MER00709</t>
        </is>
      </c>
      <c r="C658">
        <f>XLOOKUP(B658,Merchants!$A$4:$A$1000,Merchants!$B$4:$B$1000,"Not found")</f>
        <v/>
      </c>
      <c r="D658">
        <f>XLOOKUP(A658,tblInvoices[invoice_id],tblInvoices[expected_fee])</f>
        <v/>
      </c>
      <c r="E658">
        <f>XLOOKUP(A658,tblInvoices[invoice_id],tblInvoices[billed_fee])</f>
        <v/>
      </c>
      <c r="F658">
        <f>E658-D658</f>
        <v/>
      </c>
      <c r="G658">
        <f>IF(D658=0,0,ROUND(100*F658/D658,2))</f>
        <v/>
      </c>
      <c r="H658">
        <f>IF(ABS(F658)&lt;=0.01,"Correct",IF(F658&lt;0,"Underbilled","Overbilled"))</f>
        <v/>
      </c>
    </row>
    <row r="659">
      <c r="A659" t="inlineStr">
        <is>
          <t>INV0015026</t>
        </is>
      </c>
      <c r="B659" t="inlineStr">
        <is>
          <t>MER00709</t>
        </is>
      </c>
      <c r="C659">
        <f>XLOOKUP(B659,Merchants!$A$4:$A$1000,Merchants!$B$4:$B$1000,"Not found")</f>
        <v/>
      </c>
      <c r="D659">
        <f>XLOOKUP(A659,tblInvoices[invoice_id],tblInvoices[expected_fee])</f>
        <v/>
      </c>
      <c r="E659">
        <f>XLOOKUP(A659,tblInvoices[invoice_id],tblInvoices[billed_fee])</f>
        <v/>
      </c>
      <c r="F659">
        <f>E659-D659</f>
        <v/>
      </c>
      <c r="G659">
        <f>IF(D659=0,0,ROUND(100*F659/D659,2))</f>
        <v/>
      </c>
      <c r="H659">
        <f>IF(ABS(F659)&lt;=0.01,"Correct",IF(F659&lt;0,"Underbilled","Overbilled"))</f>
        <v/>
      </c>
    </row>
    <row r="660">
      <c r="A660" t="inlineStr">
        <is>
          <t>INV0015027</t>
        </is>
      </c>
      <c r="B660" t="inlineStr">
        <is>
          <t>MER00709</t>
        </is>
      </c>
      <c r="C660">
        <f>XLOOKUP(B660,Merchants!$A$4:$A$1000,Merchants!$B$4:$B$1000,"Not found")</f>
        <v/>
      </c>
      <c r="D660">
        <f>XLOOKUP(A660,tblInvoices[invoice_id],tblInvoices[expected_fee])</f>
        <v/>
      </c>
      <c r="E660">
        <f>XLOOKUP(A660,tblInvoices[invoice_id],tblInvoices[billed_fee])</f>
        <v/>
      </c>
      <c r="F660">
        <f>E660-D660</f>
        <v/>
      </c>
      <c r="G660">
        <f>IF(D660=0,0,ROUND(100*F660/D660,2))</f>
        <v/>
      </c>
      <c r="H660">
        <f>IF(ABS(F660)&lt;=0.01,"Correct",IF(F660&lt;0,"Underbilled","Overbilled"))</f>
        <v/>
      </c>
    </row>
    <row r="661">
      <c r="A661" t="inlineStr">
        <is>
          <t>INV0015028</t>
        </is>
      </c>
      <c r="B661" t="inlineStr">
        <is>
          <t>MER00709</t>
        </is>
      </c>
      <c r="C661">
        <f>XLOOKUP(B661,Merchants!$A$4:$A$1000,Merchants!$B$4:$B$1000,"Not found")</f>
        <v/>
      </c>
      <c r="D661">
        <f>XLOOKUP(A661,tblInvoices[invoice_id],tblInvoices[expected_fee])</f>
        <v/>
      </c>
      <c r="E661">
        <f>XLOOKUP(A661,tblInvoices[invoice_id],tblInvoices[billed_fee])</f>
        <v/>
      </c>
      <c r="F661">
        <f>E661-D661</f>
        <v/>
      </c>
      <c r="G661">
        <f>IF(D661=0,0,ROUND(100*F661/D661,2))</f>
        <v/>
      </c>
      <c r="H661">
        <f>IF(ABS(F661)&lt;=0.01,"Correct",IF(F661&lt;0,"Underbilled","Overbilled"))</f>
        <v/>
      </c>
    </row>
    <row r="662">
      <c r="A662" t="inlineStr">
        <is>
          <t>INV0015029</t>
        </is>
      </c>
      <c r="B662" t="inlineStr">
        <is>
          <t>MER00709</t>
        </is>
      </c>
      <c r="C662">
        <f>XLOOKUP(B662,Merchants!$A$4:$A$1000,Merchants!$B$4:$B$1000,"Not found")</f>
        <v/>
      </c>
      <c r="D662">
        <f>XLOOKUP(A662,tblInvoices[invoice_id],tblInvoices[expected_fee])</f>
        <v/>
      </c>
      <c r="E662">
        <f>XLOOKUP(A662,tblInvoices[invoice_id],tblInvoices[billed_fee])</f>
        <v/>
      </c>
      <c r="F662">
        <f>E662-D662</f>
        <v/>
      </c>
      <c r="G662">
        <f>IF(D662=0,0,ROUND(100*F662/D662,2))</f>
        <v/>
      </c>
      <c r="H662">
        <f>IF(ABS(F662)&lt;=0.01,"Correct",IF(F662&lt;0,"Underbilled","Overbilled"))</f>
        <v/>
      </c>
    </row>
    <row r="663">
      <c r="A663" t="inlineStr">
        <is>
          <t>INV0015030</t>
        </is>
      </c>
      <c r="B663" t="inlineStr">
        <is>
          <t>MER00709</t>
        </is>
      </c>
      <c r="C663">
        <f>XLOOKUP(B663,Merchants!$A$4:$A$1000,Merchants!$B$4:$B$1000,"Not found")</f>
        <v/>
      </c>
      <c r="D663">
        <f>XLOOKUP(A663,tblInvoices[invoice_id],tblInvoices[expected_fee])</f>
        <v/>
      </c>
      <c r="E663">
        <f>XLOOKUP(A663,tblInvoices[invoice_id],tblInvoices[billed_fee])</f>
        <v/>
      </c>
      <c r="F663">
        <f>E663-D663</f>
        <v/>
      </c>
      <c r="G663">
        <f>IF(D663=0,0,ROUND(100*F663/D663,2))</f>
        <v/>
      </c>
      <c r="H663">
        <f>IF(ABS(F663)&lt;=0.01,"Correct",IF(F663&lt;0,"Underbilled","Overbilled"))</f>
        <v/>
      </c>
    </row>
    <row r="664">
      <c r="A664" t="inlineStr">
        <is>
          <t>INV0015031</t>
        </is>
      </c>
      <c r="B664" t="inlineStr">
        <is>
          <t>MER00709</t>
        </is>
      </c>
      <c r="C664">
        <f>XLOOKUP(B664,Merchants!$A$4:$A$1000,Merchants!$B$4:$B$1000,"Not found")</f>
        <v/>
      </c>
      <c r="D664">
        <f>XLOOKUP(A664,tblInvoices[invoice_id],tblInvoices[expected_fee])</f>
        <v/>
      </c>
      <c r="E664">
        <f>XLOOKUP(A664,tblInvoices[invoice_id],tblInvoices[billed_fee])</f>
        <v/>
      </c>
      <c r="F664">
        <f>E664-D664</f>
        <v/>
      </c>
      <c r="G664">
        <f>IF(D664=0,0,ROUND(100*F664/D664,2))</f>
        <v/>
      </c>
      <c r="H664">
        <f>IF(ABS(F664)&lt;=0.01,"Correct",IF(F664&lt;0,"Underbilled","Overbilled"))</f>
        <v/>
      </c>
    </row>
    <row r="665">
      <c r="A665" t="inlineStr">
        <is>
          <t>INV0015032</t>
        </is>
      </c>
      <c r="B665" t="inlineStr">
        <is>
          <t>MER00709</t>
        </is>
      </c>
      <c r="C665">
        <f>XLOOKUP(B665,Merchants!$A$4:$A$1000,Merchants!$B$4:$B$1000,"Not found")</f>
        <v/>
      </c>
      <c r="D665">
        <f>XLOOKUP(A665,tblInvoices[invoice_id],tblInvoices[expected_fee])</f>
        <v/>
      </c>
      <c r="E665">
        <f>XLOOKUP(A665,tblInvoices[invoice_id],tblInvoices[billed_fee])</f>
        <v/>
      </c>
      <c r="F665">
        <f>E665-D665</f>
        <v/>
      </c>
      <c r="G665">
        <f>IF(D665=0,0,ROUND(100*F665/D665,2))</f>
        <v/>
      </c>
      <c r="H665">
        <f>IF(ABS(F665)&lt;=0.01,"Correct",IF(F665&lt;0,"Underbilled","Overbilled"))</f>
        <v/>
      </c>
    </row>
    <row r="666">
      <c r="A666" t="inlineStr">
        <is>
          <t>INV0015046</t>
        </is>
      </c>
      <c r="B666" t="inlineStr">
        <is>
          <t>MER00711</t>
        </is>
      </c>
      <c r="C666">
        <f>XLOOKUP(B666,Merchants!$A$4:$A$1000,Merchants!$B$4:$B$1000,"Not found")</f>
        <v/>
      </c>
      <c r="D666">
        <f>XLOOKUP(A666,tblInvoices[invoice_id],tblInvoices[expected_fee])</f>
        <v/>
      </c>
      <c r="E666">
        <f>XLOOKUP(A666,tblInvoices[invoice_id],tblInvoices[billed_fee])</f>
        <v/>
      </c>
      <c r="F666">
        <f>E666-D666</f>
        <v/>
      </c>
      <c r="G666">
        <f>IF(D666=0,0,ROUND(100*F666/D666,2))</f>
        <v/>
      </c>
      <c r="H666">
        <f>IF(ABS(F666)&lt;=0.01,"Correct",IF(F666&lt;0,"Underbilled","Overbilled"))</f>
        <v/>
      </c>
    </row>
    <row r="667">
      <c r="A667" t="inlineStr">
        <is>
          <t>INV0015047</t>
        </is>
      </c>
      <c r="B667" t="inlineStr">
        <is>
          <t>MER00711</t>
        </is>
      </c>
      <c r="C667">
        <f>XLOOKUP(B667,Merchants!$A$4:$A$1000,Merchants!$B$4:$B$1000,"Not found")</f>
        <v/>
      </c>
      <c r="D667">
        <f>XLOOKUP(A667,tblInvoices[invoice_id],tblInvoices[expected_fee])</f>
        <v/>
      </c>
      <c r="E667">
        <f>XLOOKUP(A667,tblInvoices[invoice_id],tblInvoices[billed_fee])</f>
        <v/>
      </c>
      <c r="F667">
        <f>E667-D667</f>
        <v/>
      </c>
      <c r="G667">
        <f>IF(D667=0,0,ROUND(100*F667/D667,2))</f>
        <v/>
      </c>
      <c r="H667">
        <f>IF(ABS(F667)&lt;=0.01,"Correct",IF(F667&lt;0,"Underbilled","Overbilled"))</f>
        <v/>
      </c>
    </row>
    <row r="668">
      <c r="A668" t="inlineStr">
        <is>
          <t>INV0015048</t>
        </is>
      </c>
      <c r="B668" t="inlineStr">
        <is>
          <t>MER00711</t>
        </is>
      </c>
      <c r="C668">
        <f>XLOOKUP(B668,Merchants!$A$4:$A$1000,Merchants!$B$4:$B$1000,"Not found")</f>
        <v/>
      </c>
      <c r="D668">
        <f>XLOOKUP(A668,tblInvoices[invoice_id],tblInvoices[expected_fee])</f>
        <v/>
      </c>
      <c r="E668">
        <f>XLOOKUP(A668,tblInvoices[invoice_id],tblInvoices[billed_fee])</f>
        <v/>
      </c>
      <c r="F668">
        <f>E668-D668</f>
        <v/>
      </c>
      <c r="G668">
        <f>IF(D668=0,0,ROUND(100*F668/D668,2))</f>
        <v/>
      </c>
      <c r="H668">
        <f>IF(ABS(F668)&lt;=0.01,"Correct",IF(F668&lt;0,"Underbilled","Overbilled"))</f>
        <v/>
      </c>
    </row>
    <row r="669">
      <c r="A669" t="inlineStr">
        <is>
          <t>INV0015049</t>
        </is>
      </c>
      <c r="B669" t="inlineStr">
        <is>
          <t>MER00711</t>
        </is>
      </c>
      <c r="C669">
        <f>XLOOKUP(B669,Merchants!$A$4:$A$1000,Merchants!$B$4:$B$1000,"Not found")</f>
        <v/>
      </c>
      <c r="D669">
        <f>XLOOKUP(A669,tblInvoices[invoice_id],tblInvoices[expected_fee])</f>
        <v/>
      </c>
      <c r="E669">
        <f>XLOOKUP(A669,tblInvoices[invoice_id],tblInvoices[billed_fee])</f>
        <v/>
      </c>
      <c r="F669">
        <f>E669-D669</f>
        <v/>
      </c>
      <c r="G669">
        <f>IF(D669=0,0,ROUND(100*F669/D669,2))</f>
        <v/>
      </c>
      <c r="H669">
        <f>IF(ABS(F669)&lt;=0.01,"Correct",IF(F669&lt;0,"Underbilled","Overbilled"))</f>
        <v/>
      </c>
    </row>
    <row r="670">
      <c r="A670" t="inlineStr">
        <is>
          <t>INV0015050</t>
        </is>
      </c>
      <c r="B670" t="inlineStr">
        <is>
          <t>MER00711</t>
        </is>
      </c>
      <c r="C670">
        <f>XLOOKUP(B670,Merchants!$A$4:$A$1000,Merchants!$B$4:$B$1000,"Not found")</f>
        <v/>
      </c>
      <c r="D670">
        <f>XLOOKUP(A670,tblInvoices[invoice_id],tblInvoices[expected_fee])</f>
        <v/>
      </c>
      <c r="E670">
        <f>XLOOKUP(A670,tblInvoices[invoice_id],tblInvoices[billed_fee])</f>
        <v/>
      </c>
      <c r="F670">
        <f>E670-D670</f>
        <v/>
      </c>
      <c r="G670">
        <f>IF(D670=0,0,ROUND(100*F670/D670,2))</f>
        <v/>
      </c>
      <c r="H670">
        <f>IF(ABS(F670)&lt;=0.01,"Correct",IF(F670&lt;0,"Underbilled","Overbilled"))</f>
        <v/>
      </c>
    </row>
    <row r="671">
      <c r="A671" t="inlineStr">
        <is>
          <t>INV0015051</t>
        </is>
      </c>
      <c r="B671" t="inlineStr">
        <is>
          <t>MER00711</t>
        </is>
      </c>
      <c r="C671">
        <f>XLOOKUP(B671,Merchants!$A$4:$A$1000,Merchants!$B$4:$B$1000,"Not found")</f>
        <v/>
      </c>
      <c r="D671">
        <f>XLOOKUP(A671,tblInvoices[invoice_id],tblInvoices[expected_fee])</f>
        <v/>
      </c>
      <c r="E671">
        <f>XLOOKUP(A671,tblInvoices[invoice_id],tblInvoices[billed_fee])</f>
        <v/>
      </c>
      <c r="F671">
        <f>E671-D671</f>
        <v/>
      </c>
      <c r="G671">
        <f>IF(D671=0,0,ROUND(100*F671/D671,2))</f>
        <v/>
      </c>
      <c r="H671">
        <f>IF(ABS(F671)&lt;=0.01,"Correct",IF(F671&lt;0,"Underbilled","Overbilled"))</f>
        <v/>
      </c>
    </row>
    <row r="672">
      <c r="A672" t="inlineStr">
        <is>
          <t>INV0015052</t>
        </is>
      </c>
      <c r="B672" t="inlineStr">
        <is>
          <t>MER00711</t>
        </is>
      </c>
      <c r="C672">
        <f>XLOOKUP(B672,Merchants!$A$4:$A$1000,Merchants!$B$4:$B$1000,"Not found")</f>
        <v/>
      </c>
      <c r="D672">
        <f>XLOOKUP(A672,tblInvoices[invoice_id],tblInvoices[expected_fee])</f>
        <v/>
      </c>
      <c r="E672">
        <f>XLOOKUP(A672,tblInvoices[invoice_id],tblInvoices[billed_fee])</f>
        <v/>
      </c>
      <c r="F672">
        <f>E672-D672</f>
        <v/>
      </c>
      <c r="G672">
        <f>IF(D672=0,0,ROUND(100*F672/D672,2))</f>
        <v/>
      </c>
      <c r="H672">
        <f>IF(ABS(F672)&lt;=0.01,"Correct",IF(F672&lt;0,"Underbilled","Overbilled"))</f>
        <v/>
      </c>
    </row>
    <row r="673">
      <c r="A673" t="inlineStr">
        <is>
          <t>INV0015053</t>
        </is>
      </c>
      <c r="B673" t="inlineStr">
        <is>
          <t>MER00711</t>
        </is>
      </c>
      <c r="C673">
        <f>XLOOKUP(B673,Merchants!$A$4:$A$1000,Merchants!$B$4:$B$1000,"Not found")</f>
        <v/>
      </c>
      <c r="D673">
        <f>XLOOKUP(A673,tblInvoices[invoice_id],tblInvoices[expected_fee])</f>
        <v/>
      </c>
      <c r="E673">
        <f>XLOOKUP(A673,tblInvoices[invoice_id],tblInvoices[billed_fee])</f>
        <v/>
      </c>
      <c r="F673">
        <f>E673-D673</f>
        <v/>
      </c>
      <c r="G673">
        <f>IF(D673=0,0,ROUND(100*F673/D673,2))</f>
        <v/>
      </c>
      <c r="H673">
        <f>IF(ABS(F673)&lt;=0.01,"Correct",IF(F673&lt;0,"Underbilled","Overbilled"))</f>
        <v/>
      </c>
    </row>
    <row r="674">
      <c r="A674" t="inlineStr">
        <is>
          <t>INV0015054</t>
        </is>
      </c>
      <c r="B674" t="inlineStr">
        <is>
          <t>MER00711</t>
        </is>
      </c>
      <c r="C674">
        <f>XLOOKUP(B674,Merchants!$A$4:$A$1000,Merchants!$B$4:$B$1000,"Not found")</f>
        <v/>
      </c>
      <c r="D674">
        <f>XLOOKUP(A674,tblInvoices[invoice_id],tblInvoices[expected_fee])</f>
        <v/>
      </c>
      <c r="E674">
        <f>XLOOKUP(A674,tblInvoices[invoice_id],tblInvoices[billed_fee])</f>
        <v/>
      </c>
      <c r="F674">
        <f>E674-D674</f>
        <v/>
      </c>
      <c r="G674">
        <f>IF(D674=0,0,ROUND(100*F674/D674,2))</f>
        <v/>
      </c>
      <c r="H674">
        <f>IF(ABS(F674)&lt;=0.01,"Correct",IF(F674&lt;0,"Underbilled","Overbilled"))</f>
        <v/>
      </c>
    </row>
    <row r="675">
      <c r="A675" t="inlineStr">
        <is>
          <t>INV0015055</t>
        </is>
      </c>
      <c r="B675" t="inlineStr">
        <is>
          <t>MER00711</t>
        </is>
      </c>
      <c r="C675">
        <f>XLOOKUP(B675,Merchants!$A$4:$A$1000,Merchants!$B$4:$B$1000,"Not found")</f>
        <v/>
      </c>
      <c r="D675">
        <f>XLOOKUP(A675,tblInvoices[invoice_id],tblInvoices[expected_fee])</f>
        <v/>
      </c>
      <c r="E675">
        <f>XLOOKUP(A675,tblInvoices[invoice_id],tblInvoices[billed_fee])</f>
        <v/>
      </c>
      <c r="F675">
        <f>E675-D675</f>
        <v/>
      </c>
      <c r="G675">
        <f>IF(D675=0,0,ROUND(100*F675/D675,2))</f>
        <v/>
      </c>
      <c r="H675">
        <f>IF(ABS(F675)&lt;=0.01,"Correct",IF(F675&lt;0,"Underbilled","Overbilled"))</f>
        <v/>
      </c>
    </row>
    <row r="676">
      <c r="A676" t="inlineStr">
        <is>
          <t>INV0015056</t>
        </is>
      </c>
      <c r="B676" t="inlineStr">
        <is>
          <t>MER00711</t>
        </is>
      </c>
      <c r="C676">
        <f>XLOOKUP(B676,Merchants!$A$4:$A$1000,Merchants!$B$4:$B$1000,"Not found")</f>
        <v/>
      </c>
      <c r="D676">
        <f>XLOOKUP(A676,tblInvoices[invoice_id],tblInvoices[expected_fee])</f>
        <v/>
      </c>
      <c r="E676">
        <f>XLOOKUP(A676,tblInvoices[invoice_id],tblInvoices[billed_fee])</f>
        <v/>
      </c>
      <c r="F676">
        <f>E676-D676</f>
        <v/>
      </c>
      <c r="G676">
        <f>IF(D676=0,0,ROUND(100*F676/D676,2))</f>
        <v/>
      </c>
      <c r="H676">
        <f>IF(ABS(F676)&lt;=0.01,"Correct",IF(F676&lt;0,"Underbilled","Overbilled"))</f>
        <v/>
      </c>
    </row>
    <row r="677">
      <c r="A677" t="inlineStr">
        <is>
          <t>INV0015057</t>
        </is>
      </c>
      <c r="B677" t="inlineStr">
        <is>
          <t>MER00711</t>
        </is>
      </c>
      <c r="C677">
        <f>XLOOKUP(B677,Merchants!$A$4:$A$1000,Merchants!$B$4:$B$1000,"Not found")</f>
        <v/>
      </c>
      <c r="D677">
        <f>XLOOKUP(A677,tblInvoices[invoice_id],tblInvoices[expected_fee])</f>
        <v/>
      </c>
      <c r="E677">
        <f>XLOOKUP(A677,tblInvoices[invoice_id],tblInvoices[billed_fee])</f>
        <v/>
      </c>
      <c r="F677">
        <f>E677-D677</f>
        <v/>
      </c>
      <c r="G677">
        <f>IF(D677=0,0,ROUND(100*F677/D677,2))</f>
        <v/>
      </c>
      <c r="H677">
        <f>IF(ABS(F677)&lt;=0.01,"Correct",IF(F677&lt;0,"Underbilled","Overbilled"))</f>
        <v/>
      </c>
    </row>
    <row r="678">
      <c r="A678" t="inlineStr">
        <is>
          <t>INV0015058</t>
        </is>
      </c>
      <c r="B678" t="inlineStr">
        <is>
          <t>MER00711</t>
        </is>
      </c>
      <c r="C678">
        <f>XLOOKUP(B678,Merchants!$A$4:$A$1000,Merchants!$B$4:$B$1000,"Not found")</f>
        <v/>
      </c>
      <c r="D678">
        <f>XLOOKUP(A678,tblInvoices[invoice_id],tblInvoices[expected_fee])</f>
        <v/>
      </c>
      <c r="E678">
        <f>XLOOKUP(A678,tblInvoices[invoice_id],tblInvoices[billed_fee])</f>
        <v/>
      </c>
      <c r="F678">
        <f>E678-D678</f>
        <v/>
      </c>
      <c r="G678">
        <f>IF(D678=0,0,ROUND(100*F678/D678,2))</f>
        <v/>
      </c>
      <c r="H678">
        <f>IF(ABS(F678)&lt;=0.01,"Correct",IF(F678&lt;0,"Underbilled","Overbilled"))</f>
        <v/>
      </c>
    </row>
    <row r="679">
      <c r="A679" t="inlineStr">
        <is>
          <t>INV0015059</t>
        </is>
      </c>
      <c r="B679" t="inlineStr">
        <is>
          <t>MER00711</t>
        </is>
      </c>
      <c r="C679">
        <f>XLOOKUP(B679,Merchants!$A$4:$A$1000,Merchants!$B$4:$B$1000,"Not found")</f>
        <v/>
      </c>
      <c r="D679">
        <f>XLOOKUP(A679,tblInvoices[invoice_id],tblInvoices[expected_fee])</f>
        <v/>
      </c>
      <c r="E679">
        <f>XLOOKUP(A679,tblInvoices[invoice_id],tblInvoices[billed_fee])</f>
        <v/>
      </c>
      <c r="F679">
        <f>E679-D679</f>
        <v/>
      </c>
      <c r="G679">
        <f>IF(D679=0,0,ROUND(100*F679/D679,2))</f>
        <v/>
      </c>
      <c r="H679">
        <f>IF(ABS(F679)&lt;=0.01,"Correct",IF(F679&lt;0,"Underbilled","Overbilled"))</f>
        <v/>
      </c>
    </row>
    <row r="680">
      <c r="A680" t="inlineStr">
        <is>
          <t>INV0015060</t>
        </is>
      </c>
      <c r="B680" t="inlineStr">
        <is>
          <t>MER00711</t>
        </is>
      </c>
      <c r="C680">
        <f>XLOOKUP(B680,Merchants!$A$4:$A$1000,Merchants!$B$4:$B$1000,"Not found")</f>
        <v/>
      </c>
      <c r="D680">
        <f>XLOOKUP(A680,tblInvoices[invoice_id],tblInvoices[expected_fee])</f>
        <v/>
      </c>
      <c r="E680">
        <f>XLOOKUP(A680,tblInvoices[invoice_id],tblInvoices[billed_fee])</f>
        <v/>
      </c>
      <c r="F680">
        <f>E680-D680</f>
        <v/>
      </c>
      <c r="G680">
        <f>IF(D680=0,0,ROUND(100*F680/D680,2))</f>
        <v/>
      </c>
      <c r="H680">
        <f>IF(ABS(F680)&lt;=0.01,"Correct",IF(F680&lt;0,"Underbilled","Overbilled"))</f>
        <v/>
      </c>
    </row>
    <row r="681">
      <c r="A681" t="inlineStr">
        <is>
          <t>INV0015061</t>
        </is>
      </c>
      <c r="B681" t="inlineStr">
        <is>
          <t>MER00711</t>
        </is>
      </c>
      <c r="C681">
        <f>XLOOKUP(B681,Merchants!$A$4:$A$1000,Merchants!$B$4:$B$1000,"Not found")</f>
        <v/>
      </c>
      <c r="D681">
        <f>XLOOKUP(A681,tblInvoices[invoice_id],tblInvoices[expected_fee])</f>
        <v/>
      </c>
      <c r="E681">
        <f>XLOOKUP(A681,tblInvoices[invoice_id],tblInvoices[billed_fee])</f>
        <v/>
      </c>
      <c r="F681">
        <f>E681-D681</f>
        <v/>
      </c>
      <c r="G681">
        <f>IF(D681=0,0,ROUND(100*F681/D681,2))</f>
        <v/>
      </c>
      <c r="H681">
        <f>IF(ABS(F681)&lt;=0.01,"Correct",IF(F681&lt;0,"Underbilled","Overbilled"))</f>
        <v/>
      </c>
    </row>
    <row r="682">
      <c r="A682" t="inlineStr">
        <is>
          <t>INV0015062</t>
        </is>
      </c>
      <c r="B682" t="inlineStr">
        <is>
          <t>MER00711</t>
        </is>
      </c>
      <c r="C682">
        <f>XLOOKUP(B682,Merchants!$A$4:$A$1000,Merchants!$B$4:$B$1000,"Not found")</f>
        <v/>
      </c>
      <c r="D682">
        <f>XLOOKUP(A682,tblInvoices[invoice_id],tblInvoices[expected_fee])</f>
        <v/>
      </c>
      <c r="E682">
        <f>XLOOKUP(A682,tblInvoices[invoice_id],tblInvoices[billed_fee])</f>
        <v/>
      </c>
      <c r="F682">
        <f>E682-D682</f>
        <v/>
      </c>
      <c r="G682">
        <f>IF(D682=0,0,ROUND(100*F682/D682,2))</f>
        <v/>
      </c>
      <c r="H682">
        <f>IF(ABS(F682)&lt;=0.01,"Correct",IF(F682&lt;0,"Underbilled","Overbilled"))</f>
        <v/>
      </c>
    </row>
    <row r="683">
      <c r="A683" t="inlineStr">
        <is>
          <t>INV0015063</t>
        </is>
      </c>
      <c r="B683" t="inlineStr">
        <is>
          <t>MER00711</t>
        </is>
      </c>
      <c r="C683">
        <f>XLOOKUP(B683,Merchants!$A$4:$A$1000,Merchants!$B$4:$B$1000,"Not found")</f>
        <v/>
      </c>
      <c r="D683">
        <f>XLOOKUP(A683,tblInvoices[invoice_id],tblInvoices[expected_fee])</f>
        <v/>
      </c>
      <c r="E683">
        <f>XLOOKUP(A683,tblInvoices[invoice_id],tblInvoices[billed_fee])</f>
        <v/>
      </c>
      <c r="F683">
        <f>E683-D683</f>
        <v/>
      </c>
      <c r="G683">
        <f>IF(D683=0,0,ROUND(100*F683/D683,2))</f>
        <v/>
      </c>
      <c r="H683">
        <f>IF(ABS(F683)&lt;=0.01,"Correct",IF(F683&lt;0,"Underbilled","Overbilled"))</f>
        <v/>
      </c>
    </row>
    <row r="684">
      <c r="A684" t="inlineStr">
        <is>
          <t>INV0015064</t>
        </is>
      </c>
      <c r="B684" t="inlineStr">
        <is>
          <t>MER00711</t>
        </is>
      </c>
      <c r="C684">
        <f>XLOOKUP(B684,Merchants!$A$4:$A$1000,Merchants!$B$4:$B$1000,"Not found")</f>
        <v/>
      </c>
      <c r="D684">
        <f>XLOOKUP(A684,tblInvoices[invoice_id],tblInvoices[expected_fee])</f>
        <v/>
      </c>
      <c r="E684">
        <f>XLOOKUP(A684,tblInvoices[invoice_id],tblInvoices[billed_fee])</f>
        <v/>
      </c>
      <c r="F684">
        <f>E684-D684</f>
        <v/>
      </c>
      <c r="G684">
        <f>IF(D684=0,0,ROUND(100*F684/D684,2))</f>
        <v/>
      </c>
      <c r="H684">
        <f>IF(ABS(F684)&lt;=0.01,"Correct",IF(F684&lt;0,"Underbilled","Overbilled"))</f>
        <v/>
      </c>
    </row>
    <row r="685">
      <c r="A685" t="inlineStr">
        <is>
          <t>INV0015065</t>
        </is>
      </c>
      <c r="B685" t="inlineStr">
        <is>
          <t>MER00711</t>
        </is>
      </c>
      <c r="C685">
        <f>XLOOKUP(B685,Merchants!$A$4:$A$1000,Merchants!$B$4:$B$1000,"Not found")</f>
        <v/>
      </c>
      <c r="D685">
        <f>XLOOKUP(A685,tblInvoices[invoice_id],tblInvoices[expected_fee])</f>
        <v/>
      </c>
      <c r="E685">
        <f>XLOOKUP(A685,tblInvoices[invoice_id],tblInvoices[billed_fee])</f>
        <v/>
      </c>
      <c r="F685">
        <f>E685-D685</f>
        <v/>
      </c>
      <c r="G685">
        <f>IF(D685=0,0,ROUND(100*F685/D685,2))</f>
        <v/>
      </c>
      <c r="H685">
        <f>IF(ABS(F685)&lt;=0.01,"Correct",IF(F685&lt;0,"Underbilled","Overbilled"))</f>
        <v/>
      </c>
    </row>
    <row r="686">
      <c r="A686" t="inlineStr">
        <is>
          <t>INV0015066</t>
        </is>
      </c>
      <c r="B686" t="inlineStr">
        <is>
          <t>MER00711</t>
        </is>
      </c>
      <c r="C686">
        <f>XLOOKUP(B686,Merchants!$A$4:$A$1000,Merchants!$B$4:$B$1000,"Not found")</f>
        <v/>
      </c>
      <c r="D686">
        <f>XLOOKUP(A686,tblInvoices[invoice_id],tblInvoices[expected_fee])</f>
        <v/>
      </c>
      <c r="E686">
        <f>XLOOKUP(A686,tblInvoices[invoice_id],tblInvoices[billed_fee])</f>
        <v/>
      </c>
      <c r="F686">
        <f>E686-D686</f>
        <v/>
      </c>
      <c r="G686">
        <f>IF(D686=0,0,ROUND(100*F686/D686,2))</f>
        <v/>
      </c>
      <c r="H686">
        <f>IF(ABS(F686)&lt;=0.01,"Correct",IF(F686&lt;0,"Underbilled","Overbilled"))</f>
        <v/>
      </c>
    </row>
    <row r="687">
      <c r="A687" t="inlineStr">
        <is>
          <t>INV0015067</t>
        </is>
      </c>
      <c r="B687" t="inlineStr">
        <is>
          <t>MER00711</t>
        </is>
      </c>
      <c r="C687">
        <f>XLOOKUP(B687,Merchants!$A$4:$A$1000,Merchants!$B$4:$B$1000,"Not found")</f>
        <v/>
      </c>
      <c r="D687">
        <f>XLOOKUP(A687,tblInvoices[invoice_id],tblInvoices[expected_fee])</f>
        <v/>
      </c>
      <c r="E687">
        <f>XLOOKUP(A687,tblInvoices[invoice_id],tblInvoices[billed_fee])</f>
        <v/>
      </c>
      <c r="F687">
        <f>E687-D687</f>
        <v/>
      </c>
      <c r="G687">
        <f>IF(D687=0,0,ROUND(100*F687/D687,2))</f>
        <v/>
      </c>
      <c r="H687">
        <f>IF(ABS(F687)&lt;=0.01,"Correct",IF(F687&lt;0,"Underbilled","Overbilled"))</f>
        <v/>
      </c>
    </row>
    <row r="688">
      <c r="A688" t="inlineStr">
        <is>
          <t>INV0015068</t>
        </is>
      </c>
      <c r="B688" t="inlineStr">
        <is>
          <t>MER00711</t>
        </is>
      </c>
      <c r="C688">
        <f>XLOOKUP(B688,Merchants!$A$4:$A$1000,Merchants!$B$4:$B$1000,"Not found")</f>
        <v/>
      </c>
      <c r="D688">
        <f>XLOOKUP(A688,tblInvoices[invoice_id],tblInvoices[expected_fee])</f>
        <v/>
      </c>
      <c r="E688">
        <f>XLOOKUP(A688,tblInvoices[invoice_id],tblInvoices[billed_fee])</f>
        <v/>
      </c>
      <c r="F688">
        <f>E688-D688</f>
        <v/>
      </c>
      <c r="G688">
        <f>IF(D688=0,0,ROUND(100*F688/D688,2))</f>
        <v/>
      </c>
      <c r="H688">
        <f>IF(ABS(F688)&lt;=0.01,"Correct",IF(F688&lt;0,"Underbilled","Overbilled"))</f>
        <v/>
      </c>
    </row>
    <row r="689">
      <c r="A689" t="inlineStr">
        <is>
          <t>INV0015069</t>
        </is>
      </c>
      <c r="B689" t="inlineStr">
        <is>
          <t>MER00711</t>
        </is>
      </c>
      <c r="C689">
        <f>XLOOKUP(B689,Merchants!$A$4:$A$1000,Merchants!$B$4:$B$1000,"Not found")</f>
        <v/>
      </c>
      <c r="D689">
        <f>XLOOKUP(A689,tblInvoices[invoice_id],tblInvoices[expected_fee])</f>
        <v/>
      </c>
      <c r="E689">
        <f>XLOOKUP(A689,tblInvoices[invoice_id],tblInvoices[billed_fee])</f>
        <v/>
      </c>
      <c r="F689">
        <f>E689-D689</f>
        <v/>
      </c>
      <c r="G689">
        <f>IF(D689=0,0,ROUND(100*F689/D689,2))</f>
        <v/>
      </c>
      <c r="H689">
        <f>IF(ABS(F689)&lt;=0.01,"Correct",IF(F689&lt;0,"Underbilled","Overbilled"))</f>
        <v/>
      </c>
    </row>
    <row r="690">
      <c r="A690" t="inlineStr">
        <is>
          <t>INV0015070</t>
        </is>
      </c>
      <c r="B690" t="inlineStr">
        <is>
          <t>MER00712</t>
        </is>
      </c>
      <c r="C690">
        <f>XLOOKUP(B690,Merchants!$A$4:$A$1000,Merchants!$B$4:$B$1000,"Not found")</f>
        <v/>
      </c>
      <c r="D690">
        <f>XLOOKUP(A690,tblInvoices[invoice_id],tblInvoices[expected_fee])</f>
        <v/>
      </c>
      <c r="E690">
        <f>XLOOKUP(A690,tblInvoices[invoice_id],tblInvoices[billed_fee])</f>
        <v/>
      </c>
      <c r="F690">
        <f>E690-D690</f>
        <v/>
      </c>
      <c r="G690">
        <f>IF(D690=0,0,ROUND(100*F690/D690,2))</f>
        <v/>
      </c>
      <c r="H690">
        <f>IF(ABS(F690)&lt;=0.01,"Correct",IF(F690&lt;0,"Underbilled","Overbilled"))</f>
        <v/>
      </c>
    </row>
    <row r="691">
      <c r="A691" t="inlineStr">
        <is>
          <t>INV0015071</t>
        </is>
      </c>
      <c r="B691" t="inlineStr">
        <is>
          <t>MER00712</t>
        </is>
      </c>
      <c r="C691">
        <f>XLOOKUP(B691,Merchants!$A$4:$A$1000,Merchants!$B$4:$B$1000,"Not found")</f>
        <v/>
      </c>
      <c r="D691">
        <f>XLOOKUP(A691,tblInvoices[invoice_id],tblInvoices[expected_fee])</f>
        <v/>
      </c>
      <c r="E691">
        <f>XLOOKUP(A691,tblInvoices[invoice_id],tblInvoices[billed_fee])</f>
        <v/>
      </c>
      <c r="F691">
        <f>E691-D691</f>
        <v/>
      </c>
      <c r="G691">
        <f>IF(D691=0,0,ROUND(100*F691/D691,2))</f>
        <v/>
      </c>
      <c r="H691">
        <f>IF(ABS(F691)&lt;=0.01,"Correct",IF(F691&lt;0,"Underbilled","Overbilled"))</f>
        <v/>
      </c>
    </row>
    <row r="692">
      <c r="A692" t="inlineStr">
        <is>
          <t>INV0015072</t>
        </is>
      </c>
      <c r="B692" t="inlineStr">
        <is>
          <t>MER00712</t>
        </is>
      </c>
      <c r="C692">
        <f>XLOOKUP(B692,Merchants!$A$4:$A$1000,Merchants!$B$4:$B$1000,"Not found")</f>
        <v/>
      </c>
      <c r="D692">
        <f>XLOOKUP(A692,tblInvoices[invoice_id],tblInvoices[expected_fee])</f>
        <v/>
      </c>
      <c r="E692">
        <f>XLOOKUP(A692,tblInvoices[invoice_id],tblInvoices[billed_fee])</f>
        <v/>
      </c>
      <c r="F692">
        <f>E692-D692</f>
        <v/>
      </c>
      <c r="G692">
        <f>IF(D692=0,0,ROUND(100*F692/D692,2))</f>
        <v/>
      </c>
      <c r="H692">
        <f>IF(ABS(F692)&lt;=0.01,"Correct",IF(F692&lt;0,"Underbilled","Overbilled"))</f>
        <v/>
      </c>
    </row>
    <row r="693">
      <c r="A693" t="inlineStr">
        <is>
          <t>INV0015073</t>
        </is>
      </c>
      <c r="B693" t="inlineStr">
        <is>
          <t>MER00712</t>
        </is>
      </c>
      <c r="C693">
        <f>XLOOKUP(B693,Merchants!$A$4:$A$1000,Merchants!$B$4:$B$1000,"Not found")</f>
        <v/>
      </c>
      <c r="D693">
        <f>XLOOKUP(A693,tblInvoices[invoice_id],tblInvoices[expected_fee])</f>
        <v/>
      </c>
      <c r="E693">
        <f>XLOOKUP(A693,tblInvoices[invoice_id],tblInvoices[billed_fee])</f>
        <v/>
      </c>
      <c r="F693">
        <f>E693-D693</f>
        <v/>
      </c>
      <c r="G693">
        <f>IF(D693=0,0,ROUND(100*F693/D693,2))</f>
        <v/>
      </c>
      <c r="H693">
        <f>IF(ABS(F693)&lt;=0.01,"Correct",IF(F693&lt;0,"Underbilled","Overbilled"))</f>
        <v/>
      </c>
    </row>
    <row r="694">
      <c r="A694" t="inlineStr">
        <is>
          <t>INV0015074</t>
        </is>
      </c>
      <c r="B694" t="inlineStr">
        <is>
          <t>MER00712</t>
        </is>
      </c>
      <c r="C694">
        <f>XLOOKUP(B694,Merchants!$A$4:$A$1000,Merchants!$B$4:$B$1000,"Not found")</f>
        <v/>
      </c>
      <c r="D694">
        <f>XLOOKUP(A694,tblInvoices[invoice_id],tblInvoices[expected_fee])</f>
        <v/>
      </c>
      <c r="E694">
        <f>XLOOKUP(A694,tblInvoices[invoice_id],tblInvoices[billed_fee])</f>
        <v/>
      </c>
      <c r="F694">
        <f>E694-D694</f>
        <v/>
      </c>
      <c r="G694">
        <f>IF(D694=0,0,ROUND(100*F694/D694,2))</f>
        <v/>
      </c>
      <c r="H694">
        <f>IF(ABS(F694)&lt;=0.01,"Correct",IF(F694&lt;0,"Underbilled","Overbilled"))</f>
        <v/>
      </c>
    </row>
    <row r="695">
      <c r="A695" t="inlineStr">
        <is>
          <t>INV0015075</t>
        </is>
      </c>
      <c r="B695" t="inlineStr">
        <is>
          <t>MER00712</t>
        </is>
      </c>
      <c r="C695">
        <f>XLOOKUP(B695,Merchants!$A$4:$A$1000,Merchants!$B$4:$B$1000,"Not found")</f>
        <v/>
      </c>
      <c r="D695">
        <f>XLOOKUP(A695,tblInvoices[invoice_id],tblInvoices[expected_fee])</f>
        <v/>
      </c>
      <c r="E695">
        <f>XLOOKUP(A695,tblInvoices[invoice_id],tblInvoices[billed_fee])</f>
        <v/>
      </c>
      <c r="F695">
        <f>E695-D695</f>
        <v/>
      </c>
      <c r="G695">
        <f>IF(D695=0,0,ROUND(100*F695/D695,2))</f>
        <v/>
      </c>
      <c r="H695">
        <f>IF(ABS(F695)&lt;=0.01,"Correct",IF(F695&lt;0,"Underbilled","Overbilled"))</f>
        <v/>
      </c>
    </row>
    <row r="696">
      <c r="A696" t="inlineStr">
        <is>
          <t>INV0015076</t>
        </is>
      </c>
      <c r="B696" t="inlineStr">
        <is>
          <t>MER00712</t>
        </is>
      </c>
      <c r="C696">
        <f>XLOOKUP(B696,Merchants!$A$4:$A$1000,Merchants!$B$4:$B$1000,"Not found")</f>
        <v/>
      </c>
      <c r="D696">
        <f>XLOOKUP(A696,tblInvoices[invoice_id],tblInvoices[expected_fee])</f>
        <v/>
      </c>
      <c r="E696">
        <f>XLOOKUP(A696,tblInvoices[invoice_id],tblInvoices[billed_fee])</f>
        <v/>
      </c>
      <c r="F696">
        <f>E696-D696</f>
        <v/>
      </c>
      <c r="G696">
        <f>IF(D696=0,0,ROUND(100*F696/D696,2))</f>
        <v/>
      </c>
      <c r="H696">
        <f>IF(ABS(F696)&lt;=0.01,"Correct",IF(F696&lt;0,"Underbilled","Overbilled"))</f>
        <v/>
      </c>
    </row>
    <row r="697">
      <c r="A697" t="inlineStr">
        <is>
          <t>INV0015077</t>
        </is>
      </c>
      <c r="B697" t="inlineStr">
        <is>
          <t>MER00712</t>
        </is>
      </c>
      <c r="C697">
        <f>XLOOKUP(B697,Merchants!$A$4:$A$1000,Merchants!$B$4:$B$1000,"Not found")</f>
        <v/>
      </c>
      <c r="D697">
        <f>XLOOKUP(A697,tblInvoices[invoice_id],tblInvoices[expected_fee])</f>
        <v/>
      </c>
      <c r="E697">
        <f>XLOOKUP(A697,tblInvoices[invoice_id],tblInvoices[billed_fee])</f>
        <v/>
      </c>
      <c r="F697">
        <f>E697-D697</f>
        <v/>
      </c>
      <c r="G697">
        <f>IF(D697=0,0,ROUND(100*F697/D697,2))</f>
        <v/>
      </c>
      <c r="H697">
        <f>IF(ABS(F697)&lt;=0.01,"Correct",IF(F697&lt;0,"Underbilled","Overbilled"))</f>
        <v/>
      </c>
    </row>
    <row r="698">
      <c r="A698" t="inlineStr">
        <is>
          <t>INV0015078</t>
        </is>
      </c>
      <c r="B698" t="inlineStr">
        <is>
          <t>MER00712</t>
        </is>
      </c>
      <c r="C698">
        <f>XLOOKUP(B698,Merchants!$A$4:$A$1000,Merchants!$B$4:$B$1000,"Not found")</f>
        <v/>
      </c>
      <c r="D698">
        <f>XLOOKUP(A698,tblInvoices[invoice_id],tblInvoices[expected_fee])</f>
        <v/>
      </c>
      <c r="E698">
        <f>XLOOKUP(A698,tblInvoices[invoice_id],tblInvoices[billed_fee])</f>
        <v/>
      </c>
      <c r="F698">
        <f>E698-D698</f>
        <v/>
      </c>
      <c r="G698">
        <f>IF(D698=0,0,ROUND(100*F698/D698,2))</f>
        <v/>
      </c>
      <c r="H698">
        <f>IF(ABS(F698)&lt;=0.01,"Correct",IF(F698&lt;0,"Underbilled","Overbilled"))</f>
        <v/>
      </c>
    </row>
    <row r="699">
      <c r="A699" t="inlineStr">
        <is>
          <t>INV0015079</t>
        </is>
      </c>
      <c r="B699" t="inlineStr">
        <is>
          <t>MER00712</t>
        </is>
      </c>
      <c r="C699">
        <f>XLOOKUP(B699,Merchants!$A$4:$A$1000,Merchants!$B$4:$B$1000,"Not found")</f>
        <v/>
      </c>
      <c r="D699">
        <f>XLOOKUP(A699,tblInvoices[invoice_id],tblInvoices[expected_fee])</f>
        <v/>
      </c>
      <c r="E699">
        <f>XLOOKUP(A699,tblInvoices[invoice_id],tblInvoices[billed_fee])</f>
        <v/>
      </c>
      <c r="F699">
        <f>E699-D699</f>
        <v/>
      </c>
      <c r="G699">
        <f>IF(D699=0,0,ROUND(100*F699/D699,2))</f>
        <v/>
      </c>
      <c r="H699">
        <f>IF(ABS(F699)&lt;=0.01,"Correct",IF(F699&lt;0,"Underbilled","Overbilled"))</f>
        <v/>
      </c>
    </row>
    <row r="700">
      <c r="A700" t="inlineStr">
        <is>
          <t>INV0015080</t>
        </is>
      </c>
      <c r="B700" t="inlineStr">
        <is>
          <t>MER00712</t>
        </is>
      </c>
      <c r="C700">
        <f>XLOOKUP(B700,Merchants!$A$4:$A$1000,Merchants!$B$4:$B$1000,"Not found")</f>
        <v/>
      </c>
      <c r="D700">
        <f>XLOOKUP(A700,tblInvoices[invoice_id],tblInvoices[expected_fee])</f>
        <v/>
      </c>
      <c r="E700">
        <f>XLOOKUP(A700,tblInvoices[invoice_id],tblInvoices[billed_fee])</f>
        <v/>
      </c>
      <c r="F700">
        <f>E700-D700</f>
        <v/>
      </c>
      <c r="G700">
        <f>IF(D700=0,0,ROUND(100*F700/D700,2))</f>
        <v/>
      </c>
      <c r="H700">
        <f>IF(ABS(F700)&lt;=0.01,"Correct",IF(F700&lt;0,"Underbilled","Overbilled"))</f>
        <v/>
      </c>
    </row>
    <row r="701">
      <c r="A701" t="inlineStr">
        <is>
          <t>INV0015081</t>
        </is>
      </c>
      <c r="B701" t="inlineStr">
        <is>
          <t>MER00712</t>
        </is>
      </c>
      <c r="C701">
        <f>XLOOKUP(B701,Merchants!$A$4:$A$1000,Merchants!$B$4:$B$1000,"Not found")</f>
        <v/>
      </c>
      <c r="D701">
        <f>XLOOKUP(A701,tblInvoices[invoice_id],tblInvoices[expected_fee])</f>
        <v/>
      </c>
      <c r="E701">
        <f>XLOOKUP(A701,tblInvoices[invoice_id],tblInvoices[billed_fee])</f>
        <v/>
      </c>
      <c r="F701">
        <f>E701-D701</f>
        <v/>
      </c>
      <c r="G701">
        <f>IF(D701=0,0,ROUND(100*F701/D701,2))</f>
        <v/>
      </c>
      <c r="H701">
        <f>IF(ABS(F701)&lt;=0.01,"Correct",IF(F701&lt;0,"Underbilled","Overbilled"))</f>
        <v/>
      </c>
    </row>
    <row r="702">
      <c r="A702" t="inlineStr">
        <is>
          <t>INV0015082</t>
        </is>
      </c>
      <c r="B702" t="inlineStr">
        <is>
          <t>MER00712</t>
        </is>
      </c>
      <c r="C702">
        <f>XLOOKUP(B702,Merchants!$A$4:$A$1000,Merchants!$B$4:$B$1000,"Not found")</f>
        <v/>
      </c>
      <c r="D702">
        <f>XLOOKUP(A702,tblInvoices[invoice_id],tblInvoices[expected_fee])</f>
        <v/>
      </c>
      <c r="E702">
        <f>XLOOKUP(A702,tblInvoices[invoice_id],tblInvoices[billed_fee])</f>
        <v/>
      </c>
      <c r="F702">
        <f>E702-D702</f>
        <v/>
      </c>
      <c r="G702">
        <f>IF(D702=0,0,ROUND(100*F702/D702,2))</f>
        <v/>
      </c>
      <c r="H702">
        <f>IF(ABS(F702)&lt;=0.01,"Correct",IF(F702&lt;0,"Underbilled","Overbilled"))</f>
        <v/>
      </c>
    </row>
    <row r="703">
      <c r="A703" t="inlineStr">
        <is>
          <t>INV0015083</t>
        </is>
      </c>
      <c r="B703" t="inlineStr">
        <is>
          <t>MER00712</t>
        </is>
      </c>
      <c r="C703">
        <f>XLOOKUP(B703,Merchants!$A$4:$A$1000,Merchants!$B$4:$B$1000,"Not found")</f>
        <v/>
      </c>
      <c r="D703">
        <f>XLOOKUP(A703,tblInvoices[invoice_id],tblInvoices[expected_fee])</f>
        <v/>
      </c>
      <c r="E703">
        <f>XLOOKUP(A703,tblInvoices[invoice_id],tblInvoices[billed_fee])</f>
        <v/>
      </c>
      <c r="F703">
        <f>E703-D703</f>
        <v/>
      </c>
      <c r="G703">
        <f>IF(D703=0,0,ROUND(100*F703/D703,2))</f>
        <v/>
      </c>
      <c r="H703">
        <f>IF(ABS(F703)&lt;=0.01,"Correct",IF(F703&lt;0,"Underbilled","Overbilled"))</f>
        <v/>
      </c>
    </row>
    <row r="704">
      <c r="A704" t="inlineStr">
        <is>
          <t>INV0015084</t>
        </is>
      </c>
      <c r="B704" t="inlineStr">
        <is>
          <t>MER00712</t>
        </is>
      </c>
      <c r="C704">
        <f>XLOOKUP(B704,Merchants!$A$4:$A$1000,Merchants!$B$4:$B$1000,"Not found")</f>
        <v/>
      </c>
      <c r="D704">
        <f>XLOOKUP(A704,tblInvoices[invoice_id],tblInvoices[expected_fee])</f>
        <v/>
      </c>
      <c r="E704">
        <f>XLOOKUP(A704,tblInvoices[invoice_id],tblInvoices[billed_fee])</f>
        <v/>
      </c>
      <c r="F704">
        <f>E704-D704</f>
        <v/>
      </c>
      <c r="G704">
        <f>IF(D704=0,0,ROUND(100*F704/D704,2))</f>
        <v/>
      </c>
      <c r="H704">
        <f>IF(ABS(F704)&lt;=0.01,"Correct",IF(F704&lt;0,"Underbilled","Overbilled"))</f>
        <v/>
      </c>
    </row>
    <row r="705">
      <c r="A705" t="inlineStr">
        <is>
          <t>INV0015085</t>
        </is>
      </c>
      <c r="B705" t="inlineStr">
        <is>
          <t>MER00712</t>
        </is>
      </c>
      <c r="C705">
        <f>XLOOKUP(B705,Merchants!$A$4:$A$1000,Merchants!$B$4:$B$1000,"Not found")</f>
        <v/>
      </c>
      <c r="D705">
        <f>XLOOKUP(A705,tblInvoices[invoice_id],tblInvoices[expected_fee])</f>
        <v/>
      </c>
      <c r="E705">
        <f>XLOOKUP(A705,tblInvoices[invoice_id],tblInvoices[billed_fee])</f>
        <v/>
      </c>
      <c r="F705">
        <f>E705-D705</f>
        <v/>
      </c>
      <c r="G705">
        <f>IF(D705=0,0,ROUND(100*F705/D705,2))</f>
        <v/>
      </c>
      <c r="H705">
        <f>IF(ABS(F705)&lt;=0.01,"Correct",IF(F705&lt;0,"Underbilled","Overbilled"))</f>
        <v/>
      </c>
    </row>
    <row r="706">
      <c r="A706" t="inlineStr">
        <is>
          <t>INV0015086</t>
        </is>
      </c>
      <c r="B706" t="inlineStr">
        <is>
          <t>MER00712</t>
        </is>
      </c>
      <c r="C706">
        <f>XLOOKUP(B706,Merchants!$A$4:$A$1000,Merchants!$B$4:$B$1000,"Not found")</f>
        <v/>
      </c>
      <c r="D706">
        <f>XLOOKUP(A706,tblInvoices[invoice_id],tblInvoices[expected_fee])</f>
        <v/>
      </c>
      <c r="E706">
        <f>XLOOKUP(A706,tblInvoices[invoice_id],tblInvoices[billed_fee])</f>
        <v/>
      </c>
      <c r="F706">
        <f>E706-D706</f>
        <v/>
      </c>
      <c r="G706">
        <f>IF(D706=0,0,ROUND(100*F706/D706,2))</f>
        <v/>
      </c>
      <c r="H706">
        <f>IF(ABS(F706)&lt;=0.01,"Correct",IF(F706&lt;0,"Underbilled","Overbilled"))</f>
        <v/>
      </c>
    </row>
    <row r="707">
      <c r="A707" t="inlineStr">
        <is>
          <t>INV0015087</t>
        </is>
      </c>
      <c r="B707" t="inlineStr">
        <is>
          <t>MER00712</t>
        </is>
      </c>
      <c r="C707">
        <f>XLOOKUP(B707,Merchants!$A$4:$A$1000,Merchants!$B$4:$B$1000,"Not found")</f>
        <v/>
      </c>
      <c r="D707">
        <f>XLOOKUP(A707,tblInvoices[invoice_id],tblInvoices[expected_fee])</f>
        <v/>
      </c>
      <c r="E707">
        <f>XLOOKUP(A707,tblInvoices[invoice_id],tblInvoices[billed_fee])</f>
        <v/>
      </c>
      <c r="F707">
        <f>E707-D707</f>
        <v/>
      </c>
      <c r="G707">
        <f>IF(D707=0,0,ROUND(100*F707/D707,2))</f>
        <v/>
      </c>
      <c r="H707">
        <f>IF(ABS(F707)&lt;=0.01,"Correct",IF(F707&lt;0,"Underbilled","Overbilled"))</f>
        <v/>
      </c>
    </row>
    <row r="708">
      <c r="A708" t="inlineStr">
        <is>
          <t>INV0015088</t>
        </is>
      </c>
      <c r="B708" t="inlineStr">
        <is>
          <t>MER00712</t>
        </is>
      </c>
      <c r="C708">
        <f>XLOOKUP(B708,Merchants!$A$4:$A$1000,Merchants!$B$4:$B$1000,"Not found")</f>
        <v/>
      </c>
      <c r="D708">
        <f>XLOOKUP(A708,tblInvoices[invoice_id],tblInvoices[expected_fee])</f>
        <v/>
      </c>
      <c r="E708">
        <f>XLOOKUP(A708,tblInvoices[invoice_id],tblInvoices[billed_fee])</f>
        <v/>
      </c>
      <c r="F708">
        <f>E708-D708</f>
        <v/>
      </c>
      <c r="G708">
        <f>IF(D708=0,0,ROUND(100*F708/D708,2))</f>
        <v/>
      </c>
      <c r="H708">
        <f>IF(ABS(F708)&lt;=0.01,"Correct",IF(F708&lt;0,"Underbilled","Overbilled"))</f>
        <v/>
      </c>
    </row>
    <row r="709">
      <c r="A709" t="inlineStr">
        <is>
          <t>INV0015089</t>
        </is>
      </c>
      <c r="B709" t="inlineStr">
        <is>
          <t>MER00712</t>
        </is>
      </c>
      <c r="C709">
        <f>XLOOKUP(B709,Merchants!$A$4:$A$1000,Merchants!$B$4:$B$1000,"Not found")</f>
        <v/>
      </c>
      <c r="D709">
        <f>XLOOKUP(A709,tblInvoices[invoice_id],tblInvoices[expected_fee])</f>
        <v/>
      </c>
      <c r="E709">
        <f>XLOOKUP(A709,tblInvoices[invoice_id],tblInvoices[billed_fee])</f>
        <v/>
      </c>
      <c r="F709">
        <f>E709-D709</f>
        <v/>
      </c>
      <c r="G709">
        <f>IF(D709=0,0,ROUND(100*F709/D709,2))</f>
        <v/>
      </c>
      <c r="H709">
        <f>IF(ABS(F709)&lt;=0.01,"Correct",IF(F709&lt;0,"Underbilled","Overbilled"))</f>
        <v/>
      </c>
    </row>
    <row r="710">
      <c r="A710" t="inlineStr">
        <is>
          <t>INV0015090</t>
        </is>
      </c>
      <c r="B710" t="inlineStr">
        <is>
          <t>MER00712</t>
        </is>
      </c>
      <c r="C710">
        <f>XLOOKUP(B710,Merchants!$A$4:$A$1000,Merchants!$B$4:$B$1000,"Not found")</f>
        <v/>
      </c>
      <c r="D710">
        <f>XLOOKUP(A710,tblInvoices[invoice_id],tblInvoices[expected_fee])</f>
        <v/>
      </c>
      <c r="E710">
        <f>XLOOKUP(A710,tblInvoices[invoice_id],tblInvoices[billed_fee])</f>
        <v/>
      </c>
      <c r="F710">
        <f>E710-D710</f>
        <v/>
      </c>
      <c r="G710">
        <f>IF(D710=0,0,ROUND(100*F710/D710,2))</f>
        <v/>
      </c>
      <c r="H710">
        <f>IF(ABS(F710)&lt;=0.01,"Correct",IF(F710&lt;0,"Underbilled","Overbilled"))</f>
        <v/>
      </c>
    </row>
    <row r="711">
      <c r="A711" t="inlineStr">
        <is>
          <t>INV0015091</t>
        </is>
      </c>
      <c r="B711" t="inlineStr">
        <is>
          <t>MER00712</t>
        </is>
      </c>
      <c r="C711">
        <f>XLOOKUP(B711,Merchants!$A$4:$A$1000,Merchants!$B$4:$B$1000,"Not found")</f>
        <v/>
      </c>
      <c r="D711">
        <f>XLOOKUP(A711,tblInvoices[invoice_id],tblInvoices[expected_fee])</f>
        <v/>
      </c>
      <c r="E711">
        <f>XLOOKUP(A711,tblInvoices[invoice_id],tblInvoices[billed_fee])</f>
        <v/>
      </c>
      <c r="F711">
        <f>E711-D711</f>
        <v/>
      </c>
      <c r="G711">
        <f>IF(D711=0,0,ROUND(100*F711/D711,2))</f>
        <v/>
      </c>
      <c r="H711">
        <f>IF(ABS(F711)&lt;=0.01,"Correct",IF(F711&lt;0,"Underbilled","Overbilled"))</f>
        <v/>
      </c>
    </row>
    <row r="712">
      <c r="A712" t="inlineStr">
        <is>
          <t>INV0015092</t>
        </is>
      </c>
      <c r="B712" t="inlineStr">
        <is>
          <t>MER00712</t>
        </is>
      </c>
      <c r="C712">
        <f>XLOOKUP(B712,Merchants!$A$4:$A$1000,Merchants!$B$4:$B$1000,"Not found")</f>
        <v/>
      </c>
      <c r="D712">
        <f>XLOOKUP(A712,tblInvoices[invoice_id],tblInvoices[expected_fee])</f>
        <v/>
      </c>
      <c r="E712">
        <f>XLOOKUP(A712,tblInvoices[invoice_id],tblInvoices[billed_fee])</f>
        <v/>
      </c>
      <c r="F712">
        <f>E712-D712</f>
        <v/>
      </c>
      <c r="G712">
        <f>IF(D712=0,0,ROUND(100*F712/D712,2))</f>
        <v/>
      </c>
      <c r="H712">
        <f>IF(ABS(F712)&lt;=0.01,"Correct",IF(F712&lt;0,"Underbilled","Overbilled"))</f>
        <v/>
      </c>
    </row>
    <row r="713">
      <c r="A713" t="inlineStr">
        <is>
          <t>INV0015093</t>
        </is>
      </c>
      <c r="B713" t="inlineStr">
        <is>
          <t>MER00712</t>
        </is>
      </c>
      <c r="C713">
        <f>XLOOKUP(B713,Merchants!$A$4:$A$1000,Merchants!$B$4:$B$1000,"Not found")</f>
        <v/>
      </c>
      <c r="D713">
        <f>XLOOKUP(A713,tblInvoices[invoice_id],tblInvoices[expected_fee])</f>
        <v/>
      </c>
      <c r="E713">
        <f>XLOOKUP(A713,tblInvoices[invoice_id],tblInvoices[billed_fee])</f>
        <v/>
      </c>
      <c r="F713">
        <f>E713-D713</f>
        <v/>
      </c>
      <c r="G713">
        <f>IF(D713=0,0,ROUND(100*F713/D713,2))</f>
        <v/>
      </c>
      <c r="H713">
        <f>IF(ABS(F713)&lt;=0.01,"Correct",IF(F713&lt;0,"Underbilled","Overbilled"))</f>
        <v/>
      </c>
    </row>
    <row r="714">
      <c r="A714" t="inlineStr">
        <is>
          <t>INV0015155</t>
        </is>
      </c>
      <c r="B714" t="inlineStr">
        <is>
          <t>MER00716</t>
        </is>
      </c>
      <c r="C714">
        <f>XLOOKUP(B714,Merchants!$A$4:$A$1000,Merchants!$B$4:$B$1000,"Not found")</f>
        <v/>
      </c>
      <c r="D714">
        <f>XLOOKUP(A714,tblInvoices[invoice_id],tblInvoices[expected_fee])</f>
        <v/>
      </c>
      <c r="E714">
        <f>XLOOKUP(A714,tblInvoices[invoice_id],tblInvoices[billed_fee])</f>
        <v/>
      </c>
      <c r="F714">
        <f>E714-D714</f>
        <v/>
      </c>
      <c r="G714">
        <f>IF(D714=0,0,ROUND(100*F714/D714,2))</f>
        <v/>
      </c>
      <c r="H714">
        <f>IF(ABS(F714)&lt;=0.01,"Correct",IF(F714&lt;0,"Underbilled","Overbilled"))</f>
        <v/>
      </c>
    </row>
    <row r="715">
      <c r="A715" t="inlineStr">
        <is>
          <t>INV0015156</t>
        </is>
      </c>
      <c r="B715" t="inlineStr">
        <is>
          <t>MER00716</t>
        </is>
      </c>
      <c r="C715">
        <f>XLOOKUP(B715,Merchants!$A$4:$A$1000,Merchants!$B$4:$B$1000,"Not found")</f>
        <v/>
      </c>
      <c r="D715">
        <f>XLOOKUP(A715,tblInvoices[invoice_id],tblInvoices[expected_fee])</f>
        <v/>
      </c>
      <c r="E715">
        <f>XLOOKUP(A715,tblInvoices[invoice_id],tblInvoices[billed_fee])</f>
        <v/>
      </c>
      <c r="F715">
        <f>E715-D715</f>
        <v/>
      </c>
      <c r="G715">
        <f>IF(D715=0,0,ROUND(100*F715/D715,2))</f>
        <v/>
      </c>
      <c r="H715">
        <f>IF(ABS(F715)&lt;=0.01,"Correct",IF(F715&lt;0,"Underbilled","Overbilled"))</f>
        <v/>
      </c>
    </row>
    <row r="716">
      <c r="A716" t="inlineStr">
        <is>
          <t>INV0015157</t>
        </is>
      </c>
      <c r="B716" t="inlineStr">
        <is>
          <t>MER00716</t>
        </is>
      </c>
      <c r="C716">
        <f>XLOOKUP(B716,Merchants!$A$4:$A$1000,Merchants!$B$4:$B$1000,"Not found")</f>
        <v/>
      </c>
      <c r="D716">
        <f>XLOOKUP(A716,tblInvoices[invoice_id],tblInvoices[expected_fee])</f>
        <v/>
      </c>
      <c r="E716">
        <f>XLOOKUP(A716,tblInvoices[invoice_id],tblInvoices[billed_fee])</f>
        <v/>
      </c>
      <c r="F716">
        <f>E716-D716</f>
        <v/>
      </c>
      <c r="G716">
        <f>IF(D716=0,0,ROUND(100*F716/D716,2))</f>
        <v/>
      </c>
      <c r="H716">
        <f>IF(ABS(F716)&lt;=0.01,"Correct",IF(F716&lt;0,"Underbilled","Overbilled"))</f>
        <v/>
      </c>
    </row>
    <row r="717">
      <c r="A717" t="inlineStr">
        <is>
          <t>INV0015158</t>
        </is>
      </c>
      <c r="B717" t="inlineStr">
        <is>
          <t>MER00716</t>
        </is>
      </c>
      <c r="C717">
        <f>XLOOKUP(B717,Merchants!$A$4:$A$1000,Merchants!$B$4:$B$1000,"Not found")</f>
        <v/>
      </c>
      <c r="D717">
        <f>XLOOKUP(A717,tblInvoices[invoice_id],tblInvoices[expected_fee])</f>
        <v/>
      </c>
      <c r="E717">
        <f>XLOOKUP(A717,tblInvoices[invoice_id],tblInvoices[billed_fee])</f>
        <v/>
      </c>
      <c r="F717">
        <f>E717-D717</f>
        <v/>
      </c>
      <c r="G717">
        <f>IF(D717=0,0,ROUND(100*F717/D717,2))</f>
        <v/>
      </c>
      <c r="H717">
        <f>IF(ABS(F717)&lt;=0.01,"Correct",IF(F717&lt;0,"Underbilled","Overbilled"))</f>
        <v/>
      </c>
    </row>
    <row r="718">
      <c r="A718" t="inlineStr">
        <is>
          <t>INV0015159</t>
        </is>
      </c>
      <c r="B718" t="inlineStr">
        <is>
          <t>MER00716</t>
        </is>
      </c>
      <c r="C718">
        <f>XLOOKUP(B718,Merchants!$A$4:$A$1000,Merchants!$B$4:$B$1000,"Not found")</f>
        <v/>
      </c>
      <c r="D718">
        <f>XLOOKUP(A718,tblInvoices[invoice_id],tblInvoices[expected_fee])</f>
        <v/>
      </c>
      <c r="E718">
        <f>XLOOKUP(A718,tblInvoices[invoice_id],tblInvoices[billed_fee])</f>
        <v/>
      </c>
      <c r="F718">
        <f>E718-D718</f>
        <v/>
      </c>
      <c r="G718">
        <f>IF(D718=0,0,ROUND(100*F718/D718,2))</f>
        <v/>
      </c>
      <c r="H718">
        <f>IF(ABS(F718)&lt;=0.01,"Correct",IF(F718&lt;0,"Underbilled","Overbilled"))</f>
        <v/>
      </c>
    </row>
    <row r="719">
      <c r="A719" t="inlineStr">
        <is>
          <t>INV0015160</t>
        </is>
      </c>
      <c r="B719" t="inlineStr">
        <is>
          <t>MER00716</t>
        </is>
      </c>
      <c r="C719">
        <f>XLOOKUP(B719,Merchants!$A$4:$A$1000,Merchants!$B$4:$B$1000,"Not found")</f>
        <v/>
      </c>
      <c r="D719">
        <f>XLOOKUP(A719,tblInvoices[invoice_id],tblInvoices[expected_fee])</f>
        <v/>
      </c>
      <c r="E719">
        <f>XLOOKUP(A719,tblInvoices[invoice_id],tblInvoices[billed_fee])</f>
        <v/>
      </c>
      <c r="F719">
        <f>E719-D719</f>
        <v/>
      </c>
      <c r="G719">
        <f>IF(D719=0,0,ROUND(100*F719/D719,2))</f>
        <v/>
      </c>
      <c r="H719">
        <f>IF(ABS(F719)&lt;=0.01,"Correct",IF(F719&lt;0,"Underbilled","Overbilled"))</f>
        <v/>
      </c>
    </row>
    <row r="720">
      <c r="A720" t="inlineStr">
        <is>
          <t>INV0015161</t>
        </is>
      </c>
      <c r="B720" t="inlineStr">
        <is>
          <t>MER00716</t>
        </is>
      </c>
      <c r="C720">
        <f>XLOOKUP(B720,Merchants!$A$4:$A$1000,Merchants!$B$4:$B$1000,"Not found")</f>
        <v/>
      </c>
      <c r="D720">
        <f>XLOOKUP(A720,tblInvoices[invoice_id],tblInvoices[expected_fee])</f>
        <v/>
      </c>
      <c r="E720">
        <f>XLOOKUP(A720,tblInvoices[invoice_id],tblInvoices[billed_fee])</f>
        <v/>
      </c>
      <c r="F720">
        <f>E720-D720</f>
        <v/>
      </c>
      <c r="G720">
        <f>IF(D720=0,0,ROUND(100*F720/D720,2))</f>
        <v/>
      </c>
      <c r="H720">
        <f>IF(ABS(F720)&lt;=0.01,"Correct",IF(F720&lt;0,"Underbilled","Overbilled"))</f>
        <v/>
      </c>
    </row>
    <row r="721">
      <c r="A721" t="inlineStr">
        <is>
          <t>INV0015162</t>
        </is>
      </c>
      <c r="B721" t="inlineStr">
        <is>
          <t>MER00716</t>
        </is>
      </c>
      <c r="C721">
        <f>XLOOKUP(B721,Merchants!$A$4:$A$1000,Merchants!$B$4:$B$1000,"Not found")</f>
        <v/>
      </c>
      <c r="D721">
        <f>XLOOKUP(A721,tblInvoices[invoice_id],tblInvoices[expected_fee])</f>
        <v/>
      </c>
      <c r="E721">
        <f>XLOOKUP(A721,tblInvoices[invoice_id],tblInvoices[billed_fee])</f>
        <v/>
      </c>
      <c r="F721">
        <f>E721-D721</f>
        <v/>
      </c>
      <c r="G721">
        <f>IF(D721=0,0,ROUND(100*F721/D721,2))</f>
        <v/>
      </c>
      <c r="H721">
        <f>IF(ABS(F721)&lt;=0.01,"Correct",IF(F721&lt;0,"Underbilled","Overbilled"))</f>
        <v/>
      </c>
    </row>
    <row r="722">
      <c r="A722" t="inlineStr">
        <is>
          <t>INV0015163</t>
        </is>
      </c>
      <c r="B722" t="inlineStr">
        <is>
          <t>MER00716</t>
        </is>
      </c>
      <c r="C722">
        <f>XLOOKUP(B722,Merchants!$A$4:$A$1000,Merchants!$B$4:$B$1000,"Not found")</f>
        <v/>
      </c>
      <c r="D722">
        <f>XLOOKUP(A722,tblInvoices[invoice_id],tblInvoices[expected_fee])</f>
        <v/>
      </c>
      <c r="E722">
        <f>XLOOKUP(A722,tblInvoices[invoice_id],tblInvoices[billed_fee])</f>
        <v/>
      </c>
      <c r="F722">
        <f>E722-D722</f>
        <v/>
      </c>
      <c r="G722">
        <f>IF(D722=0,0,ROUND(100*F722/D722,2))</f>
        <v/>
      </c>
      <c r="H722">
        <f>IF(ABS(F722)&lt;=0.01,"Correct",IF(F722&lt;0,"Underbilled","Overbilled"))</f>
        <v/>
      </c>
    </row>
    <row r="723">
      <c r="A723" t="inlineStr">
        <is>
          <t>INV0015164</t>
        </is>
      </c>
      <c r="B723" t="inlineStr">
        <is>
          <t>MER00716</t>
        </is>
      </c>
      <c r="C723">
        <f>XLOOKUP(B723,Merchants!$A$4:$A$1000,Merchants!$B$4:$B$1000,"Not found")</f>
        <v/>
      </c>
      <c r="D723">
        <f>XLOOKUP(A723,tblInvoices[invoice_id],tblInvoices[expected_fee])</f>
        <v/>
      </c>
      <c r="E723">
        <f>XLOOKUP(A723,tblInvoices[invoice_id],tblInvoices[billed_fee])</f>
        <v/>
      </c>
      <c r="F723">
        <f>E723-D723</f>
        <v/>
      </c>
      <c r="G723">
        <f>IF(D723=0,0,ROUND(100*F723/D723,2))</f>
        <v/>
      </c>
      <c r="H723">
        <f>IF(ABS(F723)&lt;=0.01,"Correct",IF(F723&lt;0,"Underbilled","Overbilled"))</f>
        <v/>
      </c>
    </row>
    <row r="724">
      <c r="A724" t="inlineStr">
        <is>
          <t>INV0015165</t>
        </is>
      </c>
      <c r="B724" t="inlineStr">
        <is>
          <t>MER00716</t>
        </is>
      </c>
      <c r="C724">
        <f>XLOOKUP(B724,Merchants!$A$4:$A$1000,Merchants!$B$4:$B$1000,"Not found")</f>
        <v/>
      </c>
      <c r="D724">
        <f>XLOOKUP(A724,tblInvoices[invoice_id],tblInvoices[expected_fee])</f>
        <v/>
      </c>
      <c r="E724">
        <f>XLOOKUP(A724,tblInvoices[invoice_id],tblInvoices[billed_fee])</f>
        <v/>
      </c>
      <c r="F724">
        <f>E724-D724</f>
        <v/>
      </c>
      <c r="G724">
        <f>IF(D724=0,0,ROUND(100*F724/D724,2))</f>
        <v/>
      </c>
      <c r="H724">
        <f>IF(ABS(F724)&lt;=0.01,"Correct",IF(F724&lt;0,"Underbilled","Overbilled"))</f>
        <v/>
      </c>
    </row>
    <row r="725">
      <c r="A725" t="inlineStr">
        <is>
          <t>INV0015166</t>
        </is>
      </c>
      <c r="B725" t="inlineStr">
        <is>
          <t>MER00716</t>
        </is>
      </c>
      <c r="C725">
        <f>XLOOKUP(B725,Merchants!$A$4:$A$1000,Merchants!$B$4:$B$1000,"Not found")</f>
        <v/>
      </c>
      <c r="D725">
        <f>XLOOKUP(A725,tblInvoices[invoice_id],tblInvoices[expected_fee])</f>
        <v/>
      </c>
      <c r="E725">
        <f>XLOOKUP(A725,tblInvoices[invoice_id],tblInvoices[billed_fee])</f>
        <v/>
      </c>
      <c r="F725">
        <f>E725-D725</f>
        <v/>
      </c>
      <c r="G725">
        <f>IF(D725=0,0,ROUND(100*F725/D725,2))</f>
        <v/>
      </c>
      <c r="H725">
        <f>IF(ABS(F725)&lt;=0.01,"Correct",IF(F725&lt;0,"Underbilled","Overbilled"))</f>
        <v/>
      </c>
    </row>
    <row r="726">
      <c r="A726" t="inlineStr">
        <is>
          <t>INV0015167</t>
        </is>
      </c>
      <c r="B726" t="inlineStr">
        <is>
          <t>MER00716</t>
        </is>
      </c>
      <c r="C726">
        <f>XLOOKUP(B726,Merchants!$A$4:$A$1000,Merchants!$B$4:$B$1000,"Not found")</f>
        <v/>
      </c>
      <c r="D726">
        <f>XLOOKUP(A726,tblInvoices[invoice_id],tblInvoices[expected_fee])</f>
        <v/>
      </c>
      <c r="E726">
        <f>XLOOKUP(A726,tblInvoices[invoice_id],tblInvoices[billed_fee])</f>
        <v/>
      </c>
      <c r="F726">
        <f>E726-D726</f>
        <v/>
      </c>
      <c r="G726">
        <f>IF(D726=0,0,ROUND(100*F726/D726,2))</f>
        <v/>
      </c>
      <c r="H726">
        <f>IF(ABS(F726)&lt;=0.01,"Correct",IF(F726&lt;0,"Underbilled","Overbilled"))</f>
        <v/>
      </c>
    </row>
    <row r="727">
      <c r="A727" t="inlineStr">
        <is>
          <t>INV0015168</t>
        </is>
      </c>
      <c r="B727" t="inlineStr">
        <is>
          <t>MER00716</t>
        </is>
      </c>
      <c r="C727">
        <f>XLOOKUP(B727,Merchants!$A$4:$A$1000,Merchants!$B$4:$B$1000,"Not found")</f>
        <v/>
      </c>
      <c r="D727">
        <f>XLOOKUP(A727,tblInvoices[invoice_id],tblInvoices[expected_fee])</f>
        <v/>
      </c>
      <c r="E727">
        <f>XLOOKUP(A727,tblInvoices[invoice_id],tblInvoices[billed_fee])</f>
        <v/>
      </c>
      <c r="F727">
        <f>E727-D727</f>
        <v/>
      </c>
      <c r="G727">
        <f>IF(D727=0,0,ROUND(100*F727/D727,2))</f>
        <v/>
      </c>
      <c r="H727">
        <f>IF(ABS(F727)&lt;=0.01,"Correct",IF(F727&lt;0,"Underbilled","Overbilled"))</f>
        <v/>
      </c>
    </row>
    <row r="728">
      <c r="A728" t="inlineStr">
        <is>
          <t>INV0015169</t>
        </is>
      </c>
      <c r="B728" t="inlineStr">
        <is>
          <t>MER00716</t>
        </is>
      </c>
      <c r="C728">
        <f>XLOOKUP(B728,Merchants!$A$4:$A$1000,Merchants!$B$4:$B$1000,"Not found")</f>
        <v/>
      </c>
      <c r="D728">
        <f>XLOOKUP(A728,tblInvoices[invoice_id],tblInvoices[expected_fee])</f>
        <v/>
      </c>
      <c r="E728">
        <f>XLOOKUP(A728,tblInvoices[invoice_id],tblInvoices[billed_fee])</f>
        <v/>
      </c>
      <c r="F728">
        <f>E728-D728</f>
        <v/>
      </c>
      <c r="G728">
        <f>IF(D728=0,0,ROUND(100*F728/D728,2))</f>
        <v/>
      </c>
      <c r="H728">
        <f>IF(ABS(F728)&lt;=0.01,"Correct",IF(F728&lt;0,"Underbilled","Overbilled"))</f>
        <v/>
      </c>
    </row>
    <row r="729">
      <c r="A729" t="inlineStr">
        <is>
          <t>INV0015170</t>
        </is>
      </c>
      <c r="B729" t="inlineStr">
        <is>
          <t>MER00716</t>
        </is>
      </c>
      <c r="C729">
        <f>XLOOKUP(B729,Merchants!$A$4:$A$1000,Merchants!$B$4:$B$1000,"Not found")</f>
        <v/>
      </c>
      <c r="D729">
        <f>XLOOKUP(A729,tblInvoices[invoice_id],tblInvoices[expected_fee])</f>
        <v/>
      </c>
      <c r="E729">
        <f>XLOOKUP(A729,tblInvoices[invoice_id],tblInvoices[billed_fee])</f>
        <v/>
      </c>
      <c r="F729">
        <f>E729-D729</f>
        <v/>
      </c>
      <c r="G729">
        <f>IF(D729=0,0,ROUND(100*F729/D729,2))</f>
        <v/>
      </c>
      <c r="H729">
        <f>IF(ABS(F729)&lt;=0.01,"Correct",IF(F729&lt;0,"Underbilled","Overbilled"))</f>
        <v/>
      </c>
    </row>
    <row r="730">
      <c r="A730" t="inlineStr">
        <is>
          <t>INV0015171</t>
        </is>
      </c>
      <c r="B730" t="inlineStr">
        <is>
          <t>MER00716</t>
        </is>
      </c>
      <c r="C730">
        <f>XLOOKUP(B730,Merchants!$A$4:$A$1000,Merchants!$B$4:$B$1000,"Not found")</f>
        <v/>
      </c>
      <c r="D730">
        <f>XLOOKUP(A730,tblInvoices[invoice_id],tblInvoices[expected_fee])</f>
        <v/>
      </c>
      <c r="E730">
        <f>XLOOKUP(A730,tblInvoices[invoice_id],tblInvoices[billed_fee])</f>
        <v/>
      </c>
      <c r="F730">
        <f>E730-D730</f>
        <v/>
      </c>
      <c r="G730">
        <f>IF(D730=0,0,ROUND(100*F730/D730,2))</f>
        <v/>
      </c>
      <c r="H730">
        <f>IF(ABS(F730)&lt;=0.01,"Correct",IF(F730&lt;0,"Underbilled","Overbilled"))</f>
        <v/>
      </c>
    </row>
    <row r="731">
      <c r="A731" t="inlineStr">
        <is>
          <t>INV0015172</t>
        </is>
      </c>
      <c r="B731" t="inlineStr">
        <is>
          <t>MER00716</t>
        </is>
      </c>
      <c r="C731">
        <f>XLOOKUP(B731,Merchants!$A$4:$A$1000,Merchants!$B$4:$B$1000,"Not found")</f>
        <v/>
      </c>
      <c r="D731">
        <f>XLOOKUP(A731,tblInvoices[invoice_id],tblInvoices[expected_fee])</f>
        <v/>
      </c>
      <c r="E731">
        <f>XLOOKUP(A731,tblInvoices[invoice_id],tblInvoices[billed_fee])</f>
        <v/>
      </c>
      <c r="F731">
        <f>E731-D731</f>
        <v/>
      </c>
      <c r="G731">
        <f>IF(D731=0,0,ROUND(100*F731/D731,2))</f>
        <v/>
      </c>
      <c r="H731">
        <f>IF(ABS(F731)&lt;=0.01,"Correct",IF(F731&lt;0,"Underbilled","Overbilled"))</f>
        <v/>
      </c>
    </row>
    <row r="732">
      <c r="A732" t="inlineStr">
        <is>
          <t>INV0015173</t>
        </is>
      </c>
      <c r="B732" t="inlineStr">
        <is>
          <t>MER00716</t>
        </is>
      </c>
      <c r="C732">
        <f>XLOOKUP(B732,Merchants!$A$4:$A$1000,Merchants!$B$4:$B$1000,"Not found")</f>
        <v/>
      </c>
      <c r="D732">
        <f>XLOOKUP(A732,tblInvoices[invoice_id],tblInvoices[expected_fee])</f>
        <v/>
      </c>
      <c r="E732">
        <f>XLOOKUP(A732,tblInvoices[invoice_id],tblInvoices[billed_fee])</f>
        <v/>
      </c>
      <c r="F732">
        <f>E732-D732</f>
        <v/>
      </c>
      <c r="G732">
        <f>IF(D732=0,0,ROUND(100*F732/D732,2))</f>
        <v/>
      </c>
      <c r="H732">
        <f>IF(ABS(F732)&lt;=0.01,"Correct",IF(F732&lt;0,"Underbilled","Overbilled"))</f>
        <v/>
      </c>
    </row>
    <row r="733">
      <c r="A733" t="inlineStr">
        <is>
          <t>INV0015174</t>
        </is>
      </c>
      <c r="B733" t="inlineStr">
        <is>
          <t>MER00716</t>
        </is>
      </c>
      <c r="C733">
        <f>XLOOKUP(B733,Merchants!$A$4:$A$1000,Merchants!$B$4:$B$1000,"Not found")</f>
        <v/>
      </c>
      <c r="D733">
        <f>XLOOKUP(A733,tblInvoices[invoice_id],tblInvoices[expected_fee])</f>
        <v/>
      </c>
      <c r="E733">
        <f>XLOOKUP(A733,tblInvoices[invoice_id],tblInvoices[billed_fee])</f>
        <v/>
      </c>
      <c r="F733">
        <f>E733-D733</f>
        <v/>
      </c>
      <c r="G733">
        <f>IF(D733=0,0,ROUND(100*F733/D733,2))</f>
        <v/>
      </c>
      <c r="H733">
        <f>IF(ABS(F733)&lt;=0.01,"Correct",IF(F733&lt;0,"Underbilled","Overbilled"))</f>
        <v/>
      </c>
    </row>
    <row r="734">
      <c r="A734" t="inlineStr">
        <is>
          <t>INV0015175</t>
        </is>
      </c>
      <c r="B734" t="inlineStr">
        <is>
          <t>MER00716</t>
        </is>
      </c>
      <c r="C734">
        <f>XLOOKUP(B734,Merchants!$A$4:$A$1000,Merchants!$B$4:$B$1000,"Not found")</f>
        <v/>
      </c>
      <c r="D734">
        <f>XLOOKUP(A734,tblInvoices[invoice_id],tblInvoices[expected_fee])</f>
        <v/>
      </c>
      <c r="E734">
        <f>XLOOKUP(A734,tblInvoices[invoice_id],tblInvoices[billed_fee])</f>
        <v/>
      </c>
      <c r="F734">
        <f>E734-D734</f>
        <v/>
      </c>
      <c r="G734">
        <f>IF(D734=0,0,ROUND(100*F734/D734,2))</f>
        <v/>
      </c>
      <c r="H734">
        <f>IF(ABS(F734)&lt;=0.01,"Correct",IF(F734&lt;0,"Underbilled","Overbilled"))</f>
        <v/>
      </c>
    </row>
    <row r="735">
      <c r="A735" t="inlineStr">
        <is>
          <t>INV0015176</t>
        </is>
      </c>
      <c r="B735" t="inlineStr">
        <is>
          <t>MER00716</t>
        </is>
      </c>
      <c r="C735">
        <f>XLOOKUP(B735,Merchants!$A$4:$A$1000,Merchants!$B$4:$B$1000,"Not found")</f>
        <v/>
      </c>
      <c r="D735">
        <f>XLOOKUP(A735,tblInvoices[invoice_id],tblInvoices[expected_fee])</f>
        <v/>
      </c>
      <c r="E735">
        <f>XLOOKUP(A735,tblInvoices[invoice_id],tblInvoices[billed_fee])</f>
        <v/>
      </c>
      <c r="F735">
        <f>E735-D735</f>
        <v/>
      </c>
      <c r="G735">
        <f>IF(D735=0,0,ROUND(100*F735/D735,2))</f>
        <v/>
      </c>
      <c r="H735">
        <f>IF(ABS(F735)&lt;=0.01,"Correct",IF(F735&lt;0,"Underbilled","Overbilled"))</f>
        <v/>
      </c>
    </row>
    <row r="736">
      <c r="A736" t="inlineStr">
        <is>
          <t>INV0015375</t>
        </is>
      </c>
      <c r="B736" t="inlineStr">
        <is>
          <t>MER00726</t>
        </is>
      </c>
      <c r="C736">
        <f>XLOOKUP(B736,Merchants!$A$4:$A$1000,Merchants!$B$4:$B$1000,"Not found")</f>
        <v/>
      </c>
      <c r="D736">
        <f>XLOOKUP(A736,tblInvoices[invoice_id],tblInvoices[expected_fee])</f>
        <v/>
      </c>
      <c r="E736">
        <f>XLOOKUP(A736,tblInvoices[invoice_id],tblInvoices[billed_fee])</f>
        <v/>
      </c>
      <c r="F736">
        <f>E736-D736</f>
        <v/>
      </c>
      <c r="G736">
        <f>IF(D736=0,0,ROUND(100*F736/D736,2))</f>
        <v/>
      </c>
      <c r="H736">
        <f>IF(ABS(F736)&lt;=0.01,"Correct",IF(F736&lt;0,"Underbilled","Overbilled"))</f>
        <v/>
      </c>
    </row>
    <row r="737">
      <c r="A737" t="inlineStr">
        <is>
          <t>INV0015376</t>
        </is>
      </c>
      <c r="B737" t="inlineStr">
        <is>
          <t>MER00726</t>
        </is>
      </c>
      <c r="C737">
        <f>XLOOKUP(B737,Merchants!$A$4:$A$1000,Merchants!$B$4:$B$1000,"Not found")</f>
        <v/>
      </c>
      <c r="D737">
        <f>XLOOKUP(A737,tblInvoices[invoice_id],tblInvoices[expected_fee])</f>
        <v/>
      </c>
      <c r="E737">
        <f>XLOOKUP(A737,tblInvoices[invoice_id],tblInvoices[billed_fee])</f>
        <v/>
      </c>
      <c r="F737">
        <f>E737-D737</f>
        <v/>
      </c>
      <c r="G737">
        <f>IF(D737=0,0,ROUND(100*F737/D737,2))</f>
        <v/>
      </c>
      <c r="H737">
        <f>IF(ABS(F737)&lt;=0.01,"Correct",IF(F737&lt;0,"Underbilled","Overbilled"))</f>
        <v/>
      </c>
    </row>
    <row r="738">
      <c r="A738" t="inlineStr">
        <is>
          <t>INV0015377</t>
        </is>
      </c>
      <c r="B738" t="inlineStr">
        <is>
          <t>MER00726</t>
        </is>
      </c>
      <c r="C738">
        <f>XLOOKUP(B738,Merchants!$A$4:$A$1000,Merchants!$B$4:$B$1000,"Not found")</f>
        <v/>
      </c>
      <c r="D738">
        <f>XLOOKUP(A738,tblInvoices[invoice_id],tblInvoices[expected_fee])</f>
        <v/>
      </c>
      <c r="E738">
        <f>XLOOKUP(A738,tblInvoices[invoice_id],tblInvoices[billed_fee])</f>
        <v/>
      </c>
      <c r="F738">
        <f>E738-D738</f>
        <v/>
      </c>
      <c r="G738">
        <f>IF(D738=0,0,ROUND(100*F738/D738,2))</f>
        <v/>
      </c>
      <c r="H738">
        <f>IF(ABS(F738)&lt;=0.01,"Correct",IF(F738&lt;0,"Underbilled","Overbilled"))</f>
        <v/>
      </c>
    </row>
    <row r="739">
      <c r="A739" t="inlineStr">
        <is>
          <t>INV0015378</t>
        </is>
      </c>
      <c r="B739" t="inlineStr">
        <is>
          <t>MER00726</t>
        </is>
      </c>
      <c r="C739">
        <f>XLOOKUP(B739,Merchants!$A$4:$A$1000,Merchants!$B$4:$B$1000,"Not found")</f>
        <v/>
      </c>
      <c r="D739">
        <f>XLOOKUP(A739,tblInvoices[invoice_id],tblInvoices[expected_fee])</f>
        <v/>
      </c>
      <c r="E739">
        <f>XLOOKUP(A739,tblInvoices[invoice_id],tblInvoices[billed_fee])</f>
        <v/>
      </c>
      <c r="F739">
        <f>E739-D739</f>
        <v/>
      </c>
      <c r="G739">
        <f>IF(D739=0,0,ROUND(100*F739/D739,2))</f>
        <v/>
      </c>
      <c r="H739">
        <f>IF(ABS(F739)&lt;=0.01,"Correct",IF(F739&lt;0,"Underbilled","Overbilled"))</f>
        <v/>
      </c>
    </row>
    <row r="740">
      <c r="A740" t="inlineStr">
        <is>
          <t>INV0015379</t>
        </is>
      </c>
      <c r="B740" t="inlineStr">
        <is>
          <t>MER00726</t>
        </is>
      </c>
      <c r="C740">
        <f>XLOOKUP(B740,Merchants!$A$4:$A$1000,Merchants!$B$4:$B$1000,"Not found")</f>
        <v/>
      </c>
      <c r="D740">
        <f>XLOOKUP(A740,tblInvoices[invoice_id],tblInvoices[expected_fee])</f>
        <v/>
      </c>
      <c r="E740">
        <f>XLOOKUP(A740,tblInvoices[invoice_id],tblInvoices[billed_fee])</f>
        <v/>
      </c>
      <c r="F740">
        <f>E740-D740</f>
        <v/>
      </c>
      <c r="G740">
        <f>IF(D740=0,0,ROUND(100*F740/D740,2))</f>
        <v/>
      </c>
      <c r="H740">
        <f>IF(ABS(F740)&lt;=0.01,"Correct",IF(F740&lt;0,"Underbilled","Overbilled"))</f>
        <v/>
      </c>
    </row>
    <row r="741">
      <c r="A741" t="inlineStr">
        <is>
          <t>INV0015380</t>
        </is>
      </c>
      <c r="B741" t="inlineStr">
        <is>
          <t>MER00726</t>
        </is>
      </c>
      <c r="C741">
        <f>XLOOKUP(B741,Merchants!$A$4:$A$1000,Merchants!$B$4:$B$1000,"Not found")</f>
        <v/>
      </c>
      <c r="D741">
        <f>XLOOKUP(A741,tblInvoices[invoice_id],tblInvoices[expected_fee])</f>
        <v/>
      </c>
      <c r="E741">
        <f>XLOOKUP(A741,tblInvoices[invoice_id],tblInvoices[billed_fee])</f>
        <v/>
      </c>
      <c r="F741">
        <f>E741-D741</f>
        <v/>
      </c>
      <c r="G741">
        <f>IF(D741=0,0,ROUND(100*F741/D741,2))</f>
        <v/>
      </c>
      <c r="H741">
        <f>IF(ABS(F741)&lt;=0.01,"Correct",IF(F741&lt;0,"Underbilled","Overbilled"))</f>
        <v/>
      </c>
    </row>
    <row r="742">
      <c r="A742" t="inlineStr">
        <is>
          <t>INV0015381</t>
        </is>
      </c>
      <c r="B742" t="inlineStr">
        <is>
          <t>MER00726</t>
        </is>
      </c>
      <c r="C742">
        <f>XLOOKUP(B742,Merchants!$A$4:$A$1000,Merchants!$B$4:$B$1000,"Not found")</f>
        <v/>
      </c>
      <c r="D742">
        <f>XLOOKUP(A742,tblInvoices[invoice_id],tblInvoices[expected_fee])</f>
        <v/>
      </c>
      <c r="E742">
        <f>XLOOKUP(A742,tblInvoices[invoice_id],tblInvoices[billed_fee])</f>
        <v/>
      </c>
      <c r="F742">
        <f>E742-D742</f>
        <v/>
      </c>
      <c r="G742">
        <f>IF(D742=0,0,ROUND(100*F742/D742,2))</f>
        <v/>
      </c>
      <c r="H742">
        <f>IF(ABS(F742)&lt;=0.01,"Correct",IF(F742&lt;0,"Underbilled","Overbilled"))</f>
        <v/>
      </c>
    </row>
    <row r="743">
      <c r="A743" t="inlineStr">
        <is>
          <t>INV0015382</t>
        </is>
      </c>
      <c r="B743" t="inlineStr">
        <is>
          <t>MER00726</t>
        </is>
      </c>
      <c r="C743">
        <f>XLOOKUP(B743,Merchants!$A$4:$A$1000,Merchants!$B$4:$B$1000,"Not found")</f>
        <v/>
      </c>
      <c r="D743">
        <f>XLOOKUP(A743,tblInvoices[invoice_id],tblInvoices[expected_fee])</f>
        <v/>
      </c>
      <c r="E743">
        <f>XLOOKUP(A743,tblInvoices[invoice_id],tblInvoices[billed_fee])</f>
        <v/>
      </c>
      <c r="F743">
        <f>E743-D743</f>
        <v/>
      </c>
      <c r="G743">
        <f>IF(D743=0,0,ROUND(100*F743/D743,2))</f>
        <v/>
      </c>
      <c r="H743">
        <f>IF(ABS(F743)&lt;=0.01,"Correct",IF(F743&lt;0,"Underbilled","Overbilled"))</f>
        <v/>
      </c>
    </row>
    <row r="744">
      <c r="A744" t="inlineStr">
        <is>
          <t>INV0015383</t>
        </is>
      </c>
      <c r="B744" t="inlineStr">
        <is>
          <t>MER00726</t>
        </is>
      </c>
      <c r="C744">
        <f>XLOOKUP(B744,Merchants!$A$4:$A$1000,Merchants!$B$4:$B$1000,"Not found")</f>
        <v/>
      </c>
      <c r="D744">
        <f>XLOOKUP(A744,tblInvoices[invoice_id],tblInvoices[expected_fee])</f>
        <v/>
      </c>
      <c r="E744">
        <f>XLOOKUP(A744,tblInvoices[invoice_id],tblInvoices[billed_fee])</f>
        <v/>
      </c>
      <c r="F744">
        <f>E744-D744</f>
        <v/>
      </c>
      <c r="G744">
        <f>IF(D744=0,0,ROUND(100*F744/D744,2))</f>
        <v/>
      </c>
      <c r="H744">
        <f>IF(ABS(F744)&lt;=0.01,"Correct",IF(F744&lt;0,"Underbilled","Overbilled"))</f>
        <v/>
      </c>
    </row>
    <row r="745">
      <c r="A745" t="inlineStr">
        <is>
          <t>INV0015384</t>
        </is>
      </c>
      <c r="B745" t="inlineStr">
        <is>
          <t>MER00726</t>
        </is>
      </c>
      <c r="C745">
        <f>XLOOKUP(B745,Merchants!$A$4:$A$1000,Merchants!$B$4:$B$1000,"Not found")</f>
        <v/>
      </c>
      <c r="D745">
        <f>XLOOKUP(A745,tblInvoices[invoice_id],tblInvoices[expected_fee])</f>
        <v/>
      </c>
      <c r="E745">
        <f>XLOOKUP(A745,tblInvoices[invoice_id],tblInvoices[billed_fee])</f>
        <v/>
      </c>
      <c r="F745">
        <f>E745-D745</f>
        <v/>
      </c>
      <c r="G745">
        <f>IF(D745=0,0,ROUND(100*F745/D745,2))</f>
        <v/>
      </c>
      <c r="H745">
        <f>IF(ABS(F745)&lt;=0.01,"Correct",IF(F745&lt;0,"Underbilled","Overbilled"))</f>
        <v/>
      </c>
    </row>
    <row r="746">
      <c r="A746" t="inlineStr">
        <is>
          <t>INV0015385</t>
        </is>
      </c>
      <c r="B746" t="inlineStr">
        <is>
          <t>MER00726</t>
        </is>
      </c>
      <c r="C746">
        <f>XLOOKUP(B746,Merchants!$A$4:$A$1000,Merchants!$B$4:$B$1000,"Not found")</f>
        <v/>
      </c>
      <c r="D746">
        <f>XLOOKUP(A746,tblInvoices[invoice_id],tblInvoices[expected_fee])</f>
        <v/>
      </c>
      <c r="E746">
        <f>XLOOKUP(A746,tblInvoices[invoice_id],tblInvoices[billed_fee])</f>
        <v/>
      </c>
      <c r="F746">
        <f>E746-D746</f>
        <v/>
      </c>
      <c r="G746">
        <f>IF(D746=0,0,ROUND(100*F746/D746,2))</f>
        <v/>
      </c>
      <c r="H746">
        <f>IF(ABS(F746)&lt;=0.01,"Correct",IF(F746&lt;0,"Underbilled","Overbilled"))</f>
        <v/>
      </c>
    </row>
    <row r="747">
      <c r="A747" t="inlineStr">
        <is>
          <t>INV0015386</t>
        </is>
      </c>
      <c r="B747" t="inlineStr">
        <is>
          <t>MER00726</t>
        </is>
      </c>
      <c r="C747">
        <f>XLOOKUP(B747,Merchants!$A$4:$A$1000,Merchants!$B$4:$B$1000,"Not found")</f>
        <v/>
      </c>
      <c r="D747">
        <f>XLOOKUP(A747,tblInvoices[invoice_id],tblInvoices[expected_fee])</f>
        <v/>
      </c>
      <c r="E747">
        <f>XLOOKUP(A747,tblInvoices[invoice_id],tblInvoices[billed_fee])</f>
        <v/>
      </c>
      <c r="F747">
        <f>E747-D747</f>
        <v/>
      </c>
      <c r="G747">
        <f>IF(D747=0,0,ROUND(100*F747/D747,2))</f>
        <v/>
      </c>
      <c r="H747">
        <f>IF(ABS(F747)&lt;=0.01,"Correct",IF(F747&lt;0,"Underbilled","Overbilled"))</f>
        <v/>
      </c>
    </row>
    <row r="748">
      <c r="A748" t="inlineStr">
        <is>
          <t>INV0015387</t>
        </is>
      </c>
      <c r="B748" t="inlineStr">
        <is>
          <t>MER00726</t>
        </is>
      </c>
      <c r="C748">
        <f>XLOOKUP(B748,Merchants!$A$4:$A$1000,Merchants!$B$4:$B$1000,"Not found")</f>
        <v/>
      </c>
      <c r="D748">
        <f>XLOOKUP(A748,tblInvoices[invoice_id],tblInvoices[expected_fee])</f>
        <v/>
      </c>
      <c r="E748">
        <f>XLOOKUP(A748,tblInvoices[invoice_id],tblInvoices[billed_fee])</f>
        <v/>
      </c>
      <c r="F748">
        <f>E748-D748</f>
        <v/>
      </c>
      <c r="G748">
        <f>IF(D748=0,0,ROUND(100*F748/D748,2))</f>
        <v/>
      </c>
      <c r="H748">
        <f>IF(ABS(F748)&lt;=0.01,"Correct",IF(F748&lt;0,"Underbilled","Overbilled"))</f>
        <v/>
      </c>
    </row>
    <row r="749">
      <c r="A749" t="inlineStr">
        <is>
          <t>INV0015388</t>
        </is>
      </c>
      <c r="B749" t="inlineStr">
        <is>
          <t>MER00726</t>
        </is>
      </c>
      <c r="C749">
        <f>XLOOKUP(B749,Merchants!$A$4:$A$1000,Merchants!$B$4:$B$1000,"Not found")</f>
        <v/>
      </c>
      <c r="D749">
        <f>XLOOKUP(A749,tblInvoices[invoice_id],tblInvoices[expected_fee])</f>
        <v/>
      </c>
      <c r="E749">
        <f>XLOOKUP(A749,tblInvoices[invoice_id],tblInvoices[billed_fee])</f>
        <v/>
      </c>
      <c r="F749">
        <f>E749-D749</f>
        <v/>
      </c>
      <c r="G749">
        <f>IF(D749=0,0,ROUND(100*F749/D749,2))</f>
        <v/>
      </c>
      <c r="H749">
        <f>IF(ABS(F749)&lt;=0.01,"Correct",IF(F749&lt;0,"Underbilled","Overbilled"))</f>
        <v/>
      </c>
    </row>
    <row r="750">
      <c r="A750" t="inlineStr">
        <is>
          <t>INV0015389</t>
        </is>
      </c>
      <c r="B750" t="inlineStr">
        <is>
          <t>MER00726</t>
        </is>
      </c>
      <c r="C750">
        <f>XLOOKUP(B750,Merchants!$A$4:$A$1000,Merchants!$B$4:$B$1000,"Not found")</f>
        <v/>
      </c>
      <c r="D750">
        <f>XLOOKUP(A750,tblInvoices[invoice_id],tblInvoices[expected_fee])</f>
        <v/>
      </c>
      <c r="E750">
        <f>XLOOKUP(A750,tblInvoices[invoice_id],tblInvoices[billed_fee])</f>
        <v/>
      </c>
      <c r="F750">
        <f>E750-D750</f>
        <v/>
      </c>
      <c r="G750">
        <f>IF(D750=0,0,ROUND(100*F750/D750,2))</f>
        <v/>
      </c>
      <c r="H750">
        <f>IF(ABS(F750)&lt;=0.01,"Correct",IF(F750&lt;0,"Underbilled","Overbilled"))</f>
        <v/>
      </c>
    </row>
    <row r="751">
      <c r="A751" t="inlineStr">
        <is>
          <t>INV0015390</t>
        </is>
      </c>
      <c r="B751" t="inlineStr">
        <is>
          <t>MER00726</t>
        </is>
      </c>
      <c r="C751">
        <f>XLOOKUP(B751,Merchants!$A$4:$A$1000,Merchants!$B$4:$B$1000,"Not found")</f>
        <v/>
      </c>
      <c r="D751">
        <f>XLOOKUP(A751,tblInvoices[invoice_id],tblInvoices[expected_fee])</f>
        <v/>
      </c>
      <c r="E751">
        <f>XLOOKUP(A751,tblInvoices[invoice_id],tblInvoices[billed_fee])</f>
        <v/>
      </c>
      <c r="F751">
        <f>E751-D751</f>
        <v/>
      </c>
      <c r="G751">
        <f>IF(D751=0,0,ROUND(100*F751/D751,2))</f>
        <v/>
      </c>
      <c r="H751">
        <f>IF(ABS(F751)&lt;=0.01,"Correct",IF(F751&lt;0,"Underbilled","Overbilled"))</f>
        <v/>
      </c>
    </row>
    <row r="752">
      <c r="A752" t="inlineStr">
        <is>
          <t>INV0015391</t>
        </is>
      </c>
      <c r="B752" t="inlineStr">
        <is>
          <t>MER00726</t>
        </is>
      </c>
      <c r="C752">
        <f>XLOOKUP(B752,Merchants!$A$4:$A$1000,Merchants!$B$4:$B$1000,"Not found")</f>
        <v/>
      </c>
      <c r="D752">
        <f>XLOOKUP(A752,tblInvoices[invoice_id],tblInvoices[expected_fee])</f>
        <v/>
      </c>
      <c r="E752">
        <f>XLOOKUP(A752,tblInvoices[invoice_id],tblInvoices[billed_fee])</f>
        <v/>
      </c>
      <c r="F752">
        <f>E752-D752</f>
        <v/>
      </c>
      <c r="G752">
        <f>IF(D752=0,0,ROUND(100*F752/D752,2))</f>
        <v/>
      </c>
      <c r="H752">
        <f>IF(ABS(F752)&lt;=0.01,"Correct",IF(F752&lt;0,"Underbilled","Overbilled"))</f>
        <v/>
      </c>
    </row>
    <row r="753">
      <c r="A753" t="inlineStr">
        <is>
          <t>INV0015392</t>
        </is>
      </c>
      <c r="B753" t="inlineStr">
        <is>
          <t>MER00726</t>
        </is>
      </c>
      <c r="C753">
        <f>XLOOKUP(B753,Merchants!$A$4:$A$1000,Merchants!$B$4:$B$1000,"Not found")</f>
        <v/>
      </c>
      <c r="D753">
        <f>XLOOKUP(A753,tblInvoices[invoice_id],tblInvoices[expected_fee])</f>
        <v/>
      </c>
      <c r="E753">
        <f>XLOOKUP(A753,tblInvoices[invoice_id],tblInvoices[billed_fee])</f>
        <v/>
      </c>
      <c r="F753">
        <f>E753-D753</f>
        <v/>
      </c>
      <c r="G753">
        <f>IF(D753=0,0,ROUND(100*F753/D753,2))</f>
        <v/>
      </c>
      <c r="H753">
        <f>IF(ABS(F753)&lt;=0.01,"Correct",IF(F753&lt;0,"Underbilled","Overbilled"))</f>
        <v/>
      </c>
    </row>
    <row r="754">
      <c r="A754" t="inlineStr">
        <is>
          <t>INV0015393</t>
        </is>
      </c>
      <c r="B754" t="inlineStr">
        <is>
          <t>MER00726</t>
        </is>
      </c>
      <c r="C754">
        <f>XLOOKUP(B754,Merchants!$A$4:$A$1000,Merchants!$B$4:$B$1000,"Not found")</f>
        <v/>
      </c>
      <c r="D754">
        <f>XLOOKUP(A754,tblInvoices[invoice_id],tblInvoices[expected_fee])</f>
        <v/>
      </c>
      <c r="E754">
        <f>XLOOKUP(A754,tblInvoices[invoice_id],tblInvoices[billed_fee])</f>
        <v/>
      </c>
      <c r="F754">
        <f>E754-D754</f>
        <v/>
      </c>
      <c r="G754">
        <f>IF(D754=0,0,ROUND(100*F754/D754,2))</f>
        <v/>
      </c>
      <c r="H754">
        <f>IF(ABS(F754)&lt;=0.01,"Correct",IF(F754&lt;0,"Underbilled","Overbilled"))</f>
        <v/>
      </c>
    </row>
    <row r="755">
      <c r="A755" t="inlineStr">
        <is>
          <t>INV0015394</t>
        </is>
      </c>
      <c r="B755" t="inlineStr">
        <is>
          <t>MER00726</t>
        </is>
      </c>
      <c r="C755">
        <f>XLOOKUP(B755,Merchants!$A$4:$A$1000,Merchants!$B$4:$B$1000,"Not found")</f>
        <v/>
      </c>
      <c r="D755">
        <f>XLOOKUP(A755,tblInvoices[invoice_id],tblInvoices[expected_fee])</f>
        <v/>
      </c>
      <c r="E755">
        <f>XLOOKUP(A755,tblInvoices[invoice_id],tblInvoices[billed_fee])</f>
        <v/>
      </c>
      <c r="F755">
        <f>E755-D755</f>
        <v/>
      </c>
      <c r="G755">
        <f>IF(D755=0,0,ROUND(100*F755/D755,2))</f>
        <v/>
      </c>
      <c r="H755">
        <f>IF(ABS(F755)&lt;=0.01,"Correct",IF(F755&lt;0,"Underbilled","Overbilled"))</f>
        <v/>
      </c>
    </row>
    <row r="756">
      <c r="A756" t="inlineStr">
        <is>
          <t>INV0015395</t>
        </is>
      </c>
      <c r="B756" t="inlineStr">
        <is>
          <t>MER00726</t>
        </is>
      </c>
      <c r="C756">
        <f>XLOOKUP(B756,Merchants!$A$4:$A$1000,Merchants!$B$4:$B$1000,"Not found")</f>
        <v/>
      </c>
      <c r="D756">
        <f>XLOOKUP(A756,tblInvoices[invoice_id],tblInvoices[expected_fee])</f>
        <v/>
      </c>
      <c r="E756">
        <f>XLOOKUP(A756,tblInvoices[invoice_id],tblInvoices[billed_fee])</f>
        <v/>
      </c>
      <c r="F756">
        <f>E756-D756</f>
        <v/>
      </c>
      <c r="G756">
        <f>IF(D756=0,0,ROUND(100*F756/D756,2))</f>
        <v/>
      </c>
      <c r="H756">
        <f>IF(ABS(F756)&lt;=0.01,"Correct",IF(F756&lt;0,"Underbilled","Overbilled"))</f>
        <v/>
      </c>
    </row>
    <row r="757">
      <c r="A757" t="inlineStr">
        <is>
          <t>INV0015396</t>
        </is>
      </c>
      <c r="B757" t="inlineStr">
        <is>
          <t>MER00726</t>
        </is>
      </c>
      <c r="C757">
        <f>XLOOKUP(B757,Merchants!$A$4:$A$1000,Merchants!$B$4:$B$1000,"Not found")</f>
        <v/>
      </c>
      <c r="D757">
        <f>XLOOKUP(A757,tblInvoices[invoice_id],tblInvoices[expected_fee])</f>
        <v/>
      </c>
      <c r="E757">
        <f>XLOOKUP(A757,tblInvoices[invoice_id],tblInvoices[billed_fee])</f>
        <v/>
      </c>
      <c r="F757">
        <f>E757-D757</f>
        <v/>
      </c>
      <c r="G757">
        <f>IF(D757=0,0,ROUND(100*F757/D757,2))</f>
        <v/>
      </c>
      <c r="H757">
        <f>IF(ABS(F757)&lt;=0.01,"Correct",IF(F757&lt;0,"Underbilled","Overbilled"))</f>
        <v/>
      </c>
    </row>
    <row r="758">
      <c r="A758" t="inlineStr">
        <is>
          <t>INV0015397</t>
        </is>
      </c>
      <c r="B758" t="inlineStr">
        <is>
          <t>MER00726</t>
        </is>
      </c>
      <c r="C758">
        <f>XLOOKUP(B758,Merchants!$A$4:$A$1000,Merchants!$B$4:$B$1000,"Not found")</f>
        <v/>
      </c>
      <c r="D758">
        <f>XLOOKUP(A758,tblInvoices[invoice_id],tblInvoices[expected_fee])</f>
        <v/>
      </c>
      <c r="E758">
        <f>XLOOKUP(A758,tblInvoices[invoice_id],tblInvoices[billed_fee])</f>
        <v/>
      </c>
      <c r="F758">
        <f>E758-D758</f>
        <v/>
      </c>
      <c r="G758">
        <f>IF(D758=0,0,ROUND(100*F758/D758,2))</f>
        <v/>
      </c>
      <c r="H758">
        <f>IF(ABS(F758)&lt;=0.01,"Correct",IF(F758&lt;0,"Underbilled","Overbilled"))</f>
        <v/>
      </c>
    </row>
    <row r="759">
      <c r="A759" t="inlineStr">
        <is>
          <t>INV0015398</t>
        </is>
      </c>
      <c r="B759" t="inlineStr">
        <is>
          <t>MER00726</t>
        </is>
      </c>
      <c r="C759">
        <f>XLOOKUP(B759,Merchants!$A$4:$A$1000,Merchants!$B$4:$B$1000,"Not found")</f>
        <v/>
      </c>
      <c r="D759">
        <f>XLOOKUP(A759,tblInvoices[invoice_id],tblInvoices[expected_fee])</f>
        <v/>
      </c>
      <c r="E759">
        <f>XLOOKUP(A759,tblInvoices[invoice_id],tblInvoices[billed_fee])</f>
        <v/>
      </c>
      <c r="F759">
        <f>E759-D759</f>
        <v/>
      </c>
      <c r="G759">
        <f>IF(D759=0,0,ROUND(100*F759/D759,2))</f>
        <v/>
      </c>
      <c r="H759">
        <f>IF(ABS(F759)&lt;=0.01,"Correct",IF(F759&lt;0,"Underbilled","Overbilled"))</f>
        <v/>
      </c>
    </row>
    <row r="760">
      <c r="A760" t="inlineStr">
        <is>
          <t>INV0015422</t>
        </is>
      </c>
      <c r="B760" t="inlineStr">
        <is>
          <t>MER00728</t>
        </is>
      </c>
      <c r="C760">
        <f>XLOOKUP(B760,Merchants!$A$4:$A$1000,Merchants!$B$4:$B$1000,"Not found")</f>
        <v/>
      </c>
      <c r="D760">
        <f>XLOOKUP(A760,tblInvoices[invoice_id],tblInvoices[expected_fee])</f>
        <v/>
      </c>
      <c r="E760">
        <f>XLOOKUP(A760,tblInvoices[invoice_id],tblInvoices[billed_fee])</f>
        <v/>
      </c>
      <c r="F760">
        <f>E760-D760</f>
        <v/>
      </c>
      <c r="G760">
        <f>IF(D760=0,0,ROUND(100*F760/D760,2))</f>
        <v/>
      </c>
      <c r="H760">
        <f>IF(ABS(F760)&lt;=0.01,"Correct",IF(F760&lt;0,"Underbilled","Overbilled"))</f>
        <v/>
      </c>
    </row>
    <row r="761">
      <c r="A761" t="inlineStr">
        <is>
          <t>INV0015423</t>
        </is>
      </c>
      <c r="B761" t="inlineStr">
        <is>
          <t>MER00728</t>
        </is>
      </c>
      <c r="C761">
        <f>XLOOKUP(B761,Merchants!$A$4:$A$1000,Merchants!$B$4:$B$1000,"Not found")</f>
        <v/>
      </c>
      <c r="D761">
        <f>XLOOKUP(A761,tblInvoices[invoice_id],tblInvoices[expected_fee])</f>
        <v/>
      </c>
      <c r="E761">
        <f>XLOOKUP(A761,tblInvoices[invoice_id],tblInvoices[billed_fee])</f>
        <v/>
      </c>
      <c r="F761">
        <f>E761-D761</f>
        <v/>
      </c>
      <c r="G761">
        <f>IF(D761=0,0,ROUND(100*F761/D761,2))</f>
        <v/>
      </c>
      <c r="H761">
        <f>IF(ABS(F761)&lt;=0.01,"Correct",IF(F761&lt;0,"Underbilled","Overbilled"))</f>
        <v/>
      </c>
    </row>
    <row r="762">
      <c r="A762" t="inlineStr">
        <is>
          <t>INV0015424</t>
        </is>
      </c>
      <c r="B762" t="inlineStr">
        <is>
          <t>MER00728</t>
        </is>
      </c>
      <c r="C762">
        <f>XLOOKUP(B762,Merchants!$A$4:$A$1000,Merchants!$B$4:$B$1000,"Not found")</f>
        <v/>
      </c>
      <c r="D762">
        <f>XLOOKUP(A762,tblInvoices[invoice_id],tblInvoices[expected_fee])</f>
        <v/>
      </c>
      <c r="E762">
        <f>XLOOKUP(A762,tblInvoices[invoice_id],tblInvoices[billed_fee])</f>
        <v/>
      </c>
      <c r="F762">
        <f>E762-D762</f>
        <v/>
      </c>
      <c r="G762">
        <f>IF(D762=0,0,ROUND(100*F762/D762,2))</f>
        <v/>
      </c>
      <c r="H762">
        <f>IF(ABS(F762)&lt;=0.01,"Correct",IF(F762&lt;0,"Underbilled","Overbilled"))</f>
        <v/>
      </c>
    </row>
    <row r="763">
      <c r="A763" t="inlineStr">
        <is>
          <t>INV0015425</t>
        </is>
      </c>
      <c r="B763" t="inlineStr">
        <is>
          <t>MER00728</t>
        </is>
      </c>
      <c r="C763">
        <f>XLOOKUP(B763,Merchants!$A$4:$A$1000,Merchants!$B$4:$B$1000,"Not found")</f>
        <v/>
      </c>
      <c r="D763">
        <f>XLOOKUP(A763,tblInvoices[invoice_id],tblInvoices[expected_fee])</f>
        <v/>
      </c>
      <c r="E763">
        <f>XLOOKUP(A763,tblInvoices[invoice_id],tblInvoices[billed_fee])</f>
        <v/>
      </c>
      <c r="F763">
        <f>E763-D763</f>
        <v/>
      </c>
      <c r="G763">
        <f>IF(D763=0,0,ROUND(100*F763/D763,2))</f>
        <v/>
      </c>
      <c r="H763">
        <f>IF(ABS(F763)&lt;=0.01,"Correct",IF(F763&lt;0,"Underbilled","Overbilled"))</f>
        <v/>
      </c>
    </row>
    <row r="764">
      <c r="A764" t="inlineStr">
        <is>
          <t>INV0015426</t>
        </is>
      </c>
      <c r="B764" t="inlineStr">
        <is>
          <t>MER00728</t>
        </is>
      </c>
      <c r="C764">
        <f>XLOOKUP(B764,Merchants!$A$4:$A$1000,Merchants!$B$4:$B$1000,"Not found")</f>
        <v/>
      </c>
      <c r="D764">
        <f>XLOOKUP(A764,tblInvoices[invoice_id],tblInvoices[expected_fee])</f>
        <v/>
      </c>
      <c r="E764">
        <f>XLOOKUP(A764,tblInvoices[invoice_id],tblInvoices[billed_fee])</f>
        <v/>
      </c>
      <c r="F764">
        <f>E764-D764</f>
        <v/>
      </c>
      <c r="G764">
        <f>IF(D764=0,0,ROUND(100*F764/D764,2))</f>
        <v/>
      </c>
      <c r="H764">
        <f>IF(ABS(F764)&lt;=0.01,"Correct",IF(F764&lt;0,"Underbilled","Overbilled"))</f>
        <v/>
      </c>
    </row>
    <row r="765">
      <c r="A765" t="inlineStr">
        <is>
          <t>INV0015427</t>
        </is>
      </c>
      <c r="B765" t="inlineStr">
        <is>
          <t>MER00728</t>
        </is>
      </c>
      <c r="C765">
        <f>XLOOKUP(B765,Merchants!$A$4:$A$1000,Merchants!$B$4:$B$1000,"Not found")</f>
        <v/>
      </c>
      <c r="D765">
        <f>XLOOKUP(A765,tblInvoices[invoice_id],tblInvoices[expected_fee])</f>
        <v/>
      </c>
      <c r="E765">
        <f>XLOOKUP(A765,tblInvoices[invoice_id],tblInvoices[billed_fee])</f>
        <v/>
      </c>
      <c r="F765">
        <f>E765-D765</f>
        <v/>
      </c>
      <c r="G765">
        <f>IF(D765=0,0,ROUND(100*F765/D765,2))</f>
        <v/>
      </c>
      <c r="H765">
        <f>IF(ABS(F765)&lt;=0.01,"Correct",IF(F765&lt;0,"Underbilled","Overbilled"))</f>
        <v/>
      </c>
    </row>
    <row r="766">
      <c r="A766" t="inlineStr">
        <is>
          <t>INV0015428</t>
        </is>
      </c>
      <c r="B766" t="inlineStr">
        <is>
          <t>MER00728</t>
        </is>
      </c>
      <c r="C766">
        <f>XLOOKUP(B766,Merchants!$A$4:$A$1000,Merchants!$B$4:$B$1000,"Not found")</f>
        <v/>
      </c>
      <c r="D766">
        <f>XLOOKUP(A766,tblInvoices[invoice_id],tblInvoices[expected_fee])</f>
        <v/>
      </c>
      <c r="E766">
        <f>XLOOKUP(A766,tblInvoices[invoice_id],tblInvoices[billed_fee])</f>
        <v/>
      </c>
      <c r="F766">
        <f>E766-D766</f>
        <v/>
      </c>
      <c r="G766">
        <f>IF(D766=0,0,ROUND(100*F766/D766,2))</f>
        <v/>
      </c>
      <c r="H766">
        <f>IF(ABS(F766)&lt;=0.01,"Correct",IF(F766&lt;0,"Underbilled","Overbilled"))</f>
        <v/>
      </c>
    </row>
    <row r="767">
      <c r="A767" t="inlineStr">
        <is>
          <t>INV0015429</t>
        </is>
      </c>
      <c r="B767" t="inlineStr">
        <is>
          <t>MER00728</t>
        </is>
      </c>
      <c r="C767">
        <f>XLOOKUP(B767,Merchants!$A$4:$A$1000,Merchants!$B$4:$B$1000,"Not found")</f>
        <v/>
      </c>
      <c r="D767">
        <f>XLOOKUP(A767,tblInvoices[invoice_id],tblInvoices[expected_fee])</f>
        <v/>
      </c>
      <c r="E767">
        <f>XLOOKUP(A767,tblInvoices[invoice_id],tblInvoices[billed_fee])</f>
        <v/>
      </c>
      <c r="F767">
        <f>E767-D767</f>
        <v/>
      </c>
      <c r="G767">
        <f>IF(D767=0,0,ROUND(100*F767/D767,2))</f>
        <v/>
      </c>
      <c r="H767">
        <f>IF(ABS(F767)&lt;=0.01,"Correct",IF(F767&lt;0,"Underbilled","Overbilled"))</f>
        <v/>
      </c>
    </row>
    <row r="768">
      <c r="A768" t="inlineStr">
        <is>
          <t>INV0015430</t>
        </is>
      </c>
      <c r="B768" t="inlineStr">
        <is>
          <t>MER00728</t>
        </is>
      </c>
      <c r="C768">
        <f>XLOOKUP(B768,Merchants!$A$4:$A$1000,Merchants!$B$4:$B$1000,"Not found")</f>
        <v/>
      </c>
      <c r="D768">
        <f>XLOOKUP(A768,tblInvoices[invoice_id],tblInvoices[expected_fee])</f>
        <v/>
      </c>
      <c r="E768">
        <f>XLOOKUP(A768,tblInvoices[invoice_id],tblInvoices[billed_fee])</f>
        <v/>
      </c>
      <c r="F768">
        <f>E768-D768</f>
        <v/>
      </c>
      <c r="G768">
        <f>IF(D768=0,0,ROUND(100*F768/D768,2))</f>
        <v/>
      </c>
      <c r="H768">
        <f>IF(ABS(F768)&lt;=0.01,"Correct",IF(F768&lt;0,"Underbilled","Overbilled"))</f>
        <v/>
      </c>
    </row>
    <row r="769">
      <c r="A769" t="inlineStr">
        <is>
          <t>INV0015431</t>
        </is>
      </c>
      <c r="B769" t="inlineStr">
        <is>
          <t>MER00728</t>
        </is>
      </c>
      <c r="C769">
        <f>XLOOKUP(B769,Merchants!$A$4:$A$1000,Merchants!$B$4:$B$1000,"Not found")</f>
        <v/>
      </c>
      <c r="D769">
        <f>XLOOKUP(A769,tblInvoices[invoice_id],tblInvoices[expected_fee])</f>
        <v/>
      </c>
      <c r="E769">
        <f>XLOOKUP(A769,tblInvoices[invoice_id],tblInvoices[billed_fee])</f>
        <v/>
      </c>
      <c r="F769">
        <f>E769-D769</f>
        <v/>
      </c>
      <c r="G769">
        <f>IF(D769=0,0,ROUND(100*F769/D769,2))</f>
        <v/>
      </c>
      <c r="H769">
        <f>IF(ABS(F769)&lt;=0.01,"Correct",IF(F769&lt;0,"Underbilled","Overbilled"))</f>
        <v/>
      </c>
    </row>
    <row r="770">
      <c r="A770" t="inlineStr">
        <is>
          <t>INV0015432</t>
        </is>
      </c>
      <c r="B770" t="inlineStr">
        <is>
          <t>MER00728</t>
        </is>
      </c>
      <c r="C770">
        <f>XLOOKUP(B770,Merchants!$A$4:$A$1000,Merchants!$B$4:$B$1000,"Not found")</f>
        <v/>
      </c>
      <c r="D770">
        <f>XLOOKUP(A770,tblInvoices[invoice_id],tblInvoices[expected_fee])</f>
        <v/>
      </c>
      <c r="E770">
        <f>XLOOKUP(A770,tblInvoices[invoice_id],tblInvoices[billed_fee])</f>
        <v/>
      </c>
      <c r="F770">
        <f>E770-D770</f>
        <v/>
      </c>
      <c r="G770">
        <f>IF(D770=0,0,ROUND(100*F770/D770,2))</f>
        <v/>
      </c>
      <c r="H770">
        <f>IF(ABS(F770)&lt;=0.01,"Correct",IF(F770&lt;0,"Underbilled","Overbilled"))</f>
        <v/>
      </c>
    </row>
    <row r="771">
      <c r="A771" t="inlineStr">
        <is>
          <t>INV0015433</t>
        </is>
      </c>
      <c r="B771" t="inlineStr">
        <is>
          <t>MER00728</t>
        </is>
      </c>
      <c r="C771">
        <f>XLOOKUP(B771,Merchants!$A$4:$A$1000,Merchants!$B$4:$B$1000,"Not found")</f>
        <v/>
      </c>
      <c r="D771">
        <f>XLOOKUP(A771,tblInvoices[invoice_id],tblInvoices[expected_fee])</f>
        <v/>
      </c>
      <c r="E771">
        <f>XLOOKUP(A771,tblInvoices[invoice_id],tblInvoices[billed_fee])</f>
        <v/>
      </c>
      <c r="F771">
        <f>E771-D771</f>
        <v/>
      </c>
      <c r="G771">
        <f>IF(D771=0,0,ROUND(100*F771/D771,2))</f>
        <v/>
      </c>
      <c r="H771">
        <f>IF(ABS(F771)&lt;=0.01,"Correct",IF(F771&lt;0,"Underbilled","Overbilled"))</f>
        <v/>
      </c>
    </row>
    <row r="772">
      <c r="A772" t="inlineStr">
        <is>
          <t>INV0015434</t>
        </is>
      </c>
      <c r="B772" t="inlineStr">
        <is>
          <t>MER00728</t>
        </is>
      </c>
      <c r="C772">
        <f>XLOOKUP(B772,Merchants!$A$4:$A$1000,Merchants!$B$4:$B$1000,"Not found")</f>
        <v/>
      </c>
      <c r="D772">
        <f>XLOOKUP(A772,tblInvoices[invoice_id],tblInvoices[expected_fee])</f>
        <v/>
      </c>
      <c r="E772">
        <f>XLOOKUP(A772,tblInvoices[invoice_id],tblInvoices[billed_fee])</f>
        <v/>
      </c>
      <c r="F772">
        <f>E772-D772</f>
        <v/>
      </c>
      <c r="G772">
        <f>IF(D772=0,0,ROUND(100*F772/D772,2))</f>
        <v/>
      </c>
      <c r="H772">
        <f>IF(ABS(F772)&lt;=0.01,"Correct",IF(F772&lt;0,"Underbilled","Overbilled"))</f>
        <v/>
      </c>
    </row>
    <row r="773">
      <c r="A773" t="inlineStr">
        <is>
          <t>INV0015435</t>
        </is>
      </c>
      <c r="B773" t="inlineStr">
        <is>
          <t>MER00728</t>
        </is>
      </c>
      <c r="C773">
        <f>XLOOKUP(B773,Merchants!$A$4:$A$1000,Merchants!$B$4:$B$1000,"Not found")</f>
        <v/>
      </c>
      <c r="D773">
        <f>XLOOKUP(A773,tblInvoices[invoice_id],tblInvoices[expected_fee])</f>
        <v/>
      </c>
      <c r="E773">
        <f>XLOOKUP(A773,tblInvoices[invoice_id],tblInvoices[billed_fee])</f>
        <v/>
      </c>
      <c r="F773">
        <f>E773-D773</f>
        <v/>
      </c>
      <c r="G773">
        <f>IF(D773=0,0,ROUND(100*F773/D773,2))</f>
        <v/>
      </c>
      <c r="H773">
        <f>IF(ABS(F773)&lt;=0.01,"Correct",IF(F773&lt;0,"Underbilled","Overbilled"))</f>
        <v/>
      </c>
    </row>
    <row r="774">
      <c r="A774" t="inlineStr">
        <is>
          <t>INV0015436</t>
        </is>
      </c>
      <c r="B774" t="inlineStr">
        <is>
          <t>MER00728</t>
        </is>
      </c>
      <c r="C774">
        <f>XLOOKUP(B774,Merchants!$A$4:$A$1000,Merchants!$B$4:$B$1000,"Not found")</f>
        <v/>
      </c>
      <c r="D774">
        <f>XLOOKUP(A774,tblInvoices[invoice_id],tblInvoices[expected_fee])</f>
        <v/>
      </c>
      <c r="E774">
        <f>XLOOKUP(A774,tblInvoices[invoice_id],tblInvoices[billed_fee])</f>
        <v/>
      </c>
      <c r="F774">
        <f>E774-D774</f>
        <v/>
      </c>
      <c r="G774">
        <f>IF(D774=0,0,ROUND(100*F774/D774,2))</f>
        <v/>
      </c>
      <c r="H774">
        <f>IF(ABS(F774)&lt;=0.01,"Correct",IF(F774&lt;0,"Underbilled","Overbilled"))</f>
        <v/>
      </c>
    </row>
    <row r="775">
      <c r="A775" t="inlineStr">
        <is>
          <t>INV0015437</t>
        </is>
      </c>
      <c r="B775" t="inlineStr">
        <is>
          <t>MER00728</t>
        </is>
      </c>
      <c r="C775">
        <f>XLOOKUP(B775,Merchants!$A$4:$A$1000,Merchants!$B$4:$B$1000,"Not found")</f>
        <v/>
      </c>
      <c r="D775">
        <f>XLOOKUP(A775,tblInvoices[invoice_id],tblInvoices[expected_fee])</f>
        <v/>
      </c>
      <c r="E775">
        <f>XLOOKUP(A775,tblInvoices[invoice_id],tblInvoices[billed_fee])</f>
        <v/>
      </c>
      <c r="F775">
        <f>E775-D775</f>
        <v/>
      </c>
      <c r="G775">
        <f>IF(D775=0,0,ROUND(100*F775/D775,2))</f>
        <v/>
      </c>
      <c r="H775">
        <f>IF(ABS(F775)&lt;=0.01,"Correct",IF(F775&lt;0,"Underbilled","Overbilled"))</f>
        <v/>
      </c>
    </row>
    <row r="776">
      <c r="A776" t="inlineStr">
        <is>
          <t>INV0015438</t>
        </is>
      </c>
      <c r="B776" t="inlineStr">
        <is>
          <t>MER00728</t>
        </is>
      </c>
      <c r="C776">
        <f>XLOOKUP(B776,Merchants!$A$4:$A$1000,Merchants!$B$4:$B$1000,"Not found")</f>
        <v/>
      </c>
      <c r="D776">
        <f>XLOOKUP(A776,tblInvoices[invoice_id],tblInvoices[expected_fee])</f>
        <v/>
      </c>
      <c r="E776">
        <f>XLOOKUP(A776,tblInvoices[invoice_id],tblInvoices[billed_fee])</f>
        <v/>
      </c>
      <c r="F776">
        <f>E776-D776</f>
        <v/>
      </c>
      <c r="G776">
        <f>IF(D776=0,0,ROUND(100*F776/D776,2))</f>
        <v/>
      </c>
      <c r="H776">
        <f>IF(ABS(F776)&lt;=0.01,"Correct",IF(F776&lt;0,"Underbilled","Overbilled"))</f>
        <v/>
      </c>
    </row>
    <row r="777">
      <c r="A777" t="inlineStr">
        <is>
          <t>INV0015439</t>
        </is>
      </c>
      <c r="B777" t="inlineStr">
        <is>
          <t>MER00728</t>
        </is>
      </c>
      <c r="C777">
        <f>XLOOKUP(B777,Merchants!$A$4:$A$1000,Merchants!$B$4:$B$1000,"Not found")</f>
        <v/>
      </c>
      <c r="D777">
        <f>XLOOKUP(A777,tblInvoices[invoice_id],tblInvoices[expected_fee])</f>
        <v/>
      </c>
      <c r="E777">
        <f>XLOOKUP(A777,tblInvoices[invoice_id],tblInvoices[billed_fee])</f>
        <v/>
      </c>
      <c r="F777">
        <f>E777-D777</f>
        <v/>
      </c>
      <c r="G777">
        <f>IF(D777=0,0,ROUND(100*F777/D777,2))</f>
        <v/>
      </c>
      <c r="H777">
        <f>IF(ABS(F777)&lt;=0.01,"Correct",IF(F777&lt;0,"Underbilled","Overbilled"))</f>
        <v/>
      </c>
    </row>
    <row r="778">
      <c r="A778" t="inlineStr">
        <is>
          <t>INV0015440</t>
        </is>
      </c>
      <c r="B778" t="inlineStr">
        <is>
          <t>MER00728</t>
        </is>
      </c>
      <c r="C778">
        <f>XLOOKUP(B778,Merchants!$A$4:$A$1000,Merchants!$B$4:$B$1000,"Not found")</f>
        <v/>
      </c>
      <c r="D778">
        <f>XLOOKUP(A778,tblInvoices[invoice_id],tblInvoices[expected_fee])</f>
        <v/>
      </c>
      <c r="E778">
        <f>XLOOKUP(A778,tblInvoices[invoice_id],tblInvoices[billed_fee])</f>
        <v/>
      </c>
      <c r="F778">
        <f>E778-D778</f>
        <v/>
      </c>
      <c r="G778">
        <f>IF(D778=0,0,ROUND(100*F778/D778,2))</f>
        <v/>
      </c>
      <c r="H778">
        <f>IF(ABS(F778)&lt;=0.01,"Correct",IF(F778&lt;0,"Underbilled","Overbilled"))</f>
        <v/>
      </c>
    </row>
    <row r="779">
      <c r="A779" t="inlineStr">
        <is>
          <t>INV0015441</t>
        </is>
      </c>
      <c r="B779" t="inlineStr">
        <is>
          <t>MER00728</t>
        </is>
      </c>
      <c r="C779">
        <f>XLOOKUP(B779,Merchants!$A$4:$A$1000,Merchants!$B$4:$B$1000,"Not found")</f>
        <v/>
      </c>
      <c r="D779">
        <f>XLOOKUP(A779,tblInvoices[invoice_id],tblInvoices[expected_fee])</f>
        <v/>
      </c>
      <c r="E779">
        <f>XLOOKUP(A779,tblInvoices[invoice_id],tblInvoices[billed_fee])</f>
        <v/>
      </c>
      <c r="F779">
        <f>E779-D779</f>
        <v/>
      </c>
      <c r="G779">
        <f>IF(D779=0,0,ROUND(100*F779/D779,2))</f>
        <v/>
      </c>
      <c r="H779">
        <f>IF(ABS(F779)&lt;=0.01,"Correct",IF(F779&lt;0,"Underbilled","Overbilled"))</f>
        <v/>
      </c>
    </row>
    <row r="780">
      <c r="A780" t="inlineStr">
        <is>
          <t>INV0015442</t>
        </is>
      </c>
      <c r="B780" t="inlineStr">
        <is>
          <t>MER00728</t>
        </is>
      </c>
      <c r="C780">
        <f>XLOOKUP(B780,Merchants!$A$4:$A$1000,Merchants!$B$4:$B$1000,"Not found")</f>
        <v/>
      </c>
      <c r="D780">
        <f>XLOOKUP(A780,tblInvoices[invoice_id],tblInvoices[expected_fee])</f>
        <v/>
      </c>
      <c r="E780">
        <f>XLOOKUP(A780,tblInvoices[invoice_id],tblInvoices[billed_fee])</f>
        <v/>
      </c>
      <c r="F780">
        <f>E780-D780</f>
        <v/>
      </c>
      <c r="G780">
        <f>IF(D780=0,0,ROUND(100*F780/D780,2))</f>
        <v/>
      </c>
      <c r="H780">
        <f>IF(ABS(F780)&lt;=0.01,"Correct",IF(F780&lt;0,"Underbilled","Overbilled"))</f>
        <v/>
      </c>
    </row>
    <row r="781">
      <c r="A781" t="inlineStr">
        <is>
          <t>INV0015443</t>
        </is>
      </c>
      <c r="B781" t="inlineStr">
        <is>
          <t>MER00728</t>
        </is>
      </c>
      <c r="C781">
        <f>XLOOKUP(B781,Merchants!$A$4:$A$1000,Merchants!$B$4:$B$1000,"Not found")</f>
        <v/>
      </c>
      <c r="D781">
        <f>XLOOKUP(A781,tblInvoices[invoice_id],tblInvoices[expected_fee])</f>
        <v/>
      </c>
      <c r="E781">
        <f>XLOOKUP(A781,tblInvoices[invoice_id],tblInvoices[billed_fee])</f>
        <v/>
      </c>
      <c r="F781">
        <f>E781-D781</f>
        <v/>
      </c>
      <c r="G781">
        <f>IF(D781=0,0,ROUND(100*F781/D781,2))</f>
        <v/>
      </c>
      <c r="H781">
        <f>IF(ABS(F781)&lt;=0.01,"Correct",IF(F781&lt;0,"Underbilled","Overbilled"))</f>
        <v/>
      </c>
    </row>
    <row r="782">
      <c r="A782" t="inlineStr">
        <is>
          <t>INV0015444</t>
        </is>
      </c>
      <c r="B782" t="inlineStr">
        <is>
          <t>MER00728</t>
        </is>
      </c>
      <c r="C782">
        <f>XLOOKUP(B782,Merchants!$A$4:$A$1000,Merchants!$B$4:$B$1000,"Not found")</f>
        <v/>
      </c>
      <c r="D782">
        <f>XLOOKUP(A782,tblInvoices[invoice_id],tblInvoices[expected_fee])</f>
        <v/>
      </c>
      <c r="E782">
        <f>XLOOKUP(A782,tblInvoices[invoice_id],tblInvoices[billed_fee])</f>
        <v/>
      </c>
      <c r="F782">
        <f>E782-D782</f>
        <v/>
      </c>
      <c r="G782">
        <f>IF(D782=0,0,ROUND(100*F782/D782,2))</f>
        <v/>
      </c>
      <c r="H782">
        <f>IF(ABS(F782)&lt;=0.01,"Correct",IF(F782&lt;0,"Underbilled","Overbilled"))</f>
        <v/>
      </c>
    </row>
    <row r="783">
      <c r="A783" t="inlineStr">
        <is>
          <t>INV0015445</t>
        </is>
      </c>
      <c r="B783" t="inlineStr">
        <is>
          <t>MER00728</t>
        </is>
      </c>
      <c r="C783">
        <f>XLOOKUP(B783,Merchants!$A$4:$A$1000,Merchants!$B$4:$B$1000,"Not found")</f>
        <v/>
      </c>
      <c r="D783">
        <f>XLOOKUP(A783,tblInvoices[invoice_id],tblInvoices[expected_fee])</f>
        <v/>
      </c>
      <c r="E783">
        <f>XLOOKUP(A783,tblInvoices[invoice_id],tblInvoices[billed_fee])</f>
        <v/>
      </c>
      <c r="F783">
        <f>E783-D783</f>
        <v/>
      </c>
      <c r="G783">
        <f>IF(D783=0,0,ROUND(100*F783/D783,2))</f>
        <v/>
      </c>
      <c r="H783">
        <f>IF(ABS(F783)&lt;=0.01,"Correct",IF(F783&lt;0,"Underbilled","Overbilled"))</f>
        <v/>
      </c>
    </row>
    <row r="784">
      <c r="A784" t="inlineStr">
        <is>
          <t>INV0016142</t>
        </is>
      </c>
      <c r="B784" t="inlineStr">
        <is>
          <t>MER00764</t>
        </is>
      </c>
      <c r="C784">
        <f>XLOOKUP(B784,Merchants!$A$4:$A$1000,Merchants!$B$4:$B$1000,"Not found")</f>
        <v/>
      </c>
      <c r="D784">
        <f>XLOOKUP(A784,tblInvoices[invoice_id],tblInvoices[expected_fee])</f>
        <v/>
      </c>
      <c r="E784">
        <f>XLOOKUP(A784,tblInvoices[invoice_id],tblInvoices[billed_fee])</f>
        <v/>
      </c>
      <c r="F784">
        <f>E784-D784</f>
        <v/>
      </c>
      <c r="G784">
        <f>IF(D784=0,0,ROUND(100*F784/D784,2))</f>
        <v/>
      </c>
      <c r="H784">
        <f>IF(ABS(F784)&lt;=0.01,"Correct",IF(F784&lt;0,"Underbilled","Overbilled"))</f>
        <v/>
      </c>
    </row>
    <row r="785">
      <c r="A785" t="inlineStr">
        <is>
          <t>INV0016143</t>
        </is>
      </c>
      <c r="B785" t="inlineStr">
        <is>
          <t>MER00764</t>
        </is>
      </c>
      <c r="C785">
        <f>XLOOKUP(B785,Merchants!$A$4:$A$1000,Merchants!$B$4:$B$1000,"Not found")</f>
        <v/>
      </c>
      <c r="D785">
        <f>XLOOKUP(A785,tblInvoices[invoice_id],tblInvoices[expected_fee])</f>
        <v/>
      </c>
      <c r="E785">
        <f>XLOOKUP(A785,tblInvoices[invoice_id],tblInvoices[billed_fee])</f>
        <v/>
      </c>
      <c r="F785">
        <f>E785-D785</f>
        <v/>
      </c>
      <c r="G785">
        <f>IF(D785=0,0,ROUND(100*F785/D785,2))</f>
        <v/>
      </c>
      <c r="H785">
        <f>IF(ABS(F785)&lt;=0.01,"Correct",IF(F785&lt;0,"Underbilled","Overbilled"))</f>
        <v/>
      </c>
    </row>
    <row r="786">
      <c r="A786" t="inlineStr">
        <is>
          <t>INV0016144</t>
        </is>
      </c>
      <c r="B786" t="inlineStr">
        <is>
          <t>MER00764</t>
        </is>
      </c>
      <c r="C786">
        <f>XLOOKUP(B786,Merchants!$A$4:$A$1000,Merchants!$B$4:$B$1000,"Not found")</f>
        <v/>
      </c>
      <c r="D786">
        <f>XLOOKUP(A786,tblInvoices[invoice_id],tblInvoices[expected_fee])</f>
        <v/>
      </c>
      <c r="E786">
        <f>XLOOKUP(A786,tblInvoices[invoice_id],tblInvoices[billed_fee])</f>
        <v/>
      </c>
      <c r="F786">
        <f>E786-D786</f>
        <v/>
      </c>
      <c r="G786">
        <f>IF(D786=0,0,ROUND(100*F786/D786,2))</f>
        <v/>
      </c>
      <c r="H786">
        <f>IF(ABS(F786)&lt;=0.01,"Correct",IF(F786&lt;0,"Underbilled","Overbilled"))</f>
        <v/>
      </c>
    </row>
    <row r="787">
      <c r="A787" t="inlineStr">
        <is>
          <t>INV0016145</t>
        </is>
      </c>
      <c r="B787" t="inlineStr">
        <is>
          <t>MER00764</t>
        </is>
      </c>
      <c r="C787">
        <f>XLOOKUP(B787,Merchants!$A$4:$A$1000,Merchants!$B$4:$B$1000,"Not found")</f>
        <v/>
      </c>
      <c r="D787">
        <f>XLOOKUP(A787,tblInvoices[invoice_id],tblInvoices[expected_fee])</f>
        <v/>
      </c>
      <c r="E787">
        <f>XLOOKUP(A787,tblInvoices[invoice_id],tblInvoices[billed_fee])</f>
        <v/>
      </c>
      <c r="F787">
        <f>E787-D787</f>
        <v/>
      </c>
      <c r="G787">
        <f>IF(D787=0,0,ROUND(100*F787/D787,2))</f>
        <v/>
      </c>
      <c r="H787">
        <f>IF(ABS(F787)&lt;=0.01,"Correct",IF(F787&lt;0,"Underbilled","Overbilled"))</f>
        <v/>
      </c>
    </row>
    <row r="788">
      <c r="A788" t="inlineStr">
        <is>
          <t>INV0016146</t>
        </is>
      </c>
      <c r="B788" t="inlineStr">
        <is>
          <t>MER00764</t>
        </is>
      </c>
      <c r="C788">
        <f>XLOOKUP(B788,Merchants!$A$4:$A$1000,Merchants!$B$4:$B$1000,"Not found")</f>
        <v/>
      </c>
      <c r="D788">
        <f>XLOOKUP(A788,tblInvoices[invoice_id],tblInvoices[expected_fee])</f>
        <v/>
      </c>
      <c r="E788">
        <f>XLOOKUP(A788,tblInvoices[invoice_id],tblInvoices[billed_fee])</f>
        <v/>
      </c>
      <c r="F788">
        <f>E788-D788</f>
        <v/>
      </c>
      <c r="G788">
        <f>IF(D788=0,0,ROUND(100*F788/D788,2))</f>
        <v/>
      </c>
      <c r="H788">
        <f>IF(ABS(F788)&lt;=0.01,"Correct",IF(F788&lt;0,"Underbilled","Overbilled"))</f>
        <v/>
      </c>
    </row>
    <row r="789">
      <c r="A789" t="inlineStr">
        <is>
          <t>INV0016147</t>
        </is>
      </c>
      <c r="B789" t="inlineStr">
        <is>
          <t>MER00764</t>
        </is>
      </c>
      <c r="C789">
        <f>XLOOKUP(B789,Merchants!$A$4:$A$1000,Merchants!$B$4:$B$1000,"Not found")</f>
        <v/>
      </c>
      <c r="D789">
        <f>XLOOKUP(A789,tblInvoices[invoice_id],tblInvoices[expected_fee])</f>
        <v/>
      </c>
      <c r="E789">
        <f>XLOOKUP(A789,tblInvoices[invoice_id],tblInvoices[billed_fee])</f>
        <v/>
      </c>
      <c r="F789">
        <f>E789-D789</f>
        <v/>
      </c>
      <c r="G789">
        <f>IF(D789=0,0,ROUND(100*F789/D789,2))</f>
        <v/>
      </c>
      <c r="H789">
        <f>IF(ABS(F789)&lt;=0.01,"Correct",IF(F789&lt;0,"Underbilled","Overbilled"))</f>
        <v/>
      </c>
    </row>
    <row r="790">
      <c r="A790" t="inlineStr">
        <is>
          <t>INV0016148</t>
        </is>
      </c>
      <c r="B790" t="inlineStr">
        <is>
          <t>MER00764</t>
        </is>
      </c>
      <c r="C790">
        <f>XLOOKUP(B790,Merchants!$A$4:$A$1000,Merchants!$B$4:$B$1000,"Not found")</f>
        <v/>
      </c>
      <c r="D790">
        <f>XLOOKUP(A790,tblInvoices[invoice_id],tblInvoices[expected_fee])</f>
        <v/>
      </c>
      <c r="E790">
        <f>XLOOKUP(A790,tblInvoices[invoice_id],tblInvoices[billed_fee])</f>
        <v/>
      </c>
      <c r="F790">
        <f>E790-D790</f>
        <v/>
      </c>
      <c r="G790">
        <f>IF(D790=0,0,ROUND(100*F790/D790,2))</f>
        <v/>
      </c>
      <c r="H790">
        <f>IF(ABS(F790)&lt;=0.01,"Correct",IF(F790&lt;0,"Underbilled","Overbilled"))</f>
        <v/>
      </c>
    </row>
    <row r="791">
      <c r="A791" t="inlineStr">
        <is>
          <t>INV0016149</t>
        </is>
      </c>
      <c r="B791" t="inlineStr">
        <is>
          <t>MER00764</t>
        </is>
      </c>
      <c r="C791">
        <f>XLOOKUP(B791,Merchants!$A$4:$A$1000,Merchants!$B$4:$B$1000,"Not found")</f>
        <v/>
      </c>
      <c r="D791">
        <f>XLOOKUP(A791,tblInvoices[invoice_id],tblInvoices[expected_fee])</f>
        <v/>
      </c>
      <c r="E791">
        <f>XLOOKUP(A791,tblInvoices[invoice_id],tblInvoices[billed_fee])</f>
        <v/>
      </c>
      <c r="F791">
        <f>E791-D791</f>
        <v/>
      </c>
      <c r="G791">
        <f>IF(D791=0,0,ROUND(100*F791/D791,2))</f>
        <v/>
      </c>
      <c r="H791">
        <f>IF(ABS(F791)&lt;=0.01,"Correct",IF(F791&lt;0,"Underbilled","Overbilled"))</f>
        <v/>
      </c>
    </row>
    <row r="792">
      <c r="A792" t="inlineStr">
        <is>
          <t>INV0016150</t>
        </is>
      </c>
      <c r="B792" t="inlineStr">
        <is>
          <t>MER00764</t>
        </is>
      </c>
      <c r="C792">
        <f>XLOOKUP(B792,Merchants!$A$4:$A$1000,Merchants!$B$4:$B$1000,"Not found")</f>
        <v/>
      </c>
      <c r="D792">
        <f>XLOOKUP(A792,tblInvoices[invoice_id],tblInvoices[expected_fee])</f>
        <v/>
      </c>
      <c r="E792">
        <f>XLOOKUP(A792,tblInvoices[invoice_id],tblInvoices[billed_fee])</f>
        <v/>
      </c>
      <c r="F792">
        <f>E792-D792</f>
        <v/>
      </c>
      <c r="G792">
        <f>IF(D792=0,0,ROUND(100*F792/D792,2))</f>
        <v/>
      </c>
      <c r="H792">
        <f>IF(ABS(F792)&lt;=0.01,"Correct",IF(F792&lt;0,"Underbilled","Overbilled"))</f>
        <v/>
      </c>
    </row>
    <row r="793">
      <c r="A793" t="inlineStr">
        <is>
          <t>INV0016151</t>
        </is>
      </c>
      <c r="B793" t="inlineStr">
        <is>
          <t>MER00764</t>
        </is>
      </c>
      <c r="C793">
        <f>XLOOKUP(B793,Merchants!$A$4:$A$1000,Merchants!$B$4:$B$1000,"Not found")</f>
        <v/>
      </c>
      <c r="D793">
        <f>XLOOKUP(A793,tblInvoices[invoice_id],tblInvoices[expected_fee])</f>
        <v/>
      </c>
      <c r="E793">
        <f>XLOOKUP(A793,tblInvoices[invoice_id],tblInvoices[billed_fee])</f>
        <v/>
      </c>
      <c r="F793">
        <f>E793-D793</f>
        <v/>
      </c>
      <c r="G793">
        <f>IF(D793=0,0,ROUND(100*F793/D793,2))</f>
        <v/>
      </c>
      <c r="H793">
        <f>IF(ABS(F793)&lt;=0.01,"Correct",IF(F793&lt;0,"Underbilled","Overbilled"))</f>
        <v/>
      </c>
    </row>
    <row r="794">
      <c r="A794" t="inlineStr">
        <is>
          <t>INV0016152</t>
        </is>
      </c>
      <c r="B794" t="inlineStr">
        <is>
          <t>MER00764</t>
        </is>
      </c>
      <c r="C794">
        <f>XLOOKUP(B794,Merchants!$A$4:$A$1000,Merchants!$B$4:$B$1000,"Not found")</f>
        <v/>
      </c>
      <c r="D794">
        <f>XLOOKUP(A794,tblInvoices[invoice_id],tblInvoices[expected_fee])</f>
        <v/>
      </c>
      <c r="E794">
        <f>XLOOKUP(A794,tblInvoices[invoice_id],tblInvoices[billed_fee])</f>
        <v/>
      </c>
      <c r="F794">
        <f>E794-D794</f>
        <v/>
      </c>
      <c r="G794">
        <f>IF(D794=0,0,ROUND(100*F794/D794,2))</f>
        <v/>
      </c>
      <c r="H794">
        <f>IF(ABS(F794)&lt;=0.01,"Correct",IF(F794&lt;0,"Underbilled","Overbilled"))</f>
        <v/>
      </c>
    </row>
    <row r="795">
      <c r="A795" t="inlineStr">
        <is>
          <t>INV0016153</t>
        </is>
      </c>
      <c r="B795" t="inlineStr">
        <is>
          <t>MER00764</t>
        </is>
      </c>
      <c r="C795">
        <f>XLOOKUP(B795,Merchants!$A$4:$A$1000,Merchants!$B$4:$B$1000,"Not found")</f>
        <v/>
      </c>
      <c r="D795">
        <f>XLOOKUP(A795,tblInvoices[invoice_id],tblInvoices[expected_fee])</f>
        <v/>
      </c>
      <c r="E795">
        <f>XLOOKUP(A795,tblInvoices[invoice_id],tblInvoices[billed_fee])</f>
        <v/>
      </c>
      <c r="F795">
        <f>E795-D795</f>
        <v/>
      </c>
      <c r="G795">
        <f>IF(D795=0,0,ROUND(100*F795/D795,2))</f>
        <v/>
      </c>
      <c r="H795">
        <f>IF(ABS(F795)&lt;=0.01,"Correct",IF(F795&lt;0,"Underbilled","Overbilled"))</f>
        <v/>
      </c>
    </row>
    <row r="796">
      <c r="A796" t="inlineStr">
        <is>
          <t>INV0016154</t>
        </is>
      </c>
      <c r="B796" t="inlineStr">
        <is>
          <t>MER00764</t>
        </is>
      </c>
      <c r="C796">
        <f>XLOOKUP(B796,Merchants!$A$4:$A$1000,Merchants!$B$4:$B$1000,"Not found")</f>
        <v/>
      </c>
      <c r="D796">
        <f>XLOOKUP(A796,tblInvoices[invoice_id],tblInvoices[expected_fee])</f>
        <v/>
      </c>
      <c r="E796">
        <f>XLOOKUP(A796,tblInvoices[invoice_id],tblInvoices[billed_fee])</f>
        <v/>
      </c>
      <c r="F796">
        <f>E796-D796</f>
        <v/>
      </c>
      <c r="G796">
        <f>IF(D796=0,0,ROUND(100*F796/D796,2))</f>
        <v/>
      </c>
      <c r="H796">
        <f>IF(ABS(F796)&lt;=0.01,"Correct",IF(F796&lt;0,"Underbilled","Overbilled"))</f>
        <v/>
      </c>
    </row>
    <row r="797">
      <c r="A797" t="inlineStr">
        <is>
          <t>INV0016155</t>
        </is>
      </c>
      <c r="B797" t="inlineStr">
        <is>
          <t>MER00764</t>
        </is>
      </c>
      <c r="C797">
        <f>XLOOKUP(B797,Merchants!$A$4:$A$1000,Merchants!$B$4:$B$1000,"Not found")</f>
        <v/>
      </c>
      <c r="D797">
        <f>XLOOKUP(A797,tblInvoices[invoice_id],tblInvoices[expected_fee])</f>
        <v/>
      </c>
      <c r="E797">
        <f>XLOOKUP(A797,tblInvoices[invoice_id],tblInvoices[billed_fee])</f>
        <v/>
      </c>
      <c r="F797">
        <f>E797-D797</f>
        <v/>
      </c>
      <c r="G797">
        <f>IF(D797=0,0,ROUND(100*F797/D797,2))</f>
        <v/>
      </c>
      <c r="H797">
        <f>IF(ABS(F797)&lt;=0.01,"Correct",IF(F797&lt;0,"Underbilled","Overbilled"))</f>
        <v/>
      </c>
    </row>
    <row r="798">
      <c r="A798" t="inlineStr">
        <is>
          <t>INV0016156</t>
        </is>
      </c>
      <c r="B798" t="inlineStr">
        <is>
          <t>MER00764</t>
        </is>
      </c>
      <c r="C798">
        <f>XLOOKUP(B798,Merchants!$A$4:$A$1000,Merchants!$B$4:$B$1000,"Not found")</f>
        <v/>
      </c>
      <c r="D798">
        <f>XLOOKUP(A798,tblInvoices[invoice_id],tblInvoices[expected_fee])</f>
        <v/>
      </c>
      <c r="E798">
        <f>XLOOKUP(A798,tblInvoices[invoice_id],tblInvoices[billed_fee])</f>
        <v/>
      </c>
      <c r="F798">
        <f>E798-D798</f>
        <v/>
      </c>
      <c r="G798">
        <f>IF(D798=0,0,ROUND(100*F798/D798,2))</f>
        <v/>
      </c>
      <c r="H798">
        <f>IF(ABS(F798)&lt;=0.01,"Correct",IF(F798&lt;0,"Underbilled","Overbilled"))</f>
        <v/>
      </c>
    </row>
    <row r="799">
      <c r="A799" t="inlineStr">
        <is>
          <t>INV0016157</t>
        </is>
      </c>
      <c r="B799" t="inlineStr">
        <is>
          <t>MER00764</t>
        </is>
      </c>
      <c r="C799">
        <f>XLOOKUP(B799,Merchants!$A$4:$A$1000,Merchants!$B$4:$B$1000,"Not found")</f>
        <v/>
      </c>
      <c r="D799">
        <f>XLOOKUP(A799,tblInvoices[invoice_id],tblInvoices[expected_fee])</f>
        <v/>
      </c>
      <c r="E799">
        <f>XLOOKUP(A799,tblInvoices[invoice_id],tblInvoices[billed_fee])</f>
        <v/>
      </c>
      <c r="F799">
        <f>E799-D799</f>
        <v/>
      </c>
      <c r="G799">
        <f>IF(D799=0,0,ROUND(100*F799/D799,2))</f>
        <v/>
      </c>
      <c r="H799">
        <f>IF(ABS(F799)&lt;=0.01,"Correct",IF(F799&lt;0,"Underbilled","Overbilled"))</f>
        <v/>
      </c>
    </row>
    <row r="800">
      <c r="A800" t="inlineStr">
        <is>
          <t>INV0016158</t>
        </is>
      </c>
      <c r="B800" t="inlineStr">
        <is>
          <t>MER00764</t>
        </is>
      </c>
      <c r="C800">
        <f>XLOOKUP(B800,Merchants!$A$4:$A$1000,Merchants!$B$4:$B$1000,"Not found")</f>
        <v/>
      </c>
      <c r="D800">
        <f>XLOOKUP(A800,tblInvoices[invoice_id],tblInvoices[expected_fee])</f>
        <v/>
      </c>
      <c r="E800">
        <f>XLOOKUP(A800,tblInvoices[invoice_id],tblInvoices[billed_fee])</f>
        <v/>
      </c>
      <c r="F800">
        <f>E800-D800</f>
        <v/>
      </c>
      <c r="G800">
        <f>IF(D800=0,0,ROUND(100*F800/D800,2))</f>
        <v/>
      </c>
      <c r="H800">
        <f>IF(ABS(F800)&lt;=0.01,"Correct",IF(F800&lt;0,"Underbilled","Overbilled"))</f>
        <v/>
      </c>
    </row>
    <row r="801">
      <c r="A801" t="inlineStr">
        <is>
          <t>INV0016159</t>
        </is>
      </c>
      <c r="B801" t="inlineStr">
        <is>
          <t>MER00764</t>
        </is>
      </c>
      <c r="C801">
        <f>XLOOKUP(B801,Merchants!$A$4:$A$1000,Merchants!$B$4:$B$1000,"Not found")</f>
        <v/>
      </c>
      <c r="D801">
        <f>XLOOKUP(A801,tblInvoices[invoice_id],tblInvoices[expected_fee])</f>
        <v/>
      </c>
      <c r="E801">
        <f>XLOOKUP(A801,tblInvoices[invoice_id],tblInvoices[billed_fee])</f>
        <v/>
      </c>
      <c r="F801">
        <f>E801-D801</f>
        <v/>
      </c>
      <c r="G801">
        <f>IF(D801=0,0,ROUND(100*F801/D801,2))</f>
        <v/>
      </c>
      <c r="H801">
        <f>IF(ABS(F801)&lt;=0.01,"Correct",IF(F801&lt;0,"Underbilled","Overbilled"))</f>
        <v/>
      </c>
    </row>
    <row r="802">
      <c r="A802" t="inlineStr">
        <is>
          <t>INV0016160</t>
        </is>
      </c>
      <c r="B802" t="inlineStr">
        <is>
          <t>MER00764</t>
        </is>
      </c>
      <c r="C802">
        <f>XLOOKUP(B802,Merchants!$A$4:$A$1000,Merchants!$B$4:$B$1000,"Not found")</f>
        <v/>
      </c>
      <c r="D802">
        <f>XLOOKUP(A802,tblInvoices[invoice_id],tblInvoices[expected_fee])</f>
        <v/>
      </c>
      <c r="E802">
        <f>XLOOKUP(A802,tblInvoices[invoice_id],tblInvoices[billed_fee])</f>
        <v/>
      </c>
      <c r="F802">
        <f>E802-D802</f>
        <v/>
      </c>
      <c r="G802">
        <f>IF(D802=0,0,ROUND(100*F802/D802,2))</f>
        <v/>
      </c>
      <c r="H802">
        <f>IF(ABS(F802)&lt;=0.01,"Correct",IF(F802&lt;0,"Underbilled","Overbilled"))</f>
        <v/>
      </c>
    </row>
    <row r="803">
      <c r="A803" t="inlineStr">
        <is>
          <t>INV0016161</t>
        </is>
      </c>
      <c r="B803" t="inlineStr">
        <is>
          <t>MER00764</t>
        </is>
      </c>
      <c r="C803">
        <f>XLOOKUP(B803,Merchants!$A$4:$A$1000,Merchants!$B$4:$B$1000,"Not found")</f>
        <v/>
      </c>
      <c r="D803">
        <f>XLOOKUP(A803,tblInvoices[invoice_id],tblInvoices[expected_fee])</f>
        <v/>
      </c>
      <c r="E803">
        <f>XLOOKUP(A803,tblInvoices[invoice_id],tblInvoices[billed_fee])</f>
        <v/>
      </c>
      <c r="F803">
        <f>E803-D803</f>
        <v/>
      </c>
      <c r="G803">
        <f>IF(D803=0,0,ROUND(100*F803/D803,2))</f>
        <v/>
      </c>
      <c r="H803">
        <f>IF(ABS(F803)&lt;=0.01,"Correct",IF(F803&lt;0,"Underbilled","Overbilled"))</f>
        <v/>
      </c>
    </row>
    <row r="804">
      <c r="A804" t="inlineStr">
        <is>
          <t>INV0016162</t>
        </is>
      </c>
      <c r="B804" t="inlineStr">
        <is>
          <t>MER00764</t>
        </is>
      </c>
      <c r="C804">
        <f>XLOOKUP(B804,Merchants!$A$4:$A$1000,Merchants!$B$4:$B$1000,"Not found")</f>
        <v/>
      </c>
      <c r="D804">
        <f>XLOOKUP(A804,tblInvoices[invoice_id],tblInvoices[expected_fee])</f>
        <v/>
      </c>
      <c r="E804">
        <f>XLOOKUP(A804,tblInvoices[invoice_id],tblInvoices[billed_fee])</f>
        <v/>
      </c>
      <c r="F804">
        <f>E804-D804</f>
        <v/>
      </c>
      <c r="G804">
        <f>IF(D804=0,0,ROUND(100*F804/D804,2))</f>
        <v/>
      </c>
      <c r="H804">
        <f>IF(ABS(F804)&lt;=0.01,"Correct",IF(F804&lt;0,"Underbilled","Overbilled"))</f>
        <v/>
      </c>
    </row>
    <row r="805">
      <c r="A805" t="inlineStr">
        <is>
          <t>INV0016163</t>
        </is>
      </c>
      <c r="B805" t="inlineStr">
        <is>
          <t>MER00764</t>
        </is>
      </c>
      <c r="C805">
        <f>XLOOKUP(B805,Merchants!$A$4:$A$1000,Merchants!$B$4:$B$1000,"Not found")</f>
        <v/>
      </c>
      <c r="D805">
        <f>XLOOKUP(A805,tblInvoices[invoice_id],tblInvoices[expected_fee])</f>
        <v/>
      </c>
      <c r="E805">
        <f>XLOOKUP(A805,tblInvoices[invoice_id],tblInvoices[billed_fee])</f>
        <v/>
      </c>
      <c r="F805">
        <f>E805-D805</f>
        <v/>
      </c>
      <c r="G805">
        <f>IF(D805=0,0,ROUND(100*F805/D805,2))</f>
        <v/>
      </c>
      <c r="H805">
        <f>IF(ABS(F805)&lt;=0.01,"Correct",IF(F805&lt;0,"Underbilled","Overbilled"))</f>
        <v/>
      </c>
    </row>
    <row r="806">
      <c r="A806" t="inlineStr">
        <is>
          <t>INV0016164</t>
        </is>
      </c>
      <c r="B806" t="inlineStr">
        <is>
          <t>MER00764</t>
        </is>
      </c>
      <c r="C806">
        <f>XLOOKUP(B806,Merchants!$A$4:$A$1000,Merchants!$B$4:$B$1000,"Not found")</f>
        <v/>
      </c>
      <c r="D806">
        <f>XLOOKUP(A806,tblInvoices[invoice_id],tblInvoices[expected_fee])</f>
        <v/>
      </c>
      <c r="E806">
        <f>XLOOKUP(A806,tblInvoices[invoice_id],tblInvoices[billed_fee])</f>
        <v/>
      </c>
      <c r="F806">
        <f>E806-D806</f>
        <v/>
      </c>
      <c r="G806">
        <f>IF(D806=0,0,ROUND(100*F806/D806,2))</f>
        <v/>
      </c>
      <c r="H806">
        <f>IF(ABS(F806)&lt;=0.01,"Correct",IF(F806&lt;0,"Underbilled","Overbilled"))</f>
        <v/>
      </c>
    </row>
    <row r="807">
      <c r="A807" t="inlineStr">
        <is>
          <t>INV0016165</t>
        </is>
      </c>
      <c r="B807" t="inlineStr">
        <is>
          <t>MER00764</t>
        </is>
      </c>
      <c r="C807">
        <f>XLOOKUP(B807,Merchants!$A$4:$A$1000,Merchants!$B$4:$B$1000,"Not found")</f>
        <v/>
      </c>
      <c r="D807">
        <f>XLOOKUP(A807,tblInvoices[invoice_id],tblInvoices[expected_fee])</f>
        <v/>
      </c>
      <c r="E807">
        <f>XLOOKUP(A807,tblInvoices[invoice_id],tblInvoices[billed_fee])</f>
        <v/>
      </c>
      <c r="F807">
        <f>E807-D807</f>
        <v/>
      </c>
      <c r="G807">
        <f>IF(D807=0,0,ROUND(100*F807/D807,2))</f>
        <v/>
      </c>
      <c r="H807">
        <f>IF(ABS(F807)&lt;=0.01,"Correct",IF(F807&lt;0,"Underbilled","Overbilled"))</f>
        <v/>
      </c>
    </row>
    <row r="808">
      <c r="A808" t="inlineStr">
        <is>
          <t>INV0018120</t>
        </is>
      </c>
      <c r="B808" t="inlineStr">
        <is>
          <t>MER00856</t>
        </is>
      </c>
      <c r="C808">
        <f>XLOOKUP(B808,Merchants!$A$4:$A$1000,Merchants!$B$4:$B$1000,"Not found")</f>
        <v/>
      </c>
      <c r="D808">
        <f>XLOOKUP(A808,tblInvoices[invoice_id],tblInvoices[expected_fee])</f>
        <v/>
      </c>
      <c r="E808">
        <f>XLOOKUP(A808,tblInvoices[invoice_id],tblInvoices[billed_fee])</f>
        <v/>
      </c>
      <c r="F808">
        <f>E808-D808</f>
        <v/>
      </c>
      <c r="G808">
        <f>IF(D808=0,0,ROUND(100*F808/D808,2))</f>
        <v/>
      </c>
      <c r="H808">
        <f>IF(ABS(F808)&lt;=0.01,"Correct",IF(F808&lt;0,"Underbilled","Overbilled"))</f>
        <v/>
      </c>
    </row>
    <row r="809">
      <c r="A809" t="inlineStr">
        <is>
          <t>INV0018121</t>
        </is>
      </c>
      <c r="B809" t="inlineStr">
        <is>
          <t>MER00856</t>
        </is>
      </c>
      <c r="C809">
        <f>XLOOKUP(B809,Merchants!$A$4:$A$1000,Merchants!$B$4:$B$1000,"Not found")</f>
        <v/>
      </c>
      <c r="D809">
        <f>XLOOKUP(A809,tblInvoices[invoice_id],tblInvoices[expected_fee])</f>
        <v/>
      </c>
      <c r="E809">
        <f>XLOOKUP(A809,tblInvoices[invoice_id],tblInvoices[billed_fee])</f>
        <v/>
      </c>
      <c r="F809">
        <f>E809-D809</f>
        <v/>
      </c>
      <c r="G809">
        <f>IF(D809=0,0,ROUND(100*F809/D809,2))</f>
        <v/>
      </c>
      <c r="H809">
        <f>IF(ABS(F809)&lt;=0.01,"Correct",IF(F809&lt;0,"Underbilled","Overbilled"))</f>
        <v/>
      </c>
    </row>
    <row r="810">
      <c r="A810" t="inlineStr">
        <is>
          <t>INV0018122</t>
        </is>
      </c>
      <c r="B810" t="inlineStr">
        <is>
          <t>MER00856</t>
        </is>
      </c>
      <c r="C810">
        <f>XLOOKUP(B810,Merchants!$A$4:$A$1000,Merchants!$B$4:$B$1000,"Not found")</f>
        <v/>
      </c>
      <c r="D810">
        <f>XLOOKUP(A810,tblInvoices[invoice_id],tblInvoices[expected_fee])</f>
        <v/>
      </c>
      <c r="E810">
        <f>XLOOKUP(A810,tblInvoices[invoice_id],tblInvoices[billed_fee])</f>
        <v/>
      </c>
      <c r="F810">
        <f>E810-D810</f>
        <v/>
      </c>
      <c r="G810">
        <f>IF(D810=0,0,ROUND(100*F810/D810,2))</f>
        <v/>
      </c>
      <c r="H810">
        <f>IF(ABS(F810)&lt;=0.01,"Correct",IF(F810&lt;0,"Underbilled","Overbilled"))</f>
        <v/>
      </c>
    </row>
    <row r="811">
      <c r="A811" t="inlineStr">
        <is>
          <t>INV0018123</t>
        </is>
      </c>
      <c r="B811" t="inlineStr">
        <is>
          <t>MER00856</t>
        </is>
      </c>
      <c r="C811">
        <f>XLOOKUP(B811,Merchants!$A$4:$A$1000,Merchants!$B$4:$B$1000,"Not found")</f>
        <v/>
      </c>
      <c r="D811">
        <f>XLOOKUP(A811,tblInvoices[invoice_id],tblInvoices[expected_fee])</f>
        <v/>
      </c>
      <c r="E811">
        <f>XLOOKUP(A811,tblInvoices[invoice_id],tblInvoices[billed_fee])</f>
        <v/>
      </c>
      <c r="F811">
        <f>E811-D811</f>
        <v/>
      </c>
      <c r="G811">
        <f>IF(D811=0,0,ROUND(100*F811/D811,2))</f>
        <v/>
      </c>
      <c r="H811">
        <f>IF(ABS(F811)&lt;=0.01,"Correct",IF(F811&lt;0,"Underbilled","Overbilled"))</f>
        <v/>
      </c>
    </row>
    <row r="812">
      <c r="A812" t="inlineStr">
        <is>
          <t>INV0018124</t>
        </is>
      </c>
      <c r="B812" t="inlineStr">
        <is>
          <t>MER00856</t>
        </is>
      </c>
      <c r="C812">
        <f>XLOOKUP(B812,Merchants!$A$4:$A$1000,Merchants!$B$4:$B$1000,"Not found")</f>
        <v/>
      </c>
      <c r="D812">
        <f>XLOOKUP(A812,tblInvoices[invoice_id],tblInvoices[expected_fee])</f>
        <v/>
      </c>
      <c r="E812">
        <f>XLOOKUP(A812,tblInvoices[invoice_id],tblInvoices[billed_fee])</f>
        <v/>
      </c>
      <c r="F812">
        <f>E812-D812</f>
        <v/>
      </c>
      <c r="G812">
        <f>IF(D812=0,0,ROUND(100*F812/D812,2))</f>
        <v/>
      </c>
      <c r="H812">
        <f>IF(ABS(F812)&lt;=0.01,"Correct",IF(F812&lt;0,"Underbilled","Overbilled"))</f>
        <v/>
      </c>
    </row>
    <row r="813">
      <c r="A813" t="inlineStr">
        <is>
          <t>INV0018125</t>
        </is>
      </c>
      <c r="B813" t="inlineStr">
        <is>
          <t>MER00856</t>
        </is>
      </c>
      <c r="C813">
        <f>XLOOKUP(B813,Merchants!$A$4:$A$1000,Merchants!$B$4:$B$1000,"Not found")</f>
        <v/>
      </c>
      <c r="D813">
        <f>XLOOKUP(A813,tblInvoices[invoice_id],tblInvoices[expected_fee])</f>
        <v/>
      </c>
      <c r="E813">
        <f>XLOOKUP(A813,tblInvoices[invoice_id],tblInvoices[billed_fee])</f>
        <v/>
      </c>
      <c r="F813">
        <f>E813-D813</f>
        <v/>
      </c>
      <c r="G813">
        <f>IF(D813=0,0,ROUND(100*F813/D813,2))</f>
        <v/>
      </c>
      <c r="H813">
        <f>IF(ABS(F813)&lt;=0.01,"Correct",IF(F813&lt;0,"Underbilled","Overbilled"))</f>
        <v/>
      </c>
    </row>
    <row r="814">
      <c r="A814" t="inlineStr">
        <is>
          <t>INV0018126</t>
        </is>
      </c>
      <c r="B814" t="inlineStr">
        <is>
          <t>MER00856</t>
        </is>
      </c>
      <c r="C814">
        <f>XLOOKUP(B814,Merchants!$A$4:$A$1000,Merchants!$B$4:$B$1000,"Not found")</f>
        <v/>
      </c>
      <c r="D814">
        <f>XLOOKUP(A814,tblInvoices[invoice_id],tblInvoices[expected_fee])</f>
        <v/>
      </c>
      <c r="E814">
        <f>XLOOKUP(A814,tblInvoices[invoice_id],tblInvoices[billed_fee])</f>
        <v/>
      </c>
      <c r="F814">
        <f>E814-D814</f>
        <v/>
      </c>
      <c r="G814">
        <f>IF(D814=0,0,ROUND(100*F814/D814,2))</f>
        <v/>
      </c>
      <c r="H814">
        <f>IF(ABS(F814)&lt;=0.01,"Correct",IF(F814&lt;0,"Underbilled","Overbilled"))</f>
        <v/>
      </c>
    </row>
    <row r="815">
      <c r="A815" t="inlineStr">
        <is>
          <t>INV0018127</t>
        </is>
      </c>
      <c r="B815" t="inlineStr">
        <is>
          <t>MER00856</t>
        </is>
      </c>
      <c r="C815">
        <f>XLOOKUP(B815,Merchants!$A$4:$A$1000,Merchants!$B$4:$B$1000,"Not found")</f>
        <v/>
      </c>
      <c r="D815">
        <f>XLOOKUP(A815,tblInvoices[invoice_id],tblInvoices[expected_fee])</f>
        <v/>
      </c>
      <c r="E815">
        <f>XLOOKUP(A815,tblInvoices[invoice_id],tblInvoices[billed_fee])</f>
        <v/>
      </c>
      <c r="F815">
        <f>E815-D815</f>
        <v/>
      </c>
      <c r="G815">
        <f>IF(D815=0,0,ROUND(100*F815/D815,2))</f>
        <v/>
      </c>
      <c r="H815">
        <f>IF(ABS(F815)&lt;=0.01,"Correct",IF(F815&lt;0,"Underbilled","Overbilled"))</f>
        <v/>
      </c>
    </row>
    <row r="816">
      <c r="A816" t="inlineStr">
        <is>
          <t>INV0018128</t>
        </is>
      </c>
      <c r="B816" t="inlineStr">
        <is>
          <t>MER00856</t>
        </is>
      </c>
      <c r="C816">
        <f>XLOOKUP(B816,Merchants!$A$4:$A$1000,Merchants!$B$4:$B$1000,"Not found")</f>
        <v/>
      </c>
      <c r="D816">
        <f>XLOOKUP(A816,tblInvoices[invoice_id],tblInvoices[expected_fee])</f>
        <v/>
      </c>
      <c r="E816">
        <f>XLOOKUP(A816,tblInvoices[invoice_id],tblInvoices[billed_fee])</f>
        <v/>
      </c>
      <c r="F816">
        <f>E816-D816</f>
        <v/>
      </c>
      <c r="G816">
        <f>IF(D816=0,0,ROUND(100*F816/D816,2))</f>
        <v/>
      </c>
      <c r="H816">
        <f>IF(ABS(F816)&lt;=0.01,"Correct",IF(F816&lt;0,"Underbilled","Overbilled"))</f>
        <v/>
      </c>
    </row>
    <row r="817">
      <c r="A817" t="inlineStr">
        <is>
          <t>INV0018129</t>
        </is>
      </c>
      <c r="B817" t="inlineStr">
        <is>
          <t>MER00856</t>
        </is>
      </c>
      <c r="C817">
        <f>XLOOKUP(B817,Merchants!$A$4:$A$1000,Merchants!$B$4:$B$1000,"Not found")</f>
        <v/>
      </c>
      <c r="D817">
        <f>XLOOKUP(A817,tblInvoices[invoice_id],tblInvoices[expected_fee])</f>
        <v/>
      </c>
      <c r="E817">
        <f>XLOOKUP(A817,tblInvoices[invoice_id],tblInvoices[billed_fee])</f>
        <v/>
      </c>
      <c r="F817">
        <f>E817-D817</f>
        <v/>
      </c>
      <c r="G817">
        <f>IF(D817=0,0,ROUND(100*F817/D817,2))</f>
        <v/>
      </c>
      <c r="H817">
        <f>IF(ABS(F817)&lt;=0.01,"Correct",IF(F817&lt;0,"Underbilled","Overbilled"))</f>
        <v/>
      </c>
    </row>
    <row r="818">
      <c r="A818" t="inlineStr">
        <is>
          <t>INV0018130</t>
        </is>
      </c>
      <c r="B818" t="inlineStr">
        <is>
          <t>MER00856</t>
        </is>
      </c>
      <c r="C818">
        <f>XLOOKUP(B818,Merchants!$A$4:$A$1000,Merchants!$B$4:$B$1000,"Not found")</f>
        <v/>
      </c>
      <c r="D818">
        <f>XLOOKUP(A818,tblInvoices[invoice_id],tblInvoices[expected_fee])</f>
        <v/>
      </c>
      <c r="E818">
        <f>XLOOKUP(A818,tblInvoices[invoice_id],tblInvoices[billed_fee])</f>
        <v/>
      </c>
      <c r="F818">
        <f>E818-D818</f>
        <v/>
      </c>
      <c r="G818">
        <f>IF(D818=0,0,ROUND(100*F818/D818,2))</f>
        <v/>
      </c>
      <c r="H818">
        <f>IF(ABS(F818)&lt;=0.01,"Correct",IF(F818&lt;0,"Underbilled","Overbilled"))</f>
        <v/>
      </c>
    </row>
    <row r="819">
      <c r="A819" t="inlineStr">
        <is>
          <t>INV0018131</t>
        </is>
      </c>
      <c r="B819" t="inlineStr">
        <is>
          <t>MER00856</t>
        </is>
      </c>
      <c r="C819">
        <f>XLOOKUP(B819,Merchants!$A$4:$A$1000,Merchants!$B$4:$B$1000,"Not found")</f>
        <v/>
      </c>
      <c r="D819">
        <f>XLOOKUP(A819,tblInvoices[invoice_id],tblInvoices[expected_fee])</f>
        <v/>
      </c>
      <c r="E819">
        <f>XLOOKUP(A819,tblInvoices[invoice_id],tblInvoices[billed_fee])</f>
        <v/>
      </c>
      <c r="F819">
        <f>E819-D819</f>
        <v/>
      </c>
      <c r="G819">
        <f>IF(D819=0,0,ROUND(100*F819/D819,2))</f>
        <v/>
      </c>
      <c r="H819">
        <f>IF(ABS(F819)&lt;=0.01,"Correct",IF(F819&lt;0,"Underbilled","Overbilled"))</f>
        <v/>
      </c>
    </row>
    <row r="820">
      <c r="A820" t="inlineStr">
        <is>
          <t>INV0018132</t>
        </is>
      </c>
      <c r="B820" t="inlineStr">
        <is>
          <t>MER00856</t>
        </is>
      </c>
      <c r="C820">
        <f>XLOOKUP(B820,Merchants!$A$4:$A$1000,Merchants!$B$4:$B$1000,"Not found")</f>
        <v/>
      </c>
      <c r="D820">
        <f>XLOOKUP(A820,tblInvoices[invoice_id],tblInvoices[expected_fee])</f>
        <v/>
      </c>
      <c r="E820">
        <f>XLOOKUP(A820,tblInvoices[invoice_id],tblInvoices[billed_fee])</f>
        <v/>
      </c>
      <c r="F820">
        <f>E820-D820</f>
        <v/>
      </c>
      <c r="G820">
        <f>IF(D820=0,0,ROUND(100*F820/D820,2))</f>
        <v/>
      </c>
      <c r="H820">
        <f>IF(ABS(F820)&lt;=0.01,"Correct",IF(F820&lt;0,"Underbilled","Overbilled"))</f>
        <v/>
      </c>
    </row>
    <row r="821">
      <c r="A821" t="inlineStr">
        <is>
          <t>INV0018133</t>
        </is>
      </c>
      <c r="B821" t="inlineStr">
        <is>
          <t>MER00856</t>
        </is>
      </c>
      <c r="C821">
        <f>XLOOKUP(B821,Merchants!$A$4:$A$1000,Merchants!$B$4:$B$1000,"Not found")</f>
        <v/>
      </c>
      <c r="D821">
        <f>XLOOKUP(A821,tblInvoices[invoice_id],tblInvoices[expected_fee])</f>
        <v/>
      </c>
      <c r="E821">
        <f>XLOOKUP(A821,tblInvoices[invoice_id],tblInvoices[billed_fee])</f>
        <v/>
      </c>
      <c r="F821">
        <f>E821-D821</f>
        <v/>
      </c>
      <c r="G821">
        <f>IF(D821=0,0,ROUND(100*F821/D821,2))</f>
        <v/>
      </c>
      <c r="H821">
        <f>IF(ABS(F821)&lt;=0.01,"Correct",IF(F821&lt;0,"Underbilled","Overbilled"))</f>
        <v/>
      </c>
    </row>
    <row r="822">
      <c r="A822" t="inlineStr">
        <is>
          <t>INV0018134</t>
        </is>
      </c>
      <c r="B822" t="inlineStr">
        <is>
          <t>MER00856</t>
        </is>
      </c>
      <c r="C822">
        <f>XLOOKUP(B822,Merchants!$A$4:$A$1000,Merchants!$B$4:$B$1000,"Not found")</f>
        <v/>
      </c>
      <c r="D822">
        <f>XLOOKUP(A822,tblInvoices[invoice_id],tblInvoices[expected_fee])</f>
        <v/>
      </c>
      <c r="E822">
        <f>XLOOKUP(A822,tblInvoices[invoice_id],tblInvoices[billed_fee])</f>
        <v/>
      </c>
      <c r="F822">
        <f>E822-D822</f>
        <v/>
      </c>
      <c r="G822">
        <f>IF(D822=0,0,ROUND(100*F822/D822,2))</f>
        <v/>
      </c>
      <c r="H822">
        <f>IF(ABS(F822)&lt;=0.01,"Correct",IF(F822&lt;0,"Underbilled","Overbilled"))</f>
        <v/>
      </c>
    </row>
    <row r="823">
      <c r="A823" t="inlineStr">
        <is>
          <t>INV0018135</t>
        </is>
      </c>
      <c r="B823" t="inlineStr">
        <is>
          <t>MER00856</t>
        </is>
      </c>
      <c r="C823">
        <f>XLOOKUP(B823,Merchants!$A$4:$A$1000,Merchants!$B$4:$B$1000,"Not found")</f>
        <v/>
      </c>
      <c r="D823">
        <f>XLOOKUP(A823,tblInvoices[invoice_id],tblInvoices[expected_fee])</f>
        <v/>
      </c>
      <c r="E823">
        <f>XLOOKUP(A823,tblInvoices[invoice_id],tblInvoices[billed_fee])</f>
        <v/>
      </c>
      <c r="F823">
        <f>E823-D823</f>
        <v/>
      </c>
      <c r="G823">
        <f>IF(D823=0,0,ROUND(100*F823/D823,2))</f>
        <v/>
      </c>
      <c r="H823">
        <f>IF(ABS(F823)&lt;=0.01,"Correct",IF(F823&lt;0,"Underbilled","Overbilled"))</f>
        <v/>
      </c>
    </row>
    <row r="824">
      <c r="A824" t="inlineStr">
        <is>
          <t>INV0018136</t>
        </is>
      </c>
      <c r="B824" t="inlineStr">
        <is>
          <t>MER00856</t>
        </is>
      </c>
      <c r="C824">
        <f>XLOOKUP(B824,Merchants!$A$4:$A$1000,Merchants!$B$4:$B$1000,"Not found")</f>
        <v/>
      </c>
      <c r="D824">
        <f>XLOOKUP(A824,tblInvoices[invoice_id],tblInvoices[expected_fee])</f>
        <v/>
      </c>
      <c r="E824">
        <f>XLOOKUP(A824,tblInvoices[invoice_id],tblInvoices[billed_fee])</f>
        <v/>
      </c>
      <c r="F824">
        <f>E824-D824</f>
        <v/>
      </c>
      <c r="G824">
        <f>IF(D824=0,0,ROUND(100*F824/D824,2))</f>
        <v/>
      </c>
      <c r="H824">
        <f>IF(ABS(F824)&lt;=0.01,"Correct",IF(F824&lt;0,"Underbilled","Overbilled"))</f>
        <v/>
      </c>
    </row>
    <row r="825">
      <c r="A825" t="inlineStr">
        <is>
          <t>INV0018137</t>
        </is>
      </c>
      <c r="B825" t="inlineStr">
        <is>
          <t>MER00856</t>
        </is>
      </c>
      <c r="C825">
        <f>XLOOKUP(B825,Merchants!$A$4:$A$1000,Merchants!$B$4:$B$1000,"Not found")</f>
        <v/>
      </c>
      <c r="D825">
        <f>XLOOKUP(A825,tblInvoices[invoice_id],tblInvoices[expected_fee])</f>
        <v/>
      </c>
      <c r="E825">
        <f>XLOOKUP(A825,tblInvoices[invoice_id],tblInvoices[billed_fee])</f>
        <v/>
      </c>
      <c r="F825">
        <f>E825-D825</f>
        <v/>
      </c>
      <c r="G825">
        <f>IF(D825=0,0,ROUND(100*F825/D825,2))</f>
        <v/>
      </c>
      <c r="H825">
        <f>IF(ABS(F825)&lt;=0.01,"Correct",IF(F825&lt;0,"Underbilled","Overbilled"))</f>
        <v/>
      </c>
    </row>
    <row r="826">
      <c r="A826" t="inlineStr">
        <is>
          <t>INV0018138</t>
        </is>
      </c>
      <c r="B826" t="inlineStr">
        <is>
          <t>MER00856</t>
        </is>
      </c>
      <c r="C826">
        <f>XLOOKUP(B826,Merchants!$A$4:$A$1000,Merchants!$B$4:$B$1000,"Not found")</f>
        <v/>
      </c>
      <c r="D826">
        <f>XLOOKUP(A826,tblInvoices[invoice_id],tblInvoices[expected_fee])</f>
        <v/>
      </c>
      <c r="E826">
        <f>XLOOKUP(A826,tblInvoices[invoice_id],tblInvoices[billed_fee])</f>
        <v/>
      </c>
      <c r="F826">
        <f>E826-D826</f>
        <v/>
      </c>
      <c r="G826">
        <f>IF(D826=0,0,ROUND(100*F826/D826,2))</f>
        <v/>
      </c>
      <c r="H826">
        <f>IF(ABS(F826)&lt;=0.01,"Correct",IF(F826&lt;0,"Underbilled","Overbilled"))</f>
        <v/>
      </c>
    </row>
    <row r="827">
      <c r="A827" t="inlineStr">
        <is>
          <t>INV0018139</t>
        </is>
      </c>
      <c r="B827" t="inlineStr">
        <is>
          <t>MER00856</t>
        </is>
      </c>
      <c r="C827">
        <f>XLOOKUP(B827,Merchants!$A$4:$A$1000,Merchants!$B$4:$B$1000,"Not found")</f>
        <v/>
      </c>
      <c r="D827">
        <f>XLOOKUP(A827,tblInvoices[invoice_id],tblInvoices[expected_fee])</f>
        <v/>
      </c>
      <c r="E827">
        <f>XLOOKUP(A827,tblInvoices[invoice_id],tblInvoices[billed_fee])</f>
        <v/>
      </c>
      <c r="F827">
        <f>E827-D827</f>
        <v/>
      </c>
      <c r="G827">
        <f>IF(D827=0,0,ROUND(100*F827/D827,2))</f>
        <v/>
      </c>
      <c r="H827">
        <f>IF(ABS(F827)&lt;=0.01,"Correct",IF(F827&lt;0,"Underbilled","Overbilled"))</f>
        <v/>
      </c>
    </row>
    <row r="828">
      <c r="A828" t="inlineStr">
        <is>
          <t>INV0018140</t>
        </is>
      </c>
      <c r="B828" t="inlineStr">
        <is>
          <t>MER00856</t>
        </is>
      </c>
      <c r="C828">
        <f>XLOOKUP(B828,Merchants!$A$4:$A$1000,Merchants!$B$4:$B$1000,"Not found")</f>
        <v/>
      </c>
      <c r="D828">
        <f>XLOOKUP(A828,tblInvoices[invoice_id],tblInvoices[expected_fee])</f>
        <v/>
      </c>
      <c r="E828">
        <f>XLOOKUP(A828,tblInvoices[invoice_id],tblInvoices[billed_fee])</f>
        <v/>
      </c>
      <c r="F828">
        <f>E828-D828</f>
        <v/>
      </c>
      <c r="G828">
        <f>IF(D828=0,0,ROUND(100*F828/D828,2))</f>
        <v/>
      </c>
      <c r="H828">
        <f>IF(ABS(F828)&lt;=0.01,"Correct",IF(F828&lt;0,"Underbilled","Overbilled"))</f>
        <v/>
      </c>
    </row>
    <row r="829">
      <c r="A829" t="inlineStr">
        <is>
          <t>INV0018141</t>
        </is>
      </c>
      <c r="B829" t="inlineStr">
        <is>
          <t>MER00856</t>
        </is>
      </c>
      <c r="C829">
        <f>XLOOKUP(B829,Merchants!$A$4:$A$1000,Merchants!$B$4:$B$1000,"Not found")</f>
        <v/>
      </c>
      <c r="D829">
        <f>XLOOKUP(A829,tblInvoices[invoice_id],tblInvoices[expected_fee])</f>
        <v/>
      </c>
      <c r="E829">
        <f>XLOOKUP(A829,tblInvoices[invoice_id],tblInvoices[billed_fee])</f>
        <v/>
      </c>
      <c r="F829">
        <f>E829-D829</f>
        <v/>
      </c>
      <c r="G829">
        <f>IF(D829=0,0,ROUND(100*F829/D829,2))</f>
        <v/>
      </c>
      <c r="H829">
        <f>IF(ABS(F829)&lt;=0.01,"Correct",IF(F829&lt;0,"Underbilled","Overbilled"))</f>
        <v/>
      </c>
    </row>
    <row r="830">
      <c r="A830" t="inlineStr">
        <is>
          <t>INV0018227</t>
        </is>
      </c>
      <c r="B830" t="inlineStr">
        <is>
          <t>MER00861</t>
        </is>
      </c>
      <c r="C830">
        <f>XLOOKUP(B830,Merchants!$A$4:$A$1000,Merchants!$B$4:$B$1000,"Not found")</f>
        <v/>
      </c>
      <c r="D830">
        <f>XLOOKUP(A830,tblInvoices[invoice_id],tblInvoices[expected_fee])</f>
        <v/>
      </c>
      <c r="E830">
        <f>XLOOKUP(A830,tblInvoices[invoice_id],tblInvoices[billed_fee])</f>
        <v/>
      </c>
      <c r="F830">
        <f>E830-D830</f>
        <v/>
      </c>
      <c r="G830">
        <f>IF(D830=0,0,ROUND(100*F830/D830,2))</f>
        <v/>
      </c>
      <c r="H830">
        <f>IF(ABS(F830)&lt;=0.01,"Correct",IF(F830&lt;0,"Underbilled","Overbilled"))</f>
        <v/>
      </c>
    </row>
    <row r="831">
      <c r="A831" t="inlineStr">
        <is>
          <t>INV0018228</t>
        </is>
      </c>
      <c r="B831" t="inlineStr">
        <is>
          <t>MER00861</t>
        </is>
      </c>
      <c r="C831">
        <f>XLOOKUP(B831,Merchants!$A$4:$A$1000,Merchants!$B$4:$B$1000,"Not found")</f>
        <v/>
      </c>
      <c r="D831">
        <f>XLOOKUP(A831,tblInvoices[invoice_id],tblInvoices[expected_fee])</f>
        <v/>
      </c>
      <c r="E831">
        <f>XLOOKUP(A831,tblInvoices[invoice_id],tblInvoices[billed_fee])</f>
        <v/>
      </c>
      <c r="F831">
        <f>E831-D831</f>
        <v/>
      </c>
      <c r="G831">
        <f>IF(D831=0,0,ROUND(100*F831/D831,2))</f>
        <v/>
      </c>
      <c r="H831">
        <f>IF(ABS(F831)&lt;=0.01,"Correct",IF(F831&lt;0,"Underbilled","Overbilled"))</f>
        <v/>
      </c>
    </row>
    <row r="832">
      <c r="A832" t="inlineStr">
        <is>
          <t>INV0018229</t>
        </is>
      </c>
      <c r="B832" t="inlineStr">
        <is>
          <t>MER00861</t>
        </is>
      </c>
      <c r="C832">
        <f>XLOOKUP(B832,Merchants!$A$4:$A$1000,Merchants!$B$4:$B$1000,"Not found")</f>
        <v/>
      </c>
      <c r="D832">
        <f>XLOOKUP(A832,tblInvoices[invoice_id],tblInvoices[expected_fee])</f>
        <v/>
      </c>
      <c r="E832">
        <f>XLOOKUP(A832,tblInvoices[invoice_id],tblInvoices[billed_fee])</f>
        <v/>
      </c>
      <c r="F832">
        <f>E832-D832</f>
        <v/>
      </c>
      <c r="G832">
        <f>IF(D832=0,0,ROUND(100*F832/D832,2))</f>
        <v/>
      </c>
      <c r="H832">
        <f>IF(ABS(F832)&lt;=0.01,"Correct",IF(F832&lt;0,"Underbilled","Overbilled"))</f>
        <v/>
      </c>
    </row>
    <row r="833">
      <c r="A833" t="inlineStr">
        <is>
          <t>INV0018230</t>
        </is>
      </c>
      <c r="B833" t="inlineStr">
        <is>
          <t>MER00861</t>
        </is>
      </c>
      <c r="C833">
        <f>XLOOKUP(B833,Merchants!$A$4:$A$1000,Merchants!$B$4:$B$1000,"Not found")</f>
        <v/>
      </c>
      <c r="D833">
        <f>XLOOKUP(A833,tblInvoices[invoice_id],tblInvoices[expected_fee])</f>
        <v/>
      </c>
      <c r="E833">
        <f>XLOOKUP(A833,tblInvoices[invoice_id],tblInvoices[billed_fee])</f>
        <v/>
      </c>
      <c r="F833">
        <f>E833-D833</f>
        <v/>
      </c>
      <c r="G833">
        <f>IF(D833=0,0,ROUND(100*F833/D833,2))</f>
        <v/>
      </c>
      <c r="H833">
        <f>IF(ABS(F833)&lt;=0.01,"Correct",IF(F833&lt;0,"Underbilled","Overbilled"))</f>
        <v/>
      </c>
    </row>
    <row r="834">
      <c r="A834" t="inlineStr">
        <is>
          <t>INV0018231</t>
        </is>
      </c>
      <c r="B834" t="inlineStr">
        <is>
          <t>MER00861</t>
        </is>
      </c>
      <c r="C834">
        <f>XLOOKUP(B834,Merchants!$A$4:$A$1000,Merchants!$B$4:$B$1000,"Not found")</f>
        <v/>
      </c>
      <c r="D834">
        <f>XLOOKUP(A834,tblInvoices[invoice_id],tblInvoices[expected_fee])</f>
        <v/>
      </c>
      <c r="E834">
        <f>XLOOKUP(A834,tblInvoices[invoice_id],tblInvoices[billed_fee])</f>
        <v/>
      </c>
      <c r="F834">
        <f>E834-D834</f>
        <v/>
      </c>
      <c r="G834">
        <f>IF(D834=0,0,ROUND(100*F834/D834,2))</f>
        <v/>
      </c>
      <c r="H834">
        <f>IF(ABS(F834)&lt;=0.01,"Correct",IF(F834&lt;0,"Underbilled","Overbilled"))</f>
        <v/>
      </c>
    </row>
    <row r="835">
      <c r="A835" t="inlineStr">
        <is>
          <t>INV0018232</t>
        </is>
      </c>
      <c r="B835" t="inlineStr">
        <is>
          <t>MER00861</t>
        </is>
      </c>
      <c r="C835">
        <f>XLOOKUP(B835,Merchants!$A$4:$A$1000,Merchants!$B$4:$B$1000,"Not found")</f>
        <v/>
      </c>
      <c r="D835">
        <f>XLOOKUP(A835,tblInvoices[invoice_id],tblInvoices[expected_fee])</f>
        <v/>
      </c>
      <c r="E835">
        <f>XLOOKUP(A835,tblInvoices[invoice_id],tblInvoices[billed_fee])</f>
        <v/>
      </c>
      <c r="F835">
        <f>E835-D835</f>
        <v/>
      </c>
      <c r="G835">
        <f>IF(D835=0,0,ROUND(100*F835/D835,2))</f>
        <v/>
      </c>
      <c r="H835">
        <f>IF(ABS(F835)&lt;=0.01,"Correct",IF(F835&lt;0,"Underbilled","Overbilled"))</f>
        <v/>
      </c>
    </row>
    <row r="836">
      <c r="A836" t="inlineStr">
        <is>
          <t>INV0018233</t>
        </is>
      </c>
      <c r="B836" t="inlineStr">
        <is>
          <t>MER00861</t>
        </is>
      </c>
      <c r="C836">
        <f>XLOOKUP(B836,Merchants!$A$4:$A$1000,Merchants!$B$4:$B$1000,"Not found")</f>
        <v/>
      </c>
      <c r="D836">
        <f>XLOOKUP(A836,tblInvoices[invoice_id],tblInvoices[expected_fee])</f>
        <v/>
      </c>
      <c r="E836">
        <f>XLOOKUP(A836,tblInvoices[invoice_id],tblInvoices[billed_fee])</f>
        <v/>
      </c>
      <c r="F836">
        <f>E836-D836</f>
        <v/>
      </c>
      <c r="G836">
        <f>IF(D836=0,0,ROUND(100*F836/D836,2))</f>
        <v/>
      </c>
      <c r="H836">
        <f>IF(ABS(F836)&lt;=0.01,"Correct",IF(F836&lt;0,"Underbilled","Overbilled"))</f>
        <v/>
      </c>
    </row>
    <row r="837">
      <c r="A837" t="inlineStr">
        <is>
          <t>INV0018234</t>
        </is>
      </c>
      <c r="B837" t="inlineStr">
        <is>
          <t>MER00861</t>
        </is>
      </c>
      <c r="C837">
        <f>XLOOKUP(B837,Merchants!$A$4:$A$1000,Merchants!$B$4:$B$1000,"Not found")</f>
        <v/>
      </c>
      <c r="D837">
        <f>XLOOKUP(A837,tblInvoices[invoice_id],tblInvoices[expected_fee])</f>
        <v/>
      </c>
      <c r="E837">
        <f>XLOOKUP(A837,tblInvoices[invoice_id],tblInvoices[billed_fee])</f>
        <v/>
      </c>
      <c r="F837">
        <f>E837-D837</f>
        <v/>
      </c>
      <c r="G837">
        <f>IF(D837=0,0,ROUND(100*F837/D837,2))</f>
        <v/>
      </c>
      <c r="H837">
        <f>IF(ABS(F837)&lt;=0.01,"Correct",IF(F837&lt;0,"Underbilled","Overbilled"))</f>
        <v/>
      </c>
    </row>
    <row r="838">
      <c r="A838" t="inlineStr">
        <is>
          <t>INV0018235</t>
        </is>
      </c>
      <c r="B838" t="inlineStr">
        <is>
          <t>MER00861</t>
        </is>
      </c>
      <c r="C838">
        <f>XLOOKUP(B838,Merchants!$A$4:$A$1000,Merchants!$B$4:$B$1000,"Not found")</f>
        <v/>
      </c>
      <c r="D838">
        <f>XLOOKUP(A838,tblInvoices[invoice_id],tblInvoices[expected_fee])</f>
        <v/>
      </c>
      <c r="E838">
        <f>XLOOKUP(A838,tblInvoices[invoice_id],tblInvoices[billed_fee])</f>
        <v/>
      </c>
      <c r="F838">
        <f>E838-D838</f>
        <v/>
      </c>
      <c r="G838">
        <f>IF(D838=0,0,ROUND(100*F838/D838,2))</f>
        <v/>
      </c>
      <c r="H838">
        <f>IF(ABS(F838)&lt;=0.01,"Correct",IF(F838&lt;0,"Underbilled","Overbilled"))</f>
        <v/>
      </c>
    </row>
    <row r="839">
      <c r="A839" t="inlineStr">
        <is>
          <t>INV0018236</t>
        </is>
      </c>
      <c r="B839" t="inlineStr">
        <is>
          <t>MER00861</t>
        </is>
      </c>
      <c r="C839">
        <f>XLOOKUP(B839,Merchants!$A$4:$A$1000,Merchants!$B$4:$B$1000,"Not found")</f>
        <v/>
      </c>
      <c r="D839">
        <f>XLOOKUP(A839,tblInvoices[invoice_id],tblInvoices[expected_fee])</f>
        <v/>
      </c>
      <c r="E839">
        <f>XLOOKUP(A839,tblInvoices[invoice_id],tblInvoices[billed_fee])</f>
        <v/>
      </c>
      <c r="F839">
        <f>E839-D839</f>
        <v/>
      </c>
      <c r="G839">
        <f>IF(D839=0,0,ROUND(100*F839/D839,2))</f>
        <v/>
      </c>
      <c r="H839">
        <f>IF(ABS(F839)&lt;=0.01,"Correct",IF(F839&lt;0,"Underbilled","Overbilled"))</f>
        <v/>
      </c>
    </row>
    <row r="840">
      <c r="A840" t="inlineStr">
        <is>
          <t>INV0018237</t>
        </is>
      </c>
      <c r="B840" t="inlineStr">
        <is>
          <t>MER00861</t>
        </is>
      </c>
      <c r="C840">
        <f>XLOOKUP(B840,Merchants!$A$4:$A$1000,Merchants!$B$4:$B$1000,"Not found")</f>
        <v/>
      </c>
      <c r="D840">
        <f>XLOOKUP(A840,tblInvoices[invoice_id],tblInvoices[expected_fee])</f>
        <v/>
      </c>
      <c r="E840">
        <f>XLOOKUP(A840,tblInvoices[invoice_id],tblInvoices[billed_fee])</f>
        <v/>
      </c>
      <c r="F840">
        <f>E840-D840</f>
        <v/>
      </c>
      <c r="G840">
        <f>IF(D840=0,0,ROUND(100*F840/D840,2))</f>
        <v/>
      </c>
      <c r="H840">
        <f>IF(ABS(F840)&lt;=0.01,"Correct",IF(F840&lt;0,"Underbilled","Overbilled"))</f>
        <v/>
      </c>
    </row>
    <row r="841">
      <c r="A841" t="inlineStr">
        <is>
          <t>INV0018238</t>
        </is>
      </c>
      <c r="B841" t="inlineStr">
        <is>
          <t>MER00861</t>
        </is>
      </c>
      <c r="C841">
        <f>XLOOKUP(B841,Merchants!$A$4:$A$1000,Merchants!$B$4:$B$1000,"Not found")</f>
        <v/>
      </c>
      <c r="D841">
        <f>XLOOKUP(A841,tblInvoices[invoice_id],tblInvoices[expected_fee])</f>
        <v/>
      </c>
      <c r="E841">
        <f>XLOOKUP(A841,tblInvoices[invoice_id],tblInvoices[billed_fee])</f>
        <v/>
      </c>
      <c r="F841">
        <f>E841-D841</f>
        <v/>
      </c>
      <c r="G841">
        <f>IF(D841=0,0,ROUND(100*F841/D841,2))</f>
        <v/>
      </c>
      <c r="H841">
        <f>IF(ABS(F841)&lt;=0.01,"Correct",IF(F841&lt;0,"Underbilled","Overbilled"))</f>
        <v/>
      </c>
    </row>
    <row r="842">
      <c r="A842" t="inlineStr">
        <is>
          <t>INV0018239</t>
        </is>
      </c>
      <c r="B842" t="inlineStr">
        <is>
          <t>MER00861</t>
        </is>
      </c>
      <c r="C842">
        <f>XLOOKUP(B842,Merchants!$A$4:$A$1000,Merchants!$B$4:$B$1000,"Not found")</f>
        <v/>
      </c>
      <c r="D842">
        <f>XLOOKUP(A842,tblInvoices[invoice_id],tblInvoices[expected_fee])</f>
        <v/>
      </c>
      <c r="E842">
        <f>XLOOKUP(A842,tblInvoices[invoice_id],tblInvoices[billed_fee])</f>
        <v/>
      </c>
      <c r="F842">
        <f>E842-D842</f>
        <v/>
      </c>
      <c r="G842">
        <f>IF(D842=0,0,ROUND(100*F842/D842,2))</f>
        <v/>
      </c>
      <c r="H842">
        <f>IF(ABS(F842)&lt;=0.01,"Correct",IF(F842&lt;0,"Underbilled","Overbilled"))</f>
        <v/>
      </c>
    </row>
    <row r="843">
      <c r="A843" t="inlineStr">
        <is>
          <t>INV0018240</t>
        </is>
      </c>
      <c r="B843" t="inlineStr">
        <is>
          <t>MER00861</t>
        </is>
      </c>
      <c r="C843">
        <f>XLOOKUP(B843,Merchants!$A$4:$A$1000,Merchants!$B$4:$B$1000,"Not found")</f>
        <v/>
      </c>
      <c r="D843">
        <f>XLOOKUP(A843,tblInvoices[invoice_id],tblInvoices[expected_fee])</f>
        <v/>
      </c>
      <c r="E843">
        <f>XLOOKUP(A843,tblInvoices[invoice_id],tblInvoices[billed_fee])</f>
        <v/>
      </c>
      <c r="F843">
        <f>E843-D843</f>
        <v/>
      </c>
      <c r="G843">
        <f>IF(D843=0,0,ROUND(100*F843/D843,2))</f>
        <v/>
      </c>
      <c r="H843">
        <f>IF(ABS(F843)&lt;=0.01,"Correct",IF(F843&lt;0,"Underbilled","Overbilled"))</f>
        <v/>
      </c>
    </row>
    <row r="844">
      <c r="A844" t="inlineStr">
        <is>
          <t>INV0018241</t>
        </is>
      </c>
      <c r="B844" t="inlineStr">
        <is>
          <t>MER00861</t>
        </is>
      </c>
      <c r="C844">
        <f>XLOOKUP(B844,Merchants!$A$4:$A$1000,Merchants!$B$4:$B$1000,"Not found")</f>
        <v/>
      </c>
      <c r="D844">
        <f>XLOOKUP(A844,tblInvoices[invoice_id],tblInvoices[expected_fee])</f>
        <v/>
      </c>
      <c r="E844">
        <f>XLOOKUP(A844,tblInvoices[invoice_id],tblInvoices[billed_fee])</f>
        <v/>
      </c>
      <c r="F844">
        <f>E844-D844</f>
        <v/>
      </c>
      <c r="G844">
        <f>IF(D844=0,0,ROUND(100*F844/D844,2))</f>
        <v/>
      </c>
      <c r="H844">
        <f>IF(ABS(F844)&lt;=0.01,"Correct",IF(F844&lt;0,"Underbilled","Overbilled"))</f>
        <v/>
      </c>
    </row>
    <row r="845">
      <c r="A845" t="inlineStr">
        <is>
          <t>INV0018242</t>
        </is>
      </c>
      <c r="B845" t="inlineStr">
        <is>
          <t>MER00861</t>
        </is>
      </c>
      <c r="C845">
        <f>XLOOKUP(B845,Merchants!$A$4:$A$1000,Merchants!$B$4:$B$1000,"Not found")</f>
        <v/>
      </c>
      <c r="D845">
        <f>XLOOKUP(A845,tblInvoices[invoice_id],tblInvoices[expected_fee])</f>
        <v/>
      </c>
      <c r="E845">
        <f>XLOOKUP(A845,tblInvoices[invoice_id],tblInvoices[billed_fee])</f>
        <v/>
      </c>
      <c r="F845">
        <f>E845-D845</f>
        <v/>
      </c>
      <c r="G845">
        <f>IF(D845=0,0,ROUND(100*F845/D845,2))</f>
        <v/>
      </c>
      <c r="H845">
        <f>IF(ABS(F845)&lt;=0.01,"Correct",IF(F845&lt;0,"Underbilled","Overbilled"))</f>
        <v/>
      </c>
    </row>
    <row r="846">
      <c r="A846" t="inlineStr">
        <is>
          <t>INV0018243</t>
        </is>
      </c>
      <c r="B846" t="inlineStr">
        <is>
          <t>MER00861</t>
        </is>
      </c>
      <c r="C846">
        <f>XLOOKUP(B846,Merchants!$A$4:$A$1000,Merchants!$B$4:$B$1000,"Not found")</f>
        <v/>
      </c>
      <c r="D846">
        <f>XLOOKUP(A846,tblInvoices[invoice_id],tblInvoices[expected_fee])</f>
        <v/>
      </c>
      <c r="E846">
        <f>XLOOKUP(A846,tblInvoices[invoice_id],tblInvoices[billed_fee])</f>
        <v/>
      </c>
      <c r="F846">
        <f>E846-D846</f>
        <v/>
      </c>
      <c r="G846">
        <f>IF(D846=0,0,ROUND(100*F846/D846,2))</f>
        <v/>
      </c>
      <c r="H846">
        <f>IF(ABS(F846)&lt;=0.01,"Correct",IF(F846&lt;0,"Underbilled","Overbilled"))</f>
        <v/>
      </c>
    </row>
    <row r="847">
      <c r="A847" t="inlineStr">
        <is>
          <t>INV0018244</t>
        </is>
      </c>
      <c r="B847" t="inlineStr">
        <is>
          <t>MER00861</t>
        </is>
      </c>
      <c r="C847">
        <f>XLOOKUP(B847,Merchants!$A$4:$A$1000,Merchants!$B$4:$B$1000,"Not found")</f>
        <v/>
      </c>
      <c r="D847">
        <f>XLOOKUP(A847,tblInvoices[invoice_id],tblInvoices[expected_fee])</f>
        <v/>
      </c>
      <c r="E847">
        <f>XLOOKUP(A847,tblInvoices[invoice_id],tblInvoices[billed_fee])</f>
        <v/>
      </c>
      <c r="F847">
        <f>E847-D847</f>
        <v/>
      </c>
      <c r="G847">
        <f>IF(D847=0,0,ROUND(100*F847/D847,2))</f>
        <v/>
      </c>
      <c r="H847">
        <f>IF(ABS(F847)&lt;=0.01,"Correct",IF(F847&lt;0,"Underbilled","Overbilled"))</f>
        <v/>
      </c>
    </row>
    <row r="848">
      <c r="A848" t="inlineStr">
        <is>
          <t>INV0018245</t>
        </is>
      </c>
      <c r="B848" t="inlineStr">
        <is>
          <t>MER00861</t>
        </is>
      </c>
      <c r="C848">
        <f>XLOOKUP(B848,Merchants!$A$4:$A$1000,Merchants!$B$4:$B$1000,"Not found")</f>
        <v/>
      </c>
      <c r="D848">
        <f>XLOOKUP(A848,tblInvoices[invoice_id],tblInvoices[expected_fee])</f>
        <v/>
      </c>
      <c r="E848">
        <f>XLOOKUP(A848,tblInvoices[invoice_id],tblInvoices[billed_fee])</f>
        <v/>
      </c>
      <c r="F848">
        <f>E848-D848</f>
        <v/>
      </c>
      <c r="G848">
        <f>IF(D848=0,0,ROUND(100*F848/D848,2))</f>
        <v/>
      </c>
      <c r="H848">
        <f>IF(ABS(F848)&lt;=0.01,"Correct",IF(F848&lt;0,"Underbilled","Overbilled"))</f>
        <v/>
      </c>
    </row>
    <row r="849">
      <c r="A849" t="inlineStr">
        <is>
          <t>INV0018246</t>
        </is>
      </c>
      <c r="B849" t="inlineStr">
        <is>
          <t>MER00861</t>
        </is>
      </c>
      <c r="C849">
        <f>XLOOKUP(B849,Merchants!$A$4:$A$1000,Merchants!$B$4:$B$1000,"Not found")</f>
        <v/>
      </c>
      <c r="D849">
        <f>XLOOKUP(A849,tblInvoices[invoice_id],tblInvoices[expected_fee])</f>
        <v/>
      </c>
      <c r="E849">
        <f>XLOOKUP(A849,tblInvoices[invoice_id],tblInvoices[billed_fee])</f>
        <v/>
      </c>
      <c r="F849">
        <f>E849-D849</f>
        <v/>
      </c>
      <c r="G849">
        <f>IF(D849=0,0,ROUND(100*F849/D849,2))</f>
        <v/>
      </c>
      <c r="H849">
        <f>IF(ABS(F849)&lt;=0.01,"Correct",IF(F849&lt;0,"Underbilled","Overbilled"))</f>
        <v/>
      </c>
    </row>
    <row r="850">
      <c r="A850" t="inlineStr">
        <is>
          <t>INV0018247</t>
        </is>
      </c>
      <c r="B850" t="inlineStr">
        <is>
          <t>MER00861</t>
        </is>
      </c>
      <c r="C850">
        <f>XLOOKUP(B850,Merchants!$A$4:$A$1000,Merchants!$B$4:$B$1000,"Not found")</f>
        <v/>
      </c>
      <c r="D850">
        <f>XLOOKUP(A850,tblInvoices[invoice_id],tblInvoices[expected_fee])</f>
        <v/>
      </c>
      <c r="E850">
        <f>XLOOKUP(A850,tblInvoices[invoice_id],tblInvoices[billed_fee])</f>
        <v/>
      </c>
      <c r="F850">
        <f>E850-D850</f>
        <v/>
      </c>
      <c r="G850">
        <f>IF(D850=0,0,ROUND(100*F850/D850,2))</f>
        <v/>
      </c>
      <c r="H850">
        <f>IF(ABS(F850)&lt;=0.01,"Correct",IF(F850&lt;0,"Underbilled","Overbilled"))</f>
        <v/>
      </c>
    </row>
    <row r="851">
      <c r="A851" t="inlineStr">
        <is>
          <t>INV0018248</t>
        </is>
      </c>
      <c r="B851" t="inlineStr">
        <is>
          <t>MER00861</t>
        </is>
      </c>
      <c r="C851">
        <f>XLOOKUP(B851,Merchants!$A$4:$A$1000,Merchants!$B$4:$B$1000,"Not found")</f>
        <v/>
      </c>
      <c r="D851">
        <f>XLOOKUP(A851,tblInvoices[invoice_id],tblInvoices[expected_fee])</f>
        <v/>
      </c>
      <c r="E851">
        <f>XLOOKUP(A851,tblInvoices[invoice_id],tblInvoices[billed_fee])</f>
        <v/>
      </c>
      <c r="F851">
        <f>E851-D851</f>
        <v/>
      </c>
      <c r="G851">
        <f>IF(D851=0,0,ROUND(100*F851/D851,2))</f>
        <v/>
      </c>
      <c r="H851">
        <f>IF(ABS(F851)&lt;=0.01,"Correct",IF(F851&lt;0,"Underbilled","Overbilled"))</f>
        <v/>
      </c>
    </row>
    <row r="852">
      <c r="A852" t="inlineStr">
        <is>
          <t>INV0018249</t>
        </is>
      </c>
      <c r="B852" t="inlineStr">
        <is>
          <t>MER00861</t>
        </is>
      </c>
      <c r="C852">
        <f>XLOOKUP(B852,Merchants!$A$4:$A$1000,Merchants!$B$4:$B$1000,"Not found")</f>
        <v/>
      </c>
      <c r="D852">
        <f>XLOOKUP(A852,tblInvoices[invoice_id],tblInvoices[expected_fee])</f>
        <v/>
      </c>
      <c r="E852">
        <f>XLOOKUP(A852,tblInvoices[invoice_id],tblInvoices[billed_fee])</f>
        <v/>
      </c>
      <c r="F852">
        <f>E852-D852</f>
        <v/>
      </c>
      <c r="G852">
        <f>IF(D852=0,0,ROUND(100*F852/D852,2))</f>
        <v/>
      </c>
      <c r="H852">
        <f>IF(ABS(F852)&lt;=0.01,"Correct",IF(F852&lt;0,"Underbilled","Overbilled"))</f>
        <v/>
      </c>
    </row>
    <row r="853">
      <c r="A853" t="inlineStr">
        <is>
          <t>INV0018250</t>
        </is>
      </c>
      <c r="B853" t="inlineStr">
        <is>
          <t>MER00861</t>
        </is>
      </c>
      <c r="C853">
        <f>XLOOKUP(B853,Merchants!$A$4:$A$1000,Merchants!$B$4:$B$1000,"Not found")</f>
        <v/>
      </c>
      <c r="D853">
        <f>XLOOKUP(A853,tblInvoices[invoice_id],tblInvoices[expected_fee])</f>
        <v/>
      </c>
      <c r="E853">
        <f>XLOOKUP(A853,tblInvoices[invoice_id],tblInvoices[billed_fee])</f>
        <v/>
      </c>
      <c r="F853">
        <f>E853-D853</f>
        <v/>
      </c>
      <c r="G853">
        <f>IF(D853=0,0,ROUND(100*F853/D853,2))</f>
        <v/>
      </c>
      <c r="H853">
        <f>IF(ABS(F853)&lt;=0.01,"Correct",IF(F853&lt;0,"Underbilled","Overbilled"))</f>
        <v/>
      </c>
    </row>
    <row r="854">
      <c r="A854" t="inlineStr">
        <is>
          <t>INV0018395</t>
        </is>
      </c>
      <c r="B854" t="inlineStr">
        <is>
          <t>MER00870</t>
        </is>
      </c>
      <c r="C854">
        <f>XLOOKUP(B854,Merchants!$A$4:$A$1000,Merchants!$B$4:$B$1000,"Not found")</f>
        <v/>
      </c>
      <c r="D854">
        <f>XLOOKUP(A854,tblInvoices[invoice_id],tblInvoices[expected_fee])</f>
        <v/>
      </c>
      <c r="E854">
        <f>XLOOKUP(A854,tblInvoices[invoice_id],tblInvoices[billed_fee])</f>
        <v/>
      </c>
      <c r="F854">
        <f>E854-D854</f>
        <v/>
      </c>
      <c r="G854">
        <f>IF(D854=0,0,ROUND(100*F854/D854,2))</f>
        <v/>
      </c>
      <c r="H854">
        <f>IF(ABS(F854)&lt;=0.01,"Correct",IF(F854&lt;0,"Underbilled","Overbilled"))</f>
        <v/>
      </c>
    </row>
    <row r="855">
      <c r="A855" t="inlineStr">
        <is>
          <t>INV0018396</t>
        </is>
      </c>
      <c r="B855" t="inlineStr">
        <is>
          <t>MER00870</t>
        </is>
      </c>
      <c r="C855">
        <f>XLOOKUP(B855,Merchants!$A$4:$A$1000,Merchants!$B$4:$B$1000,"Not found")</f>
        <v/>
      </c>
      <c r="D855">
        <f>XLOOKUP(A855,tblInvoices[invoice_id],tblInvoices[expected_fee])</f>
        <v/>
      </c>
      <c r="E855">
        <f>XLOOKUP(A855,tblInvoices[invoice_id],tblInvoices[billed_fee])</f>
        <v/>
      </c>
      <c r="F855">
        <f>E855-D855</f>
        <v/>
      </c>
      <c r="G855">
        <f>IF(D855=0,0,ROUND(100*F855/D855,2))</f>
        <v/>
      </c>
      <c r="H855">
        <f>IF(ABS(F855)&lt;=0.01,"Correct",IF(F855&lt;0,"Underbilled","Overbilled"))</f>
        <v/>
      </c>
    </row>
    <row r="856">
      <c r="A856" t="inlineStr">
        <is>
          <t>INV0018397</t>
        </is>
      </c>
      <c r="B856" t="inlineStr">
        <is>
          <t>MER00870</t>
        </is>
      </c>
      <c r="C856">
        <f>XLOOKUP(B856,Merchants!$A$4:$A$1000,Merchants!$B$4:$B$1000,"Not found")</f>
        <v/>
      </c>
      <c r="D856">
        <f>XLOOKUP(A856,tblInvoices[invoice_id],tblInvoices[expected_fee])</f>
        <v/>
      </c>
      <c r="E856">
        <f>XLOOKUP(A856,tblInvoices[invoice_id],tblInvoices[billed_fee])</f>
        <v/>
      </c>
      <c r="F856">
        <f>E856-D856</f>
        <v/>
      </c>
      <c r="G856">
        <f>IF(D856=0,0,ROUND(100*F856/D856,2))</f>
        <v/>
      </c>
      <c r="H856">
        <f>IF(ABS(F856)&lt;=0.01,"Correct",IF(F856&lt;0,"Underbilled","Overbilled"))</f>
        <v/>
      </c>
    </row>
    <row r="857">
      <c r="A857" t="inlineStr">
        <is>
          <t>INV0018398</t>
        </is>
      </c>
      <c r="B857" t="inlineStr">
        <is>
          <t>MER00870</t>
        </is>
      </c>
      <c r="C857">
        <f>XLOOKUP(B857,Merchants!$A$4:$A$1000,Merchants!$B$4:$B$1000,"Not found")</f>
        <v/>
      </c>
      <c r="D857">
        <f>XLOOKUP(A857,tblInvoices[invoice_id],tblInvoices[expected_fee])</f>
        <v/>
      </c>
      <c r="E857">
        <f>XLOOKUP(A857,tblInvoices[invoice_id],tblInvoices[billed_fee])</f>
        <v/>
      </c>
      <c r="F857">
        <f>E857-D857</f>
        <v/>
      </c>
      <c r="G857">
        <f>IF(D857=0,0,ROUND(100*F857/D857,2))</f>
        <v/>
      </c>
      <c r="H857">
        <f>IF(ABS(F857)&lt;=0.01,"Correct",IF(F857&lt;0,"Underbilled","Overbilled"))</f>
        <v/>
      </c>
    </row>
    <row r="858">
      <c r="A858" t="inlineStr">
        <is>
          <t>INV0018399</t>
        </is>
      </c>
      <c r="B858" t="inlineStr">
        <is>
          <t>MER00870</t>
        </is>
      </c>
      <c r="C858">
        <f>XLOOKUP(B858,Merchants!$A$4:$A$1000,Merchants!$B$4:$B$1000,"Not found")</f>
        <v/>
      </c>
      <c r="D858">
        <f>XLOOKUP(A858,tblInvoices[invoice_id],tblInvoices[expected_fee])</f>
        <v/>
      </c>
      <c r="E858">
        <f>XLOOKUP(A858,tblInvoices[invoice_id],tblInvoices[billed_fee])</f>
        <v/>
      </c>
      <c r="F858">
        <f>E858-D858</f>
        <v/>
      </c>
      <c r="G858">
        <f>IF(D858=0,0,ROUND(100*F858/D858,2))</f>
        <v/>
      </c>
      <c r="H858">
        <f>IF(ABS(F858)&lt;=0.01,"Correct",IF(F858&lt;0,"Underbilled","Overbilled"))</f>
        <v/>
      </c>
    </row>
    <row r="859">
      <c r="A859" t="inlineStr">
        <is>
          <t>INV0018400</t>
        </is>
      </c>
      <c r="B859" t="inlineStr">
        <is>
          <t>MER00870</t>
        </is>
      </c>
      <c r="C859">
        <f>XLOOKUP(B859,Merchants!$A$4:$A$1000,Merchants!$B$4:$B$1000,"Not found")</f>
        <v/>
      </c>
      <c r="D859">
        <f>XLOOKUP(A859,tblInvoices[invoice_id],tblInvoices[expected_fee])</f>
        <v/>
      </c>
      <c r="E859">
        <f>XLOOKUP(A859,tblInvoices[invoice_id],tblInvoices[billed_fee])</f>
        <v/>
      </c>
      <c r="F859">
        <f>E859-D859</f>
        <v/>
      </c>
      <c r="G859">
        <f>IF(D859=0,0,ROUND(100*F859/D859,2))</f>
        <v/>
      </c>
      <c r="H859">
        <f>IF(ABS(F859)&lt;=0.01,"Correct",IF(F859&lt;0,"Underbilled","Overbilled"))</f>
        <v/>
      </c>
    </row>
    <row r="860">
      <c r="A860" t="inlineStr">
        <is>
          <t>INV0018401</t>
        </is>
      </c>
      <c r="B860" t="inlineStr">
        <is>
          <t>MER00870</t>
        </is>
      </c>
      <c r="C860">
        <f>XLOOKUP(B860,Merchants!$A$4:$A$1000,Merchants!$B$4:$B$1000,"Not found")</f>
        <v/>
      </c>
      <c r="D860">
        <f>XLOOKUP(A860,tblInvoices[invoice_id],tblInvoices[expected_fee])</f>
        <v/>
      </c>
      <c r="E860">
        <f>XLOOKUP(A860,tblInvoices[invoice_id],tblInvoices[billed_fee])</f>
        <v/>
      </c>
      <c r="F860">
        <f>E860-D860</f>
        <v/>
      </c>
      <c r="G860">
        <f>IF(D860=0,0,ROUND(100*F860/D860,2))</f>
        <v/>
      </c>
      <c r="H860">
        <f>IF(ABS(F860)&lt;=0.01,"Correct",IF(F860&lt;0,"Underbilled","Overbilled"))</f>
        <v/>
      </c>
    </row>
    <row r="861">
      <c r="A861" t="inlineStr">
        <is>
          <t>INV0018402</t>
        </is>
      </c>
      <c r="B861" t="inlineStr">
        <is>
          <t>MER00870</t>
        </is>
      </c>
      <c r="C861">
        <f>XLOOKUP(B861,Merchants!$A$4:$A$1000,Merchants!$B$4:$B$1000,"Not found")</f>
        <v/>
      </c>
      <c r="D861">
        <f>XLOOKUP(A861,tblInvoices[invoice_id],tblInvoices[expected_fee])</f>
        <v/>
      </c>
      <c r="E861">
        <f>XLOOKUP(A861,tblInvoices[invoice_id],tblInvoices[billed_fee])</f>
        <v/>
      </c>
      <c r="F861">
        <f>E861-D861</f>
        <v/>
      </c>
      <c r="G861">
        <f>IF(D861=0,0,ROUND(100*F861/D861,2))</f>
        <v/>
      </c>
      <c r="H861">
        <f>IF(ABS(F861)&lt;=0.01,"Correct",IF(F861&lt;0,"Underbilled","Overbilled"))</f>
        <v/>
      </c>
    </row>
    <row r="862">
      <c r="A862" t="inlineStr">
        <is>
          <t>INV0018403</t>
        </is>
      </c>
      <c r="B862" t="inlineStr">
        <is>
          <t>MER00870</t>
        </is>
      </c>
      <c r="C862">
        <f>XLOOKUP(B862,Merchants!$A$4:$A$1000,Merchants!$B$4:$B$1000,"Not found")</f>
        <v/>
      </c>
      <c r="D862">
        <f>XLOOKUP(A862,tblInvoices[invoice_id],tblInvoices[expected_fee])</f>
        <v/>
      </c>
      <c r="E862">
        <f>XLOOKUP(A862,tblInvoices[invoice_id],tblInvoices[billed_fee])</f>
        <v/>
      </c>
      <c r="F862">
        <f>E862-D862</f>
        <v/>
      </c>
      <c r="G862">
        <f>IF(D862=0,0,ROUND(100*F862/D862,2))</f>
        <v/>
      </c>
      <c r="H862">
        <f>IF(ABS(F862)&lt;=0.01,"Correct",IF(F862&lt;0,"Underbilled","Overbilled"))</f>
        <v/>
      </c>
    </row>
    <row r="863">
      <c r="A863" t="inlineStr">
        <is>
          <t>INV0018404</t>
        </is>
      </c>
      <c r="B863" t="inlineStr">
        <is>
          <t>MER00870</t>
        </is>
      </c>
      <c r="C863">
        <f>XLOOKUP(B863,Merchants!$A$4:$A$1000,Merchants!$B$4:$B$1000,"Not found")</f>
        <v/>
      </c>
      <c r="D863">
        <f>XLOOKUP(A863,tblInvoices[invoice_id],tblInvoices[expected_fee])</f>
        <v/>
      </c>
      <c r="E863">
        <f>XLOOKUP(A863,tblInvoices[invoice_id],tblInvoices[billed_fee])</f>
        <v/>
      </c>
      <c r="F863">
        <f>E863-D863</f>
        <v/>
      </c>
      <c r="G863">
        <f>IF(D863=0,0,ROUND(100*F863/D863,2))</f>
        <v/>
      </c>
      <c r="H863">
        <f>IF(ABS(F863)&lt;=0.01,"Correct",IF(F863&lt;0,"Underbilled","Overbilled"))</f>
        <v/>
      </c>
    </row>
    <row r="864">
      <c r="A864" t="inlineStr">
        <is>
          <t>INV0018405</t>
        </is>
      </c>
      <c r="B864" t="inlineStr">
        <is>
          <t>MER00870</t>
        </is>
      </c>
      <c r="C864">
        <f>XLOOKUP(B864,Merchants!$A$4:$A$1000,Merchants!$B$4:$B$1000,"Not found")</f>
        <v/>
      </c>
      <c r="D864">
        <f>XLOOKUP(A864,tblInvoices[invoice_id],tblInvoices[expected_fee])</f>
        <v/>
      </c>
      <c r="E864">
        <f>XLOOKUP(A864,tblInvoices[invoice_id],tblInvoices[billed_fee])</f>
        <v/>
      </c>
      <c r="F864">
        <f>E864-D864</f>
        <v/>
      </c>
      <c r="G864">
        <f>IF(D864=0,0,ROUND(100*F864/D864,2))</f>
        <v/>
      </c>
      <c r="H864">
        <f>IF(ABS(F864)&lt;=0.01,"Correct",IF(F864&lt;0,"Underbilled","Overbilled"))</f>
        <v/>
      </c>
    </row>
    <row r="865">
      <c r="A865" t="inlineStr">
        <is>
          <t>INV0018406</t>
        </is>
      </c>
      <c r="B865" t="inlineStr">
        <is>
          <t>MER00870</t>
        </is>
      </c>
      <c r="C865">
        <f>XLOOKUP(B865,Merchants!$A$4:$A$1000,Merchants!$B$4:$B$1000,"Not found")</f>
        <v/>
      </c>
      <c r="D865">
        <f>XLOOKUP(A865,tblInvoices[invoice_id],tblInvoices[expected_fee])</f>
        <v/>
      </c>
      <c r="E865">
        <f>XLOOKUP(A865,tblInvoices[invoice_id],tblInvoices[billed_fee])</f>
        <v/>
      </c>
      <c r="F865">
        <f>E865-D865</f>
        <v/>
      </c>
      <c r="G865">
        <f>IF(D865=0,0,ROUND(100*F865/D865,2))</f>
        <v/>
      </c>
      <c r="H865">
        <f>IF(ABS(F865)&lt;=0.01,"Correct",IF(F865&lt;0,"Underbilled","Overbilled"))</f>
        <v/>
      </c>
    </row>
    <row r="866">
      <c r="A866" t="inlineStr">
        <is>
          <t>INV0018407</t>
        </is>
      </c>
      <c r="B866" t="inlineStr">
        <is>
          <t>MER00870</t>
        </is>
      </c>
      <c r="C866">
        <f>XLOOKUP(B866,Merchants!$A$4:$A$1000,Merchants!$B$4:$B$1000,"Not found")</f>
        <v/>
      </c>
      <c r="D866">
        <f>XLOOKUP(A866,tblInvoices[invoice_id],tblInvoices[expected_fee])</f>
        <v/>
      </c>
      <c r="E866">
        <f>XLOOKUP(A866,tblInvoices[invoice_id],tblInvoices[billed_fee])</f>
        <v/>
      </c>
      <c r="F866">
        <f>E866-D866</f>
        <v/>
      </c>
      <c r="G866">
        <f>IF(D866=0,0,ROUND(100*F866/D866,2))</f>
        <v/>
      </c>
      <c r="H866">
        <f>IF(ABS(F866)&lt;=0.01,"Correct",IF(F866&lt;0,"Underbilled","Overbilled"))</f>
        <v/>
      </c>
    </row>
    <row r="867">
      <c r="A867" t="inlineStr">
        <is>
          <t>INV0018408</t>
        </is>
      </c>
      <c r="B867" t="inlineStr">
        <is>
          <t>MER00870</t>
        </is>
      </c>
      <c r="C867">
        <f>XLOOKUP(B867,Merchants!$A$4:$A$1000,Merchants!$B$4:$B$1000,"Not found")</f>
        <v/>
      </c>
      <c r="D867">
        <f>XLOOKUP(A867,tblInvoices[invoice_id],tblInvoices[expected_fee])</f>
        <v/>
      </c>
      <c r="E867">
        <f>XLOOKUP(A867,tblInvoices[invoice_id],tblInvoices[billed_fee])</f>
        <v/>
      </c>
      <c r="F867">
        <f>E867-D867</f>
        <v/>
      </c>
      <c r="G867">
        <f>IF(D867=0,0,ROUND(100*F867/D867,2))</f>
        <v/>
      </c>
      <c r="H867">
        <f>IF(ABS(F867)&lt;=0.01,"Correct",IF(F867&lt;0,"Underbilled","Overbilled"))</f>
        <v/>
      </c>
    </row>
    <row r="868">
      <c r="A868" t="inlineStr">
        <is>
          <t>INV0018409</t>
        </is>
      </c>
      <c r="B868" t="inlineStr">
        <is>
          <t>MER00870</t>
        </is>
      </c>
      <c r="C868">
        <f>XLOOKUP(B868,Merchants!$A$4:$A$1000,Merchants!$B$4:$B$1000,"Not found")</f>
        <v/>
      </c>
      <c r="D868">
        <f>XLOOKUP(A868,tblInvoices[invoice_id],tblInvoices[expected_fee])</f>
        <v/>
      </c>
      <c r="E868">
        <f>XLOOKUP(A868,tblInvoices[invoice_id],tblInvoices[billed_fee])</f>
        <v/>
      </c>
      <c r="F868">
        <f>E868-D868</f>
        <v/>
      </c>
      <c r="G868">
        <f>IF(D868=0,0,ROUND(100*F868/D868,2))</f>
        <v/>
      </c>
      <c r="H868">
        <f>IF(ABS(F868)&lt;=0.01,"Correct",IF(F868&lt;0,"Underbilled","Overbilled"))</f>
        <v/>
      </c>
    </row>
    <row r="869">
      <c r="A869" t="inlineStr">
        <is>
          <t>INV0018410</t>
        </is>
      </c>
      <c r="B869" t="inlineStr">
        <is>
          <t>MER00870</t>
        </is>
      </c>
      <c r="C869">
        <f>XLOOKUP(B869,Merchants!$A$4:$A$1000,Merchants!$B$4:$B$1000,"Not found")</f>
        <v/>
      </c>
      <c r="D869">
        <f>XLOOKUP(A869,tblInvoices[invoice_id],tblInvoices[expected_fee])</f>
        <v/>
      </c>
      <c r="E869">
        <f>XLOOKUP(A869,tblInvoices[invoice_id],tblInvoices[billed_fee])</f>
        <v/>
      </c>
      <c r="F869">
        <f>E869-D869</f>
        <v/>
      </c>
      <c r="G869">
        <f>IF(D869=0,0,ROUND(100*F869/D869,2))</f>
        <v/>
      </c>
      <c r="H869">
        <f>IF(ABS(F869)&lt;=0.01,"Correct",IF(F869&lt;0,"Underbilled","Overbilled"))</f>
        <v/>
      </c>
    </row>
    <row r="870">
      <c r="A870" t="inlineStr">
        <is>
          <t>INV0018411</t>
        </is>
      </c>
      <c r="B870" t="inlineStr">
        <is>
          <t>MER00870</t>
        </is>
      </c>
      <c r="C870">
        <f>XLOOKUP(B870,Merchants!$A$4:$A$1000,Merchants!$B$4:$B$1000,"Not found")</f>
        <v/>
      </c>
      <c r="D870">
        <f>XLOOKUP(A870,tblInvoices[invoice_id],tblInvoices[expected_fee])</f>
        <v/>
      </c>
      <c r="E870">
        <f>XLOOKUP(A870,tblInvoices[invoice_id],tblInvoices[billed_fee])</f>
        <v/>
      </c>
      <c r="F870">
        <f>E870-D870</f>
        <v/>
      </c>
      <c r="G870">
        <f>IF(D870=0,0,ROUND(100*F870/D870,2))</f>
        <v/>
      </c>
      <c r="H870">
        <f>IF(ABS(F870)&lt;=0.01,"Correct",IF(F870&lt;0,"Underbilled","Overbilled"))</f>
        <v/>
      </c>
    </row>
    <row r="871">
      <c r="A871" t="inlineStr">
        <is>
          <t>INV0018412</t>
        </is>
      </c>
      <c r="B871" t="inlineStr">
        <is>
          <t>MER00870</t>
        </is>
      </c>
      <c r="C871">
        <f>XLOOKUP(B871,Merchants!$A$4:$A$1000,Merchants!$B$4:$B$1000,"Not found")</f>
        <v/>
      </c>
      <c r="D871">
        <f>XLOOKUP(A871,tblInvoices[invoice_id],tblInvoices[expected_fee])</f>
        <v/>
      </c>
      <c r="E871">
        <f>XLOOKUP(A871,tblInvoices[invoice_id],tblInvoices[billed_fee])</f>
        <v/>
      </c>
      <c r="F871">
        <f>E871-D871</f>
        <v/>
      </c>
      <c r="G871">
        <f>IF(D871=0,0,ROUND(100*F871/D871,2))</f>
        <v/>
      </c>
      <c r="H871">
        <f>IF(ABS(F871)&lt;=0.01,"Correct",IF(F871&lt;0,"Underbilled","Overbilled"))</f>
        <v/>
      </c>
    </row>
    <row r="872">
      <c r="A872" t="inlineStr">
        <is>
          <t>INV0018413</t>
        </is>
      </c>
      <c r="B872" t="inlineStr">
        <is>
          <t>MER00870</t>
        </is>
      </c>
      <c r="C872">
        <f>XLOOKUP(B872,Merchants!$A$4:$A$1000,Merchants!$B$4:$B$1000,"Not found")</f>
        <v/>
      </c>
      <c r="D872">
        <f>XLOOKUP(A872,tblInvoices[invoice_id],tblInvoices[expected_fee])</f>
        <v/>
      </c>
      <c r="E872">
        <f>XLOOKUP(A872,tblInvoices[invoice_id],tblInvoices[billed_fee])</f>
        <v/>
      </c>
      <c r="F872">
        <f>E872-D872</f>
        <v/>
      </c>
      <c r="G872">
        <f>IF(D872=0,0,ROUND(100*F872/D872,2))</f>
        <v/>
      </c>
      <c r="H872">
        <f>IF(ABS(F872)&lt;=0.01,"Correct",IF(F872&lt;0,"Underbilled","Overbilled"))</f>
        <v/>
      </c>
    </row>
    <row r="873">
      <c r="A873" t="inlineStr">
        <is>
          <t>INV0018414</t>
        </is>
      </c>
      <c r="B873" t="inlineStr">
        <is>
          <t>MER00870</t>
        </is>
      </c>
      <c r="C873">
        <f>XLOOKUP(B873,Merchants!$A$4:$A$1000,Merchants!$B$4:$B$1000,"Not found")</f>
        <v/>
      </c>
      <c r="D873">
        <f>XLOOKUP(A873,tblInvoices[invoice_id],tblInvoices[expected_fee])</f>
        <v/>
      </c>
      <c r="E873">
        <f>XLOOKUP(A873,tblInvoices[invoice_id],tblInvoices[billed_fee])</f>
        <v/>
      </c>
      <c r="F873">
        <f>E873-D873</f>
        <v/>
      </c>
      <c r="G873">
        <f>IF(D873=0,0,ROUND(100*F873/D873,2))</f>
        <v/>
      </c>
      <c r="H873">
        <f>IF(ABS(F873)&lt;=0.01,"Correct",IF(F873&lt;0,"Underbilled","Overbilled"))</f>
        <v/>
      </c>
    </row>
    <row r="874">
      <c r="A874" t="inlineStr">
        <is>
          <t>INV0018415</t>
        </is>
      </c>
      <c r="B874" t="inlineStr">
        <is>
          <t>MER00870</t>
        </is>
      </c>
      <c r="C874">
        <f>XLOOKUP(B874,Merchants!$A$4:$A$1000,Merchants!$B$4:$B$1000,"Not found")</f>
        <v/>
      </c>
      <c r="D874">
        <f>XLOOKUP(A874,tblInvoices[invoice_id],tblInvoices[expected_fee])</f>
        <v/>
      </c>
      <c r="E874">
        <f>XLOOKUP(A874,tblInvoices[invoice_id],tblInvoices[billed_fee])</f>
        <v/>
      </c>
      <c r="F874">
        <f>E874-D874</f>
        <v/>
      </c>
      <c r="G874">
        <f>IF(D874=0,0,ROUND(100*F874/D874,2))</f>
        <v/>
      </c>
      <c r="H874">
        <f>IF(ABS(F874)&lt;=0.01,"Correct",IF(F874&lt;0,"Underbilled","Overbilled"))</f>
        <v/>
      </c>
    </row>
    <row r="875">
      <c r="A875" t="inlineStr">
        <is>
          <t>INV0019117</t>
        </is>
      </c>
      <c r="B875" t="inlineStr">
        <is>
          <t>MER00902</t>
        </is>
      </c>
      <c r="C875">
        <f>XLOOKUP(B875,Merchants!$A$4:$A$1000,Merchants!$B$4:$B$1000,"Not found")</f>
        <v/>
      </c>
      <c r="D875">
        <f>XLOOKUP(A875,tblInvoices[invoice_id],tblInvoices[expected_fee])</f>
        <v/>
      </c>
      <c r="E875">
        <f>XLOOKUP(A875,tblInvoices[invoice_id],tblInvoices[billed_fee])</f>
        <v/>
      </c>
      <c r="F875">
        <f>E875-D875</f>
        <v/>
      </c>
      <c r="G875">
        <f>IF(D875=0,0,ROUND(100*F875/D875,2))</f>
        <v/>
      </c>
      <c r="H875">
        <f>IF(ABS(F875)&lt;=0.01,"Correct",IF(F875&lt;0,"Underbilled","Overbilled"))</f>
        <v/>
      </c>
    </row>
    <row r="876">
      <c r="A876" t="inlineStr">
        <is>
          <t>INV0019118</t>
        </is>
      </c>
      <c r="B876" t="inlineStr">
        <is>
          <t>MER00902</t>
        </is>
      </c>
      <c r="C876">
        <f>XLOOKUP(B876,Merchants!$A$4:$A$1000,Merchants!$B$4:$B$1000,"Not found")</f>
        <v/>
      </c>
      <c r="D876">
        <f>XLOOKUP(A876,tblInvoices[invoice_id],tblInvoices[expected_fee])</f>
        <v/>
      </c>
      <c r="E876">
        <f>XLOOKUP(A876,tblInvoices[invoice_id],tblInvoices[billed_fee])</f>
        <v/>
      </c>
      <c r="F876">
        <f>E876-D876</f>
        <v/>
      </c>
      <c r="G876">
        <f>IF(D876=0,0,ROUND(100*F876/D876,2))</f>
        <v/>
      </c>
      <c r="H876">
        <f>IF(ABS(F876)&lt;=0.01,"Correct",IF(F876&lt;0,"Underbilled","Overbilled"))</f>
        <v/>
      </c>
    </row>
    <row r="877">
      <c r="A877" t="inlineStr">
        <is>
          <t>INV0019119</t>
        </is>
      </c>
      <c r="B877" t="inlineStr">
        <is>
          <t>MER00902</t>
        </is>
      </c>
      <c r="C877">
        <f>XLOOKUP(B877,Merchants!$A$4:$A$1000,Merchants!$B$4:$B$1000,"Not found")</f>
        <v/>
      </c>
      <c r="D877">
        <f>XLOOKUP(A877,tblInvoices[invoice_id],tblInvoices[expected_fee])</f>
        <v/>
      </c>
      <c r="E877">
        <f>XLOOKUP(A877,tblInvoices[invoice_id],tblInvoices[billed_fee])</f>
        <v/>
      </c>
      <c r="F877">
        <f>E877-D877</f>
        <v/>
      </c>
      <c r="G877">
        <f>IF(D877=0,0,ROUND(100*F877/D877,2))</f>
        <v/>
      </c>
      <c r="H877">
        <f>IF(ABS(F877)&lt;=0.01,"Correct",IF(F877&lt;0,"Underbilled","Overbilled"))</f>
        <v/>
      </c>
    </row>
    <row r="878">
      <c r="A878" t="inlineStr">
        <is>
          <t>INV0019120</t>
        </is>
      </c>
      <c r="B878" t="inlineStr">
        <is>
          <t>MER00902</t>
        </is>
      </c>
      <c r="C878">
        <f>XLOOKUP(B878,Merchants!$A$4:$A$1000,Merchants!$B$4:$B$1000,"Not found")</f>
        <v/>
      </c>
      <c r="D878">
        <f>XLOOKUP(A878,tblInvoices[invoice_id],tblInvoices[expected_fee])</f>
        <v/>
      </c>
      <c r="E878">
        <f>XLOOKUP(A878,tblInvoices[invoice_id],tblInvoices[billed_fee])</f>
        <v/>
      </c>
      <c r="F878">
        <f>E878-D878</f>
        <v/>
      </c>
      <c r="G878">
        <f>IF(D878=0,0,ROUND(100*F878/D878,2))</f>
        <v/>
      </c>
      <c r="H878">
        <f>IF(ABS(F878)&lt;=0.01,"Correct",IF(F878&lt;0,"Underbilled","Overbilled"))</f>
        <v/>
      </c>
    </row>
    <row r="879">
      <c r="A879" t="inlineStr">
        <is>
          <t>INV0019121</t>
        </is>
      </c>
      <c r="B879" t="inlineStr">
        <is>
          <t>MER00902</t>
        </is>
      </c>
      <c r="C879">
        <f>XLOOKUP(B879,Merchants!$A$4:$A$1000,Merchants!$B$4:$B$1000,"Not found")</f>
        <v/>
      </c>
      <c r="D879">
        <f>XLOOKUP(A879,tblInvoices[invoice_id],tblInvoices[expected_fee])</f>
        <v/>
      </c>
      <c r="E879">
        <f>XLOOKUP(A879,tblInvoices[invoice_id],tblInvoices[billed_fee])</f>
        <v/>
      </c>
      <c r="F879">
        <f>E879-D879</f>
        <v/>
      </c>
      <c r="G879">
        <f>IF(D879=0,0,ROUND(100*F879/D879,2))</f>
        <v/>
      </c>
      <c r="H879">
        <f>IF(ABS(F879)&lt;=0.01,"Correct",IF(F879&lt;0,"Underbilled","Overbilled"))</f>
        <v/>
      </c>
    </row>
    <row r="880">
      <c r="A880" t="inlineStr">
        <is>
          <t>INV0019122</t>
        </is>
      </c>
      <c r="B880" t="inlineStr">
        <is>
          <t>MER00902</t>
        </is>
      </c>
      <c r="C880">
        <f>XLOOKUP(B880,Merchants!$A$4:$A$1000,Merchants!$B$4:$B$1000,"Not found")</f>
        <v/>
      </c>
      <c r="D880">
        <f>XLOOKUP(A880,tblInvoices[invoice_id],tblInvoices[expected_fee])</f>
        <v/>
      </c>
      <c r="E880">
        <f>XLOOKUP(A880,tblInvoices[invoice_id],tblInvoices[billed_fee])</f>
        <v/>
      </c>
      <c r="F880">
        <f>E880-D880</f>
        <v/>
      </c>
      <c r="G880">
        <f>IF(D880=0,0,ROUND(100*F880/D880,2))</f>
        <v/>
      </c>
      <c r="H880">
        <f>IF(ABS(F880)&lt;=0.01,"Correct",IF(F880&lt;0,"Underbilled","Overbilled"))</f>
        <v/>
      </c>
    </row>
    <row r="881">
      <c r="A881" t="inlineStr">
        <is>
          <t>INV0019123</t>
        </is>
      </c>
      <c r="B881" t="inlineStr">
        <is>
          <t>MER00902</t>
        </is>
      </c>
      <c r="C881">
        <f>XLOOKUP(B881,Merchants!$A$4:$A$1000,Merchants!$B$4:$B$1000,"Not found")</f>
        <v/>
      </c>
      <c r="D881">
        <f>XLOOKUP(A881,tblInvoices[invoice_id],tblInvoices[expected_fee])</f>
        <v/>
      </c>
      <c r="E881">
        <f>XLOOKUP(A881,tblInvoices[invoice_id],tblInvoices[billed_fee])</f>
        <v/>
      </c>
      <c r="F881">
        <f>E881-D881</f>
        <v/>
      </c>
      <c r="G881">
        <f>IF(D881=0,0,ROUND(100*F881/D881,2))</f>
        <v/>
      </c>
      <c r="H881">
        <f>IF(ABS(F881)&lt;=0.01,"Correct",IF(F881&lt;0,"Underbilled","Overbilled"))</f>
        <v/>
      </c>
    </row>
    <row r="882">
      <c r="A882" t="inlineStr">
        <is>
          <t>INV0019124</t>
        </is>
      </c>
      <c r="B882" t="inlineStr">
        <is>
          <t>MER00902</t>
        </is>
      </c>
      <c r="C882">
        <f>XLOOKUP(B882,Merchants!$A$4:$A$1000,Merchants!$B$4:$B$1000,"Not found")</f>
        <v/>
      </c>
      <c r="D882">
        <f>XLOOKUP(A882,tblInvoices[invoice_id],tblInvoices[expected_fee])</f>
        <v/>
      </c>
      <c r="E882">
        <f>XLOOKUP(A882,tblInvoices[invoice_id],tblInvoices[billed_fee])</f>
        <v/>
      </c>
      <c r="F882">
        <f>E882-D882</f>
        <v/>
      </c>
      <c r="G882">
        <f>IF(D882=0,0,ROUND(100*F882/D882,2))</f>
        <v/>
      </c>
      <c r="H882">
        <f>IF(ABS(F882)&lt;=0.01,"Correct",IF(F882&lt;0,"Underbilled","Overbilled"))</f>
        <v/>
      </c>
    </row>
    <row r="883">
      <c r="A883" t="inlineStr">
        <is>
          <t>INV0019125</t>
        </is>
      </c>
      <c r="B883" t="inlineStr">
        <is>
          <t>MER00902</t>
        </is>
      </c>
      <c r="C883">
        <f>XLOOKUP(B883,Merchants!$A$4:$A$1000,Merchants!$B$4:$B$1000,"Not found")</f>
        <v/>
      </c>
      <c r="D883">
        <f>XLOOKUP(A883,tblInvoices[invoice_id],tblInvoices[expected_fee])</f>
        <v/>
      </c>
      <c r="E883">
        <f>XLOOKUP(A883,tblInvoices[invoice_id],tblInvoices[billed_fee])</f>
        <v/>
      </c>
      <c r="F883">
        <f>E883-D883</f>
        <v/>
      </c>
      <c r="G883">
        <f>IF(D883=0,0,ROUND(100*F883/D883,2))</f>
        <v/>
      </c>
      <c r="H883">
        <f>IF(ABS(F883)&lt;=0.01,"Correct",IF(F883&lt;0,"Underbilled","Overbilled"))</f>
        <v/>
      </c>
    </row>
    <row r="884">
      <c r="A884" t="inlineStr">
        <is>
          <t>INV0019126</t>
        </is>
      </c>
      <c r="B884" t="inlineStr">
        <is>
          <t>MER00902</t>
        </is>
      </c>
      <c r="C884">
        <f>XLOOKUP(B884,Merchants!$A$4:$A$1000,Merchants!$B$4:$B$1000,"Not found")</f>
        <v/>
      </c>
      <c r="D884">
        <f>XLOOKUP(A884,tblInvoices[invoice_id],tblInvoices[expected_fee])</f>
        <v/>
      </c>
      <c r="E884">
        <f>XLOOKUP(A884,tblInvoices[invoice_id],tblInvoices[billed_fee])</f>
        <v/>
      </c>
      <c r="F884">
        <f>E884-D884</f>
        <v/>
      </c>
      <c r="G884">
        <f>IF(D884=0,0,ROUND(100*F884/D884,2))</f>
        <v/>
      </c>
      <c r="H884">
        <f>IF(ABS(F884)&lt;=0.01,"Correct",IF(F884&lt;0,"Underbilled","Overbilled"))</f>
        <v/>
      </c>
    </row>
    <row r="885">
      <c r="A885" t="inlineStr">
        <is>
          <t>INV0019127</t>
        </is>
      </c>
      <c r="B885" t="inlineStr">
        <is>
          <t>MER00902</t>
        </is>
      </c>
      <c r="C885">
        <f>XLOOKUP(B885,Merchants!$A$4:$A$1000,Merchants!$B$4:$B$1000,"Not found")</f>
        <v/>
      </c>
      <c r="D885">
        <f>XLOOKUP(A885,tblInvoices[invoice_id],tblInvoices[expected_fee])</f>
        <v/>
      </c>
      <c r="E885">
        <f>XLOOKUP(A885,tblInvoices[invoice_id],tblInvoices[billed_fee])</f>
        <v/>
      </c>
      <c r="F885">
        <f>E885-D885</f>
        <v/>
      </c>
      <c r="G885">
        <f>IF(D885=0,0,ROUND(100*F885/D885,2))</f>
        <v/>
      </c>
      <c r="H885">
        <f>IF(ABS(F885)&lt;=0.01,"Correct",IF(F885&lt;0,"Underbilled","Overbilled"))</f>
        <v/>
      </c>
    </row>
    <row r="886">
      <c r="A886" t="inlineStr">
        <is>
          <t>INV0019128</t>
        </is>
      </c>
      <c r="B886" t="inlineStr">
        <is>
          <t>MER00902</t>
        </is>
      </c>
      <c r="C886">
        <f>XLOOKUP(B886,Merchants!$A$4:$A$1000,Merchants!$B$4:$B$1000,"Not found")</f>
        <v/>
      </c>
      <c r="D886">
        <f>XLOOKUP(A886,tblInvoices[invoice_id],tblInvoices[expected_fee])</f>
        <v/>
      </c>
      <c r="E886">
        <f>XLOOKUP(A886,tblInvoices[invoice_id],tblInvoices[billed_fee])</f>
        <v/>
      </c>
      <c r="F886">
        <f>E886-D886</f>
        <v/>
      </c>
      <c r="G886">
        <f>IF(D886=0,0,ROUND(100*F886/D886,2))</f>
        <v/>
      </c>
      <c r="H886">
        <f>IF(ABS(F886)&lt;=0.01,"Correct",IF(F886&lt;0,"Underbilled","Overbilled"))</f>
        <v/>
      </c>
    </row>
    <row r="887">
      <c r="A887" t="inlineStr">
        <is>
          <t>INV0019129</t>
        </is>
      </c>
      <c r="B887" t="inlineStr">
        <is>
          <t>MER00902</t>
        </is>
      </c>
      <c r="C887">
        <f>XLOOKUP(B887,Merchants!$A$4:$A$1000,Merchants!$B$4:$B$1000,"Not found")</f>
        <v/>
      </c>
      <c r="D887">
        <f>XLOOKUP(A887,tblInvoices[invoice_id],tblInvoices[expected_fee])</f>
        <v/>
      </c>
      <c r="E887">
        <f>XLOOKUP(A887,tblInvoices[invoice_id],tblInvoices[billed_fee])</f>
        <v/>
      </c>
      <c r="F887">
        <f>E887-D887</f>
        <v/>
      </c>
      <c r="G887">
        <f>IF(D887=0,0,ROUND(100*F887/D887,2))</f>
        <v/>
      </c>
      <c r="H887">
        <f>IF(ABS(F887)&lt;=0.01,"Correct",IF(F887&lt;0,"Underbilled","Overbilled"))</f>
        <v/>
      </c>
    </row>
    <row r="888">
      <c r="A888" t="inlineStr">
        <is>
          <t>INV0019130</t>
        </is>
      </c>
      <c r="B888" t="inlineStr">
        <is>
          <t>MER00902</t>
        </is>
      </c>
      <c r="C888">
        <f>XLOOKUP(B888,Merchants!$A$4:$A$1000,Merchants!$B$4:$B$1000,"Not found")</f>
        <v/>
      </c>
      <c r="D888">
        <f>XLOOKUP(A888,tblInvoices[invoice_id],tblInvoices[expected_fee])</f>
        <v/>
      </c>
      <c r="E888">
        <f>XLOOKUP(A888,tblInvoices[invoice_id],tblInvoices[billed_fee])</f>
        <v/>
      </c>
      <c r="F888">
        <f>E888-D888</f>
        <v/>
      </c>
      <c r="G888">
        <f>IF(D888=0,0,ROUND(100*F888/D888,2))</f>
        <v/>
      </c>
      <c r="H888">
        <f>IF(ABS(F888)&lt;=0.01,"Correct",IF(F888&lt;0,"Underbilled","Overbilled"))</f>
        <v/>
      </c>
    </row>
    <row r="889">
      <c r="A889" t="inlineStr">
        <is>
          <t>INV0019131</t>
        </is>
      </c>
      <c r="B889" t="inlineStr">
        <is>
          <t>MER00902</t>
        </is>
      </c>
      <c r="C889">
        <f>XLOOKUP(B889,Merchants!$A$4:$A$1000,Merchants!$B$4:$B$1000,"Not found")</f>
        <v/>
      </c>
      <c r="D889">
        <f>XLOOKUP(A889,tblInvoices[invoice_id],tblInvoices[expected_fee])</f>
        <v/>
      </c>
      <c r="E889">
        <f>XLOOKUP(A889,tblInvoices[invoice_id],tblInvoices[billed_fee])</f>
        <v/>
      </c>
      <c r="F889">
        <f>E889-D889</f>
        <v/>
      </c>
      <c r="G889">
        <f>IF(D889=0,0,ROUND(100*F889/D889,2))</f>
        <v/>
      </c>
      <c r="H889">
        <f>IF(ABS(F889)&lt;=0.01,"Correct",IF(F889&lt;0,"Underbilled","Overbilled"))</f>
        <v/>
      </c>
    </row>
    <row r="890">
      <c r="A890" t="inlineStr">
        <is>
          <t>INV0019132</t>
        </is>
      </c>
      <c r="B890" t="inlineStr">
        <is>
          <t>MER00902</t>
        </is>
      </c>
      <c r="C890">
        <f>XLOOKUP(B890,Merchants!$A$4:$A$1000,Merchants!$B$4:$B$1000,"Not found")</f>
        <v/>
      </c>
      <c r="D890">
        <f>XLOOKUP(A890,tblInvoices[invoice_id],tblInvoices[expected_fee])</f>
        <v/>
      </c>
      <c r="E890">
        <f>XLOOKUP(A890,tblInvoices[invoice_id],tblInvoices[billed_fee])</f>
        <v/>
      </c>
      <c r="F890">
        <f>E890-D890</f>
        <v/>
      </c>
      <c r="G890">
        <f>IF(D890=0,0,ROUND(100*F890/D890,2))</f>
        <v/>
      </c>
      <c r="H890">
        <f>IF(ABS(F890)&lt;=0.01,"Correct",IF(F890&lt;0,"Underbilled","Overbilled"))</f>
        <v/>
      </c>
    </row>
    <row r="891">
      <c r="A891" t="inlineStr">
        <is>
          <t>INV0019133</t>
        </is>
      </c>
      <c r="B891" t="inlineStr">
        <is>
          <t>MER00902</t>
        </is>
      </c>
      <c r="C891">
        <f>XLOOKUP(B891,Merchants!$A$4:$A$1000,Merchants!$B$4:$B$1000,"Not found")</f>
        <v/>
      </c>
      <c r="D891">
        <f>XLOOKUP(A891,tblInvoices[invoice_id],tblInvoices[expected_fee])</f>
        <v/>
      </c>
      <c r="E891">
        <f>XLOOKUP(A891,tblInvoices[invoice_id],tblInvoices[billed_fee])</f>
        <v/>
      </c>
      <c r="F891">
        <f>E891-D891</f>
        <v/>
      </c>
      <c r="G891">
        <f>IF(D891=0,0,ROUND(100*F891/D891,2))</f>
        <v/>
      </c>
      <c r="H891">
        <f>IF(ABS(F891)&lt;=0.01,"Correct",IF(F891&lt;0,"Underbilled","Overbilled"))</f>
        <v/>
      </c>
    </row>
    <row r="892">
      <c r="A892" t="inlineStr">
        <is>
          <t>INV0019134</t>
        </is>
      </c>
      <c r="B892" t="inlineStr">
        <is>
          <t>MER00902</t>
        </is>
      </c>
      <c r="C892">
        <f>XLOOKUP(B892,Merchants!$A$4:$A$1000,Merchants!$B$4:$B$1000,"Not found")</f>
        <v/>
      </c>
      <c r="D892">
        <f>XLOOKUP(A892,tblInvoices[invoice_id],tblInvoices[expected_fee])</f>
        <v/>
      </c>
      <c r="E892">
        <f>XLOOKUP(A892,tblInvoices[invoice_id],tblInvoices[billed_fee])</f>
        <v/>
      </c>
      <c r="F892">
        <f>E892-D892</f>
        <v/>
      </c>
      <c r="G892">
        <f>IF(D892=0,0,ROUND(100*F892/D892,2))</f>
        <v/>
      </c>
      <c r="H892">
        <f>IF(ABS(F892)&lt;=0.01,"Correct",IF(F892&lt;0,"Underbilled","Overbilled"))</f>
        <v/>
      </c>
    </row>
    <row r="893">
      <c r="A893" t="inlineStr">
        <is>
          <t>INV0019135</t>
        </is>
      </c>
      <c r="B893" t="inlineStr">
        <is>
          <t>MER00902</t>
        </is>
      </c>
      <c r="C893">
        <f>XLOOKUP(B893,Merchants!$A$4:$A$1000,Merchants!$B$4:$B$1000,"Not found")</f>
        <v/>
      </c>
      <c r="D893">
        <f>XLOOKUP(A893,tblInvoices[invoice_id],tblInvoices[expected_fee])</f>
        <v/>
      </c>
      <c r="E893">
        <f>XLOOKUP(A893,tblInvoices[invoice_id],tblInvoices[billed_fee])</f>
        <v/>
      </c>
      <c r="F893">
        <f>E893-D893</f>
        <v/>
      </c>
      <c r="G893">
        <f>IF(D893=0,0,ROUND(100*F893/D893,2))</f>
        <v/>
      </c>
      <c r="H893">
        <f>IF(ABS(F893)&lt;=0.01,"Correct",IF(F893&lt;0,"Underbilled","Overbilled"))</f>
        <v/>
      </c>
    </row>
    <row r="894">
      <c r="A894" t="inlineStr">
        <is>
          <t>INV0019136</t>
        </is>
      </c>
      <c r="B894" t="inlineStr">
        <is>
          <t>MER00902</t>
        </is>
      </c>
      <c r="C894">
        <f>XLOOKUP(B894,Merchants!$A$4:$A$1000,Merchants!$B$4:$B$1000,"Not found")</f>
        <v/>
      </c>
      <c r="D894">
        <f>XLOOKUP(A894,tblInvoices[invoice_id],tblInvoices[expected_fee])</f>
        <v/>
      </c>
      <c r="E894">
        <f>XLOOKUP(A894,tblInvoices[invoice_id],tblInvoices[billed_fee])</f>
        <v/>
      </c>
      <c r="F894">
        <f>E894-D894</f>
        <v/>
      </c>
      <c r="G894">
        <f>IF(D894=0,0,ROUND(100*F894/D894,2))</f>
        <v/>
      </c>
      <c r="H894">
        <f>IF(ABS(F894)&lt;=0.01,"Correct",IF(F894&lt;0,"Underbilled","Overbilled"))</f>
        <v/>
      </c>
    </row>
    <row r="895">
      <c r="A895" t="inlineStr">
        <is>
          <t>INV0019137</t>
        </is>
      </c>
      <c r="B895" t="inlineStr">
        <is>
          <t>MER00902</t>
        </is>
      </c>
      <c r="C895">
        <f>XLOOKUP(B895,Merchants!$A$4:$A$1000,Merchants!$B$4:$B$1000,"Not found")</f>
        <v/>
      </c>
      <c r="D895">
        <f>XLOOKUP(A895,tblInvoices[invoice_id],tblInvoices[expected_fee])</f>
        <v/>
      </c>
      <c r="E895">
        <f>XLOOKUP(A895,tblInvoices[invoice_id],tblInvoices[billed_fee])</f>
        <v/>
      </c>
      <c r="F895">
        <f>E895-D895</f>
        <v/>
      </c>
      <c r="G895">
        <f>IF(D895=0,0,ROUND(100*F895/D895,2))</f>
        <v/>
      </c>
      <c r="H895">
        <f>IF(ABS(F895)&lt;=0.01,"Correct",IF(F895&lt;0,"Underbilled","Overbilled"))</f>
        <v/>
      </c>
    </row>
    <row r="896">
      <c r="A896" t="inlineStr">
        <is>
          <t>INV0019138</t>
        </is>
      </c>
      <c r="B896" t="inlineStr">
        <is>
          <t>MER00902</t>
        </is>
      </c>
      <c r="C896">
        <f>XLOOKUP(B896,Merchants!$A$4:$A$1000,Merchants!$B$4:$B$1000,"Not found")</f>
        <v/>
      </c>
      <c r="D896">
        <f>XLOOKUP(A896,tblInvoices[invoice_id],tblInvoices[expected_fee])</f>
        <v/>
      </c>
      <c r="E896">
        <f>XLOOKUP(A896,tblInvoices[invoice_id],tblInvoices[billed_fee])</f>
        <v/>
      </c>
      <c r="F896">
        <f>E896-D896</f>
        <v/>
      </c>
      <c r="G896">
        <f>IF(D896=0,0,ROUND(100*F896/D896,2))</f>
        <v/>
      </c>
      <c r="H896">
        <f>IF(ABS(F896)&lt;=0.01,"Correct",IF(F896&lt;0,"Underbilled","Overbilled"))</f>
        <v/>
      </c>
    </row>
    <row r="897">
      <c r="A897" t="inlineStr">
        <is>
          <t>INV0019139</t>
        </is>
      </c>
      <c r="B897" t="inlineStr">
        <is>
          <t>MER00902</t>
        </is>
      </c>
      <c r="C897">
        <f>XLOOKUP(B897,Merchants!$A$4:$A$1000,Merchants!$B$4:$B$1000,"Not found")</f>
        <v/>
      </c>
      <c r="D897">
        <f>XLOOKUP(A897,tblInvoices[invoice_id],tblInvoices[expected_fee])</f>
        <v/>
      </c>
      <c r="E897">
        <f>XLOOKUP(A897,tblInvoices[invoice_id],tblInvoices[billed_fee])</f>
        <v/>
      </c>
      <c r="F897">
        <f>E897-D897</f>
        <v/>
      </c>
      <c r="G897">
        <f>IF(D897=0,0,ROUND(100*F897/D897,2))</f>
        <v/>
      </c>
      <c r="H897">
        <f>IF(ABS(F897)&lt;=0.01,"Correct",IF(F897&lt;0,"Underbilled","Overbilled"))</f>
        <v/>
      </c>
    </row>
    <row r="898">
      <c r="A898" t="inlineStr">
        <is>
          <t>INV0019140</t>
        </is>
      </c>
      <c r="B898" t="inlineStr">
        <is>
          <t>MER00902</t>
        </is>
      </c>
      <c r="C898">
        <f>XLOOKUP(B898,Merchants!$A$4:$A$1000,Merchants!$B$4:$B$1000,"Not found")</f>
        <v/>
      </c>
      <c r="D898">
        <f>XLOOKUP(A898,tblInvoices[invoice_id],tblInvoices[expected_fee])</f>
        <v/>
      </c>
      <c r="E898">
        <f>XLOOKUP(A898,tblInvoices[invoice_id],tblInvoices[billed_fee])</f>
        <v/>
      </c>
      <c r="F898">
        <f>E898-D898</f>
        <v/>
      </c>
      <c r="G898">
        <f>IF(D898=0,0,ROUND(100*F898/D898,2))</f>
        <v/>
      </c>
      <c r="H898">
        <f>IF(ABS(F898)&lt;=0.01,"Correct",IF(F898&lt;0,"Underbilled","Overbilled"))</f>
        <v/>
      </c>
    </row>
  </sheetData>
  <conditionalFormatting sqref="H4:H898">
    <cfRule type="cellIs" priority="1" operator="equal" dxfId="0">
      <formula>"Underbilled"</formula>
    </cfRule>
    <cfRule type="cellIs" priority="2" operator="equal" dxfId="1">
      <formula>"Overbilled"</formula>
    </cfRule>
    <cfRule type="cellIs" priority="3" operator="equal" dxfId="2">
      <formula>"Correct"</formula>
    </cfRule>
  </conditionalFormatting>
  <dataValidations count="1">
    <dataValidation sqref="I4:I898" showDropDown="0" showInputMessage="0" showErrorMessage="0" allowBlank="1" errorTitle="Invalid review status" error="Choose a value from the dropdown list." type="list">
      <formula1>"Pending Review,Reviewed - No Action,Escalated to Billing,Corrected"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6" t="inlineStr">
        <is>
          <t>AR Aging - SUMIFS against Payments, aging bucket via IFS</t>
        </is>
      </c>
    </row>
    <row r="2">
      <c r="A2" t="inlineStr">
        <is>
          <t>As-of date: 2026-08-13</t>
        </is>
      </c>
    </row>
    <row r="4">
      <c r="A4" s="7" t="inlineStr">
        <is>
          <t>invoice_id</t>
        </is>
      </c>
      <c r="B4" s="7" t="inlineStr">
        <is>
          <t>merchant_id</t>
        </is>
      </c>
      <c r="C4" s="7" t="inlineStr">
        <is>
          <t>merchant_name</t>
        </is>
      </c>
      <c r="D4" s="7" t="inlineStr">
        <is>
          <t>due_date</t>
        </is>
      </c>
      <c r="E4" s="7" t="inlineStr">
        <is>
          <t>total_invoice_amount</t>
        </is>
      </c>
      <c r="F4" s="7" t="inlineStr">
        <is>
          <t>total_paid</t>
        </is>
      </c>
      <c r="G4" s="7" t="inlineStr">
        <is>
          <t>outstanding_amount</t>
        </is>
      </c>
      <c r="H4" s="7" t="inlineStr">
        <is>
          <t>days_overdue</t>
        </is>
      </c>
      <c r="I4" s="7" t="inlineStr">
        <is>
          <t>aging_bucket</t>
        </is>
      </c>
    </row>
    <row r="5">
      <c r="A5" t="inlineStr">
        <is>
          <t>INV0000956</t>
        </is>
      </c>
      <c r="B5" t="inlineStr">
        <is>
          <t>MER00048</t>
        </is>
      </c>
      <c r="C5">
        <f>XLOOKUP(B5,Merchants!$A$4:$A$1000,Merchants!$B$4:$B$1000,"Not found")</f>
        <v/>
      </c>
      <c r="D5">
        <f>XLOOKUP(A5,tblInvoices[invoice_id],tblInvoices[due_date])</f>
        <v/>
      </c>
      <c r="E5">
        <f>XLOOKUP(A5,tblInvoices[invoice_id],tblInvoices[total_invoice_amount])</f>
        <v/>
      </c>
      <c r="F5">
        <f>SUMIFS(tblPayments[payment_amount],tblPayments[invoice_id],A5,tblPayments[payment_status],"Success")</f>
        <v/>
      </c>
      <c r="G5">
        <f>MAX(0,E5-F5)</f>
        <v/>
      </c>
      <c r="H5">
        <f>DATE(2026,8,13)-D5</f>
        <v/>
      </c>
      <c r="I5">
        <f>IFS(G5=0,"Excluded (paid)",H5&lt;=0,"Current",H5&lt;=30,"1-30 days",H5&lt;=60,"31-60 days",H5&lt;=90,"61-90 days",TRUE,"90+ days")</f>
        <v/>
      </c>
    </row>
    <row r="6">
      <c r="A6" t="inlineStr">
        <is>
          <t>INV0000957</t>
        </is>
      </c>
      <c r="B6" t="inlineStr">
        <is>
          <t>MER00048</t>
        </is>
      </c>
      <c r="C6">
        <f>XLOOKUP(B6,Merchants!$A$4:$A$1000,Merchants!$B$4:$B$1000,"Not found")</f>
        <v/>
      </c>
      <c r="D6">
        <f>XLOOKUP(A6,tblInvoices[invoice_id],tblInvoices[due_date])</f>
        <v/>
      </c>
      <c r="E6">
        <f>XLOOKUP(A6,tblInvoices[invoice_id],tblInvoices[total_invoice_amount])</f>
        <v/>
      </c>
      <c r="F6">
        <f>SUMIFS(tblPayments[payment_amount],tblPayments[invoice_id],A6,tblPayments[payment_status],"Success")</f>
        <v/>
      </c>
      <c r="G6">
        <f>MAX(0,E6-F6)</f>
        <v/>
      </c>
      <c r="H6">
        <f>DATE(2026,8,13)-D6</f>
        <v/>
      </c>
      <c r="I6">
        <f>IFS(G6=0,"Excluded (paid)",H6&lt;=0,"Current",H6&lt;=30,"1-30 days",H6&lt;=60,"31-60 days",H6&lt;=90,"61-90 days",TRUE,"90+ days")</f>
        <v/>
      </c>
    </row>
    <row r="7">
      <c r="A7" t="inlineStr">
        <is>
          <t>INV0000958</t>
        </is>
      </c>
      <c r="B7" t="inlineStr">
        <is>
          <t>MER00048</t>
        </is>
      </c>
      <c r="C7">
        <f>XLOOKUP(B7,Merchants!$A$4:$A$1000,Merchants!$B$4:$B$1000,"Not found")</f>
        <v/>
      </c>
      <c r="D7">
        <f>XLOOKUP(A7,tblInvoices[invoice_id],tblInvoices[due_date])</f>
        <v/>
      </c>
      <c r="E7">
        <f>XLOOKUP(A7,tblInvoices[invoice_id],tblInvoices[total_invoice_amount])</f>
        <v/>
      </c>
      <c r="F7">
        <f>SUMIFS(tblPayments[payment_amount],tblPayments[invoice_id],A7,tblPayments[payment_status],"Success")</f>
        <v/>
      </c>
      <c r="G7">
        <f>MAX(0,E7-F7)</f>
        <v/>
      </c>
      <c r="H7">
        <f>DATE(2026,8,13)-D7</f>
        <v/>
      </c>
      <c r="I7">
        <f>IFS(G7=0,"Excluded (paid)",H7&lt;=0,"Current",H7&lt;=30,"1-30 days",H7&lt;=60,"31-60 days",H7&lt;=90,"61-90 days",TRUE,"90+ days")</f>
        <v/>
      </c>
    </row>
    <row r="8">
      <c r="A8" t="inlineStr">
        <is>
          <t>INV0000959</t>
        </is>
      </c>
      <c r="B8" t="inlineStr">
        <is>
          <t>MER00048</t>
        </is>
      </c>
      <c r="C8">
        <f>XLOOKUP(B8,Merchants!$A$4:$A$1000,Merchants!$B$4:$B$1000,"Not found")</f>
        <v/>
      </c>
      <c r="D8">
        <f>XLOOKUP(A8,tblInvoices[invoice_id],tblInvoices[due_date])</f>
        <v/>
      </c>
      <c r="E8">
        <f>XLOOKUP(A8,tblInvoices[invoice_id],tblInvoices[total_invoice_amount])</f>
        <v/>
      </c>
      <c r="F8">
        <f>SUMIFS(tblPayments[payment_amount],tblPayments[invoice_id],A8,tblPayments[payment_status],"Success")</f>
        <v/>
      </c>
      <c r="G8">
        <f>MAX(0,E8-F8)</f>
        <v/>
      </c>
      <c r="H8">
        <f>DATE(2026,8,13)-D8</f>
        <v/>
      </c>
      <c r="I8">
        <f>IFS(G8=0,"Excluded (paid)",H8&lt;=0,"Current",H8&lt;=30,"1-30 days",H8&lt;=60,"31-60 days",H8&lt;=90,"61-90 days",TRUE,"90+ days")</f>
        <v/>
      </c>
    </row>
    <row r="9">
      <c r="A9" t="inlineStr">
        <is>
          <t>INV0000960</t>
        </is>
      </c>
      <c r="B9" t="inlineStr">
        <is>
          <t>MER00048</t>
        </is>
      </c>
      <c r="C9">
        <f>XLOOKUP(B9,Merchants!$A$4:$A$1000,Merchants!$B$4:$B$1000,"Not found")</f>
        <v/>
      </c>
      <c r="D9">
        <f>XLOOKUP(A9,tblInvoices[invoice_id],tblInvoices[due_date])</f>
        <v/>
      </c>
      <c r="E9">
        <f>XLOOKUP(A9,tblInvoices[invoice_id],tblInvoices[total_invoice_amount])</f>
        <v/>
      </c>
      <c r="F9">
        <f>SUMIFS(tblPayments[payment_amount],tblPayments[invoice_id],A9,tblPayments[payment_status],"Success")</f>
        <v/>
      </c>
      <c r="G9">
        <f>MAX(0,E9-F9)</f>
        <v/>
      </c>
      <c r="H9">
        <f>DATE(2026,8,13)-D9</f>
        <v/>
      </c>
      <c r="I9">
        <f>IFS(G9=0,"Excluded (paid)",H9&lt;=0,"Current",H9&lt;=30,"1-30 days",H9&lt;=60,"31-60 days",H9&lt;=90,"61-90 days",TRUE,"90+ days")</f>
        <v/>
      </c>
    </row>
    <row r="10">
      <c r="A10" t="inlineStr">
        <is>
          <t>INV0000961</t>
        </is>
      </c>
      <c r="B10" t="inlineStr">
        <is>
          <t>MER00048</t>
        </is>
      </c>
      <c r="C10">
        <f>XLOOKUP(B10,Merchants!$A$4:$A$1000,Merchants!$B$4:$B$1000,"Not found")</f>
        <v/>
      </c>
      <c r="D10">
        <f>XLOOKUP(A10,tblInvoices[invoice_id],tblInvoices[due_date])</f>
        <v/>
      </c>
      <c r="E10">
        <f>XLOOKUP(A10,tblInvoices[invoice_id],tblInvoices[total_invoice_amount])</f>
        <v/>
      </c>
      <c r="F10">
        <f>SUMIFS(tblPayments[payment_amount],tblPayments[invoice_id],A10,tblPayments[payment_status],"Success")</f>
        <v/>
      </c>
      <c r="G10">
        <f>MAX(0,E10-F10)</f>
        <v/>
      </c>
      <c r="H10">
        <f>DATE(2026,8,13)-D10</f>
        <v/>
      </c>
      <c r="I10">
        <f>IFS(G10=0,"Excluded (paid)",H10&lt;=0,"Current",H10&lt;=30,"1-30 days",H10&lt;=60,"31-60 days",H10&lt;=90,"61-90 days",TRUE,"90+ days")</f>
        <v/>
      </c>
    </row>
    <row r="11">
      <c r="A11" t="inlineStr">
        <is>
          <t>INV0000962</t>
        </is>
      </c>
      <c r="B11" t="inlineStr">
        <is>
          <t>MER00048</t>
        </is>
      </c>
      <c r="C11">
        <f>XLOOKUP(B11,Merchants!$A$4:$A$1000,Merchants!$B$4:$B$1000,"Not found")</f>
        <v/>
      </c>
      <c r="D11">
        <f>XLOOKUP(A11,tblInvoices[invoice_id],tblInvoices[due_date])</f>
        <v/>
      </c>
      <c r="E11">
        <f>XLOOKUP(A11,tblInvoices[invoice_id],tblInvoices[total_invoice_amount])</f>
        <v/>
      </c>
      <c r="F11">
        <f>SUMIFS(tblPayments[payment_amount],tblPayments[invoice_id],A11,tblPayments[payment_status],"Success")</f>
        <v/>
      </c>
      <c r="G11">
        <f>MAX(0,E11-F11)</f>
        <v/>
      </c>
      <c r="H11">
        <f>DATE(2026,8,13)-D11</f>
        <v/>
      </c>
      <c r="I11">
        <f>IFS(G11=0,"Excluded (paid)",H11&lt;=0,"Current",H11&lt;=30,"1-30 days",H11&lt;=60,"31-60 days",H11&lt;=90,"61-90 days",TRUE,"90+ days")</f>
        <v/>
      </c>
    </row>
    <row r="12">
      <c r="A12" t="inlineStr">
        <is>
          <t>INV0000963</t>
        </is>
      </c>
      <c r="B12" t="inlineStr">
        <is>
          <t>MER00048</t>
        </is>
      </c>
      <c r="C12">
        <f>XLOOKUP(B12,Merchants!$A$4:$A$1000,Merchants!$B$4:$B$1000,"Not found")</f>
        <v/>
      </c>
      <c r="D12">
        <f>XLOOKUP(A12,tblInvoices[invoice_id],tblInvoices[due_date])</f>
        <v/>
      </c>
      <c r="E12">
        <f>XLOOKUP(A12,tblInvoices[invoice_id],tblInvoices[total_invoice_amount])</f>
        <v/>
      </c>
      <c r="F12">
        <f>SUMIFS(tblPayments[payment_amount],tblPayments[invoice_id],A12,tblPayments[payment_status],"Success")</f>
        <v/>
      </c>
      <c r="G12">
        <f>MAX(0,E12-F12)</f>
        <v/>
      </c>
      <c r="H12">
        <f>DATE(2026,8,13)-D12</f>
        <v/>
      </c>
      <c r="I12">
        <f>IFS(G12=0,"Excluded (paid)",H12&lt;=0,"Current",H12&lt;=30,"1-30 days",H12&lt;=60,"31-60 days",H12&lt;=90,"61-90 days",TRUE,"90+ days")</f>
        <v/>
      </c>
    </row>
    <row r="13">
      <c r="A13" t="inlineStr">
        <is>
          <t>INV0000964</t>
        </is>
      </c>
      <c r="B13" t="inlineStr">
        <is>
          <t>MER00048</t>
        </is>
      </c>
      <c r="C13">
        <f>XLOOKUP(B13,Merchants!$A$4:$A$1000,Merchants!$B$4:$B$1000,"Not found")</f>
        <v/>
      </c>
      <c r="D13">
        <f>XLOOKUP(A13,tblInvoices[invoice_id],tblInvoices[due_date])</f>
        <v/>
      </c>
      <c r="E13">
        <f>XLOOKUP(A13,tblInvoices[invoice_id],tblInvoices[total_invoice_amount])</f>
        <v/>
      </c>
      <c r="F13">
        <f>SUMIFS(tblPayments[payment_amount],tblPayments[invoice_id],A13,tblPayments[payment_status],"Success")</f>
        <v/>
      </c>
      <c r="G13">
        <f>MAX(0,E13-F13)</f>
        <v/>
      </c>
      <c r="H13">
        <f>DATE(2026,8,13)-D13</f>
        <v/>
      </c>
      <c r="I13">
        <f>IFS(G13=0,"Excluded (paid)",H13&lt;=0,"Current",H13&lt;=30,"1-30 days",H13&lt;=60,"31-60 days",H13&lt;=90,"61-90 days",TRUE,"90+ days")</f>
        <v/>
      </c>
    </row>
    <row r="14">
      <c r="A14" t="inlineStr">
        <is>
          <t>INV0000965</t>
        </is>
      </c>
      <c r="B14" t="inlineStr">
        <is>
          <t>MER00048</t>
        </is>
      </c>
      <c r="C14">
        <f>XLOOKUP(B14,Merchants!$A$4:$A$1000,Merchants!$B$4:$B$1000,"Not found")</f>
        <v/>
      </c>
      <c r="D14">
        <f>XLOOKUP(A14,tblInvoices[invoice_id],tblInvoices[due_date])</f>
        <v/>
      </c>
      <c r="E14">
        <f>XLOOKUP(A14,tblInvoices[invoice_id],tblInvoices[total_invoice_amount])</f>
        <v/>
      </c>
      <c r="F14">
        <f>SUMIFS(tblPayments[payment_amount],tblPayments[invoice_id],A14,tblPayments[payment_status],"Success")</f>
        <v/>
      </c>
      <c r="G14">
        <f>MAX(0,E14-F14)</f>
        <v/>
      </c>
      <c r="H14">
        <f>DATE(2026,8,13)-D14</f>
        <v/>
      </c>
      <c r="I14">
        <f>IFS(G14=0,"Excluded (paid)",H14&lt;=0,"Current",H14&lt;=30,"1-30 days",H14&lt;=60,"31-60 days",H14&lt;=90,"61-90 days",TRUE,"90+ days")</f>
        <v/>
      </c>
    </row>
    <row r="15">
      <c r="A15" t="inlineStr">
        <is>
          <t>INV0000966</t>
        </is>
      </c>
      <c r="B15" t="inlineStr">
        <is>
          <t>MER00048</t>
        </is>
      </c>
      <c r="C15">
        <f>XLOOKUP(B15,Merchants!$A$4:$A$1000,Merchants!$B$4:$B$1000,"Not found")</f>
        <v/>
      </c>
      <c r="D15">
        <f>XLOOKUP(A15,tblInvoices[invoice_id],tblInvoices[due_date])</f>
        <v/>
      </c>
      <c r="E15">
        <f>XLOOKUP(A15,tblInvoices[invoice_id],tblInvoices[total_invoice_amount])</f>
        <v/>
      </c>
      <c r="F15">
        <f>SUMIFS(tblPayments[payment_amount],tblPayments[invoice_id],A15,tblPayments[payment_status],"Success")</f>
        <v/>
      </c>
      <c r="G15">
        <f>MAX(0,E15-F15)</f>
        <v/>
      </c>
      <c r="H15">
        <f>DATE(2026,8,13)-D15</f>
        <v/>
      </c>
      <c r="I15">
        <f>IFS(G15=0,"Excluded (paid)",H15&lt;=0,"Current",H15&lt;=30,"1-30 days",H15&lt;=60,"31-60 days",H15&lt;=90,"61-90 days",TRUE,"90+ days")</f>
        <v/>
      </c>
    </row>
    <row r="16">
      <c r="A16" t="inlineStr">
        <is>
          <t>INV0000967</t>
        </is>
      </c>
      <c r="B16" t="inlineStr">
        <is>
          <t>MER00048</t>
        </is>
      </c>
      <c r="C16">
        <f>XLOOKUP(B16,Merchants!$A$4:$A$1000,Merchants!$B$4:$B$1000,"Not found")</f>
        <v/>
      </c>
      <c r="D16">
        <f>XLOOKUP(A16,tblInvoices[invoice_id],tblInvoices[due_date])</f>
        <v/>
      </c>
      <c r="E16">
        <f>XLOOKUP(A16,tblInvoices[invoice_id],tblInvoices[total_invoice_amount])</f>
        <v/>
      </c>
      <c r="F16">
        <f>SUMIFS(tblPayments[payment_amount],tblPayments[invoice_id],A16,tblPayments[payment_status],"Success")</f>
        <v/>
      </c>
      <c r="G16">
        <f>MAX(0,E16-F16)</f>
        <v/>
      </c>
      <c r="H16">
        <f>DATE(2026,8,13)-D16</f>
        <v/>
      </c>
      <c r="I16">
        <f>IFS(G16=0,"Excluded (paid)",H16&lt;=0,"Current",H16&lt;=30,"1-30 days",H16&lt;=60,"31-60 days",H16&lt;=90,"61-90 days",TRUE,"90+ days")</f>
        <v/>
      </c>
    </row>
    <row r="17">
      <c r="A17" t="inlineStr">
        <is>
          <t>INV0000968</t>
        </is>
      </c>
      <c r="B17" t="inlineStr">
        <is>
          <t>MER00048</t>
        </is>
      </c>
      <c r="C17">
        <f>XLOOKUP(B17,Merchants!$A$4:$A$1000,Merchants!$B$4:$B$1000,"Not found")</f>
        <v/>
      </c>
      <c r="D17">
        <f>XLOOKUP(A17,tblInvoices[invoice_id],tblInvoices[due_date])</f>
        <v/>
      </c>
      <c r="E17">
        <f>XLOOKUP(A17,tblInvoices[invoice_id],tblInvoices[total_invoice_amount])</f>
        <v/>
      </c>
      <c r="F17">
        <f>SUMIFS(tblPayments[payment_amount],tblPayments[invoice_id],A17,tblPayments[payment_status],"Success")</f>
        <v/>
      </c>
      <c r="G17">
        <f>MAX(0,E17-F17)</f>
        <v/>
      </c>
      <c r="H17">
        <f>DATE(2026,8,13)-D17</f>
        <v/>
      </c>
      <c r="I17">
        <f>IFS(G17=0,"Excluded (paid)",H17&lt;=0,"Current",H17&lt;=30,"1-30 days",H17&lt;=60,"31-60 days",H17&lt;=90,"61-90 days",TRUE,"90+ days")</f>
        <v/>
      </c>
    </row>
    <row r="18">
      <c r="A18" t="inlineStr">
        <is>
          <t>INV0000969</t>
        </is>
      </c>
      <c r="B18" t="inlineStr">
        <is>
          <t>MER00048</t>
        </is>
      </c>
      <c r="C18">
        <f>XLOOKUP(B18,Merchants!$A$4:$A$1000,Merchants!$B$4:$B$1000,"Not found")</f>
        <v/>
      </c>
      <c r="D18">
        <f>XLOOKUP(A18,tblInvoices[invoice_id],tblInvoices[due_date])</f>
        <v/>
      </c>
      <c r="E18">
        <f>XLOOKUP(A18,tblInvoices[invoice_id],tblInvoices[total_invoice_amount])</f>
        <v/>
      </c>
      <c r="F18">
        <f>SUMIFS(tblPayments[payment_amount],tblPayments[invoice_id],A18,tblPayments[payment_status],"Success")</f>
        <v/>
      </c>
      <c r="G18">
        <f>MAX(0,E18-F18)</f>
        <v/>
      </c>
      <c r="H18">
        <f>DATE(2026,8,13)-D18</f>
        <v/>
      </c>
      <c r="I18">
        <f>IFS(G18=0,"Excluded (paid)",H18&lt;=0,"Current",H18&lt;=30,"1-30 days",H18&lt;=60,"31-60 days",H18&lt;=90,"61-90 days",TRUE,"90+ days")</f>
        <v/>
      </c>
    </row>
    <row r="19">
      <c r="A19" t="inlineStr">
        <is>
          <t>INV0000970</t>
        </is>
      </c>
      <c r="B19" t="inlineStr">
        <is>
          <t>MER00048</t>
        </is>
      </c>
      <c r="C19">
        <f>XLOOKUP(B19,Merchants!$A$4:$A$1000,Merchants!$B$4:$B$1000,"Not found")</f>
        <v/>
      </c>
      <c r="D19">
        <f>XLOOKUP(A19,tblInvoices[invoice_id],tblInvoices[due_date])</f>
        <v/>
      </c>
      <c r="E19">
        <f>XLOOKUP(A19,tblInvoices[invoice_id],tblInvoices[total_invoice_amount])</f>
        <v/>
      </c>
      <c r="F19">
        <f>SUMIFS(tblPayments[payment_amount],tblPayments[invoice_id],A19,tblPayments[payment_status],"Success")</f>
        <v/>
      </c>
      <c r="G19">
        <f>MAX(0,E19-F19)</f>
        <v/>
      </c>
      <c r="H19">
        <f>DATE(2026,8,13)-D19</f>
        <v/>
      </c>
      <c r="I19">
        <f>IFS(G19=0,"Excluded (paid)",H19&lt;=0,"Current",H19&lt;=30,"1-30 days",H19&lt;=60,"31-60 days",H19&lt;=90,"61-90 days",TRUE,"90+ days")</f>
        <v/>
      </c>
    </row>
    <row r="20">
      <c r="A20" t="inlineStr">
        <is>
          <t>INV0000971</t>
        </is>
      </c>
      <c r="B20" t="inlineStr">
        <is>
          <t>MER00048</t>
        </is>
      </c>
      <c r="C20">
        <f>XLOOKUP(B20,Merchants!$A$4:$A$1000,Merchants!$B$4:$B$1000,"Not found")</f>
        <v/>
      </c>
      <c r="D20">
        <f>XLOOKUP(A20,tblInvoices[invoice_id],tblInvoices[due_date])</f>
        <v/>
      </c>
      <c r="E20">
        <f>XLOOKUP(A20,tblInvoices[invoice_id],tblInvoices[total_invoice_amount])</f>
        <v/>
      </c>
      <c r="F20">
        <f>SUMIFS(tblPayments[payment_amount],tblPayments[invoice_id],A20,tblPayments[payment_status],"Success")</f>
        <v/>
      </c>
      <c r="G20">
        <f>MAX(0,E20-F20)</f>
        <v/>
      </c>
      <c r="H20">
        <f>DATE(2026,8,13)-D20</f>
        <v/>
      </c>
      <c r="I20">
        <f>IFS(G20=0,"Excluded (paid)",H20&lt;=0,"Current",H20&lt;=30,"1-30 days",H20&lt;=60,"31-60 days",H20&lt;=90,"61-90 days",TRUE,"90+ days")</f>
        <v/>
      </c>
    </row>
    <row r="21">
      <c r="A21" t="inlineStr">
        <is>
          <t>INV0000972</t>
        </is>
      </c>
      <c r="B21" t="inlineStr">
        <is>
          <t>MER00048</t>
        </is>
      </c>
      <c r="C21">
        <f>XLOOKUP(B21,Merchants!$A$4:$A$1000,Merchants!$B$4:$B$1000,"Not found")</f>
        <v/>
      </c>
      <c r="D21">
        <f>XLOOKUP(A21,tblInvoices[invoice_id],tblInvoices[due_date])</f>
        <v/>
      </c>
      <c r="E21">
        <f>XLOOKUP(A21,tblInvoices[invoice_id],tblInvoices[total_invoice_amount])</f>
        <v/>
      </c>
      <c r="F21">
        <f>SUMIFS(tblPayments[payment_amount],tblPayments[invoice_id],A21,tblPayments[payment_status],"Success")</f>
        <v/>
      </c>
      <c r="G21">
        <f>MAX(0,E21-F21)</f>
        <v/>
      </c>
      <c r="H21">
        <f>DATE(2026,8,13)-D21</f>
        <v/>
      </c>
      <c r="I21">
        <f>IFS(G21=0,"Excluded (paid)",H21&lt;=0,"Current",H21&lt;=30,"1-30 days",H21&lt;=60,"31-60 days",H21&lt;=90,"61-90 days",TRUE,"90+ days")</f>
        <v/>
      </c>
    </row>
    <row r="22">
      <c r="A22" t="inlineStr">
        <is>
          <t>INV0000973</t>
        </is>
      </c>
      <c r="B22" t="inlineStr">
        <is>
          <t>MER00048</t>
        </is>
      </c>
      <c r="C22">
        <f>XLOOKUP(B22,Merchants!$A$4:$A$1000,Merchants!$B$4:$B$1000,"Not found")</f>
        <v/>
      </c>
      <c r="D22">
        <f>XLOOKUP(A22,tblInvoices[invoice_id],tblInvoices[due_date])</f>
        <v/>
      </c>
      <c r="E22">
        <f>XLOOKUP(A22,tblInvoices[invoice_id],tblInvoices[total_invoice_amount])</f>
        <v/>
      </c>
      <c r="F22">
        <f>SUMIFS(tblPayments[payment_amount],tblPayments[invoice_id],A22,tblPayments[payment_status],"Success")</f>
        <v/>
      </c>
      <c r="G22">
        <f>MAX(0,E22-F22)</f>
        <v/>
      </c>
      <c r="H22">
        <f>DATE(2026,8,13)-D22</f>
        <v/>
      </c>
      <c r="I22">
        <f>IFS(G22=0,"Excluded (paid)",H22&lt;=0,"Current",H22&lt;=30,"1-30 days",H22&lt;=60,"31-60 days",H22&lt;=90,"61-90 days",TRUE,"90+ days")</f>
        <v/>
      </c>
    </row>
    <row r="23">
      <c r="A23" t="inlineStr">
        <is>
          <t>INV0000974</t>
        </is>
      </c>
      <c r="B23" t="inlineStr">
        <is>
          <t>MER00048</t>
        </is>
      </c>
      <c r="C23">
        <f>XLOOKUP(B23,Merchants!$A$4:$A$1000,Merchants!$B$4:$B$1000,"Not found")</f>
        <v/>
      </c>
      <c r="D23">
        <f>XLOOKUP(A23,tblInvoices[invoice_id],tblInvoices[due_date])</f>
        <v/>
      </c>
      <c r="E23">
        <f>XLOOKUP(A23,tblInvoices[invoice_id],tblInvoices[total_invoice_amount])</f>
        <v/>
      </c>
      <c r="F23">
        <f>SUMIFS(tblPayments[payment_amount],tblPayments[invoice_id],A23,tblPayments[payment_status],"Success")</f>
        <v/>
      </c>
      <c r="G23">
        <f>MAX(0,E23-F23)</f>
        <v/>
      </c>
      <c r="H23">
        <f>DATE(2026,8,13)-D23</f>
        <v/>
      </c>
      <c r="I23">
        <f>IFS(G23=0,"Excluded (paid)",H23&lt;=0,"Current",H23&lt;=30,"1-30 days",H23&lt;=60,"31-60 days",H23&lt;=90,"61-90 days",TRUE,"90+ days")</f>
        <v/>
      </c>
    </row>
    <row r="24">
      <c r="A24" t="inlineStr">
        <is>
          <t>INV0000975</t>
        </is>
      </c>
      <c r="B24" t="inlineStr">
        <is>
          <t>MER00048</t>
        </is>
      </c>
      <c r="C24">
        <f>XLOOKUP(B24,Merchants!$A$4:$A$1000,Merchants!$B$4:$B$1000,"Not found")</f>
        <v/>
      </c>
      <c r="D24">
        <f>XLOOKUP(A24,tblInvoices[invoice_id],tblInvoices[due_date])</f>
        <v/>
      </c>
      <c r="E24">
        <f>XLOOKUP(A24,tblInvoices[invoice_id],tblInvoices[total_invoice_amount])</f>
        <v/>
      </c>
      <c r="F24">
        <f>SUMIFS(tblPayments[payment_amount],tblPayments[invoice_id],A24,tblPayments[payment_status],"Success")</f>
        <v/>
      </c>
      <c r="G24">
        <f>MAX(0,E24-F24)</f>
        <v/>
      </c>
      <c r="H24">
        <f>DATE(2026,8,13)-D24</f>
        <v/>
      </c>
      <c r="I24">
        <f>IFS(G24=0,"Excluded (paid)",H24&lt;=0,"Current",H24&lt;=30,"1-30 days",H24&lt;=60,"31-60 days",H24&lt;=90,"61-90 days",TRUE,"90+ days")</f>
        <v/>
      </c>
    </row>
    <row r="25">
      <c r="A25" t="inlineStr">
        <is>
          <t>INV0000976</t>
        </is>
      </c>
      <c r="B25" t="inlineStr">
        <is>
          <t>MER00048</t>
        </is>
      </c>
      <c r="C25">
        <f>XLOOKUP(B25,Merchants!$A$4:$A$1000,Merchants!$B$4:$B$1000,"Not found")</f>
        <v/>
      </c>
      <c r="D25">
        <f>XLOOKUP(A25,tblInvoices[invoice_id],tblInvoices[due_date])</f>
        <v/>
      </c>
      <c r="E25">
        <f>XLOOKUP(A25,tblInvoices[invoice_id],tblInvoices[total_invoice_amount])</f>
        <v/>
      </c>
      <c r="F25">
        <f>SUMIFS(tblPayments[payment_amount],tblPayments[invoice_id],A25,tblPayments[payment_status],"Success")</f>
        <v/>
      </c>
      <c r="G25">
        <f>MAX(0,E25-F25)</f>
        <v/>
      </c>
      <c r="H25">
        <f>DATE(2026,8,13)-D25</f>
        <v/>
      </c>
      <c r="I25">
        <f>IFS(G25=0,"Excluded (paid)",H25&lt;=0,"Current",H25&lt;=30,"1-30 days",H25&lt;=60,"31-60 days",H25&lt;=90,"61-90 days",TRUE,"90+ days")</f>
        <v/>
      </c>
    </row>
    <row r="26">
      <c r="A26" t="inlineStr">
        <is>
          <t>INV0000977</t>
        </is>
      </c>
      <c r="B26" t="inlineStr">
        <is>
          <t>MER00048</t>
        </is>
      </c>
      <c r="C26">
        <f>XLOOKUP(B26,Merchants!$A$4:$A$1000,Merchants!$B$4:$B$1000,"Not found")</f>
        <v/>
      </c>
      <c r="D26">
        <f>XLOOKUP(A26,tblInvoices[invoice_id],tblInvoices[due_date])</f>
        <v/>
      </c>
      <c r="E26">
        <f>XLOOKUP(A26,tblInvoices[invoice_id],tblInvoices[total_invoice_amount])</f>
        <v/>
      </c>
      <c r="F26">
        <f>SUMIFS(tblPayments[payment_amount],tblPayments[invoice_id],A26,tblPayments[payment_status],"Success")</f>
        <v/>
      </c>
      <c r="G26">
        <f>MAX(0,E26-F26)</f>
        <v/>
      </c>
      <c r="H26">
        <f>DATE(2026,8,13)-D26</f>
        <v/>
      </c>
      <c r="I26">
        <f>IFS(G26=0,"Excluded (paid)",H26&lt;=0,"Current",H26&lt;=30,"1-30 days",H26&lt;=60,"31-60 days",H26&lt;=90,"61-90 days",TRUE,"90+ days")</f>
        <v/>
      </c>
    </row>
    <row r="27">
      <c r="A27" t="inlineStr">
        <is>
          <t>INV0000978</t>
        </is>
      </c>
      <c r="B27" t="inlineStr">
        <is>
          <t>MER00048</t>
        </is>
      </c>
      <c r="C27">
        <f>XLOOKUP(B27,Merchants!$A$4:$A$1000,Merchants!$B$4:$B$1000,"Not found")</f>
        <v/>
      </c>
      <c r="D27">
        <f>XLOOKUP(A27,tblInvoices[invoice_id],tblInvoices[due_date])</f>
        <v/>
      </c>
      <c r="E27">
        <f>XLOOKUP(A27,tblInvoices[invoice_id],tblInvoices[total_invoice_amount])</f>
        <v/>
      </c>
      <c r="F27">
        <f>SUMIFS(tblPayments[payment_amount],tblPayments[invoice_id],A27,tblPayments[payment_status],"Success")</f>
        <v/>
      </c>
      <c r="G27">
        <f>MAX(0,E27-F27)</f>
        <v/>
      </c>
      <c r="H27">
        <f>DATE(2026,8,13)-D27</f>
        <v/>
      </c>
      <c r="I27">
        <f>IFS(G27=0,"Excluded (paid)",H27&lt;=0,"Current",H27&lt;=30,"1-30 days",H27&lt;=60,"31-60 days",H27&lt;=90,"61-90 days",TRUE,"90+ days")</f>
        <v/>
      </c>
    </row>
    <row r="28">
      <c r="A28" t="inlineStr">
        <is>
          <t>INV0001101</t>
        </is>
      </c>
      <c r="B28" t="inlineStr">
        <is>
          <t>MER00055</t>
        </is>
      </c>
      <c r="C28">
        <f>XLOOKUP(B28,Merchants!$A$4:$A$1000,Merchants!$B$4:$B$1000,"Not found")</f>
        <v/>
      </c>
      <c r="D28">
        <f>XLOOKUP(A28,tblInvoices[invoice_id],tblInvoices[due_date])</f>
        <v/>
      </c>
      <c r="E28">
        <f>XLOOKUP(A28,tblInvoices[invoice_id],tblInvoices[total_invoice_amount])</f>
        <v/>
      </c>
      <c r="F28">
        <f>SUMIFS(tblPayments[payment_amount],tblPayments[invoice_id],A28,tblPayments[payment_status],"Success")</f>
        <v/>
      </c>
      <c r="G28">
        <f>MAX(0,E28-F28)</f>
        <v/>
      </c>
      <c r="H28">
        <f>DATE(2026,8,13)-D28</f>
        <v/>
      </c>
      <c r="I28">
        <f>IFS(G28=0,"Excluded (paid)",H28&lt;=0,"Current",H28&lt;=30,"1-30 days",H28&lt;=60,"31-60 days",H28&lt;=90,"61-90 days",TRUE,"90+ days")</f>
        <v/>
      </c>
    </row>
    <row r="29">
      <c r="A29" t="inlineStr">
        <is>
          <t>INV0001102</t>
        </is>
      </c>
      <c r="B29" t="inlineStr">
        <is>
          <t>MER00055</t>
        </is>
      </c>
      <c r="C29">
        <f>XLOOKUP(B29,Merchants!$A$4:$A$1000,Merchants!$B$4:$B$1000,"Not found")</f>
        <v/>
      </c>
      <c r="D29">
        <f>XLOOKUP(A29,tblInvoices[invoice_id],tblInvoices[due_date])</f>
        <v/>
      </c>
      <c r="E29">
        <f>XLOOKUP(A29,tblInvoices[invoice_id],tblInvoices[total_invoice_amount])</f>
        <v/>
      </c>
      <c r="F29">
        <f>SUMIFS(tblPayments[payment_amount],tblPayments[invoice_id],A29,tblPayments[payment_status],"Success")</f>
        <v/>
      </c>
      <c r="G29">
        <f>MAX(0,E29-F29)</f>
        <v/>
      </c>
      <c r="H29">
        <f>DATE(2026,8,13)-D29</f>
        <v/>
      </c>
      <c r="I29">
        <f>IFS(G29=0,"Excluded (paid)",H29&lt;=0,"Current",H29&lt;=30,"1-30 days",H29&lt;=60,"31-60 days",H29&lt;=90,"61-90 days",TRUE,"90+ days")</f>
        <v/>
      </c>
    </row>
    <row r="30">
      <c r="A30" t="inlineStr">
        <is>
          <t>INV0001103</t>
        </is>
      </c>
      <c r="B30" t="inlineStr">
        <is>
          <t>MER00055</t>
        </is>
      </c>
      <c r="C30">
        <f>XLOOKUP(B30,Merchants!$A$4:$A$1000,Merchants!$B$4:$B$1000,"Not found")</f>
        <v/>
      </c>
      <c r="D30">
        <f>XLOOKUP(A30,tblInvoices[invoice_id],tblInvoices[due_date])</f>
        <v/>
      </c>
      <c r="E30">
        <f>XLOOKUP(A30,tblInvoices[invoice_id],tblInvoices[total_invoice_amount])</f>
        <v/>
      </c>
      <c r="F30">
        <f>SUMIFS(tblPayments[payment_amount],tblPayments[invoice_id],A30,tblPayments[payment_status],"Success")</f>
        <v/>
      </c>
      <c r="G30">
        <f>MAX(0,E30-F30)</f>
        <v/>
      </c>
      <c r="H30">
        <f>DATE(2026,8,13)-D30</f>
        <v/>
      </c>
      <c r="I30">
        <f>IFS(G30=0,"Excluded (paid)",H30&lt;=0,"Current",H30&lt;=30,"1-30 days",H30&lt;=60,"31-60 days",H30&lt;=90,"61-90 days",TRUE,"90+ days")</f>
        <v/>
      </c>
    </row>
    <row r="31">
      <c r="A31" t="inlineStr">
        <is>
          <t>INV0001104</t>
        </is>
      </c>
      <c r="B31" t="inlineStr">
        <is>
          <t>MER00055</t>
        </is>
      </c>
      <c r="C31">
        <f>XLOOKUP(B31,Merchants!$A$4:$A$1000,Merchants!$B$4:$B$1000,"Not found")</f>
        <v/>
      </c>
      <c r="D31">
        <f>XLOOKUP(A31,tblInvoices[invoice_id],tblInvoices[due_date])</f>
        <v/>
      </c>
      <c r="E31">
        <f>XLOOKUP(A31,tblInvoices[invoice_id],tblInvoices[total_invoice_amount])</f>
        <v/>
      </c>
      <c r="F31">
        <f>SUMIFS(tblPayments[payment_amount],tblPayments[invoice_id],A31,tblPayments[payment_status],"Success")</f>
        <v/>
      </c>
      <c r="G31">
        <f>MAX(0,E31-F31)</f>
        <v/>
      </c>
      <c r="H31">
        <f>DATE(2026,8,13)-D31</f>
        <v/>
      </c>
      <c r="I31">
        <f>IFS(G31=0,"Excluded (paid)",H31&lt;=0,"Current",H31&lt;=30,"1-30 days",H31&lt;=60,"31-60 days",H31&lt;=90,"61-90 days",TRUE,"90+ days")</f>
        <v/>
      </c>
    </row>
    <row r="32">
      <c r="A32" t="inlineStr">
        <is>
          <t>INV0001105</t>
        </is>
      </c>
      <c r="B32" t="inlineStr">
        <is>
          <t>MER00055</t>
        </is>
      </c>
      <c r="C32">
        <f>XLOOKUP(B32,Merchants!$A$4:$A$1000,Merchants!$B$4:$B$1000,"Not found")</f>
        <v/>
      </c>
      <c r="D32">
        <f>XLOOKUP(A32,tblInvoices[invoice_id],tblInvoices[due_date])</f>
        <v/>
      </c>
      <c r="E32">
        <f>XLOOKUP(A32,tblInvoices[invoice_id],tblInvoices[total_invoice_amount])</f>
        <v/>
      </c>
      <c r="F32">
        <f>SUMIFS(tblPayments[payment_amount],tblPayments[invoice_id],A32,tblPayments[payment_status],"Success")</f>
        <v/>
      </c>
      <c r="G32">
        <f>MAX(0,E32-F32)</f>
        <v/>
      </c>
      <c r="H32">
        <f>DATE(2026,8,13)-D32</f>
        <v/>
      </c>
      <c r="I32">
        <f>IFS(G32=0,"Excluded (paid)",H32&lt;=0,"Current",H32&lt;=30,"1-30 days",H32&lt;=60,"31-60 days",H32&lt;=90,"61-90 days",TRUE,"90+ days")</f>
        <v/>
      </c>
    </row>
    <row r="33">
      <c r="A33" t="inlineStr">
        <is>
          <t>INV0001106</t>
        </is>
      </c>
      <c r="B33" t="inlineStr">
        <is>
          <t>MER00055</t>
        </is>
      </c>
      <c r="C33">
        <f>XLOOKUP(B33,Merchants!$A$4:$A$1000,Merchants!$B$4:$B$1000,"Not found")</f>
        <v/>
      </c>
      <c r="D33">
        <f>XLOOKUP(A33,tblInvoices[invoice_id],tblInvoices[due_date])</f>
        <v/>
      </c>
      <c r="E33">
        <f>XLOOKUP(A33,tblInvoices[invoice_id],tblInvoices[total_invoice_amount])</f>
        <v/>
      </c>
      <c r="F33">
        <f>SUMIFS(tblPayments[payment_amount],tblPayments[invoice_id],A33,tblPayments[payment_status],"Success")</f>
        <v/>
      </c>
      <c r="G33">
        <f>MAX(0,E33-F33)</f>
        <v/>
      </c>
      <c r="H33">
        <f>DATE(2026,8,13)-D33</f>
        <v/>
      </c>
      <c r="I33">
        <f>IFS(G33=0,"Excluded (paid)",H33&lt;=0,"Current",H33&lt;=30,"1-30 days",H33&lt;=60,"31-60 days",H33&lt;=90,"61-90 days",TRUE,"90+ days")</f>
        <v/>
      </c>
    </row>
    <row r="34">
      <c r="A34" t="inlineStr">
        <is>
          <t>INV0001107</t>
        </is>
      </c>
      <c r="B34" t="inlineStr">
        <is>
          <t>MER00055</t>
        </is>
      </c>
      <c r="C34">
        <f>XLOOKUP(B34,Merchants!$A$4:$A$1000,Merchants!$B$4:$B$1000,"Not found")</f>
        <v/>
      </c>
      <c r="D34">
        <f>XLOOKUP(A34,tblInvoices[invoice_id],tblInvoices[due_date])</f>
        <v/>
      </c>
      <c r="E34">
        <f>XLOOKUP(A34,tblInvoices[invoice_id],tblInvoices[total_invoice_amount])</f>
        <v/>
      </c>
      <c r="F34">
        <f>SUMIFS(tblPayments[payment_amount],tblPayments[invoice_id],A34,tblPayments[payment_status],"Success")</f>
        <v/>
      </c>
      <c r="G34">
        <f>MAX(0,E34-F34)</f>
        <v/>
      </c>
      <c r="H34">
        <f>DATE(2026,8,13)-D34</f>
        <v/>
      </c>
      <c r="I34">
        <f>IFS(G34=0,"Excluded (paid)",H34&lt;=0,"Current",H34&lt;=30,"1-30 days",H34&lt;=60,"31-60 days",H34&lt;=90,"61-90 days",TRUE,"90+ days")</f>
        <v/>
      </c>
    </row>
    <row r="35">
      <c r="A35" t="inlineStr">
        <is>
          <t>INV0001108</t>
        </is>
      </c>
      <c r="B35" t="inlineStr">
        <is>
          <t>MER00055</t>
        </is>
      </c>
      <c r="C35">
        <f>XLOOKUP(B35,Merchants!$A$4:$A$1000,Merchants!$B$4:$B$1000,"Not found")</f>
        <v/>
      </c>
      <c r="D35">
        <f>XLOOKUP(A35,tblInvoices[invoice_id],tblInvoices[due_date])</f>
        <v/>
      </c>
      <c r="E35">
        <f>XLOOKUP(A35,tblInvoices[invoice_id],tblInvoices[total_invoice_amount])</f>
        <v/>
      </c>
      <c r="F35">
        <f>SUMIFS(tblPayments[payment_amount],tblPayments[invoice_id],A35,tblPayments[payment_status],"Success")</f>
        <v/>
      </c>
      <c r="G35">
        <f>MAX(0,E35-F35)</f>
        <v/>
      </c>
      <c r="H35">
        <f>DATE(2026,8,13)-D35</f>
        <v/>
      </c>
      <c r="I35">
        <f>IFS(G35=0,"Excluded (paid)",H35&lt;=0,"Current",H35&lt;=30,"1-30 days",H35&lt;=60,"31-60 days",H35&lt;=90,"61-90 days",TRUE,"90+ days")</f>
        <v/>
      </c>
    </row>
    <row r="36">
      <c r="A36" t="inlineStr">
        <is>
          <t>INV0001109</t>
        </is>
      </c>
      <c r="B36" t="inlineStr">
        <is>
          <t>MER00055</t>
        </is>
      </c>
      <c r="C36">
        <f>XLOOKUP(B36,Merchants!$A$4:$A$1000,Merchants!$B$4:$B$1000,"Not found")</f>
        <v/>
      </c>
      <c r="D36">
        <f>XLOOKUP(A36,tblInvoices[invoice_id],tblInvoices[due_date])</f>
        <v/>
      </c>
      <c r="E36">
        <f>XLOOKUP(A36,tblInvoices[invoice_id],tblInvoices[total_invoice_amount])</f>
        <v/>
      </c>
      <c r="F36">
        <f>SUMIFS(tblPayments[payment_amount],tblPayments[invoice_id],A36,tblPayments[payment_status],"Success")</f>
        <v/>
      </c>
      <c r="G36">
        <f>MAX(0,E36-F36)</f>
        <v/>
      </c>
      <c r="H36">
        <f>DATE(2026,8,13)-D36</f>
        <v/>
      </c>
      <c r="I36">
        <f>IFS(G36=0,"Excluded (paid)",H36&lt;=0,"Current",H36&lt;=30,"1-30 days",H36&lt;=60,"31-60 days",H36&lt;=90,"61-90 days",TRUE,"90+ days")</f>
        <v/>
      </c>
    </row>
    <row r="37">
      <c r="A37" t="inlineStr">
        <is>
          <t>INV0001110</t>
        </is>
      </c>
      <c r="B37" t="inlineStr">
        <is>
          <t>MER00055</t>
        </is>
      </c>
      <c r="C37">
        <f>XLOOKUP(B37,Merchants!$A$4:$A$1000,Merchants!$B$4:$B$1000,"Not found")</f>
        <v/>
      </c>
      <c r="D37">
        <f>XLOOKUP(A37,tblInvoices[invoice_id],tblInvoices[due_date])</f>
        <v/>
      </c>
      <c r="E37">
        <f>XLOOKUP(A37,tblInvoices[invoice_id],tblInvoices[total_invoice_amount])</f>
        <v/>
      </c>
      <c r="F37">
        <f>SUMIFS(tblPayments[payment_amount],tblPayments[invoice_id],A37,tblPayments[payment_status],"Success")</f>
        <v/>
      </c>
      <c r="G37">
        <f>MAX(0,E37-F37)</f>
        <v/>
      </c>
      <c r="H37">
        <f>DATE(2026,8,13)-D37</f>
        <v/>
      </c>
      <c r="I37">
        <f>IFS(G37=0,"Excluded (paid)",H37&lt;=0,"Current",H37&lt;=30,"1-30 days",H37&lt;=60,"31-60 days",H37&lt;=90,"61-90 days",TRUE,"90+ days")</f>
        <v/>
      </c>
    </row>
    <row r="38">
      <c r="A38" t="inlineStr">
        <is>
          <t>INV0001111</t>
        </is>
      </c>
      <c r="B38" t="inlineStr">
        <is>
          <t>MER00055</t>
        </is>
      </c>
      <c r="C38">
        <f>XLOOKUP(B38,Merchants!$A$4:$A$1000,Merchants!$B$4:$B$1000,"Not found")</f>
        <v/>
      </c>
      <c r="D38">
        <f>XLOOKUP(A38,tblInvoices[invoice_id],tblInvoices[due_date])</f>
        <v/>
      </c>
      <c r="E38">
        <f>XLOOKUP(A38,tblInvoices[invoice_id],tblInvoices[total_invoice_amount])</f>
        <v/>
      </c>
      <c r="F38">
        <f>SUMIFS(tblPayments[payment_amount],tblPayments[invoice_id],A38,tblPayments[payment_status],"Success")</f>
        <v/>
      </c>
      <c r="G38">
        <f>MAX(0,E38-F38)</f>
        <v/>
      </c>
      <c r="H38">
        <f>DATE(2026,8,13)-D38</f>
        <v/>
      </c>
      <c r="I38">
        <f>IFS(G38=0,"Excluded (paid)",H38&lt;=0,"Current",H38&lt;=30,"1-30 days",H38&lt;=60,"31-60 days",H38&lt;=90,"61-90 days",TRUE,"90+ days")</f>
        <v/>
      </c>
    </row>
    <row r="39">
      <c r="A39" t="inlineStr">
        <is>
          <t>INV0001112</t>
        </is>
      </c>
      <c r="B39" t="inlineStr">
        <is>
          <t>MER00055</t>
        </is>
      </c>
      <c r="C39">
        <f>XLOOKUP(B39,Merchants!$A$4:$A$1000,Merchants!$B$4:$B$1000,"Not found")</f>
        <v/>
      </c>
      <c r="D39">
        <f>XLOOKUP(A39,tblInvoices[invoice_id],tblInvoices[due_date])</f>
        <v/>
      </c>
      <c r="E39">
        <f>XLOOKUP(A39,tblInvoices[invoice_id],tblInvoices[total_invoice_amount])</f>
        <v/>
      </c>
      <c r="F39">
        <f>SUMIFS(tblPayments[payment_amount],tblPayments[invoice_id],A39,tblPayments[payment_status],"Success")</f>
        <v/>
      </c>
      <c r="G39">
        <f>MAX(0,E39-F39)</f>
        <v/>
      </c>
      <c r="H39">
        <f>DATE(2026,8,13)-D39</f>
        <v/>
      </c>
      <c r="I39">
        <f>IFS(G39=0,"Excluded (paid)",H39&lt;=0,"Current",H39&lt;=30,"1-30 days",H39&lt;=60,"31-60 days",H39&lt;=90,"61-90 days",TRUE,"90+ days")</f>
        <v/>
      </c>
    </row>
    <row r="40">
      <c r="A40" t="inlineStr">
        <is>
          <t>INV0001113</t>
        </is>
      </c>
      <c r="B40" t="inlineStr">
        <is>
          <t>MER00055</t>
        </is>
      </c>
      <c r="C40">
        <f>XLOOKUP(B40,Merchants!$A$4:$A$1000,Merchants!$B$4:$B$1000,"Not found")</f>
        <v/>
      </c>
      <c r="D40">
        <f>XLOOKUP(A40,tblInvoices[invoice_id],tblInvoices[due_date])</f>
        <v/>
      </c>
      <c r="E40">
        <f>XLOOKUP(A40,tblInvoices[invoice_id],tblInvoices[total_invoice_amount])</f>
        <v/>
      </c>
      <c r="F40">
        <f>SUMIFS(tblPayments[payment_amount],tblPayments[invoice_id],A40,tblPayments[payment_status],"Success")</f>
        <v/>
      </c>
      <c r="G40">
        <f>MAX(0,E40-F40)</f>
        <v/>
      </c>
      <c r="H40">
        <f>DATE(2026,8,13)-D40</f>
        <v/>
      </c>
      <c r="I40">
        <f>IFS(G40=0,"Excluded (paid)",H40&lt;=0,"Current",H40&lt;=30,"1-30 days",H40&lt;=60,"31-60 days",H40&lt;=90,"61-90 days",TRUE,"90+ days")</f>
        <v/>
      </c>
    </row>
    <row r="41">
      <c r="A41" t="inlineStr">
        <is>
          <t>INV0001114</t>
        </is>
      </c>
      <c r="B41" t="inlineStr">
        <is>
          <t>MER00055</t>
        </is>
      </c>
      <c r="C41">
        <f>XLOOKUP(B41,Merchants!$A$4:$A$1000,Merchants!$B$4:$B$1000,"Not found")</f>
        <v/>
      </c>
      <c r="D41">
        <f>XLOOKUP(A41,tblInvoices[invoice_id],tblInvoices[due_date])</f>
        <v/>
      </c>
      <c r="E41">
        <f>XLOOKUP(A41,tblInvoices[invoice_id],tblInvoices[total_invoice_amount])</f>
        <v/>
      </c>
      <c r="F41">
        <f>SUMIFS(tblPayments[payment_amount],tblPayments[invoice_id],A41,tblPayments[payment_status],"Success")</f>
        <v/>
      </c>
      <c r="G41">
        <f>MAX(0,E41-F41)</f>
        <v/>
      </c>
      <c r="H41">
        <f>DATE(2026,8,13)-D41</f>
        <v/>
      </c>
      <c r="I41">
        <f>IFS(G41=0,"Excluded (paid)",H41&lt;=0,"Current",H41&lt;=30,"1-30 days",H41&lt;=60,"31-60 days",H41&lt;=90,"61-90 days",TRUE,"90+ days")</f>
        <v/>
      </c>
    </row>
    <row r="42">
      <c r="A42" t="inlineStr">
        <is>
          <t>INV0001115</t>
        </is>
      </c>
      <c r="B42" t="inlineStr">
        <is>
          <t>MER00055</t>
        </is>
      </c>
      <c r="C42">
        <f>XLOOKUP(B42,Merchants!$A$4:$A$1000,Merchants!$B$4:$B$1000,"Not found")</f>
        <v/>
      </c>
      <c r="D42">
        <f>XLOOKUP(A42,tblInvoices[invoice_id],tblInvoices[due_date])</f>
        <v/>
      </c>
      <c r="E42">
        <f>XLOOKUP(A42,tblInvoices[invoice_id],tblInvoices[total_invoice_amount])</f>
        <v/>
      </c>
      <c r="F42">
        <f>SUMIFS(tblPayments[payment_amount],tblPayments[invoice_id],A42,tblPayments[payment_status],"Success")</f>
        <v/>
      </c>
      <c r="G42">
        <f>MAX(0,E42-F42)</f>
        <v/>
      </c>
      <c r="H42">
        <f>DATE(2026,8,13)-D42</f>
        <v/>
      </c>
      <c r="I42">
        <f>IFS(G42=0,"Excluded (paid)",H42&lt;=0,"Current",H42&lt;=30,"1-30 days",H42&lt;=60,"31-60 days",H42&lt;=90,"61-90 days",TRUE,"90+ days")</f>
        <v/>
      </c>
    </row>
    <row r="43">
      <c r="A43" t="inlineStr">
        <is>
          <t>INV0001116</t>
        </is>
      </c>
      <c r="B43" t="inlineStr">
        <is>
          <t>MER00055</t>
        </is>
      </c>
      <c r="C43">
        <f>XLOOKUP(B43,Merchants!$A$4:$A$1000,Merchants!$B$4:$B$1000,"Not found")</f>
        <v/>
      </c>
      <c r="D43">
        <f>XLOOKUP(A43,tblInvoices[invoice_id],tblInvoices[due_date])</f>
        <v/>
      </c>
      <c r="E43">
        <f>XLOOKUP(A43,tblInvoices[invoice_id],tblInvoices[total_invoice_amount])</f>
        <v/>
      </c>
      <c r="F43">
        <f>SUMIFS(tblPayments[payment_amount],tblPayments[invoice_id],A43,tblPayments[payment_status],"Success")</f>
        <v/>
      </c>
      <c r="G43">
        <f>MAX(0,E43-F43)</f>
        <v/>
      </c>
      <c r="H43">
        <f>DATE(2026,8,13)-D43</f>
        <v/>
      </c>
      <c r="I43">
        <f>IFS(G43=0,"Excluded (paid)",H43&lt;=0,"Current",H43&lt;=30,"1-30 days",H43&lt;=60,"31-60 days",H43&lt;=90,"61-90 days",TRUE,"90+ days")</f>
        <v/>
      </c>
    </row>
    <row r="44">
      <c r="A44" t="inlineStr">
        <is>
          <t>INV0001117</t>
        </is>
      </c>
      <c r="B44" t="inlineStr">
        <is>
          <t>MER00055</t>
        </is>
      </c>
      <c r="C44">
        <f>XLOOKUP(B44,Merchants!$A$4:$A$1000,Merchants!$B$4:$B$1000,"Not found")</f>
        <v/>
      </c>
      <c r="D44">
        <f>XLOOKUP(A44,tblInvoices[invoice_id],tblInvoices[due_date])</f>
        <v/>
      </c>
      <c r="E44">
        <f>XLOOKUP(A44,tblInvoices[invoice_id],tblInvoices[total_invoice_amount])</f>
        <v/>
      </c>
      <c r="F44">
        <f>SUMIFS(tblPayments[payment_amount],tblPayments[invoice_id],A44,tblPayments[payment_status],"Success")</f>
        <v/>
      </c>
      <c r="G44">
        <f>MAX(0,E44-F44)</f>
        <v/>
      </c>
      <c r="H44">
        <f>DATE(2026,8,13)-D44</f>
        <v/>
      </c>
      <c r="I44">
        <f>IFS(G44=0,"Excluded (paid)",H44&lt;=0,"Current",H44&lt;=30,"1-30 days",H44&lt;=60,"31-60 days",H44&lt;=90,"61-90 days",TRUE,"90+ days")</f>
        <v/>
      </c>
    </row>
    <row r="45">
      <c r="A45" t="inlineStr">
        <is>
          <t>INV0001118</t>
        </is>
      </c>
      <c r="B45" t="inlineStr">
        <is>
          <t>MER00055</t>
        </is>
      </c>
      <c r="C45">
        <f>XLOOKUP(B45,Merchants!$A$4:$A$1000,Merchants!$B$4:$B$1000,"Not found")</f>
        <v/>
      </c>
      <c r="D45">
        <f>XLOOKUP(A45,tblInvoices[invoice_id],tblInvoices[due_date])</f>
        <v/>
      </c>
      <c r="E45">
        <f>XLOOKUP(A45,tblInvoices[invoice_id],tblInvoices[total_invoice_amount])</f>
        <v/>
      </c>
      <c r="F45">
        <f>SUMIFS(tblPayments[payment_amount],tblPayments[invoice_id],A45,tblPayments[payment_status],"Success")</f>
        <v/>
      </c>
      <c r="G45">
        <f>MAX(0,E45-F45)</f>
        <v/>
      </c>
      <c r="H45">
        <f>DATE(2026,8,13)-D45</f>
        <v/>
      </c>
      <c r="I45">
        <f>IFS(G45=0,"Excluded (paid)",H45&lt;=0,"Current",H45&lt;=30,"1-30 days",H45&lt;=60,"31-60 days",H45&lt;=90,"61-90 days",TRUE,"90+ days")</f>
        <v/>
      </c>
    </row>
    <row r="46">
      <c r="A46" t="inlineStr">
        <is>
          <t>INV0001119</t>
        </is>
      </c>
      <c r="B46" t="inlineStr">
        <is>
          <t>MER00055</t>
        </is>
      </c>
      <c r="C46">
        <f>XLOOKUP(B46,Merchants!$A$4:$A$1000,Merchants!$B$4:$B$1000,"Not found")</f>
        <v/>
      </c>
      <c r="D46">
        <f>XLOOKUP(A46,tblInvoices[invoice_id],tblInvoices[due_date])</f>
        <v/>
      </c>
      <c r="E46">
        <f>XLOOKUP(A46,tblInvoices[invoice_id],tblInvoices[total_invoice_amount])</f>
        <v/>
      </c>
      <c r="F46">
        <f>SUMIFS(tblPayments[payment_amount],tblPayments[invoice_id],A46,tblPayments[payment_status],"Success")</f>
        <v/>
      </c>
      <c r="G46">
        <f>MAX(0,E46-F46)</f>
        <v/>
      </c>
      <c r="H46">
        <f>DATE(2026,8,13)-D46</f>
        <v/>
      </c>
      <c r="I46">
        <f>IFS(G46=0,"Excluded (paid)",H46&lt;=0,"Current",H46&lt;=30,"1-30 days",H46&lt;=60,"31-60 days",H46&lt;=90,"61-90 days",TRUE,"90+ days")</f>
        <v/>
      </c>
    </row>
    <row r="47">
      <c r="A47" t="inlineStr">
        <is>
          <t>INV0001120</t>
        </is>
      </c>
      <c r="B47" t="inlineStr">
        <is>
          <t>MER00055</t>
        </is>
      </c>
      <c r="C47">
        <f>XLOOKUP(B47,Merchants!$A$4:$A$1000,Merchants!$B$4:$B$1000,"Not found")</f>
        <v/>
      </c>
      <c r="D47">
        <f>XLOOKUP(A47,tblInvoices[invoice_id],tblInvoices[due_date])</f>
        <v/>
      </c>
      <c r="E47">
        <f>XLOOKUP(A47,tblInvoices[invoice_id],tblInvoices[total_invoice_amount])</f>
        <v/>
      </c>
      <c r="F47">
        <f>SUMIFS(tblPayments[payment_amount],tblPayments[invoice_id],A47,tblPayments[payment_status],"Success")</f>
        <v/>
      </c>
      <c r="G47">
        <f>MAX(0,E47-F47)</f>
        <v/>
      </c>
      <c r="H47">
        <f>DATE(2026,8,13)-D47</f>
        <v/>
      </c>
      <c r="I47">
        <f>IFS(G47=0,"Excluded (paid)",H47&lt;=0,"Current",H47&lt;=30,"1-30 days",H47&lt;=60,"31-60 days",H47&lt;=90,"61-90 days",TRUE,"90+ days")</f>
        <v/>
      </c>
    </row>
    <row r="48">
      <c r="A48" t="inlineStr">
        <is>
          <t>INV0001121</t>
        </is>
      </c>
      <c r="B48" t="inlineStr">
        <is>
          <t>MER00055</t>
        </is>
      </c>
      <c r="C48">
        <f>XLOOKUP(B48,Merchants!$A$4:$A$1000,Merchants!$B$4:$B$1000,"Not found")</f>
        <v/>
      </c>
      <c r="D48">
        <f>XLOOKUP(A48,tblInvoices[invoice_id],tblInvoices[due_date])</f>
        <v/>
      </c>
      <c r="E48">
        <f>XLOOKUP(A48,tblInvoices[invoice_id],tblInvoices[total_invoice_amount])</f>
        <v/>
      </c>
      <c r="F48">
        <f>SUMIFS(tblPayments[payment_amount],tblPayments[invoice_id],A48,tblPayments[payment_status],"Success")</f>
        <v/>
      </c>
      <c r="G48">
        <f>MAX(0,E48-F48)</f>
        <v/>
      </c>
      <c r="H48">
        <f>DATE(2026,8,13)-D48</f>
        <v/>
      </c>
      <c r="I48">
        <f>IFS(G48=0,"Excluded (paid)",H48&lt;=0,"Current",H48&lt;=30,"1-30 days",H48&lt;=60,"31-60 days",H48&lt;=90,"61-90 days",TRUE,"90+ days")</f>
        <v/>
      </c>
    </row>
    <row r="49">
      <c r="A49" t="inlineStr">
        <is>
          <t>INV0001122</t>
        </is>
      </c>
      <c r="B49" t="inlineStr">
        <is>
          <t>MER00055</t>
        </is>
      </c>
      <c r="C49">
        <f>XLOOKUP(B49,Merchants!$A$4:$A$1000,Merchants!$B$4:$B$1000,"Not found")</f>
        <v/>
      </c>
      <c r="D49">
        <f>XLOOKUP(A49,tblInvoices[invoice_id],tblInvoices[due_date])</f>
        <v/>
      </c>
      <c r="E49">
        <f>XLOOKUP(A49,tblInvoices[invoice_id],tblInvoices[total_invoice_amount])</f>
        <v/>
      </c>
      <c r="F49">
        <f>SUMIFS(tblPayments[payment_amount],tblPayments[invoice_id],A49,tblPayments[payment_status],"Success")</f>
        <v/>
      </c>
      <c r="G49">
        <f>MAX(0,E49-F49)</f>
        <v/>
      </c>
      <c r="H49">
        <f>DATE(2026,8,13)-D49</f>
        <v/>
      </c>
      <c r="I49">
        <f>IFS(G49=0,"Excluded (paid)",H49&lt;=0,"Current",H49&lt;=30,"1-30 days",H49&lt;=60,"31-60 days",H49&lt;=90,"61-90 days",TRUE,"90+ days")</f>
        <v/>
      </c>
    </row>
    <row r="50">
      <c r="A50" t="inlineStr">
        <is>
          <t>INV0001123</t>
        </is>
      </c>
      <c r="B50" t="inlineStr">
        <is>
          <t>MER00055</t>
        </is>
      </c>
      <c r="C50">
        <f>XLOOKUP(B50,Merchants!$A$4:$A$1000,Merchants!$B$4:$B$1000,"Not found")</f>
        <v/>
      </c>
      <c r="D50">
        <f>XLOOKUP(A50,tblInvoices[invoice_id],tblInvoices[due_date])</f>
        <v/>
      </c>
      <c r="E50">
        <f>XLOOKUP(A50,tblInvoices[invoice_id],tblInvoices[total_invoice_amount])</f>
        <v/>
      </c>
      <c r="F50">
        <f>SUMIFS(tblPayments[payment_amount],tblPayments[invoice_id],A50,tblPayments[payment_status],"Success")</f>
        <v/>
      </c>
      <c r="G50">
        <f>MAX(0,E50-F50)</f>
        <v/>
      </c>
      <c r="H50">
        <f>DATE(2026,8,13)-D50</f>
        <v/>
      </c>
      <c r="I50">
        <f>IFS(G50=0,"Excluded (paid)",H50&lt;=0,"Current",H50&lt;=30,"1-30 days",H50&lt;=60,"31-60 days",H50&lt;=90,"61-90 days",TRUE,"90+ days")</f>
        <v/>
      </c>
    </row>
    <row r="51">
      <c r="A51" t="inlineStr">
        <is>
          <t>INV0001540</t>
        </is>
      </c>
      <c r="B51" t="inlineStr">
        <is>
          <t>MER00074</t>
        </is>
      </c>
      <c r="C51">
        <f>XLOOKUP(B51,Merchants!$A$4:$A$1000,Merchants!$B$4:$B$1000,"Not found")</f>
        <v/>
      </c>
      <c r="D51">
        <f>XLOOKUP(A51,tblInvoices[invoice_id],tblInvoices[due_date])</f>
        <v/>
      </c>
      <c r="E51">
        <f>XLOOKUP(A51,tblInvoices[invoice_id],tblInvoices[total_invoice_amount])</f>
        <v/>
      </c>
      <c r="F51">
        <f>SUMIFS(tblPayments[payment_amount],tblPayments[invoice_id],A51,tblPayments[payment_status],"Success")</f>
        <v/>
      </c>
      <c r="G51">
        <f>MAX(0,E51-F51)</f>
        <v/>
      </c>
      <c r="H51">
        <f>DATE(2026,8,13)-D51</f>
        <v/>
      </c>
      <c r="I51">
        <f>IFS(G51=0,"Excluded (paid)",H51&lt;=0,"Current",H51&lt;=30,"1-30 days",H51&lt;=60,"31-60 days",H51&lt;=90,"61-90 days",TRUE,"90+ days")</f>
        <v/>
      </c>
    </row>
    <row r="52">
      <c r="A52" t="inlineStr">
        <is>
          <t>INV0001541</t>
        </is>
      </c>
      <c r="B52" t="inlineStr">
        <is>
          <t>MER00074</t>
        </is>
      </c>
      <c r="C52">
        <f>XLOOKUP(B52,Merchants!$A$4:$A$1000,Merchants!$B$4:$B$1000,"Not found")</f>
        <v/>
      </c>
      <c r="D52">
        <f>XLOOKUP(A52,tblInvoices[invoice_id],tblInvoices[due_date])</f>
        <v/>
      </c>
      <c r="E52">
        <f>XLOOKUP(A52,tblInvoices[invoice_id],tblInvoices[total_invoice_amount])</f>
        <v/>
      </c>
      <c r="F52">
        <f>SUMIFS(tblPayments[payment_amount],tblPayments[invoice_id],A52,tblPayments[payment_status],"Success")</f>
        <v/>
      </c>
      <c r="G52">
        <f>MAX(0,E52-F52)</f>
        <v/>
      </c>
      <c r="H52">
        <f>DATE(2026,8,13)-D52</f>
        <v/>
      </c>
      <c r="I52">
        <f>IFS(G52=0,"Excluded (paid)",H52&lt;=0,"Current",H52&lt;=30,"1-30 days",H52&lt;=60,"31-60 days",H52&lt;=90,"61-90 days",TRUE,"90+ days")</f>
        <v/>
      </c>
    </row>
    <row r="53">
      <c r="A53" t="inlineStr">
        <is>
          <t>INV0001542</t>
        </is>
      </c>
      <c r="B53" t="inlineStr">
        <is>
          <t>MER00074</t>
        </is>
      </c>
      <c r="C53">
        <f>XLOOKUP(B53,Merchants!$A$4:$A$1000,Merchants!$B$4:$B$1000,"Not found")</f>
        <v/>
      </c>
      <c r="D53">
        <f>XLOOKUP(A53,tblInvoices[invoice_id],tblInvoices[due_date])</f>
        <v/>
      </c>
      <c r="E53">
        <f>XLOOKUP(A53,tblInvoices[invoice_id],tblInvoices[total_invoice_amount])</f>
        <v/>
      </c>
      <c r="F53">
        <f>SUMIFS(tblPayments[payment_amount],tblPayments[invoice_id],A53,tblPayments[payment_status],"Success")</f>
        <v/>
      </c>
      <c r="G53">
        <f>MAX(0,E53-F53)</f>
        <v/>
      </c>
      <c r="H53">
        <f>DATE(2026,8,13)-D53</f>
        <v/>
      </c>
      <c r="I53">
        <f>IFS(G53=0,"Excluded (paid)",H53&lt;=0,"Current",H53&lt;=30,"1-30 days",H53&lt;=60,"31-60 days",H53&lt;=90,"61-90 days",TRUE,"90+ days")</f>
        <v/>
      </c>
    </row>
    <row r="54">
      <c r="A54" t="inlineStr">
        <is>
          <t>INV0001543</t>
        </is>
      </c>
      <c r="B54" t="inlineStr">
        <is>
          <t>MER00074</t>
        </is>
      </c>
      <c r="C54">
        <f>XLOOKUP(B54,Merchants!$A$4:$A$1000,Merchants!$B$4:$B$1000,"Not found")</f>
        <v/>
      </c>
      <c r="D54">
        <f>XLOOKUP(A54,tblInvoices[invoice_id],tblInvoices[due_date])</f>
        <v/>
      </c>
      <c r="E54">
        <f>XLOOKUP(A54,tblInvoices[invoice_id],tblInvoices[total_invoice_amount])</f>
        <v/>
      </c>
      <c r="F54">
        <f>SUMIFS(tblPayments[payment_amount],tblPayments[invoice_id],A54,tblPayments[payment_status],"Success")</f>
        <v/>
      </c>
      <c r="G54">
        <f>MAX(0,E54-F54)</f>
        <v/>
      </c>
      <c r="H54">
        <f>DATE(2026,8,13)-D54</f>
        <v/>
      </c>
      <c r="I54">
        <f>IFS(G54=0,"Excluded (paid)",H54&lt;=0,"Current",H54&lt;=30,"1-30 days",H54&lt;=60,"31-60 days",H54&lt;=90,"61-90 days",TRUE,"90+ days")</f>
        <v/>
      </c>
    </row>
    <row r="55">
      <c r="A55" t="inlineStr">
        <is>
          <t>INV0001544</t>
        </is>
      </c>
      <c r="B55" t="inlineStr">
        <is>
          <t>MER00074</t>
        </is>
      </c>
      <c r="C55">
        <f>XLOOKUP(B55,Merchants!$A$4:$A$1000,Merchants!$B$4:$B$1000,"Not found")</f>
        <v/>
      </c>
      <c r="D55">
        <f>XLOOKUP(A55,tblInvoices[invoice_id],tblInvoices[due_date])</f>
        <v/>
      </c>
      <c r="E55">
        <f>XLOOKUP(A55,tblInvoices[invoice_id],tblInvoices[total_invoice_amount])</f>
        <v/>
      </c>
      <c r="F55">
        <f>SUMIFS(tblPayments[payment_amount],tblPayments[invoice_id],A55,tblPayments[payment_status],"Success")</f>
        <v/>
      </c>
      <c r="G55">
        <f>MAX(0,E55-F55)</f>
        <v/>
      </c>
      <c r="H55">
        <f>DATE(2026,8,13)-D55</f>
        <v/>
      </c>
      <c r="I55">
        <f>IFS(G55=0,"Excluded (paid)",H55&lt;=0,"Current",H55&lt;=30,"1-30 days",H55&lt;=60,"31-60 days",H55&lt;=90,"61-90 days",TRUE,"90+ days")</f>
        <v/>
      </c>
    </row>
    <row r="56">
      <c r="A56" t="inlineStr">
        <is>
          <t>INV0001545</t>
        </is>
      </c>
      <c r="B56" t="inlineStr">
        <is>
          <t>MER00074</t>
        </is>
      </c>
      <c r="C56">
        <f>XLOOKUP(B56,Merchants!$A$4:$A$1000,Merchants!$B$4:$B$1000,"Not found")</f>
        <v/>
      </c>
      <c r="D56">
        <f>XLOOKUP(A56,tblInvoices[invoice_id],tblInvoices[due_date])</f>
        <v/>
      </c>
      <c r="E56">
        <f>XLOOKUP(A56,tblInvoices[invoice_id],tblInvoices[total_invoice_amount])</f>
        <v/>
      </c>
      <c r="F56">
        <f>SUMIFS(tblPayments[payment_amount],tblPayments[invoice_id],A56,tblPayments[payment_status],"Success")</f>
        <v/>
      </c>
      <c r="G56">
        <f>MAX(0,E56-F56)</f>
        <v/>
      </c>
      <c r="H56">
        <f>DATE(2026,8,13)-D56</f>
        <v/>
      </c>
      <c r="I56">
        <f>IFS(G56=0,"Excluded (paid)",H56&lt;=0,"Current",H56&lt;=30,"1-30 days",H56&lt;=60,"31-60 days",H56&lt;=90,"61-90 days",TRUE,"90+ days")</f>
        <v/>
      </c>
    </row>
    <row r="57">
      <c r="A57" t="inlineStr">
        <is>
          <t>INV0001546</t>
        </is>
      </c>
      <c r="B57" t="inlineStr">
        <is>
          <t>MER00074</t>
        </is>
      </c>
      <c r="C57">
        <f>XLOOKUP(B57,Merchants!$A$4:$A$1000,Merchants!$B$4:$B$1000,"Not found")</f>
        <v/>
      </c>
      <c r="D57">
        <f>XLOOKUP(A57,tblInvoices[invoice_id],tblInvoices[due_date])</f>
        <v/>
      </c>
      <c r="E57">
        <f>XLOOKUP(A57,tblInvoices[invoice_id],tblInvoices[total_invoice_amount])</f>
        <v/>
      </c>
      <c r="F57">
        <f>SUMIFS(tblPayments[payment_amount],tblPayments[invoice_id],A57,tblPayments[payment_status],"Success")</f>
        <v/>
      </c>
      <c r="G57">
        <f>MAX(0,E57-F57)</f>
        <v/>
      </c>
      <c r="H57">
        <f>DATE(2026,8,13)-D57</f>
        <v/>
      </c>
      <c r="I57">
        <f>IFS(G57=0,"Excluded (paid)",H57&lt;=0,"Current",H57&lt;=30,"1-30 days",H57&lt;=60,"31-60 days",H57&lt;=90,"61-90 days",TRUE,"90+ days")</f>
        <v/>
      </c>
    </row>
    <row r="58">
      <c r="A58" t="inlineStr">
        <is>
          <t>INV0001547</t>
        </is>
      </c>
      <c r="B58" t="inlineStr">
        <is>
          <t>MER00074</t>
        </is>
      </c>
      <c r="C58">
        <f>XLOOKUP(B58,Merchants!$A$4:$A$1000,Merchants!$B$4:$B$1000,"Not found")</f>
        <v/>
      </c>
      <c r="D58">
        <f>XLOOKUP(A58,tblInvoices[invoice_id],tblInvoices[due_date])</f>
        <v/>
      </c>
      <c r="E58">
        <f>XLOOKUP(A58,tblInvoices[invoice_id],tblInvoices[total_invoice_amount])</f>
        <v/>
      </c>
      <c r="F58">
        <f>SUMIFS(tblPayments[payment_amount],tblPayments[invoice_id],A58,tblPayments[payment_status],"Success")</f>
        <v/>
      </c>
      <c r="G58">
        <f>MAX(0,E58-F58)</f>
        <v/>
      </c>
      <c r="H58">
        <f>DATE(2026,8,13)-D58</f>
        <v/>
      </c>
      <c r="I58">
        <f>IFS(G58=0,"Excluded (paid)",H58&lt;=0,"Current",H58&lt;=30,"1-30 days",H58&lt;=60,"31-60 days",H58&lt;=90,"61-90 days",TRUE,"90+ days")</f>
        <v/>
      </c>
    </row>
    <row r="59">
      <c r="A59" t="inlineStr">
        <is>
          <t>INV0001548</t>
        </is>
      </c>
      <c r="B59" t="inlineStr">
        <is>
          <t>MER00074</t>
        </is>
      </c>
      <c r="C59">
        <f>XLOOKUP(B59,Merchants!$A$4:$A$1000,Merchants!$B$4:$B$1000,"Not found")</f>
        <v/>
      </c>
      <c r="D59">
        <f>XLOOKUP(A59,tblInvoices[invoice_id],tblInvoices[due_date])</f>
        <v/>
      </c>
      <c r="E59">
        <f>XLOOKUP(A59,tblInvoices[invoice_id],tblInvoices[total_invoice_amount])</f>
        <v/>
      </c>
      <c r="F59">
        <f>SUMIFS(tblPayments[payment_amount],tblPayments[invoice_id],A59,tblPayments[payment_status],"Success")</f>
        <v/>
      </c>
      <c r="G59">
        <f>MAX(0,E59-F59)</f>
        <v/>
      </c>
      <c r="H59">
        <f>DATE(2026,8,13)-D59</f>
        <v/>
      </c>
      <c r="I59">
        <f>IFS(G59=0,"Excluded (paid)",H59&lt;=0,"Current",H59&lt;=30,"1-30 days",H59&lt;=60,"31-60 days",H59&lt;=90,"61-90 days",TRUE,"90+ days")</f>
        <v/>
      </c>
    </row>
    <row r="60">
      <c r="A60" t="inlineStr">
        <is>
          <t>INV0001549</t>
        </is>
      </c>
      <c r="B60" t="inlineStr">
        <is>
          <t>MER00074</t>
        </is>
      </c>
      <c r="C60">
        <f>XLOOKUP(B60,Merchants!$A$4:$A$1000,Merchants!$B$4:$B$1000,"Not found")</f>
        <v/>
      </c>
      <c r="D60">
        <f>XLOOKUP(A60,tblInvoices[invoice_id],tblInvoices[due_date])</f>
        <v/>
      </c>
      <c r="E60">
        <f>XLOOKUP(A60,tblInvoices[invoice_id],tblInvoices[total_invoice_amount])</f>
        <v/>
      </c>
      <c r="F60">
        <f>SUMIFS(tblPayments[payment_amount],tblPayments[invoice_id],A60,tblPayments[payment_status],"Success")</f>
        <v/>
      </c>
      <c r="G60">
        <f>MAX(0,E60-F60)</f>
        <v/>
      </c>
      <c r="H60">
        <f>DATE(2026,8,13)-D60</f>
        <v/>
      </c>
      <c r="I60">
        <f>IFS(G60=0,"Excluded (paid)",H60&lt;=0,"Current",H60&lt;=30,"1-30 days",H60&lt;=60,"31-60 days",H60&lt;=90,"61-90 days",TRUE,"90+ days")</f>
        <v/>
      </c>
    </row>
    <row r="61">
      <c r="A61" t="inlineStr">
        <is>
          <t>INV0001550</t>
        </is>
      </c>
      <c r="B61" t="inlineStr">
        <is>
          <t>MER00074</t>
        </is>
      </c>
      <c r="C61">
        <f>XLOOKUP(B61,Merchants!$A$4:$A$1000,Merchants!$B$4:$B$1000,"Not found")</f>
        <v/>
      </c>
      <c r="D61">
        <f>XLOOKUP(A61,tblInvoices[invoice_id],tblInvoices[due_date])</f>
        <v/>
      </c>
      <c r="E61">
        <f>XLOOKUP(A61,tblInvoices[invoice_id],tblInvoices[total_invoice_amount])</f>
        <v/>
      </c>
      <c r="F61">
        <f>SUMIFS(tblPayments[payment_amount],tblPayments[invoice_id],A61,tblPayments[payment_status],"Success")</f>
        <v/>
      </c>
      <c r="G61">
        <f>MAX(0,E61-F61)</f>
        <v/>
      </c>
      <c r="H61">
        <f>DATE(2026,8,13)-D61</f>
        <v/>
      </c>
      <c r="I61">
        <f>IFS(G61=0,"Excluded (paid)",H61&lt;=0,"Current",H61&lt;=30,"1-30 days",H61&lt;=60,"31-60 days",H61&lt;=90,"61-90 days",TRUE,"90+ days")</f>
        <v/>
      </c>
    </row>
    <row r="62">
      <c r="A62" t="inlineStr">
        <is>
          <t>INV0001551</t>
        </is>
      </c>
      <c r="B62" t="inlineStr">
        <is>
          <t>MER00074</t>
        </is>
      </c>
      <c r="C62">
        <f>XLOOKUP(B62,Merchants!$A$4:$A$1000,Merchants!$B$4:$B$1000,"Not found")</f>
        <v/>
      </c>
      <c r="D62">
        <f>XLOOKUP(A62,tblInvoices[invoice_id],tblInvoices[due_date])</f>
        <v/>
      </c>
      <c r="E62">
        <f>XLOOKUP(A62,tblInvoices[invoice_id],tblInvoices[total_invoice_amount])</f>
        <v/>
      </c>
      <c r="F62">
        <f>SUMIFS(tblPayments[payment_amount],tblPayments[invoice_id],A62,tblPayments[payment_status],"Success")</f>
        <v/>
      </c>
      <c r="G62">
        <f>MAX(0,E62-F62)</f>
        <v/>
      </c>
      <c r="H62">
        <f>DATE(2026,8,13)-D62</f>
        <v/>
      </c>
      <c r="I62">
        <f>IFS(G62=0,"Excluded (paid)",H62&lt;=0,"Current",H62&lt;=30,"1-30 days",H62&lt;=60,"31-60 days",H62&lt;=90,"61-90 days",TRUE,"90+ days")</f>
        <v/>
      </c>
    </row>
    <row r="63">
      <c r="A63" t="inlineStr">
        <is>
          <t>INV0001552</t>
        </is>
      </c>
      <c r="B63" t="inlineStr">
        <is>
          <t>MER00074</t>
        </is>
      </c>
      <c r="C63">
        <f>XLOOKUP(B63,Merchants!$A$4:$A$1000,Merchants!$B$4:$B$1000,"Not found")</f>
        <v/>
      </c>
      <c r="D63">
        <f>XLOOKUP(A63,tblInvoices[invoice_id],tblInvoices[due_date])</f>
        <v/>
      </c>
      <c r="E63">
        <f>XLOOKUP(A63,tblInvoices[invoice_id],tblInvoices[total_invoice_amount])</f>
        <v/>
      </c>
      <c r="F63">
        <f>SUMIFS(tblPayments[payment_amount],tblPayments[invoice_id],A63,tblPayments[payment_status],"Success")</f>
        <v/>
      </c>
      <c r="G63">
        <f>MAX(0,E63-F63)</f>
        <v/>
      </c>
      <c r="H63">
        <f>DATE(2026,8,13)-D63</f>
        <v/>
      </c>
      <c r="I63">
        <f>IFS(G63=0,"Excluded (paid)",H63&lt;=0,"Current",H63&lt;=30,"1-30 days",H63&lt;=60,"31-60 days",H63&lt;=90,"61-90 days",TRUE,"90+ days")</f>
        <v/>
      </c>
    </row>
    <row r="64">
      <c r="A64" t="inlineStr">
        <is>
          <t>INV0001553</t>
        </is>
      </c>
      <c r="B64" t="inlineStr">
        <is>
          <t>MER00074</t>
        </is>
      </c>
      <c r="C64">
        <f>XLOOKUP(B64,Merchants!$A$4:$A$1000,Merchants!$B$4:$B$1000,"Not found")</f>
        <v/>
      </c>
      <c r="D64">
        <f>XLOOKUP(A64,tblInvoices[invoice_id],tblInvoices[due_date])</f>
        <v/>
      </c>
      <c r="E64">
        <f>XLOOKUP(A64,tblInvoices[invoice_id],tblInvoices[total_invoice_amount])</f>
        <v/>
      </c>
      <c r="F64">
        <f>SUMIFS(tblPayments[payment_amount],tblPayments[invoice_id],A64,tblPayments[payment_status],"Success")</f>
        <v/>
      </c>
      <c r="G64">
        <f>MAX(0,E64-F64)</f>
        <v/>
      </c>
      <c r="H64">
        <f>DATE(2026,8,13)-D64</f>
        <v/>
      </c>
      <c r="I64">
        <f>IFS(G64=0,"Excluded (paid)",H64&lt;=0,"Current",H64&lt;=30,"1-30 days",H64&lt;=60,"31-60 days",H64&lt;=90,"61-90 days",TRUE,"90+ days")</f>
        <v/>
      </c>
    </row>
    <row r="65">
      <c r="A65" t="inlineStr">
        <is>
          <t>INV0001554</t>
        </is>
      </c>
      <c r="B65" t="inlineStr">
        <is>
          <t>MER00074</t>
        </is>
      </c>
      <c r="C65">
        <f>XLOOKUP(B65,Merchants!$A$4:$A$1000,Merchants!$B$4:$B$1000,"Not found")</f>
        <v/>
      </c>
      <c r="D65">
        <f>XLOOKUP(A65,tblInvoices[invoice_id],tblInvoices[due_date])</f>
        <v/>
      </c>
      <c r="E65">
        <f>XLOOKUP(A65,tblInvoices[invoice_id],tblInvoices[total_invoice_amount])</f>
        <v/>
      </c>
      <c r="F65">
        <f>SUMIFS(tblPayments[payment_amount],tblPayments[invoice_id],A65,tblPayments[payment_status],"Success")</f>
        <v/>
      </c>
      <c r="G65">
        <f>MAX(0,E65-F65)</f>
        <v/>
      </c>
      <c r="H65">
        <f>DATE(2026,8,13)-D65</f>
        <v/>
      </c>
      <c r="I65">
        <f>IFS(G65=0,"Excluded (paid)",H65&lt;=0,"Current",H65&lt;=30,"1-30 days",H65&lt;=60,"31-60 days",H65&lt;=90,"61-90 days",TRUE,"90+ days")</f>
        <v/>
      </c>
    </row>
    <row r="66">
      <c r="A66" t="inlineStr">
        <is>
          <t>INV0001555</t>
        </is>
      </c>
      <c r="B66" t="inlineStr">
        <is>
          <t>MER00074</t>
        </is>
      </c>
      <c r="C66">
        <f>XLOOKUP(B66,Merchants!$A$4:$A$1000,Merchants!$B$4:$B$1000,"Not found")</f>
        <v/>
      </c>
      <c r="D66">
        <f>XLOOKUP(A66,tblInvoices[invoice_id],tblInvoices[due_date])</f>
        <v/>
      </c>
      <c r="E66">
        <f>XLOOKUP(A66,tblInvoices[invoice_id],tblInvoices[total_invoice_amount])</f>
        <v/>
      </c>
      <c r="F66">
        <f>SUMIFS(tblPayments[payment_amount],tblPayments[invoice_id],A66,tblPayments[payment_status],"Success")</f>
        <v/>
      </c>
      <c r="G66">
        <f>MAX(0,E66-F66)</f>
        <v/>
      </c>
      <c r="H66">
        <f>DATE(2026,8,13)-D66</f>
        <v/>
      </c>
      <c r="I66">
        <f>IFS(G66=0,"Excluded (paid)",H66&lt;=0,"Current",H66&lt;=30,"1-30 days",H66&lt;=60,"31-60 days",H66&lt;=90,"61-90 days",TRUE,"90+ days")</f>
        <v/>
      </c>
    </row>
    <row r="67">
      <c r="A67" t="inlineStr">
        <is>
          <t>INV0001556</t>
        </is>
      </c>
      <c r="B67" t="inlineStr">
        <is>
          <t>MER00074</t>
        </is>
      </c>
      <c r="C67">
        <f>XLOOKUP(B67,Merchants!$A$4:$A$1000,Merchants!$B$4:$B$1000,"Not found")</f>
        <v/>
      </c>
      <c r="D67">
        <f>XLOOKUP(A67,tblInvoices[invoice_id],tblInvoices[due_date])</f>
        <v/>
      </c>
      <c r="E67">
        <f>XLOOKUP(A67,tblInvoices[invoice_id],tblInvoices[total_invoice_amount])</f>
        <v/>
      </c>
      <c r="F67">
        <f>SUMIFS(tblPayments[payment_amount],tblPayments[invoice_id],A67,tblPayments[payment_status],"Success")</f>
        <v/>
      </c>
      <c r="G67">
        <f>MAX(0,E67-F67)</f>
        <v/>
      </c>
      <c r="H67">
        <f>DATE(2026,8,13)-D67</f>
        <v/>
      </c>
      <c r="I67">
        <f>IFS(G67=0,"Excluded (paid)",H67&lt;=0,"Current",H67&lt;=30,"1-30 days",H67&lt;=60,"31-60 days",H67&lt;=90,"61-90 days",TRUE,"90+ days")</f>
        <v/>
      </c>
    </row>
    <row r="68">
      <c r="A68" t="inlineStr">
        <is>
          <t>INV0001557</t>
        </is>
      </c>
      <c r="B68" t="inlineStr">
        <is>
          <t>MER00074</t>
        </is>
      </c>
      <c r="C68">
        <f>XLOOKUP(B68,Merchants!$A$4:$A$1000,Merchants!$B$4:$B$1000,"Not found")</f>
        <v/>
      </c>
      <c r="D68">
        <f>XLOOKUP(A68,tblInvoices[invoice_id],tblInvoices[due_date])</f>
        <v/>
      </c>
      <c r="E68">
        <f>XLOOKUP(A68,tblInvoices[invoice_id],tblInvoices[total_invoice_amount])</f>
        <v/>
      </c>
      <c r="F68">
        <f>SUMIFS(tblPayments[payment_amount],tblPayments[invoice_id],A68,tblPayments[payment_status],"Success")</f>
        <v/>
      </c>
      <c r="G68">
        <f>MAX(0,E68-F68)</f>
        <v/>
      </c>
      <c r="H68">
        <f>DATE(2026,8,13)-D68</f>
        <v/>
      </c>
      <c r="I68">
        <f>IFS(G68=0,"Excluded (paid)",H68&lt;=0,"Current",H68&lt;=30,"1-30 days",H68&lt;=60,"31-60 days",H68&lt;=90,"61-90 days",TRUE,"90+ days")</f>
        <v/>
      </c>
    </row>
    <row r="69">
      <c r="A69" t="inlineStr">
        <is>
          <t>INV0001558</t>
        </is>
      </c>
      <c r="B69" t="inlineStr">
        <is>
          <t>MER00074</t>
        </is>
      </c>
      <c r="C69">
        <f>XLOOKUP(B69,Merchants!$A$4:$A$1000,Merchants!$B$4:$B$1000,"Not found")</f>
        <v/>
      </c>
      <c r="D69">
        <f>XLOOKUP(A69,tblInvoices[invoice_id],tblInvoices[due_date])</f>
        <v/>
      </c>
      <c r="E69">
        <f>XLOOKUP(A69,tblInvoices[invoice_id],tblInvoices[total_invoice_amount])</f>
        <v/>
      </c>
      <c r="F69">
        <f>SUMIFS(tblPayments[payment_amount],tblPayments[invoice_id],A69,tblPayments[payment_status],"Success")</f>
        <v/>
      </c>
      <c r="G69">
        <f>MAX(0,E69-F69)</f>
        <v/>
      </c>
      <c r="H69">
        <f>DATE(2026,8,13)-D69</f>
        <v/>
      </c>
      <c r="I69">
        <f>IFS(G69=0,"Excluded (paid)",H69&lt;=0,"Current",H69&lt;=30,"1-30 days",H69&lt;=60,"31-60 days",H69&lt;=90,"61-90 days",TRUE,"90+ days")</f>
        <v/>
      </c>
    </row>
    <row r="70">
      <c r="A70" t="inlineStr">
        <is>
          <t>INV0001559</t>
        </is>
      </c>
      <c r="B70" t="inlineStr">
        <is>
          <t>MER00074</t>
        </is>
      </c>
      <c r="C70">
        <f>XLOOKUP(B70,Merchants!$A$4:$A$1000,Merchants!$B$4:$B$1000,"Not found")</f>
        <v/>
      </c>
      <c r="D70">
        <f>XLOOKUP(A70,tblInvoices[invoice_id],tblInvoices[due_date])</f>
        <v/>
      </c>
      <c r="E70">
        <f>XLOOKUP(A70,tblInvoices[invoice_id],tblInvoices[total_invoice_amount])</f>
        <v/>
      </c>
      <c r="F70">
        <f>SUMIFS(tblPayments[payment_amount],tblPayments[invoice_id],A70,tblPayments[payment_status],"Success")</f>
        <v/>
      </c>
      <c r="G70">
        <f>MAX(0,E70-F70)</f>
        <v/>
      </c>
      <c r="H70">
        <f>DATE(2026,8,13)-D70</f>
        <v/>
      </c>
      <c r="I70">
        <f>IFS(G70=0,"Excluded (paid)",H70&lt;=0,"Current",H70&lt;=30,"1-30 days",H70&lt;=60,"31-60 days",H70&lt;=90,"61-90 days",TRUE,"90+ days")</f>
        <v/>
      </c>
    </row>
    <row r="71">
      <c r="A71" t="inlineStr">
        <is>
          <t>INV0001560</t>
        </is>
      </c>
      <c r="B71" t="inlineStr">
        <is>
          <t>MER00074</t>
        </is>
      </c>
      <c r="C71">
        <f>XLOOKUP(B71,Merchants!$A$4:$A$1000,Merchants!$B$4:$B$1000,"Not found")</f>
        <v/>
      </c>
      <c r="D71">
        <f>XLOOKUP(A71,tblInvoices[invoice_id],tblInvoices[due_date])</f>
        <v/>
      </c>
      <c r="E71">
        <f>XLOOKUP(A71,tblInvoices[invoice_id],tblInvoices[total_invoice_amount])</f>
        <v/>
      </c>
      <c r="F71">
        <f>SUMIFS(tblPayments[payment_amount],tblPayments[invoice_id],A71,tblPayments[payment_status],"Success")</f>
        <v/>
      </c>
      <c r="G71">
        <f>MAX(0,E71-F71)</f>
        <v/>
      </c>
      <c r="H71">
        <f>DATE(2026,8,13)-D71</f>
        <v/>
      </c>
      <c r="I71">
        <f>IFS(G71=0,"Excluded (paid)",H71&lt;=0,"Current",H71&lt;=30,"1-30 days",H71&lt;=60,"31-60 days",H71&lt;=90,"61-90 days",TRUE,"90+ days")</f>
        <v/>
      </c>
    </row>
    <row r="72">
      <c r="A72" t="inlineStr">
        <is>
          <t>INV0001561</t>
        </is>
      </c>
      <c r="B72" t="inlineStr">
        <is>
          <t>MER00074</t>
        </is>
      </c>
      <c r="C72">
        <f>XLOOKUP(B72,Merchants!$A$4:$A$1000,Merchants!$B$4:$B$1000,"Not found")</f>
        <v/>
      </c>
      <c r="D72">
        <f>XLOOKUP(A72,tblInvoices[invoice_id],tblInvoices[due_date])</f>
        <v/>
      </c>
      <c r="E72">
        <f>XLOOKUP(A72,tblInvoices[invoice_id],tblInvoices[total_invoice_amount])</f>
        <v/>
      </c>
      <c r="F72">
        <f>SUMIFS(tblPayments[payment_amount],tblPayments[invoice_id],A72,tblPayments[payment_status],"Success")</f>
        <v/>
      </c>
      <c r="G72">
        <f>MAX(0,E72-F72)</f>
        <v/>
      </c>
      <c r="H72">
        <f>DATE(2026,8,13)-D72</f>
        <v/>
      </c>
      <c r="I72">
        <f>IFS(G72=0,"Excluded (paid)",H72&lt;=0,"Current",H72&lt;=30,"1-30 days",H72&lt;=60,"31-60 days",H72&lt;=90,"61-90 days",TRUE,"90+ days")</f>
        <v/>
      </c>
    </row>
    <row r="73">
      <c r="A73" t="inlineStr">
        <is>
          <t>INV0001562</t>
        </is>
      </c>
      <c r="B73" t="inlineStr">
        <is>
          <t>MER00074</t>
        </is>
      </c>
      <c r="C73">
        <f>XLOOKUP(B73,Merchants!$A$4:$A$1000,Merchants!$B$4:$B$1000,"Not found")</f>
        <v/>
      </c>
      <c r="D73">
        <f>XLOOKUP(A73,tblInvoices[invoice_id],tblInvoices[due_date])</f>
        <v/>
      </c>
      <c r="E73">
        <f>XLOOKUP(A73,tblInvoices[invoice_id],tblInvoices[total_invoice_amount])</f>
        <v/>
      </c>
      <c r="F73">
        <f>SUMIFS(tblPayments[payment_amount],tblPayments[invoice_id],A73,tblPayments[payment_status],"Success")</f>
        <v/>
      </c>
      <c r="G73">
        <f>MAX(0,E73-F73)</f>
        <v/>
      </c>
      <c r="H73">
        <f>DATE(2026,8,13)-D73</f>
        <v/>
      </c>
      <c r="I73">
        <f>IFS(G73=0,"Excluded (paid)",H73&lt;=0,"Current",H73&lt;=30,"1-30 days",H73&lt;=60,"31-60 days",H73&lt;=90,"61-90 days",TRUE,"90+ days")</f>
        <v/>
      </c>
    </row>
    <row r="74">
      <c r="A74" t="inlineStr">
        <is>
          <t>INV0001610</t>
        </is>
      </c>
      <c r="B74" t="inlineStr">
        <is>
          <t>MER00077</t>
        </is>
      </c>
      <c r="C74">
        <f>XLOOKUP(B74,Merchants!$A$4:$A$1000,Merchants!$B$4:$B$1000,"Not found")</f>
        <v/>
      </c>
      <c r="D74">
        <f>XLOOKUP(A74,tblInvoices[invoice_id],tblInvoices[due_date])</f>
        <v/>
      </c>
      <c r="E74">
        <f>XLOOKUP(A74,tblInvoices[invoice_id],tblInvoices[total_invoice_amount])</f>
        <v/>
      </c>
      <c r="F74">
        <f>SUMIFS(tblPayments[payment_amount],tblPayments[invoice_id],A74,tblPayments[payment_status],"Success")</f>
        <v/>
      </c>
      <c r="G74">
        <f>MAX(0,E74-F74)</f>
        <v/>
      </c>
      <c r="H74">
        <f>DATE(2026,8,13)-D74</f>
        <v/>
      </c>
      <c r="I74">
        <f>IFS(G74=0,"Excluded (paid)",H74&lt;=0,"Current",H74&lt;=30,"1-30 days",H74&lt;=60,"31-60 days",H74&lt;=90,"61-90 days",TRUE,"90+ days")</f>
        <v/>
      </c>
    </row>
    <row r="75">
      <c r="A75" t="inlineStr">
        <is>
          <t>INV0001611</t>
        </is>
      </c>
      <c r="B75" t="inlineStr">
        <is>
          <t>MER00077</t>
        </is>
      </c>
      <c r="C75">
        <f>XLOOKUP(B75,Merchants!$A$4:$A$1000,Merchants!$B$4:$B$1000,"Not found")</f>
        <v/>
      </c>
      <c r="D75">
        <f>XLOOKUP(A75,tblInvoices[invoice_id],tblInvoices[due_date])</f>
        <v/>
      </c>
      <c r="E75">
        <f>XLOOKUP(A75,tblInvoices[invoice_id],tblInvoices[total_invoice_amount])</f>
        <v/>
      </c>
      <c r="F75">
        <f>SUMIFS(tblPayments[payment_amount],tblPayments[invoice_id],A75,tblPayments[payment_status],"Success")</f>
        <v/>
      </c>
      <c r="G75">
        <f>MAX(0,E75-F75)</f>
        <v/>
      </c>
      <c r="H75">
        <f>DATE(2026,8,13)-D75</f>
        <v/>
      </c>
      <c r="I75">
        <f>IFS(G75=0,"Excluded (paid)",H75&lt;=0,"Current",H75&lt;=30,"1-30 days",H75&lt;=60,"31-60 days",H75&lt;=90,"61-90 days",TRUE,"90+ days")</f>
        <v/>
      </c>
    </row>
    <row r="76">
      <c r="A76" t="inlineStr">
        <is>
          <t>INV0001612</t>
        </is>
      </c>
      <c r="B76" t="inlineStr">
        <is>
          <t>MER00077</t>
        </is>
      </c>
      <c r="C76">
        <f>XLOOKUP(B76,Merchants!$A$4:$A$1000,Merchants!$B$4:$B$1000,"Not found")</f>
        <v/>
      </c>
      <c r="D76">
        <f>XLOOKUP(A76,tblInvoices[invoice_id],tblInvoices[due_date])</f>
        <v/>
      </c>
      <c r="E76">
        <f>XLOOKUP(A76,tblInvoices[invoice_id],tblInvoices[total_invoice_amount])</f>
        <v/>
      </c>
      <c r="F76">
        <f>SUMIFS(tblPayments[payment_amount],tblPayments[invoice_id],A76,tblPayments[payment_status],"Success")</f>
        <v/>
      </c>
      <c r="G76">
        <f>MAX(0,E76-F76)</f>
        <v/>
      </c>
      <c r="H76">
        <f>DATE(2026,8,13)-D76</f>
        <v/>
      </c>
      <c r="I76">
        <f>IFS(G76=0,"Excluded (paid)",H76&lt;=0,"Current",H76&lt;=30,"1-30 days",H76&lt;=60,"31-60 days",H76&lt;=90,"61-90 days",TRUE,"90+ days")</f>
        <v/>
      </c>
    </row>
    <row r="77">
      <c r="A77" t="inlineStr">
        <is>
          <t>INV0001613</t>
        </is>
      </c>
      <c r="B77" t="inlineStr">
        <is>
          <t>MER00077</t>
        </is>
      </c>
      <c r="C77">
        <f>XLOOKUP(B77,Merchants!$A$4:$A$1000,Merchants!$B$4:$B$1000,"Not found")</f>
        <v/>
      </c>
      <c r="D77">
        <f>XLOOKUP(A77,tblInvoices[invoice_id],tblInvoices[due_date])</f>
        <v/>
      </c>
      <c r="E77">
        <f>XLOOKUP(A77,tblInvoices[invoice_id],tblInvoices[total_invoice_amount])</f>
        <v/>
      </c>
      <c r="F77">
        <f>SUMIFS(tblPayments[payment_amount],tblPayments[invoice_id],A77,tblPayments[payment_status],"Success")</f>
        <v/>
      </c>
      <c r="G77">
        <f>MAX(0,E77-F77)</f>
        <v/>
      </c>
      <c r="H77">
        <f>DATE(2026,8,13)-D77</f>
        <v/>
      </c>
      <c r="I77">
        <f>IFS(G77=0,"Excluded (paid)",H77&lt;=0,"Current",H77&lt;=30,"1-30 days",H77&lt;=60,"31-60 days",H77&lt;=90,"61-90 days",TRUE,"90+ days")</f>
        <v/>
      </c>
    </row>
    <row r="78">
      <c r="A78" t="inlineStr">
        <is>
          <t>INV0001614</t>
        </is>
      </c>
      <c r="B78" t="inlineStr">
        <is>
          <t>MER00077</t>
        </is>
      </c>
      <c r="C78">
        <f>XLOOKUP(B78,Merchants!$A$4:$A$1000,Merchants!$B$4:$B$1000,"Not found")</f>
        <v/>
      </c>
      <c r="D78">
        <f>XLOOKUP(A78,tblInvoices[invoice_id],tblInvoices[due_date])</f>
        <v/>
      </c>
      <c r="E78">
        <f>XLOOKUP(A78,tblInvoices[invoice_id],tblInvoices[total_invoice_amount])</f>
        <v/>
      </c>
      <c r="F78">
        <f>SUMIFS(tblPayments[payment_amount],tblPayments[invoice_id],A78,tblPayments[payment_status],"Success")</f>
        <v/>
      </c>
      <c r="G78">
        <f>MAX(0,E78-F78)</f>
        <v/>
      </c>
      <c r="H78">
        <f>DATE(2026,8,13)-D78</f>
        <v/>
      </c>
      <c r="I78">
        <f>IFS(G78=0,"Excluded (paid)",H78&lt;=0,"Current",H78&lt;=30,"1-30 days",H78&lt;=60,"31-60 days",H78&lt;=90,"61-90 days",TRUE,"90+ days")</f>
        <v/>
      </c>
    </row>
    <row r="79">
      <c r="A79" t="inlineStr">
        <is>
          <t>INV0001615</t>
        </is>
      </c>
      <c r="B79" t="inlineStr">
        <is>
          <t>MER00077</t>
        </is>
      </c>
      <c r="C79">
        <f>XLOOKUP(B79,Merchants!$A$4:$A$1000,Merchants!$B$4:$B$1000,"Not found")</f>
        <v/>
      </c>
      <c r="D79">
        <f>XLOOKUP(A79,tblInvoices[invoice_id],tblInvoices[due_date])</f>
        <v/>
      </c>
      <c r="E79">
        <f>XLOOKUP(A79,tblInvoices[invoice_id],tblInvoices[total_invoice_amount])</f>
        <v/>
      </c>
      <c r="F79">
        <f>SUMIFS(tblPayments[payment_amount],tblPayments[invoice_id],A79,tblPayments[payment_status],"Success")</f>
        <v/>
      </c>
      <c r="G79">
        <f>MAX(0,E79-F79)</f>
        <v/>
      </c>
      <c r="H79">
        <f>DATE(2026,8,13)-D79</f>
        <v/>
      </c>
      <c r="I79">
        <f>IFS(G79=0,"Excluded (paid)",H79&lt;=0,"Current",H79&lt;=30,"1-30 days",H79&lt;=60,"31-60 days",H79&lt;=90,"61-90 days",TRUE,"90+ days")</f>
        <v/>
      </c>
    </row>
    <row r="80">
      <c r="A80" t="inlineStr">
        <is>
          <t>INV0001616</t>
        </is>
      </c>
      <c r="B80" t="inlineStr">
        <is>
          <t>MER00077</t>
        </is>
      </c>
      <c r="C80">
        <f>XLOOKUP(B80,Merchants!$A$4:$A$1000,Merchants!$B$4:$B$1000,"Not found")</f>
        <v/>
      </c>
      <c r="D80">
        <f>XLOOKUP(A80,tblInvoices[invoice_id],tblInvoices[due_date])</f>
        <v/>
      </c>
      <c r="E80">
        <f>XLOOKUP(A80,tblInvoices[invoice_id],tblInvoices[total_invoice_amount])</f>
        <v/>
      </c>
      <c r="F80">
        <f>SUMIFS(tblPayments[payment_amount],tblPayments[invoice_id],A80,tblPayments[payment_status],"Success")</f>
        <v/>
      </c>
      <c r="G80">
        <f>MAX(0,E80-F80)</f>
        <v/>
      </c>
      <c r="H80">
        <f>DATE(2026,8,13)-D80</f>
        <v/>
      </c>
      <c r="I80">
        <f>IFS(G80=0,"Excluded (paid)",H80&lt;=0,"Current",H80&lt;=30,"1-30 days",H80&lt;=60,"31-60 days",H80&lt;=90,"61-90 days",TRUE,"90+ days")</f>
        <v/>
      </c>
    </row>
    <row r="81">
      <c r="A81" t="inlineStr">
        <is>
          <t>INV0001617</t>
        </is>
      </c>
      <c r="B81" t="inlineStr">
        <is>
          <t>MER00077</t>
        </is>
      </c>
      <c r="C81">
        <f>XLOOKUP(B81,Merchants!$A$4:$A$1000,Merchants!$B$4:$B$1000,"Not found")</f>
        <v/>
      </c>
      <c r="D81">
        <f>XLOOKUP(A81,tblInvoices[invoice_id],tblInvoices[due_date])</f>
        <v/>
      </c>
      <c r="E81">
        <f>XLOOKUP(A81,tblInvoices[invoice_id],tblInvoices[total_invoice_amount])</f>
        <v/>
      </c>
      <c r="F81">
        <f>SUMIFS(tblPayments[payment_amount],tblPayments[invoice_id],A81,tblPayments[payment_status],"Success")</f>
        <v/>
      </c>
      <c r="G81">
        <f>MAX(0,E81-F81)</f>
        <v/>
      </c>
      <c r="H81">
        <f>DATE(2026,8,13)-D81</f>
        <v/>
      </c>
      <c r="I81">
        <f>IFS(G81=0,"Excluded (paid)",H81&lt;=0,"Current",H81&lt;=30,"1-30 days",H81&lt;=60,"31-60 days",H81&lt;=90,"61-90 days",TRUE,"90+ days")</f>
        <v/>
      </c>
    </row>
    <row r="82">
      <c r="A82" t="inlineStr">
        <is>
          <t>INV0001618</t>
        </is>
      </c>
      <c r="B82" t="inlineStr">
        <is>
          <t>MER00077</t>
        </is>
      </c>
      <c r="C82">
        <f>XLOOKUP(B82,Merchants!$A$4:$A$1000,Merchants!$B$4:$B$1000,"Not found")</f>
        <v/>
      </c>
      <c r="D82">
        <f>XLOOKUP(A82,tblInvoices[invoice_id],tblInvoices[due_date])</f>
        <v/>
      </c>
      <c r="E82">
        <f>XLOOKUP(A82,tblInvoices[invoice_id],tblInvoices[total_invoice_amount])</f>
        <v/>
      </c>
      <c r="F82">
        <f>SUMIFS(tblPayments[payment_amount],tblPayments[invoice_id],A82,tblPayments[payment_status],"Success")</f>
        <v/>
      </c>
      <c r="G82">
        <f>MAX(0,E82-F82)</f>
        <v/>
      </c>
      <c r="H82">
        <f>DATE(2026,8,13)-D82</f>
        <v/>
      </c>
      <c r="I82">
        <f>IFS(G82=0,"Excluded (paid)",H82&lt;=0,"Current",H82&lt;=30,"1-30 days",H82&lt;=60,"31-60 days",H82&lt;=90,"61-90 days",TRUE,"90+ days")</f>
        <v/>
      </c>
    </row>
    <row r="83">
      <c r="A83" t="inlineStr">
        <is>
          <t>INV0001619</t>
        </is>
      </c>
      <c r="B83" t="inlineStr">
        <is>
          <t>MER00077</t>
        </is>
      </c>
      <c r="C83">
        <f>XLOOKUP(B83,Merchants!$A$4:$A$1000,Merchants!$B$4:$B$1000,"Not found")</f>
        <v/>
      </c>
      <c r="D83">
        <f>XLOOKUP(A83,tblInvoices[invoice_id],tblInvoices[due_date])</f>
        <v/>
      </c>
      <c r="E83">
        <f>XLOOKUP(A83,tblInvoices[invoice_id],tblInvoices[total_invoice_amount])</f>
        <v/>
      </c>
      <c r="F83">
        <f>SUMIFS(tblPayments[payment_amount],tblPayments[invoice_id],A83,tblPayments[payment_status],"Success")</f>
        <v/>
      </c>
      <c r="G83">
        <f>MAX(0,E83-F83)</f>
        <v/>
      </c>
      <c r="H83">
        <f>DATE(2026,8,13)-D83</f>
        <v/>
      </c>
      <c r="I83">
        <f>IFS(G83=0,"Excluded (paid)",H83&lt;=0,"Current",H83&lt;=30,"1-30 days",H83&lt;=60,"31-60 days",H83&lt;=90,"61-90 days",TRUE,"90+ days")</f>
        <v/>
      </c>
    </row>
    <row r="84">
      <c r="A84" t="inlineStr">
        <is>
          <t>INV0001620</t>
        </is>
      </c>
      <c r="B84" t="inlineStr">
        <is>
          <t>MER00077</t>
        </is>
      </c>
      <c r="C84">
        <f>XLOOKUP(B84,Merchants!$A$4:$A$1000,Merchants!$B$4:$B$1000,"Not found")</f>
        <v/>
      </c>
      <c r="D84">
        <f>XLOOKUP(A84,tblInvoices[invoice_id],tblInvoices[due_date])</f>
        <v/>
      </c>
      <c r="E84">
        <f>XLOOKUP(A84,tblInvoices[invoice_id],tblInvoices[total_invoice_amount])</f>
        <v/>
      </c>
      <c r="F84">
        <f>SUMIFS(tblPayments[payment_amount],tblPayments[invoice_id],A84,tblPayments[payment_status],"Success")</f>
        <v/>
      </c>
      <c r="G84">
        <f>MAX(0,E84-F84)</f>
        <v/>
      </c>
      <c r="H84">
        <f>DATE(2026,8,13)-D84</f>
        <v/>
      </c>
      <c r="I84">
        <f>IFS(G84=0,"Excluded (paid)",H84&lt;=0,"Current",H84&lt;=30,"1-30 days",H84&lt;=60,"31-60 days",H84&lt;=90,"61-90 days",TRUE,"90+ days")</f>
        <v/>
      </c>
    </row>
    <row r="85">
      <c r="A85" t="inlineStr">
        <is>
          <t>INV0001621</t>
        </is>
      </c>
      <c r="B85" t="inlineStr">
        <is>
          <t>MER00077</t>
        </is>
      </c>
      <c r="C85">
        <f>XLOOKUP(B85,Merchants!$A$4:$A$1000,Merchants!$B$4:$B$1000,"Not found")</f>
        <v/>
      </c>
      <c r="D85">
        <f>XLOOKUP(A85,tblInvoices[invoice_id],tblInvoices[due_date])</f>
        <v/>
      </c>
      <c r="E85">
        <f>XLOOKUP(A85,tblInvoices[invoice_id],tblInvoices[total_invoice_amount])</f>
        <v/>
      </c>
      <c r="F85">
        <f>SUMIFS(tblPayments[payment_amount],tblPayments[invoice_id],A85,tblPayments[payment_status],"Success")</f>
        <v/>
      </c>
      <c r="G85">
        <f>MAX(0,E85-F85)</f>
        <v/>
      </c>
      <c r="H85">
        <f>DATE(2026,8,13)-D85</f>
        <v/>
      </c>
      <c r="I85">
        <f>IFS(G85=0,"Excluded (paid)",H85&lt;=0,"Current",H85&lt;=30,"1-30 days",H85&lt;=60,"31-60 days",H85&lt;=90,"61-90 days",TRUE,"90+ days")</f>
        <v/>
      </c>
    </row>
    <row r="86">
      <c r="A86" t="inlineStr">
        <is>
          <t>INV0001622</t>
        </is>
      </c>
      <c r="B86" t="inlineStr">
        <is>
          <t>MER00077</t>
        </is>
      </c>
      <c r="C86">
        <f>XLOOKUP(B86,Merchants!$A$4:$A$1000,Merchants!$B$4:$B$1000,"Not found")</f>
        <v/>
      </c>
      <c r="D86">
        <f>XLOOKUP(A86,tblInvoices[invoice_id],tblInvoices[due_date])</f>
        <v/>
      </c>
      <c r="E86">
        <f>XLOOKUP(A86,tblInvoices[invoice_id],tblInvoices[total_invoice_amount])</f>
        <v/>
      </c>
      <c r="F86">
        <f>SUMIFS(tblPayments[payment_amount],tblPayments[invoice_id],A86,tblPayments[payment_status],"Success")</f>
        <v/>
      </c>
      <c r="G86">
        <f>MAX(0,E86-F86)</f>
        <v/>
      </c>
      <c r="H86">
        <f>DATE(2026,8,13)-D86</f>
        <v/>
      </c>
      <c r="I86">
        <f>IFS(G86=0,"Excluded (paid)",H86&lt;=0,"Current",H86&lt;=30,"1-30 days",H86&lt;=60,"31-60 days",H86&lt;=90,"61-90 days",TRUE,"90+ days")</f>
        <v/>
      </c>
    </row>
    <row r="87">
      <c r="A87" t="inlineStr">
        <is>
          <t>INV0001623</t>
        </is>
      </c>
      <c r="B87" t="inlineStr">
        <is>
          <t>MER00077</t>
        </is>
      </c>
      <c r="C87">
        <f>XLOOKUP(B87,Merchants!$A$4:$A$1000,Merchants!$B$4:$B$1000,"Not found")</f>
        <v/>
      </c>
      <c r="D87">
        <f>XLOOKUP(A87,tblInvoices[invoice_id],tblInvoices[due_date])</f>
        <v/>
      </c>
      <c r="E87">
        <f>XLOOKUP(A87,tblInvoices[invoice_id],tblInvoices[total_invoice_amount])</f>
        <v/>
      </c>
      <c r="F87">
        <f>SUMIFS(tblPayments[payment_amount],tblPayments[invoice_id],A87,tblPayments[payment_status],"Success")</f>
        <v/>
      </c>
      <c r="G87">
        <f>MAX(0,E87-F87)</f>
        <v/>
      </c>
      <c r="H87">
        <f>DATE(2026,8,13)-D87</f>
        <v/>
      </c>
      <c r="I87">
        <f>IFS(G87=0,"Excluded (paid)",H87&lt;=0,"Current",H87&lt;=30,"1-30 days",H87&lt;=60,"31-60 days",H87&lt;=90,"61-90 days",TRUE,"90+ days")</f>
        <v/>
      </c>
    </row>
    <row r="88">
      <c r="A88" t="inlineStr">
        <is>
          <t>INV0001624</t>
        </is>
      </c>
      <c r="B88" t="inlineStr">
        <is>
          <t>MER00077</t>
        </is>
      </c>
      <c r="C88">
        <f>XLOOKUP(B88,Merchants!$A$4:$A$1000,Merchants!$B$4:$B$1000,"Not found")</f>
        <v/>
      </c>
      <c r="D88">
        <f>XLOOKUP(A88,tblInvoices[invoice_id],tblInvoices[due_date])</f>
        <v/>
      </c>
      <c r="E88">
        <f>XLOOKUP(A88,tblInvoices[invoice_id],tblInvoices[total_invoice_amount])</f>
        <v/>
      </c>
      <c r="F88">
        <f>SUMIFS(tblPayments[payment_amount],tblPayments[invoice_id],A88,tblPayments[payment_status],"Success")</f>
        <v/>
      </c>
      <c r="G88">
        <f>MAX(0,E88-F88)</f>
        <v/>
      </c>
      <c r="H88">
        <f>DATE(2026,8,13)-D88</f>
        <v/>
      </c>
      <c r="I88">
        <f>IFS(G88=0,"Excluded (paid)",H88&lt;=0,"Current",H88&lt;=30,"1-30 days",H88&lt;=60,"31-60 days",H88&lt;=90,"61-90 days",TRUE,"90+ days")</f>
        <v/>
      </c>
    </row>
    <row r="89">
      <c r="A89" t="inlineStr">
        <is>
          <t>INV0001625</t>
        </is>
      </c>
      <c r="B89" t="inlineStr">
        <is>
          <t>MER00077</t>
        </is>
      </c>
      <c r="C89">
        <f>XLOOKUP(B89,Merchants!$A$4:$A$1000,Merchants!$B$4:$B$1000,"Not found")</f>
        <v/>
      </c>
      <c r="D89">
        <f>XLOOKUP(A89,tblInvoices[invoice_id],tblInvoices[due_date])</f>
        <v/>
      </c>
      <c r="E89">
        <f>XLOOKUP(A89,tblInvoices[invoice_id],tblInvoices[total_invoice_amount])</f>
        <v/>
      </c>
      <c r="F89">
        <f>SUMIFS(tblPayments[payment_amount],tblPayments[invoice_id],A89,tblPayments[payment_status],"Success")</f>
        <v/>
      </c>
      <c r="G89">
        <f>MAX(0,E89-F89)</f>
        <v/>
      </c>
      <c r="H89">
        <f>DATE(2026,8,13)-D89</f>
        <v/>
      </c>
      <c r="I89">
        <f>IFS(G89=0,"Excluded (paid)",H89&lt;=0,"Current",H89&lt;=30,"1-30 days",H89&lt;=60,"31-60 days",H89&lt;=90,"61-90 days",TRUE,"90+ days")</f>
        <v/>
      </c>
    </row>
    <row r="90">
      <c r="A90" t="inlineStr">
        <is>
          <t>INV0001626</t>
        </is>
      </c>
      <c r="B90" t="inlineStr">
        <is>
          <t>MER00077</t>
        </is>
      </c>
      <c r="C90">
        <f>XLOOKUP(B90,Merchants!$A$4:$A$1000,Merchants!$B$4:$B$1000,"Not found")</f>
        <v/>
      </c>
      <c r="D90">
        <f>XLOOKUP(A90,tblInvoices[invoice_id],tblInvoices[due_date])</f>
        <v/>
      </c>
      <c r="E90">
        <f>XLOOKUP(A90,tblInvoices[invoice_id],tblInvoices[total_invoice_amount])</f>
        <v/>
      </c>
      <c r="F90">
        <f>SUMIFS(tblPayments[payment_amount],tblPayments[invoice_id],A90,tblPayments[payment_status],"Success")</f>
        <v/>
      </c>
      <c r="G90">
        <f>MAX(0,E90-F90)</f>
        <v/>
      </c>
      <c r="H90">
        <f>DATE(2026,8,13)-D90</f>
        <v/>
      </c>
      <c r="I90">
        <f>IFS(G90=0,"Excluded (paid)",H90&lt;=0,"Current",H90&lt;=30,"1-30 days",H90&lt;=60,"31-60 days",H90&lt;=90,"61-90 days",TRUE,"90+ days")</f>
        <v/>
      </c>
    </row>
    <row r="91">
      <c r="A91" t="inlineStr">
        <is>
          <t>INV0001627</t>
        </is>
      </c>
      <c r="B91" t="inlineStr">
        <is>
          <t>MER00077</t>
        </is>
      </c>
      <c r="C91">
        <f>XLOOKUP(B91,Merchants!$A$4:$A$1000,Merchants!$B$4:$B$1000,"Not found")</f>
        <v/>
      </c>
      <c r="D91">
        <f>XLOOKUP(A91,tblInvoices[invoice_id],tblInvoices[due_date])</f>
        <v/>
      </c>
      <c r="E91">
        <f>XLOOKUP(A91,tblInvoices[invoice_id],tblInvoices[total_invoice_amount])</f>
        <v/>
      </c>
      <c r="F91">
        <f>SUMIFS(tblPayments[payment_amount],tblPayments[invoice_id],A91,tblPayments[payment_status],"Success")</f>
        <v/>
      </c>
      <c r="G91">
        <f>MAX(0,E91-F91)</f>
        <v/>
      </c>
      <c r="H91">
        <f>DATE(2026,8,13)-D91</f>
        <v/>
      </c>
      <c r="I91">
        <f>IFS(G91=0,"Excluded (paid)",H91&lt;=0,"Current",H91&lt;=30,"1-30 days",H91&lt;=60,"31-60 days",H91&lt;=90,"61-90 days",TRUE,"90+ days")</f>
        <v/>
      </c>
    </row>
    <row r="92">
      <c r="A92" t="inlineStr">
        <is>
          <t>INV0001628</t>
        </is>
      </c>
      <c r="B92" t="inlineStr">
        <is>
          <t>MER00077</t>
        </is>
      </c>
      <c r="C92">
        <f>XLOOKUP(B92,Merchants!$A$4:$A$1000,Merchants!$B$4:$B$1000,"Not found")</f>
        <v/>
      </c>
      <c r="D92">
        <f>XLOOKUP(A92,tblInvoices[invoice_id],tblInvoices[due_date])</f>
        <v/>
      </c>
      <c r="E92">
        <f>XLOOKUP(A92,tblInvoices[invoice_id],tblInvoices[total_invoice_amount])</f>
        <v/>
      </c>
      <c r="F92">
        <f>SUMIFS(tblPayments[payment_amount],tblPayments[invoice_id],A92,tblPayments[payment_status],"Success")</f>
        <v/>
      </c>
      <c r="G92">
        <f>MAX(0,E92-F92)</f>
        <v/>
      </c>
      <c r="H92">
        <f>DATE(2026,8,13)-D92</f>
        <v/>
      </c>
      <c r="I92">
        <f>IFS(G92=0,"Excluded (paid)",H92&lt;=0,"Current",H92&lt;=30,"1-30 days",H92&lt;=60,"31-60 days",H92&lt;=90,"61-90 days",TRUE,"90+ days")</f>
        <v/>
      </c>
    </row>
    <row r="93">
      <c r="A93" t="inlineStr">
        <is>
          <t>INV0001629</t>
        </is>
      </c>
      <c r="B93" t="inlineStr">
        <is>
          <t>MER00077</t>
        </is>
      </c>
      <c r="C93">
        <f>XLOOKUP(B93,Merchants!$A$4:$A$1000,Merchants!$B$4:$B$1000,"Not found")</f>
        <v/>
      </c>
      <c r="D93">
        <f>XLOOKUP(A93,tblInvoices[invoice_id],tblInvoices[due_date])</f>
        <v/>
      </c>
      <c r="E93">
        <f>XLOOKUP(A93,tblInvoices[invoice_id],tblInvoices[total_invoice_amount])</f>
        <v/>
      </c>
      <c r="F93">
        <f>SUMIFS(tblPayments[payment_amount],tblPayments[invoice_id],A93,tblPayments[payment_status],"Success")</f>
        <v/>
      </c>
      <c r="G93">
        <f>MAX(0,E93-F93)</f>
        <v/>
      </c>
      <c r="H93">
        <f>DATE(2026,8,13)-D93</f>
        <v/>
      </c>
      <c r="I93">
        <f>IFS(G93=0,"Excluded (paid)",H93&lt;=0,"Current",H93&lt;=30,"1-30 days",H93&lt;=60,"31-60 days",H93&lt;=90,"61-90 days",TRUE,"90+ days")</f>
        <v/>
      </c>
    </row>
    <row r="94">
      <c r="A94" t="inlineStr">
        <is>
          <t>INV0001630</t>
        </is>
      </c>
      <c r="B94" t="inlineStr">
        <is>
          <t>MER00077</t>
        </is>
      </c>
      <c r="C94">
        <f>XLOOKUP(B94,Merchants!$A$4:$A$1000,Merchants!$B$4:$B$1000,"Not found")</f>
        <v/>
      </c>
      <c r="D94">
        <f>XLOOKUP(A94,tblInvoices[invoice_id],tblInvoices[due_date])</f>
        <v/>
      </c>
      <c r="E94">
        <f>XLOOKUP(A94,tblInvoices[invoice_id],tblInvoices[total_invoice_amount])</f>
        <v/>
      </c>
      <c r="F94">
        <f>SUMIFS(tblPayments[payment_amount],tblPayments[invoice_id],A94,tblPayments[payment_status],"Success")</f>
        <v/>
      </c>
      <c r="G94">
        <f>MAX(0,E94-F94)</f>
        <v/>
      </c>
      <c r="H94">
        <f>DATE(2026,8,13)-D94</f>
        <v/>
      </c>
      <c r="I94">
        <f>IFS(G94=0,"Excluded (paid)",H94&lt;=0,"Current",H94&lt;=30,"1-30 days",H94&lt;=60,"31-60 days",H94&lt;=90,"61-90 days",TRUE,"90+ days")</f>
        <v/>
      </c>
    </row>
    <row r="95">
      <c r="A95" t="inlineStr">
        <is>
          <t>INV0001631</t>
        </is>
      </c>
      <c r="B95" t="inlineStr">
        <is>
          <t>MER00077</t>
        </is>
      </c>
      <c r="C95">
        <f>XLOOKUP(B95,Merchants!$A$4:$A$1000,Merchants!$B$4:$B$1000,"Not found")</f>
        <v/>
      </c>
      <c r="D95">
        <f>XLOOKUP(A95,tblInvoices[invoice_id],tblInvoices[due_date])</f>
        <v/>
      </c>
      <c r="E95">
        <f>XLOOKUP(A95,tblInvoices[invoice_id],tblInvoices[total_invoice_amount])</f>
        <v/>
      </c>
      <c r="F95">
        <f>SUMIFS(tblPayments[payment_amount],tblPayments[invoice_id],A95,tblPayments[payment_status],"Success")</f>
        <v/>
      </c>
      <c r="G95">
        <f>MAX(0,E95-F95)</f>
        <v/>
      </c>
      <c r="H95">
        <f>DATE(2026,8,13)-D95</f>
        <v/>
      </c>
      <c r="I95">
        <f>IFS(G95=0,"Excluded (paid)",H95&lt;=0,"Current",H95&lt;=30,"1-30 days",H95&lt;=60,"31-60 days",H95&lt;=90,"61-90 days",TRUE,"90+ days")</f>
        <v/>
      </c>
    </row>
    <row r="96">
      <c r="A96" t="inlineStr">
        <is>
          <t>INV0001632</t>
        </is>
      </c>
      <c r="B96" t="inlineStr">
        <is>
          <t>MER00077</t>
        </is>
      </c>
      <c r="C96">
        <f>XLOOKUP(B96,Merchants!$A$4:$A$1000,Merchants!$B$4:$B$1000,"Not found")</f>
        <v/>
      </c>
      <c r="D96">
        <f>XLOOKUP(A96,tblInvoices[invoice_id],tblInvoices[due_date])</f>
        <v/>
      </c>
      <c r="E96">
        <f>XLOOKUP(A96,tblInvoices[invoice_id],tblInvoices[total_invoice_amount])</f>
        <v/>
      </c>
      <c r="F96">
        <f>SUMIFS(tblPayments[payment_amount],tblPayments[invoice_id],A96,tblPayments[payment_status],"Success")</f>
        <v/>
      </c>
      <c r="G96">
        <f>MAX(0,E96-F96)</f>
        <v/>
      </c>
      <c r="H96">
        <f>DATE(2026,8,13)-D96</f>
        <v/>
      </c>
      <c r="I96">
        <f>IFS(G96=0,"Excluded (paid)",H96&lt;=0,"Current",H96&lt;=30,"1-30 days",H96&lt;=60,"31-60 days",H96&lt;=90,"61-90 days",TRUE,"90+ days")</f>
        <v/>
      </c>
    </row>
    <row r="97">
      <c r="A97" t="inlineStr">
        <is>
          <t>INV0001633</t>
        </is>
      </c>
      <c r="B97" t="inlineStr">
        <is>
          <t>MER00077</t>
        </is>
      </c>
      <c r="C97">
        <f>XLOOKUP(B97,Merchants!$A$4:$A$1000,Merchants!$B$4:$B$1000,"Not found")</f>
        <v/>
      </c>
      <c r="D97">
        <f>XLOOKUP(A97,tblInvoices[invoice_id],tblInvoices[due_date])</f>
        <v/>
      </c>
      <c r="E97">
        <f>XLOOKUP(A97,tblInvoices[invoice_id],tblInvoices[total_invoice_amount])</f>
        <v/>
      </c>
      <c r="F97">
        <f>SUMIFS(tblPayments[payment_amount],tblPayments[invoice_id],A97,tblPayments[payment_status],"Success")</f>
        <v/>
      </c>
      <c r="G97">
        <f>MAX(0,E97-F97)</f>
        <v/>
      </c>
      <c r="H97">
        <f>DATE(2026,8,13)-D97</f>
        <v/>
      </c>
      <c r="I97">
        <f>IFS(G97=0,"Excluded (paid)",H97&lt;=0,"Current",H97&lt;=30,"1-30 days",H97&lt;=60,"31-60 days",H97&lt;=90,"61-90 days",TRUE,"90+ days")</f>
        <v/>
      </c>
    </row>
    <row r="98">
      <c r="A98" t="inlineStr">
        <is>
          <t>INV0002946</t>
        </is>
      </c>
      <c r="B98" t="inlineStr">
        <is>
          <t>MER00139</t>
        </is>
      </c>
      <c r="C98">
        <f>XLOOKUP(B98,Merchants!$A$4:$A$1000,Merchants!$B$4:$B$1000,"Not found")</f>
        <v/>
      </c>
      <c r="D98">
        <f>XLOOKUP(A98,tblInvoices[invoice_id],tblInvoices[due_date])</f>
        <v/>
      </c>
      <c r="E98">
        <f>XLOOKUP(A98,tblInvoices[invoice_id],tblInvoices[total_invoice_amount])</f>
        <v/>
      </c>
      <c r="F98">
        <f>SUMIFS(tblPayments[payment_amount],tblPayments[invoice_id],A98,tblPayments[payment_status],"Success")</f>
        <v/>
      </c>
      <c r="G98">
        <f>MAX(0,E98-F98)</f>
        <v/>
      </c>
      <c r="H98">
        <f>DATE(2026,8,13)-D98</f>
        <v/>
      </c>
      <c r="I98">
        <f>IFS(G98=0,"Excluded (paid)",H98&lt;=0,"Current",H98&lt;=30,"1-30 days",H98&lt;=60,"31-60 days",H98&lt;=90,"61-90 days",TRUE,"90+ days")</f>
        <v/>
      </c>
    </row>
    <row r="99">
      <c r="A99" t="inlineStr">
        <is>
          <t>INV0002947</t>
        </is>
      </c>
      <c r="B99" t="inlineStr">
        <is>
          <t>MER00139</t>
        </is>
      </c>
      <c r="C99">
        <f>XLOOKUP(B99,Merchants!$A$4:$A$1000,Merchants!$B$4:$B$1000,"Not found")</f>
        <v/>
      </c>
      <c r="D99">
        <f>XLOOKUP(A99,tblInvoices[invoice_id],tblInvoices[due_date])</f>
        <v/>
      </c>
      <c r="E99">
        <f>XLOOKUP(A99,tblInvoices[invoice_id],tblInvoices[total_invoice_amount])</f>
        <v/>
      </c>
      <c r="F99">
        <f>SUMIFS(tblPayments[payment_amount],tblPayments[invoice_id],A99,tblPayments[payment_status],"Success")</f>
        <v/>
      </c>
      <c r="G99">
        <f>MAX(0,E99-F99)</f>
        <v/>
      </c>
      <c r="H99">
        <f>DATE(2026,8,13)-D99</f>
        <v/>
      </c>
      <c r="I99">
        <f>IFS(G99=0,"Excluded (paid)",H99&lt;=0,"Current",H99&lt;=30,"1-30 days",H99&lt;=60,"31-60 days",H99&lt;=90,"61-90 days",TRUE,"90+ days")</f>
        <v/>
      </c>
    </row>
    <row r="100">
      <c r="A100" t="inlineStr">
        <is>
          <t>INV0002948</t>
        </is>
      </c>
      <c r="B100" t="inlineStr">
        <is>
          <t>MER00139</t>
        </is>
      </c>
      <c r="C100">
        <f>XLOOKUP(B100,Merchants!$A$4:$A$1000,Merchants!$B$4:$B$1000,"Not found")</f>
        <v/>
      </c>
      <c r="D100">
        <f>XLOOKUP(A100,tblInvoices[invoice_id],tblInvoices[due_date])</f>
        <v/>
      </c>
      <c r="E100">
        <f>XLOOKUP(A100,tblInvoices[invoice_id],tblInvoices[total_invoice_amount])</f>
        <v/>
      </c>
      <c r="F100">
        <f>SUMIFS(tblPayments[payment_amount],tblPayments[invoice_id],A100,tblPayments[payment_status],"Success")</f>
        <v/>
      </c>
      <c r="G100">
        <f>MAX(0,E100-F100)</f>
        <v/>
      </c>
      <c r="H100">
        <f>DATE(2026,8,13)-D100</f>
        <v/>
      </c>
      <c r="I100">
        <f>IFS(G100=0,"Excluded (paid)",H100&lt;=0,"Current",H100&lt;=30,"1-30 days",H100&lt;=60,"31-60 days",H100&lt;=90,"61-90 days",TRUE,"90+ days")</f>
        <v/>
      </c>
    </row>
    <row r="101">
      <c r="A101" t="inlineStr">
        <is>
          <t>INV0002949</t>
        </is>
      </c>
      <c r="B101" t="inlineStr">
        <is>
          <t>MER00139</t>
        </is>
      </c>
      <c r="C101">
        <f>XLOOKUP(B101,Merchants!$A$4:$A$1000,Merchants!$B$4:$B$1000,"Not found")</f>
        <v/>
      </c>
      <c r="D101">
        <f>XLOOKUP(A101,tblInvoices[invoice_id],tblInvoices[due_date])</f>
        <v/>
      </c>
      <c r="E101">
        <f>XLOOKUP(A101,tblInvoices[invoice_id],tblInvoices[total_invoice_amount])</f>
        <v/>
      </c>
      <c r="F101">
        <f>SUMIFS(tblPayments[payment_amount],tblPayments[invoice_id],A101,tblPayments[payment_status],"Success")</f>
        <v/>
      </c>
      <c r="G101">
        <f>MAX(0,E101-F101)</f>
        <v/>
      </c>
      <c r="H101">
        <f>DATE(2026,8,13)-D101</f>
        <v/>
      </c>
      <c r="I101">
        <f>IFS(G101=0,"Excluded (paid)",H101&lt;=0,"Current",H101&lt;=30,"1-30 days",H101&lt;=60,"31-60 days",H101&lt;=90,"61-90 days",TRUE,"90+ days")</f>
        <v/>
      </c>
    </row>
    <row r="102">
      <c r="A102" t="inlineStr">
        <is>
          <t>INV0002950</t>
        </is>
      </c>
      <c r="B102" t="inlineStr">
        <is>
          <t>MER00139</t>
        </is>
      </c>
      <c r="C102">
        <f>XLOOKUP(B102,Merchants!$A$4:$A$1000,Merchants!$B$4:$B$1000,"Not found")</f>
        <v/>
      </c>
      <c r="D102">
        <f>XLOOKUP(A102,tblInvoices[invoice_id],tblInvoices[due_date])</f>
        <v/>
      </c>
      <c r="E102">
        <f>XLOOKUP(A102,tblInvoices[invoice_id],tblInvoices[total_invoice_amount])</f>
        <v/>
      </c>
      <c r="F102">
        <f>SUMIFS(tblPayments[payment_amount],tblPayments[invoice_id],A102,tblPayments[payment_status],"Success")</f>
        <v/>
      </c>
      <c r="G102">
        <f>MAX(0,E102-F102)</f>
        <v/>
      </c>
      <c r="H102">
        <f>DATE(2026,8,13)-D102</f>
        <v/>
      </c>
      <c r="I102">
        <f>IFS(G102=0,"Excluded (paid)",H102&lt;=0,"Current",H102&lt;=30,"1-30 days",H102&lt;=60,"31-60 days",H102&lt;=90,"61-90 days",TRUE,"90+ days")</f>
        <v/>
      </c>
    </row>
    <row r="103">
      <c r="A103" t="inlineStr">
        <is>
          <t>INV0002951</t>
        </is>
      </c>
      <c r="B103" t="inlineStr">
        <is>
          <t>MER00139</t>
        </is>
      </c>
      <c r="C103">
        <f>XLOOKUP(B103,Merchants!$A$4:$A$1000,Merchants!$B$4:$B$1000,"Not found")</f>
        <v/>
      </c>
      <c r="D103">
        <f>XLOOKUP(A103,tblInvoices[invoice_id],tblInvoices[due_date])</f>
        <v/>
      </c>
      <c r="E103">
        <f>XLOOKUP(A103,tblInvoices[invoice_id],tblInvoices[total_invoice_amount])</f>
        <v/>
      </c>
      <c r="F103">
        <f>SUMIFS(tblPayments[payment_amount],tblPayments[invoice_id],A103,tblPayments[payment_status],"Success")</f>
        <v/>
      </c>
      <c r="G103">
        <f>MAX(0,E103-F103)</f>
        <v/>
      </c>
      <c r="H103">
        <f>DATE(2026,8,13)-D103</f>
        <v/>
      </c>
      <c r="I103">
        <f>IFS(G103=0,"Excluded (paid)",H103&lt;=0,"Current",H103&lt;=30,"1-30 days",H103&lt;=60,"31-60 days",H103&lt;=90,"61-90 days",TRUE,"90+ days")</f>
        <v/>
      </c>
    </row>
    <row r="104">
      <c r="A104" t="inlineStr">
        <is>
          <t>INV0002952</t>
        </is>
      </c>
      <c r="B104" t="inlineStr">
        <is>
          <t>MER00139</t>
        </is>
      </c>
      <c r="C104">
        <f>XLOOKUP(B104,Merchants!$A$4:$A$1000,Merchants!$B$4:$B$1000,"Not found")</f>
        <v/>
      </c>
      <c r="D104">
        <f>XLOOKUP(A104,tblInvoices[invoice_id],tblInvoices[due_date])</f>
        <v/>
      </c>
      <c r="E104">
        <f>XLOOKUP(A104,tblInvoices[invoice_id],tblInvoices[total_invoice_amount])</f>
        <v/>
      </c>
      <c r="F104">
        <f>SUMIFS(tblPayments[payment_amount],tblPayments[invoice_id],A104,tblPayments[payment_status],"Success")</f>
        <v/>
      </c>
      <c r="G104">
        <f>MAX(0,E104-F104)</f>
        <v/>
      </c>
      <c r="H104">
        <f>DATE(2026,8,13)-D104</f>
        <v/>
      </c>
      <c r="I104">
        <f>IFS(G104=0,"Excluded (paid)",H104&lt;=0,"Current",H104&lt;=30,"1-30 days",H104&lt;=60,"31-60 days",H104&lt;=90,"61-90 days",TRUE,"90+ days")</f>
        <v/>
      </c>
    </row>
    <row r="105">
      <c r="A105" t="inlineStr">
        <is>
          <t>INV0002953</t>
        </is>
      </c>
      <c r="B105" t="inlineStr">
        <is>
          <t>MER00139</t>
        </is>
      </c>
      <c r="C105">
        <f>XLOOKUP(B105,Merchants!$A$4:$A$1000,Merchants!$B$4:$B$1000,"Not found")</f>
        <v/>
      </c>
      <c r="D105">
        <f>XLOOKUP(A105,tblInvoices[invoice_id],tblInvoices[due_date])</f>
        <v/>
      </c>
      <c r="E105">
        <f>XLOOKUP(A105,tblInvoices[invoice_id],tblInvoices[total_invoice_amount])</f>
        <v/>
      </c>
      <c r="F105">
        <f>SUMIFS(tblPayments[payment_amount],tblPayments[invoice_id],A105,tblPayments[payment_status],"Success")</f>
        <v/>
      </c>
      <c r="G105">
        <f>MAX(0,E105-F105)</f>
        <v/>
      </c>
      <c r="H105">
        <f>DATE(2026,8,13)-D105</f>
        <v/>
      </c>
      <c r="I105">
        <f>IFS(G105=0,"Excluded (paid)",H105&lt;=0,"Current",H105&lt;=30,"1-30 days",H105&lt;=60,"31-60 days",H105&lt;=90,"61-90 days",TRUE,"90+ days")</f>
        <v/>
      </c>
    </row>
    <row r="106">
      <c r="A106" t="inlineStr">
        <is>
          <t>INV0002954</t>
        </is>
      </c>
      <c r="B106" t="inlineStr">
        <is>
          <t>MER00139</t>
        </is>
      </c>
      <c r="C106">
        <f>XLOOKUP(B106,Merchants!$A$4:$A$1000,Merchants!$B$4:$B$1000,"Not found")</f>
        <v/>
      </c>
      <c r="D106">
        <f>XLOOKUP(A106,tblInvoices[invoice_id],tblInvoices[due_date])</f>
        <v/>
      </c>
      <c r="E106">
        <f>XLOOKUP(A106,tblInvoices[invoice_id],tblInvoices[total_invoice_amount])</f>
        <v/>
      </c>
      <c r="F106">
        <f>SUMIFS(tblPayments[payment_amount],tblPayments[invoice_id],A106,tblPayments[payment_status],"Success")</f>
        <v/>
      </c>
      <c r="G106">
        <f>MAX(0,E106-F106)</f>
        <v/>
      </c>
      <c r="H106">
        <f>DATE(2026,8,13)-D106</f>
        <v/>
      </c>
      <c r="I106">
        <f>IFS(G106=0,"Excluded (paid)",H106&lt;=0,"Current",H106&lt;=30,"1-30 days",H106&lt;=60,"31-60 days",H106&lt;=90,"61-90 days",TRUE,"90+ days")</f>
        <v/>
      </c>
    </row>
    <row r="107">
      <c r="A107" t="inlineStr">
        <is>
          <t>INV0002955</t>
        </is>
      </c>
      <c r="B107" t="inlineStr">
        <is>
          <t>MER00139</t>
        </is>
      </c>
      <c r="C107">
        <f>XLOOKUP(B107,Merchants!$A$4:$A$1000,Merchants!$B$4:$B$1000,"Not found")</f>
        <v/>
      </c>
      <c r="D107">
        <f>XLOOKUP(A107,tblInvoices[invoice_id],tblInvoices[due_date])</f>
        <v/>
      </c>
      <c r="E107">
        <f>XLOOKUP(A107,tblInvoices[invoice_id],tblInvoices[total_invoice_amount])</f>
        <v/>
      </c>
      <c r="F107">
        <f>SUMIFS(tblPayments[payment_amount],tblPayments[invoice_id],A107,tblPayments[payment_status],"Success")</f>
        <v/>
      </c>
      <c r="G107">
        <f>MAX(0,E107-F107)</f>
        <v/>
      </c>
      <c r="H107">
        <f>DATE(2026,8,13)-D107</f>
        <v/>
      </c>
      <c r="I107">
        <f>IFS(G107=0,"Excluded (paid)",H107&lt;=0,"Current",H107&lt;=30,"1-30 days",H107&lt;=60,"31-60 days",H107&lt;=90,"61-90 days",TRUE,"90+ days")</f>
        <v/>
      </c>
    </row>
    <row r="108">
      <c r="A108" t="inlineStr">
        <is>
          <t>INV0002956</t>
        </is>
      </c>
      <c r="B108" t="inlineStr">
        <is>
          <t>MER00139</t>
        </is>
      </c>
      <c r="C108">
        <f>XLOOKUP(B108,Merchants!$A$4:$A$1000,Merchants!$B$4:$B$1000,"Not found")</f>
        <v/>
      </c>
      <c r="D108">
        <f>XLOOKUP(A108,tblInvoices[invoice_id],tblInvoices[due_date])</f>
        <v/>
      </c>
      <c r="E108">
        <f>XLOOKUP(A108,tblInvoices[invoice_id],tblInvoices[total_invoice_amount])</f>
        <v/>
      </c>
      <c r="F108">
        <f>SUMIFS(tblPayments[payment_amount],tblPayments[invoice_id],A108,tblPayments[payment_status],"Success")</f>
        <v/>
      </c>
      <c r="G108">
        <f>MAX(0,E108-F108)</f>
        <v/>
      </c>
      <c r="H108">
        <f>DATE(2026,8,13)-D108</f>
        <v/>
      </c>
      <c r="I108">
        <f>IFS(G108=0,"Excluded (paid)",H108&lt;=0,"Current",H108&lt;=30,"1-30 days",H108&lt;=60,"31-60 days",H108&lt;=90,"61-90 days",TRUE,"90+ days")</f>
        <v/>
      </c>
    </row>
    <row r="109">
      <c r="A109" t="inlineStr">
        <is>
          <t>INV0002957</t>
        </is>
      </c>
      <c r="B109" t="inlineStr">
        <is>
          <t>MER00139</t>
        </is>
      </c>
      <c r="C109">
        <f>XLOOKUP(B109,Merchants!$A$4:$A$1000,Merchants!$B$4:$B$1000,"Not found")</f>
        <v/>
      </c>
      <c r="D109">
        <f>XLOOKUP(A109,tblInvoices[invoice_id],tblInvoices[due_date])</f>
        <v/>
      </c>
      <c r="E109">
        <f>XLOOKUP(A109,tblInvoices[invoice_id],tblInvoices[total_invoice_amount])</f>
        <v/>
      </c>
      <c r="F109">
        <f>SUMIFS(tblPayments[payment_amount],tblPayments[invoice_id],A109,tblPayments[payment_status],"Success")</f>
        <v/>
      </c>
      <c r="G109">
        <f>MAX(0,E109-F109)</f>
        <v/>
      </c>
      <c r="H109">
        <f>DATE(2026,8,13)-D109</f>
        <v/>
      </c>
      <c r="I109">
        <f>IFS(G109=0,"Excluded (paid)",H109&lt;=0,"Current",H109&lt;=30,"1-30 days",H109&lt;=60,"31-60 days",H109&lt;=90,"61-90 days",TRUE,"90+ days")</f>
        <v/>
      </c>
    </row>
    <row r="110">
      <c r="A110" t="inlineStr">
        <is>
          <t>INV0002958</t>
        </is>
      </c>
      <c r="B110" t="inlineStr">
        <is>
          <t>MER00139</t>
        </is>
      </c>
      <c r="C110">
        <f>XLOOKUP(B110,Merchants!$A$4:$A$1000,Merchants!$B$4:$B$1000,"Not found")</f>
        <v/>
      </c>
      <c r="D110">
        <f>XLOOKUP(A110,tblInvoices[invoice_id],tblInvoices[due_date])</f>
        <v/>
      </c>
      <c r="E110">
        <f>XLOOKUP(A110,tblInvoices[invoice_id],tblInvoices[total_invoice_amount])</f>
        <v/>
      </c>
      <c r="F110">
        <f>SUMIFS(tblPayments[payment_amount],tblPayments[invoice_id],A110,tblPayments[payment_status],"Success")</f>
        <v/>
      </c>
      <c r="G110">
        <f>MAX(0,E110-F110)</f>
        <v/>
      </c>
      <c r="H110">
        <f>DATE(2026,8,13)-D110</f>
        <v/>
      </c>
      <c r="I110">
        <f>IFS(G110=0,"Excluded (paid)",H110&lt;=0,"Current",H110&lt;=30,"1-30 days",H110&lt;=60,"31-60 days",H110&lt;=90,"61-90 days",TRUE,"90+ days")</f>
        <v/>
      </c>
    </row>
    <row r="111">
      <c r="A111" t="inlineStr">
        <is>
          <t>INV0002959</t>
        </is>
      </c>
      <c r="B111" t="inlineStr">
        <is>
          <t>MER00139</t>
        </is>
      </c>
      <c r="C111">
        <f>XLOOKUP(B111,Merchants!$A$4:$A$1000,Merchants!$B$4:$B$1000,"Not found")</f>
        <v/>
      </c>
      <c r="D111">
        <f>XLOOKUP(A111,tblInvoices[invoice_id],tblInvoices[due_date])</f>
        <v/>
      </c>
      <c r="E111">
        <f>XLOOKUP(A111,tblInvoices[invoice_id],tblInvoices[total_invoice_amount])</f>
        <v/>
      </c>
      <c r="F111">
        <f>SUMIFS(tblPayments[payment_amount],tblPayments[invoice_id],A111,tblPayments[payment_status],"Success")</f>
        <v/>
      </c>
      <c r="G111">
        <f>MAX(0,E111-F111)</f>
        <v/>
      </c>
      <c r="H111">
        <f>DATE(2026,8,13)-D111</f>
        <v/>
      </c>
      <c r="I111">
        <f>IFS(G111=0,"Excluded (paid)",H111&lt;=0,"Current",H111&lt;=30,"1-30 days",H111&lt;=60,"31-60 days",H111&lt;=90,"61-90 days",TRUE,"90+ days")</f>
        <v/>
      </c>
    </row>
    <row r="112">
      <c r="A112" t="inlineStr">
        <is>
          <t>INV0002960</t>
        </is>
      </c>
      <c r="B112" t="inlineStr">
        <is>
          <t>MER00139</t>
        </is>
      </c>
      <c r="C112">
        <f>XLOOKUP(B112,Merchants!$A$4:$A$1000,Merchants!$B$4:$B$1000,"Not found")</f>
        <v/>
      </c>
      <c r="D112">
        <f>XLOOKUP(A112,tblInvoices[invoice_id],tblInvoices[due_date])</f>
        <v/>
      </c>
      <c r="E112">
        <f>XLOOKUP(A112,tblInvoices[invoice_id],tblInvoices[total_invoice_amount])</f>
        <v/>
      </c>
      <c r="F112">
        <f>SUMIFS(tblPayments[payment_amount],tblPayments[invoice_id],A112,tblPayments[payment_status],"Success")</f>
        <v/>
      </c>
      <c r="G112">
        <f>MAX(0,E112-F112)</f>
        <v/>
      </c>
      <c r="H112">
        <f>DATE(2026,8,13)-D112</f>
        <v/>
      </c>
      <c r="I112">
        <f>IFS(G112=0,"Excluded (paid)",H112&lt;=0,"Current",H112&lt;=30,"1-30 days",H112&lt;=60,"31-60 days",H112&lt;=90,"61-90 days",TRUE,"90+ days")</f>
        <v/>
      </c>
    </row>
    <row r="113">
      <c r="A113" t="inlineStr">
        <is>
          <t>INV0002961</t>
        </is>
      </c>
      <c r="B113" t="inlineStr">
        <is>
          <t>MER00139</t>
        </is>
      </c>
      <c r="C113">
        <f>XLOOKUP(B113,Merchants!$A$4:$A$1000,Merchants!$B$4:$B$1000,"Not found")</f>
        <v/>
      </c>
      <c r="D113">
        <f>XLOOKUP(A113,tblInvoices[invoice_id],tblInvoices[due_date])</f>
        <v/>
      </c>
      <c r="E113">
        <f>XLOOKUP(A113,tblInvoices[invoice_id],tblInvoices[total_invoice_amount])</f>
        <v/>
      </c>
      <c r="F113">
        <f>SUMIFS(tblPayments[payment_amount],tblPayments[invoice_id],A113,tblPayments[payment_status],"Success")</f>
        <v/>
      </c>
      <c r="G113">
        <f>MAX(0,E113-F113)</f>
        <v/>
      </c>
      <c r="H113">
        <f>DATE(2026,8,13)-D113</f>
        <v/>
      </c>
      <c r="I113">
        <f>IFS(G113=0,"Excluded (paid)",H113&lt;=0,"Current",H113&lt;=30,"1-30 days",H113&lt;=60,"31-60 days",H113&lt;=90,"61-90 days",TRUE,"90+ days")</f>
        <v/>
      </c>
    </row>
    <row r="114">
      <c r="A114" t="inlineStr">
        <is>
          <t>INV0002962</t>
        </is>
      </c>
      <c r="B114" t="inlineStr">
        <is>
          <t>MER00139</t>
        </is>
      </c>
      <c r="C114">
        <f>XLOOKUP(B114,Merchants!$A$4:$A$1000,Merchants!$B$4:$B$1000,"Not found")</f>
        <v/>
      </c>
      <c r="D114">
        <f>XLOOKUP(A114,tblInvoices[invoice_id],tblInvoices[due_date])</f>
        <v/>
      </c>
      <c r="E114">
        <f>XLOOKUP(A114,tblInvoices[invoice_id],tblInvoices[total_invoice_amount])</f>
        <v/>
      </c>
      <c r="F114">
        <f>SUMIFS(tblPayments[payment_amount],tblPayments[invoice_id],A114,tblPayments[payment_status],"Success")</f>
        <v/>
      </c>
      <c r="G114">
        <f>MAX(0,E114-F114)</f>
        <v/>
      </c>
      <c r="H114">
        <f>DATE(2026,8,13)-D114</f>
        <v/>
      </c>
      <c r="I114">
        <f>IFS(G114=0,"Excluded (paid)",H114&lt;=0,"Current",H114&lt;=30,"1-30 days",H114&lt;=60,"31-60 days",H114&lt;=90,"61-90 days",TRUE,"90+ days")</f>
        <v/>
      </c>
    </row>
    <row r="115">
      <c r="A115" t="inlineStr">
        <is>
          <t>INV0002963</t>
        </is>
      </c>
      <c r="B115" t="inlineStr">
        <is>
          <t>MER00139</t>
        </is>
      </c>
      <c r="C115">
        <f>XLOOKUP(B115,Merchants!$A$4:$A$1000,Merchants!$B$4:$B$1000,"Not found")</f>
        <v/>
      </c>
      <c r="D115">
        <f>XLOOKUP(A115,tblInvoices[invoice_id],tblInvoices[due_date])</f>
        <v/>
      </c>
      <c r="E115">
        <f>XLOOKUP(A115,tblInvoices[invoice_id],tblInvoices[total_invoice_amount])</f>
        <v/>
      </c>
      <c r="F115">
        <f>SUMIFS(tblPayments[payment_amount],tblPayments[invoice_id],A115,tblPayments[payment_status],"Success")</f>
        <v/>
      </c>
      <c r="G115">
        <f>MAX(0,E115-F115)</f>
        <v/>
      </c>
      <c r="H115">
        <f>DATE(2026,8,13)-D115</f>
        <v/>
      </c>
      <c r="I115">
        <f>IFS(G115=0,"Excluded (paid)",H115&lt;=0,"Current",H115&lt;=30,"1-30 days",H115&lt;=60,"31-60 days",H115&lt;=90,"61-90 days",TRUE,"90+ days")</f>
        <v/>
      </c>
    </row>
    <row r="116">
      <c r="A116" t="inlineStr">
        <is>
          <t>INV0002964</t>
        </is>
      </c>
      <c r="B116" t="inlineStr">
        <is>
          <t>MER00139</t>
        </is>
      </c>
      <c r="C116">
        <f>XLOOKUP(B116,Merchants!$A$4:$A$1000,Merchants!$B$4:$B$1000,"Not found")</f>
        <v/>
      </c>
      <c r="D116">
        <f>XLOOKUP(A116,tblInvoices[invoice_id],tblInvoices[due_date])</f>
        <v/>
      </c>
      <c r="E116">
        <f>XLOOKUP(A116,tblInvoices[invoice_id],tblInvoices[total_invoice_amount])</f>
        <v/>
      </c>
      <c r="F116">
        <f>SUMIFS(tblPayments[payment_amount],tblPayments[invoice_id],A116,tblPayments[payment_status],"Success")</f>
        <v/>
      </c>
      <c r="G116">
        <f>MAX(0,E116-F116)</f>
        <v/>
      </c>
      <c r="H116">
        <f>DATE(2026,8,13)-D116</f>
        <v/>
      </c>
      <c r="I116">
        <f>IFS(G116=0,"Excluded (paid)",H116&lt;=0,"Current",H116&lt;=30,"1-30 days",H116&lt;=60,"31-60 days",H116&lt;=90,"61-90 days",TRUE,"90+ days")</f>
        <v/>
      </c>
    </row>
    <row r="117">
      <c r="A117" t="inlineStr">
        <is>
          <t>INV0002965</t>
        </is>
      </c>
      <c r="B117" t="inlineStr">
        <is>
          <t>MER00139</t>
        </is>
      </c>
      <c r="C117">
        <f>XLOOKUP(B117,Merchants!$A$4:$A$1000,Merchants!$B$4:$B$1000,"Not found")</f>
        <v/>
      </c>
      <c r="D117">
        <f>XLOOKUP(A117,tblInvoices[invoice_id],tblInvoices[due_date])</f>
        <v/>
      </c>
      <c r="E117">
        <f>XLOOKUP(A117,tblInvoices[invoice_id],tblInvoices[total_invoice_amount])</f>
        <v/>
      </c>
      <c r="F117">
        <f>SUMIFS(tblPayments[payment_amount],tblPayments[invoice_id],A117,tblPayments[payment_status],"Success")</f>
        <v/>
      </c>
      <c r="G117">
        <f>MAX(0,E117-F117)</f>
        <v/>
      </c>
      <c r="H117">
        <f>DATE(2026,8,13)-D117</f>
        <v/>
      </c>
      <c r="I117">
        <f>IFS(G117=0,"Excluded (paid)",H117&lt;=0,"Current",H117&lt;=30,"1-30 days",H117&lt;=60,"31-60 days",H117&lt;=90,"61-90 days",TRUE,"90+ days")</f>
        <v/>
      </c>
    </row>
    <row r="118">
      <c r="A118" t="inlineStr">
        <is>
          <t>INV0002966</t>
        </is>
      </c>
      <c r="B118" t="inlineStr">
        <is>
          <t>MER00139</t>
        </is>
      </c>
      <c r="C118">
        <f>XLOOKUP(B118,Merchants!$A$4:$A$1000,Merchants!$B$4:$B$1000,"Not found")</f>
        <v/>
      </c>
      <c r="D118">
        <f>XLOOKUP(A118,tblInvoices[invoice_id],tblInvoices[due_date])</f>
        <v/>
      </c>
      <c r="E118">
        <f>XLOOKUP(A118,tblInvoices[invoice_id],tblInvoices[total_invoice_amount])</f>
        <v/>
      </c>
      <c r="F118">
        <f>SUMIFS(tblPayments[payment_amount],tblPayments[invoice_id],A118,tblPayments[payment_status],"Success")</f>
        <v/>
      </c>
      <c r="G118">
        <f>MAX(0,E118-F118)</f>
        <v/>
      </c>
      <c r="H118">
        <f>DATE(2026,8,13)-D118</f>
        <v/>
      </c>
      <c r="I118">
        <f>IFS(G118=0,"Excluded (paid)",H118&lt;=0,"Current",H118&lt;=30,"1-30 days",H118&lt;=60,"31-60 days",H118&lt;=90,"61-90 days",TRUE,"90+ days")</f>
        <v/>
      </c>
    </row>
    <row r="119">
      <c r="A119" t="inlineStr">
        <is>
          <t>INV0002967</t>
        </is>
      </c>
      <c r="B119" t="inlineStr">
        <is>
          <t>MER00139</t>
        </is>
      </c>
      <c r="C119">
        <f>XLOOKUP(B119,Merchants!$A$4:$A$1000,Merchants!$B$4:$B$1000,"Not found")</f>
        <v/>
      </c>
      <c r="D119">
        <f>XLOOKUP(A119,tblInvoices[invoice_id],tblInvoices[due_date])</f>
        <v/>
      </c>
      <c r="E119">
        <f>XLOOKUP(A119,tblInvoices[invoice_id],tblInvoices[total_invoice_amount])</f>
        <v/>
      </c>
      <c r="F119">
        <f>SUMIFS(tblPayments[payment_amount],tblPayments[invoice_id],A119,tblPayments[payment_status],"Success")</f>
        <v/>
      </c>
      <c r="G119">
        <f>MAX(0,E119-F119)</f>
        <v/>
      </c>
      <c r="H119">
        <f>DATE(2026,8,13)-D119</f>
        <v/>
      </c>
      <c r="I119">
        <f>IFS(G119=0,"Excluded (paid)",H119&lt;=0,"Current",H119&lt;=30,"1-30 days",H119&lt;=60,"31-60 days",H119&lt;=90,"61-90 days",TRUE,"90+ days")</f>
        <v/>
      </c>
    </row>
    <row r="120">
      <c r="A120" t="inlineStr">
        <is>
          <t>INV0002968</t>
        </is>
      </c>
      <c r="B120" t="inlineStr">
        <is>
          <t>MER00139</t>
        </is>
      </c>
      <c r="C120">
        <f>XLOOKUP(B120,Merchants!$A$4:$A$1000,Merchants!$B$4:$B$1000,"Not found")</f>
        <v/>
      </c>
      <c r="D120">
        <f>XLOOKUP(A120,tblInvoices[invoice_id],tblInvoices[due_date])</f>
        <v/>
      </c>
      <c r="E120">
        <f>XLOOKUP(A120,tblInvoices[invoice_id],tblInvoices[total_invoice_amount])</f>
        <v/>
      </c>
      <c r="F120">
        <f>SUMIFS(tblPayments[payment_amount],tblPayments[invoice_id],A120,tblPayments[payment_status],"Success")</f>
        <v/>
      </c>
      <c r="G120">
        <f>MAX(0,E120-F120)</f>
        <v/>
      </c>
      <c r="H120">
        <f>DATE(2026,8,13)-D120</f>
        <v/>
      </c>
      <c r="I120">
        <f>IFS(G120=0,"Excluded (paid)",H120&lt;=0,"Current",H120&lt;=30,"1-30 days",H120&lt;=60,"31-60 days",H120&lt;=90,"61-90 days",TRUE,"90+ days")</f>
        <v/>
      </c>
    </row>
    <row r="121">
      <c r="A121" t="inlineStr">
        <is>
          <t>INV0002969</t>
        </is>
      </c>
      <c r="B121" t="inlineStr">
        <is>
          <t>MER00140</t>
        </is>
      </c>
      <c r="C121">
        <f>XLOOKUP(B121,Merchants!$A$4:$A$1000,Merchants!$B$4:$B$1000,"Not found")</f>
        <v/>
      </c>
      <c r="D121">
        <f>XLOOKUP(A121,tblInvoices[invoice_id],tblInvoices[due_date])</f>
        <v/>
      </c>
      <c r="E121">
        <f>XLOOKUP(A121,tblInvoices[invoice_id],tblInvoices[total_invoice_amount])</f>
        <v/>
      </c>
      <c r="F121">
        <f>SUMIFS(tblPayments[payment_amount],tblPayments[invoice_id],A121,tblPayments[payment_status],"Success")</f>
        <v/>
      </c>
      <c r="G121">
        <f>MAX(0,E121-F121)</f>
        <v/>
      </c>
      <c r="H121">
        <f>DATE(2026,8,13)-D121</f>
        <v/>
      </c>
      <c r="I121">
        <f>IFS(G121=0,"Excluded (paid)",H121&lt;=0,"Current",H121&lt;=30,"1-30 days",H121&lt;=60,"31-60 days",H121&lt;=90,"61-90 days",TRUE,"90+ days")</f>
        <v/>
      </c>
    </row>
    <row r="122">
      <c r="A122" t="inlineStr">
        <is>
          <t>INV0002970</t>
        </is>
      </c>
      <c r="B122" t="inlineStr">
        <is>
          <t>MER00140</t>
        </is>
      </c>
      <c r="C122">
        <f>XLOOKUP(B122,Merchants!$A$4:$A$1000,Merchants!$B$4:$B$1000,"Not found")</f>
        <v/>
      </c>
      <c r="D122">
        <f>XLOOKUP(A122,tblInvoices[invoice_id],tblInvoices[due_date])</f>
        <v/>
      </c>
      <c r="E122">
        <f>XLOOKUP(A122,tblInvoices[invoice_id],tblInvoices[total_invoice_amount])</f>
        <v/>
      </c>
      <c r="F122">
        <f>SUMIFS(tblPayments[payment_amount],tblPayments[invoice_id],A122,tblPayments[payment_status],"Success")</f>
        <v/>
      </c>
      <c r="G122">
        <f>MAX(0,E122-F122)</f>
        <v/>
      </c>
      <c r="H122">
        <f>DATE(2026,8,13)-D122</f>
        <v/>
      </c>
      <c r="I122">
        <f>IFS(G122=0,"Excluded (paid)",H122&lt;=0,"Current",H122&lt;=30,"1-30 days",H122&lt;=60,"31-60 days",H122&lt;=90,"61-90 days",TRUE,"90+ days")</f>
        <v/>
      </c>
    </row>
    <row r="123">
      <c r="A123" t="inlineStr">
        <is>
          <t>INV0002971</t>
        </is>
      </c>
      <c r="B123" t="inlineStr">
        <is>
          <t>MER00140</t>
        </is>
      </c>
      <c r="C123">
        <f>XLOOKUP(B123,Merchants!$A$4:$A$1000,Merchants!$B$4:$B$1000,"Not found")</f>
        <v/>
      </c>
      <c r="D123">
        <f>XLOOKUP(A123,tblInvoices[invoice_id],tblInvoices[due_date])</f>
        <v/>
      </c>
      <c r="E123">
        <f>XLOOKUP(A123,tblInvoices[invoice_id],tblInvoices[total_invoice_amount])</f>
        <v/>
      </c>
      <c r="F123">
        <f>SUMIFS(tblPayments[payment_amount],tblPayments[invoice_id],A123,tblPayments[payment_status],"Success")</f>
        <v/>
      </c>
      <c r="G123">
        <f>MAX(0,E123-F123)</f>
        <v/>
      </c>
      <c r="H123">
        <f>DATE(2026,8,13)-D123</f>
        <v/>
      </c>
      <c r="I123">
        <f>IFS(G123=0,"Excluded (paid)",H123&lt;=0,"Current",H123&lt;=30,"1-30 days",H123&lt;=60,"31-60 days",H123&lt;=90,"61-90 days",TRUE,"90+ days")</f>
        <v/>
      </c>
    </row>
    <row r="124">
      <c r="A124" t="inlineStr">
        <is>
          <t>INV0002972</t>
        </is>
      </c>
      <c r="B124" t="inlineStr">
        <is>
          <t>MER00140</t>
        </is>
      </c>
      <c r="C124">
        <f>XLOOKUP(B124,Merchants!$A$4:$A$1000,Merchants!$B$4:$B$1000,"Not found")</f>
        <v/>
      </c>
      <c r="D124">
        <f>XLOOKUP(A124,tblInvoices[invoice_id],tblInvoices[due_date])</f>
        <v/>
      </c>
      <c r="E124">
        <f>XLOOKUP(A124,tblInvoices[invoice_id],tblInvoices[total_invoice_amount])</f>
        <v/>
      </c>
      <c r="F124">
        <f>SUMIFS(tblPayments[payment_amount],tblPayments[invoice_id],A124,tblPayments[payment_status],"Success")</f>
        <v/>
      </c>
      <c r="G124">
        <f>MAX(0,E124-F124)</f>
        <v/>
      </c>
      <c r="H124">
        <f>DATE(2026,8,13)-D124</f>
        <v/>
      </c>
      <c r="I124">
        <f>IFS(G124=0,"Excluded (paid)",H124&lt;=0,"Current",H124&lt;=30,"1-30 days",H124&lt;=60,"31-60 days",H124&lt;=90,"61-90 days",TRUE,"90+ days")</f>
        <v/>
      </c>
    </row>
    <row r="125">
      <c r="A125" t="inlineStr">
        <is>
          <t>INV0002973</t>
        </is>
      </c>
      <c r="B125" t="inlineStr">
        <is>
          <t>MER00140</t>
        </is>
      </c>
      <c r="C125">
        <f>XLOOKUP(B125,Merchants!$A$4:$A$1000,Merchants!$B$4:$B$1000,"Not found")</f>
        <v/>
      </c>
      <c r="D125">
        <f>XLOOKUP(A125,tblInvoices[invoice_id],tblInvoices[due_date])</f>
        <v/>
      </c>
      <c r="E125">
        <f>XLOOKUP(A125,tblInvoices[invoice_id],tblInvoices[total_invoice_amount])</f>
        <v/>
      </c>
      <c r="F125">
        <f>SUMIFS(tblPayments[payment_amount],tblPayments[invoice_id],A125,tblPayments[payment_status],"Success")</f>
        <v/>
      </c>
      <c r="G125">
        <f>MAX(0,E125-F125)</f>
        <v/>
      </c>
      <c r="H125">
        <f>DATE(2026,8,13)-D125</f>
        <v/>
      </c>
      <c r="I125">
        <f>IFS(G125=0,"Excluded (paid)",H125&lt;=0,"Current",H125&lt;=30,"1-30 days",H125&lt;=60,"31-60 days",H125&lt;=90,"61-90 days",TRUE,"90+ days")</f>
        <v/>
      </c>
    </row>
    <row r="126">
      <c r="A126" t="inlineStr">
        <is>
          <t>INV0002974</t>
        </is>
      </c>
      <c r="B126" t="inlineStr">
        <is>
          <t>MER00140</t>
        </is>
      </c>
      <c r="C126">
        <f>XLOOKUP(B126,Merchants!$A$4:$A$1000,Merchants!$B$4:$B$1000,"Not found")</f>
        <v/>
      </c>
      <c r="D126">
        <f>XLOOKUP(A126,tblInvoices[invoice_id],tblInvoices[due_date])</f>
        <v/>
      </c>
      <c r="E126">
        <f>XLOOKUP(A126,tblInvoices[invoice_id],tblInvoices[total_invoice_amount])</f>
        <v/>
      </c>
      <c r="F126">
        <f>SUMIFS(tblPayments[payment_amount],tblPayments[invoice_id],A126,tblPayments[payment_status],"Success")</f>
        <v/>
      </c>
      <c r="G126">
        <f>MAX(0,E126-F126)</f>
        <v/>
      </c>
      <c r="H126">
        <f>DATE(2026,8,13)-D126</f>
        <v/>
      </c>
      <c r="I126">
        <f>IFS(G126=0,"Excluded (paid)",H126&lt;=0,"Current",H126&lt;=30,"1-30 days",H126&lt;=60,"31-60 days",H126&lt;=90,"61-90 days",TRUE,"90+ days")</f>
        <v/>
      </c>
    </row>
    <row r="127">
      <c r="A127" t="inlineStr">
        <is>
          <t>INV0002975</t>
        </is>
      </c>
      <c r="B127" t="inlineStr">
        <is>
          <t>MER00140</t>
        </is>
      </c>
      <c r="C127">
        <f>XLOOKUP(B127,Merchants!$A$4:$A$1000,Merchants!$B$4:$B$1000,"Not found")</f>
        <v/>
      </c>
      <c r="D127">
        <f>XLOOKUP(A127,tblInvoices[invoice_id],tblInvoices[due_date])</f>
        <v/>
      </c>
      <c r="E127">
        <f>XLOOKUP(A127,tblInvoices[invoice_id],tblInvoices[total_invoice_amount])</f>
        <v/>
      </c>
      <c r="F127">
        <f>SUMIFS(tblPayments[payment_amount],tblPayments[invoice_id],A127,tblPayments[payment_status],"Success")</f>
        <v/>
      </c>
      <c r="G127">
        <f>MAX(0,E127-F127)</f>
        <v/>
      </c>
      <c r="H127">
        <f>DATE(2026,8,13)-D127</f>
        <v/>
      </c>
      <c r="I127">
        <f>IFS(G127=0,"Excluded (paid)",H127&lt;=0,"Current",H127&lt;=30,"1-30 days",H127&lt;=60,"31-60 days",H127&lt;=90,"61-90 days",TRUE,"90+ days")</f>
        <v/>
      </c>
    </row>
    <row r="128">
      <c r="A128" t="inlineStr">
        <is>
          <t>INV0002976</t>
        </is>
      </c>
      <c r="B128" t="inlineStr">
        <is>
          <t>MER00140</t>
        </is>
      </c>
      <c r="C128">
        <f>XLOOKUP(B128,Merchants!$A$4:$A$1000,Merchants!$B$4:$B$1000,"Not found")</f>
        <v/>
      </c>
      <c r="D128">
        <f>XLOOKUP(A128,tblInvoices[invoice_id],tblInvoices[due_date])</f>
        <v/>
      </c>
      <c r="E128">
        <f>XLOOKUP(A128,tblInvoices[invoice_id],tblInvoices[total_invoice_amount])</f>
        <v/>
      </c>
      <c r="F128">
        <f>SUMIFS(tblPayments[payment_amount],tblPayments[invoice_id],A128,tblPayments[payment_status],"Success")</f>
        <v/>
      </c>
      <c r="G128">
        <f>MAX(0,E128-F128)</f>
        <v/>
      </c>
      <c r="H128">
        <f>DATE(2026,8,13)-D128</f>
        <v/>
      </c>
      <c r="I128">
        <f>IFS(G128=0,"Excluded (paid)",H128&lt;=0,"Current",H128&lt;=30,"1-30 days",H128&lt;=60,"31-60 days",H128&lt;=90,"61-90 days",TRUE,"90+ days")</f>
        <v/>
      </c>
    </row>
    <row r="129">
      <c r="A129" t="inlineStr">
        <is>
          <t>INV0002977</t>
        </is>
      </c>
      <c r="B129" t="inlineStr">
        <is>
          <t>MER00140</t>
        </is>
      </c>
      <c r="C129">
        <f>XLOOKUP(B129,Merchants!$A$4:$A$1000,Merchants!$B$4:$B$1000,"Not found")</f>
        <v/>
      </c>
      <c r="D129">
        <f>XLOOKUP(A129,tblInvoices[invoice_id],tblInvoices[due_date])</f>
        <v/>
      </c>
      <c r="E129">
        <f>XLOOKUP(A129,tblInvoices[invoice_id],tblInvoices[total_invoice_amount])</f>
        <v/>
      </c>
      <c r="F129">
        <f>SUMIFS(tblPayments[payment_amount],tblPayments[invoice_id],A129,tblPayments[payment_status],"Success")</f>
        <v/>
      </c>
      <c r="G129">
        <f>MAX(0,E129-F129)</f>
        <v/>
      </c>
      <c r="H129">
        <f>DATE(2026,8,13)-D129</f>
        <v/>
      </c>
      <c r="I129">
        <f>IFS(G129=0,"Excluded (paid)",H129&lt;=0,"Current",H129&lt;=30,"1-30 days",H129&lt;=60,"31-60 days",H129&lt;=90,"61-90 days",TRUE,"90+ days")</f>
        <v/>
      </c>
    </row>
    <row r="130">
      <c r="A130" t="inlineStr">
        <is>
          <t>INV0002978</t>
        </is>
      </c>
      <c r="B130" t="inlineStr">
        <is>
          <t>MER00140</t>
        </is>
      </c>
      <c r="C130">
        <f>XLOOKUP(B130,Merchants!$A$4:$A$1000,Merchants!$B$4:$B$1000,"Not found")</f>
        <v/>
      </c>
      <c r="D130">
        <f>XLOOKUP(A130,tblInvoices[invoice_id],tblInvoices[due_date])</f>
        <v/>
      </c>
      <c r="E130">
        <f>XLOOKUP(A130,tblInvoices[invoice_id],tblInvoices[total_invoice_amount])</f>
        <v/>
      </c>
      <c r="F130">
        <f>SUMIFS(tblPayments[payment_amount],tblPayments[invoice_id],A130,tblPayments[payment_status],"Success")</f>
        <v/>
      </c>
      <c r="G130">
        <f>MAX(0,E130-F130)</f>
        <v/>
      </c>
      <c r="H130">
        <f>DATE(2026,8,13)-D130</f>
        <v/>
      </c>
      <c r="I130">
        <f>IFS(G130=0,"Excluded (paid)",H130&lt;=0,"Current",H130&lt;=30,"1-30 days",H130&lt;=60,"31-60 days",H130&lt;=90,"61-90 days",TRUE,"90+ days")</f>
        <v/>
      </c>
    </row>
    <row r="131">
      <c r="A131" t="inlineStr">
        <is>
          <t>INV0002979</t>
        </is>
      </c>
      <c r="B131" t="inlineStr">
        <is>
          <t>MER00140</t>
        </is>
      </c>
      <c r="C131">
        <f>XLOOKUP(B131,Merchants!$A$4:$A$1000,Merchants!$B$4:$B$1000,"Not found")</f>
        <v/>
      </c>
      <c r="D131">
        <f>XLOOKUP(A131,tblInvoices[invoice_id],tblInvoices[due_date])</f>
        <v/>
      </c>
      <c r="E131">
        <f>XLOOKUP(A131,tblInvoices[invoice_id],tblInvoices[total_invoice_amount])</f>
        <v/>
      </c>
      <c r="F131">
        <f>SUMIFS(tblPayments[payment_amount],tblPayments[invoice_id],A131,tblPayments[payment_status],"Success")</f>
        <v/>
      </c>
      <c r="G131">
        <f>MAX(0,E131-F131)</f>
        <v/>
      </c>
      <c r="H131">
        <f>DATE(2026,8,13)-D131</f>
        <v/>
      </c>
      <c r="I131">
        <f>IFS(G131=0,"Excluded (paid)",H131&lt;=0,"Current",H131&lt;=30,"1-30 days",H131&lt;=60,"31-60 days",H131&lt;=90,"61-90 days",TRUE,"90+ days")</f>
        <v/>
      </c>
    </row>
    <row r="132">
      <c r="A132" t="inlineStr">
        <is>
          <t>INV0002980</t>
        </is>
      </c>
      <c r="B132" t="inlineStr">
        <is>
          <t>MER00140</t>
        </is>
      </c>
      <c r="C132">
        <f>XLOOKUP(B132,Merchants!$A$4:$A$1000,Merchants!$B$4:$B$1000,"Not found")</f>
        <v/>
      </c>
      <c r="D132">
        <f>XLOOKUP(A132,tblInvoices[invoice_id],tblInvoices[due_date])</f>
        <v/>
      </c>
      <c r="E132">
        <f>XLOOKUP(A132,tblInvoices[invoice_id],tblInvoices[total_invoice_amount])</f>
        <v/>
      </c>
      <c r="F132">
        <f>SUMIFS(tblPayments[payment_amount],tblPayments[invoice_id],A132,tblPayments[payment_status],"Success")</f>
        <v/>
      </c>
      <c r="G132">
        <f>MAX(0,E132-F132)</f>
        <v/>
      </c>
      <c r="H132">
        <f>DATE(2026,8,13)-D132</f>
        <v/>
      </c>
      <c r="I132">
        <f>IFS(G132=0,"Excluded (paid)",H132&lt;=0,"Current",H132&lt;=30,"1-30 days",H132&lt;=60,"31-60 days",H132&lt;=90,"61-90 days",TRUE,"90+ days")</f>
        <v/>
      </c>
    </row>
    <row r="133">
      <c r="A133" t="inlineStr">
        <is>
          <t>INV0002981</t>
        </is>
      </c>
      <c r="B133" t="inlineStr">
        <is>
          <t>MER00140</t>
        </is>
      </c>
      <c r="C133">
        <f>XLOOKUP(B133,Merchants!$A$4:$A$1000,Merchants!$B$4:$B$1000,"Not found")</f>
        <v/>
      </c>
      <c r="D133">
        <f>XLOOKUP(A133,tblInvoices[invoice_id],tblInvoices[due_date])</f>
        <v/>
      </c>
      <c r="E133">
        <f>XLOOKUP(A133,tblInvoices[invoice_id],tblInvoices[total_invoice_amount])</f>
        <v/>
      </c>
      <c r="F133">
        <f>SUMIFS(tblPayments[payment_amount],tblPayments[invoice_id],A133,tblPayments[payment_status],"Success")</f>
        <v/>
      </c>
      <c r="G133">
        <f>MAX(0,E133-F133)</f>
        <v/>
      </c>
      <c r="H133">
        <f>DATE(2026,8,13)-D133</f>
        <v/>
      </c>
      <c r="I133">
        <f>IFS(G133=0,"Excluded (paid)",H133&lt;=0,"Current",H133&lt;=30,"1-30 days",H133&lt;=60,"31-60 days",H133&lt;=90,"61-90 days",TRUE,"90+ days")</f>
        <v/>
      </c>
    </row>
    <row r="134">
      <c r="A134" t="inlineStr">
        <is>
          <t>INV0002982</t>
        </is>
      </c>
      <c r="B134" t="inlineStr">
        <is>
          <t>MER00140</t>
        </is>
      </c>
      <c r="C134">
        <f>XLOOKUP(B134,Merchants!$A$4:$A$1000,Merchants!$B$4:$B$1000,"Not found")</f>
        <v/>
      </c>
      <c r="D134">
        <f>XLOOKUP(A134,tblInvoices[invoice_id],tblInvoices[due_date])</f>
        <v/>
      </c>
      <c r="E134">
        <f>XLOOKUP(A134,tblInvoices[invoice_id],tblInvoices[total_invoice_amount])</f>
        <v/>
      </c>
      <c r="F134">
        <f>SUMIFS(tblPayments[payment_amount],tblPayments[invoice_id],A134,tblPayments[payment_status],"Success")</f>
        <v/>
      </c>
      <c r="G134">
        <f>MAX(0,E134-F134)</f>
        <v/>
      </c>
      <c r="H134">
        <f>DATE(2026,8,13)-D134</f>
        <v/>
      </c>
      <c r="I134">
        <f>IFS(G134=0,"Excluded (paid)",H134&lt;=0,"Current",H134&lt;=30,"1-30 days",H134&lt;=60,"31-60 days",H134&lt;=90,"61-90 days",TRUE,"90+ days")</f>
        <v/>
      </c>
    </row>
    <row r="135">
      <c r="A135" t="inlineStr">
        <is>
          <t>INV0002983</t>
        </is>
      </c>
      <c r="B135" t="inlineStr">
        <is>
          <t>MER00140</t>
        </is>
      </c>
      <c r="C135">
        <f>XLOOKUP(B135,Merchants!$A$4:$A$1000,Merchants!$B$4:$B$1000,"Not found")</f>
        <v/>
      </c>
      <c r="D135">
        <f>XLOOKUP(A135,tblInvoices[invoice_id],tblInvoices[due_date])</f>
        <v/>
      </c>
      <c r="E135">
        <f>XLOOKUP(A135,tblInvoices[invoice_id],tblInvoices[total_invoice_amount])</f>
        <v/>
      </c>
      <c r="F135">
        <f>SUMIFS(tblPayments[payment_amount],tblPayments[invoice_id],A135,tblPayments[payment_status],"Success")</f>
        <v/>
      </c>
      <c r="G135">
        <f>MAX(0,E135-F135)</f>
        <v/>
      </c>
      <c r="H135">
        <f>DATE(2026,8,13)-D135</f>
        <v/>
      </c>
      <c r="I135">
        <f>IFS(G135=0,"Excluded (paid)",H135&lt;=0,"Current",H135&lt;=30,"1-30 days",H135&lt;=60,"31-60 days",H135&lt;=90,"61-90 days",TRUE,"90+ days")</f>
        <v/>
      </c>
    </row>
    <row r="136">
      <c r="A136" t="inlineStr">
        <is>
          <t>INV0002984</t>
        </is>
      </c>
      <c r="B136" t="inlineStr">
        <is>
          <t>MER00140</t>
        </is>
      </c>
      <c r="C136">
        <f>XLOOKUP(B136,Merchants!$A$4:$A$1000,Merchants!$B$4:$B$1000,"Not found")</f>
        <v/>
      </c>
      <c r="D136">
        <f>XLOOKUP(A136,tblInvoices[invoice_id],tblInvoices[due_date])</f>
        <v/>
      </c>
      <c r="E136">
        <f>XLOOKUP(A136,tblInvoices[invoice_id],tblInvoices[total_invoice_amount])</f>
        <v/>
      </c>
      <c r="F136">
        <f>SUMIFS(tblPayments[payment_amount],tblPayments[invoice_id],A136,tblPayments[payment_status],"Success")</f>
        <v/>
      </c>
      <c r="G136">
        <f>MAX(0,E136-F136)</f>
        <v/>
      </c>
      <c r="H136">
        <f>DATE(2026,8,13)-D136</f>
        <v/>
      </c>
      <c r="I136">
        <f>IFS(G136=0,"Excluded (paid)",H136&lt;=0,"Current",H136&lt;=30,"1-30 days",H136&lt;=60,"31-60 days",H136&lt;=90,"61-90 days",TRUE,"90+ days")</f>
        <v/>
      </c>
    </row>
    <row r="137">
      <c r="A137" t="inlineStr">
        <is>
          <t>INV0002985</t>
        </is>
      </c>
      <c r="B137" t="inlineStr">
        <is>
          <t>MER00140</t>
        </is>
      </c>
      <c r="C137">
        <f>XLOOKUP(B137,Merchants!$A$4:$A$1000,Merchants!$B$4:$B$1000,"Not found")</f>
        <v/>
      </c>
      <c r="D137">
        <f>XLOOKUP(A137,tblInvoices[invoice_id],tblInvoices[due_date])</f>
        <v/>
      </c>
      <c r="E137">
        <f>XLOOKUP(A137,tblInvoices[invoice_id],tblInvoices[total_invoice_amount])</f>
        <v/>
      </c>
      <c r="F137">
        <f>SUMIFS(tblPayments[payment_amount],tblPayments[invoice_id],A137,tblPayments[payment_status],"Success")</f>
        <v/>
      </c>
      <c r="G137">
        <f>MAX(0,E137-F137)</f>
        <v/>
      </c>
      <c r="H137">
        <f>DATE(2026,8,13)-D137</f>
        <v/>
      </c>
      <c r="I137">
        <f>IFS(G137=0,"Excluded (paid)",H137&lt;=0,"Current",H137&lt;=30,"1-30 days",H137&lt;=60,"31-60 days",H137&lt;=90,"61-90 days",TRUE,"90+ days")</f>
        <v/>
      </c>
    </row>
    <row r="138">
      <c r="A138" t="inlineStr">
        <is>
          <t>INV0002986</t>
        </is>
      </c>
      <c r="B138" t="inlineStr">
        <is>
          <t>MER00140</t>
        </is>
      </c>
      <c r="C138">
        <f>XLOOKUP(B138,Merchants!$A$4:$A$1000,Merchants!$B$4:$B$1000,"Not found")</f>
        <v/>
      </c>
      <c r="D138">
        <f>XLOOKUP(A138,tblInvoices[invoice_id],tblInvoices[due_date])</f>
        <v/>
      </c>
      <c r="E138">
        <f>XLOOKUP(A138,tblInvoices[invoice_id],tblInvoices[total_invoice_amount])</f>
        <v/>
      </c>
      <c r="F138">
        <f>SUMIFS(tblPayments[payment_amount],tblPayments[invoice_id],A138,tblPayments[payment_status],"Success")</f>
        <v/>
      </c>
      <c r="G138">
        <f>MAX(0,E138-F138)</f>
        <v/>
      </c>
      <c r="H138">
        <f>DATE(2026,8,13)-D138</f>
        <v/>
      </c>
      <c r="I138">
        <f>IFS(G138=0,"Excluded (paid)",H138&lt;=0,"Current",H138&lt;=30,"1-30 days",H138&lt;=60,"31-60 days",H138&lt;=90,"61-90 days",TRUE,"90+ days")</f>
        <v/>
      </c>
    </row>
    <row r="139">
      <c r="A139" t="inlineStr">
        <is>
          <t>INV0002987</t>
        </is>
      </c>
      <c r="B139" t="inlineStr">
        <is>
          <t>MER00140</t>
        </is>
      </c>
      <c r="C139">
        <f>XLOOKUP(B139,Merchants!$A$4:$A$1000,Merchants!$B$4:$B$1000,"Not found")</f>
        <v/>
      </c>
      <c r="D139">
        <f>XLOOKUP(A139,tblInvoices[invoice_id],tblInvoices[due_date])</f>
        <v/>
      </c>
      <c r="E139">
        <f>XLOOKUP(A139,tblInvoices[invoice_id],tblInvoices[total_invoice_amount])</f>
        <v/>
      </c>
      <c r="F139">
        <f>SUMIFS(tblPayments[payment_amount],tblPayments[invoice_id],A139,tblPayments[payment_status],"Success")</f>
        <v/>
      </c>
      <c r="G139">
        <f>MAX(0,E139-F139)</f>
        <v/>
      </c>
      <c r="H139">
        <f>DATE(2026,8,13)-D139</f>
        <v/>
      </c>
      <c r="I139">
        <f>IFS(G139=0,"Excluded (paid)",H139&lt;=0,"Current",H139&lt;=30,"1-30 days",H139&lt;=60,"31-60 days",H139&lt;=90,"61-90 days",TRUE,"90+ days")</f>
        <v/>
      </c>
    </row>
    <row r="140">
      <c r="A140" t="inlineStr">
        <is>
          <t>INV0002988</t>
        </is>
      </c>
      <c r="B140" t="inlineStr">
        <is>
          <t>MER00140</t>
        </is>
      </c>
      <c r="C140">
        <f>XLOOKUP(B140,Merchants!$A$4:$A$1000,Merchants!$B$4:$B$1000,"Not found")</f>
        <v/>
      </c>
      <c r="D140">
        <f>XLOOKUP(A140,tblInvoices[invoice_id],tblInvoices[due_date])</f>
        <v/>
      </c>
      <c r="E140">
        <f>XLOOKUP(A140,tblInvoices[invoice_id],tblInvoices[total_invoice_amount])</f>
        <v/>
      </c>
      <c r="F140">
        <f>SUMIFS(tblPayments[payment_amount],tblPayments[invoice_id],A140,tblPayments[payment_status],"Success")</f>
        <v/>
      </c>
      <c r="G140">
        <f>MAX(0,E140-F140)</f>
        <v/>
      </c>
      <c r="H140">
        <f>DATE(2026,8,13)-D140</f>
        <v/>
      </c>
      <c r="I140">
        <f>IFS(G140=0,"Excluded (paid)",H140&lt;=0,"Current",H140&lt;=30,"1-30 days",H140&lt;=60,"31-60 days",H140&lt;=90,"61-90 days",TRUE,"90+ days")</f>
        <v/>
      </c>
    </row>
    <row r="141">
      <c r="A141" t="inlineStr">
        <is>
          <t>INV0002989</t>
        </is>
      </c>
      <c r="B141" t="inlineStr">
        <is>
          <t>MER00140</t>
        </is>
      </c>
      <c r="C141">
        <f>XLOOKUP(B141,Merchants!$A$4:$A$1000,Merchants!$B$4:$B$1000,"Not found")</f>
        <v/>
      </c>
      <c r="D141">
        <f>XLOOKUP(A141,tblInvoices[invoice_id],tblInvoices[due_date])</f>
        <v/>
      </c>
      <c r="E141">
        <f>XLOOKUP(A141,tblInvoices[invoice_id],tblInvoices[total_invoice_amount])</f>
        <v/>
      </c>
      <c r="F141">
        <f>SUMIFS(tblPayments[payment_amount],tblPayments[invoice_id],A141,tblPayments[payment_status],"Success")</f>
        <v/>
      </c>
      <c r="G141">
        <f>MAX(0,E141-F141)</f>
        <v/>
      </c>
      <c r="H141">
        <f>DATE(2026,8,13)-D141</f>
        <v/>
      </c>
      <c r="I141">
        <f>IFS(G141=0,"Excluded (paid)",H141&lt;=0,"Current",H141&lt;=30,"1-30 days",H141&lt;=60,"31-60 days",H141&lt;=90,"61-90 days",TRUE,"90+ days")</f>
        <v/>
      </c>
    </row>
    <row r="142">
      <c r="A142" t="inlineStr">
        <is>
          <t>INV0002990</t>
        </is>
      </c>
      <c r="B142" t="inlineStr">
        <is>
          <t>MER00140</t>
        </is>
      </c>
      <c r="C142">
        <f>XLOOKUP(B142,Merchants!$A$4:$A$1000,Merchants!$B$4:$B$1000,"Not found")</f>
        <v/>
      </c>
      <c r="D142">
        <f>XLOOKUP(A142,tblInvoices[invoice_id],tblInvoices[due_date])</f>
        <v/>
      </c>
      <c r="E142">
        <f>XLOOKUP(A142,tblInvoices[invoice_id],tblInvoices[total_invoice_amount])</f>
        <v/>
      </c>
      <c r="F142">
        <f>SUMIFS(tblPayments[payment_amount],tblPayments[invoice_id],A142,tblPayments[payment_status],"Success")</f>
        <v/>
      </c>
      <c r="G142">
        <f>MAX(0,E142-F142)</f>
        <v/>
      </c>
      <c r="H142">
        <f>DATE(2026,8,13)-D142</f>
        <v/>
      </c>
      <c r="I142">
        <f>IFS(G142=0,"Excluded (paid)",H142&lt;=0,"Current",H142&lt;=30,"1-30 days",H142&lt;=60,"31-60 days",H142&lt;=90,"61-90 days",TRUE,"90+ days")</f>
        <v/>
      </c>
    </row>
    <row r="143">
      <c r="A143" t="inlineStr">
        <is>
          <t>INV0002991</t>
        </is>
      </c>
      <c r="B143" t="inlineStr">
        <is>
          <t>MER00140</t>
        </is>
      </c>
      <c r="C143">
        <f>XLOOKUP(B143,Merchants!$A$4:$A$1000,Merchants!$B$4:$B$1000,"Not found")</f>
        <v/>
      </c>
      <c r="D143">
        <f>XLOOKUP(A143,tblInvoices[invoice_id],tblInvoices[due_date])</f>
        <v/>
      </c>
      <c r="E143">
        <f>XLOOKUP(A143,tblInvoices[invoice_id],tblInvoices[total_invoice_amount])</f>
        <v/>
      </c>
      <c r="F143">
        <f>SUMIFS(tblPayments[payment_amount],tblPayments[invoice_id],A143,tblPayments[payment_status],"Success")</f>
        <v/>
      </c>
      <c r="G143">
        <f>MAX(0,E143-F143)</f>
        <v/>
      </c>
      <c r="H143">
        <f>DATE(2026,8,13)-D143</f>
        <v/>
      </c>
      <c r="I143">
        <f>IFS(G143=0,"Excluded (paid)",H143&lt;=0,"Current",H143&lt;=30,"1-30 days",H143&lt;=60,"31-60 days",H143&lt;=90,"61-90 days",TRUE,"90+ days")</f>
        <v/>
      </c>
    </row>
    <row r="144">
      <c r="A144" t="inlineStr">
        <is>
          <t>INV0003305</t>
        </is>
      </c>
      <c r="B144" t="inlineStr">
        <is>
          <t>MER00156</t>
        </is>
      </c>
      <c r="C144">
        <f>XLOOKUP(B144,Merchants!$A$4:$A$1000,Merchants!$B$4:$B$1000,"Not found")</f>
        <v/>
      </c>
      <c r="D144">
        <f>XLOOKUP(A144,tblInvoices[invoice_id],tblInvoices[due_date])</f>
        <v/>
      </c>
      <c r="E144">
        <f>XLOOKUP(A144,tblInvoices[invoice_id],tblInvoices[total_invoice_amount])</f>
        <v/>
      </c>
      <c r="F144">
        <f>SUMIFS(tblPayments[payment_amount],tblPayments[invoice_id],A144,tblPayments[payment_status],"Success")</f>
        <v/>
      </c>
      <c r="G144">
        <f>MAX(0,E144-F144)</f>
        <v/>
      </c>
      <c r="H144">
        <f>DATE(2026,8,13)-D144</f>
        <v/>
      </c>
      <c r="I144">
        <f>IFS(G144=0,"Excluded (paid)",H144&lt;=0,"Current",H144&lt;=30,"1-30 days",H144&lt;=60,"31-60 days",H144&lt;=90,"61-90 days",TRUE,"90+ days")</f>
        <v/>
      </c>
    </row>
    <row r="145">
      <c r="A145" t="inlineStr">
        <is>
          <t>INV0003306</t>
        </is>
      </c>
      <c r="B145" t="inlineStr">
        <is>
          <t>MER00156</t>
        </is>
      </c>
      <c r="C145">
        <f>XLOOKUP(B145,Merchants!$A$4:$A$1000,Merchants!$B$4:$B$1000,"Not found")</f>
        <v/>
      </c>
      <c r="D145">
        <f>XLOOKUP(A145,tblInvoices[invoice_id],tblInvoices[due_date])</f>
        <v/>
      </c>
      <c r="E145">
        <f>XLOOKUP(A145,tblInvoices[invoice_id],tblInvoices[total_invoice_amount])</f>
        <v/>
      </c>
      <c r="F145">
        <f>SUMIFS(tblPayments[payment_amount],tblPayments[invoice_id],A145,tblPayments[payment_status],"Success")</f>
        <v/>
      </c>
      <c r="G145">
        <f>MAX(0,E145-F145)</f>
        <v/>
      </c>
      <c r="H145">
        <f>DATE(2026,8,13)-D145</f>
        <v/>
      </c>
      <c r="I145">
        <f>IFS(G145=0,"Excluded (paid)",H145&lt;=0,"Current",H145&lt;=30,"1-30 days",H145&lt;=60,"31-60 days",H145&lt;=90,"61-90 days",TRUE,"90+ days")</f>
        <v/>
      </c>
    </row>
    <row r="146">
      <c r="A146" t="inlineStr">
        <is>
          <t>INV0003307</t>
        </is>
      </c>
      <c r="B146" t="inlineStr">
        <is>
          <t>MER00156</t>
        </is>
      </c>
      <c r="C146">
        <f>XLOOKUP(B146,Merchants!$A$4:$A$1000,Merchants!$B$4:$B$1000,"Not found")</f>
        <v/>
      </c>
      <c r="D146">
        <f>XLOOKUP(A146,tblInvoices[invoice_id],tblInvoices[due_date])</f>
        <v/>
      </c>
      <c r="E146">
        <f>XLOOKUP(A146,tblInvoices[invoice_id],tblInvoices[total_invoice_amount])</f>
        <v/>
      </c>
      <c r="F146">
        <f>SUMIFS(tblPayments[payment_amount],tblPayments[invoice_id],A146,tblPayments[payment_status],"Success")</f>
        <v/>
      </c>
      <c r="G146">
        <f>MAX(0,E146-F146)</f>
        <v/>
      </c>
      <c r="H146">
        <f>DATE(2026,8,13)-D146</f>
        <v/>
      </c>
      <c r="I146">
        <f>IFS(G146=0,"Excluded (paid)",H146&lt;=0,"Current",H146&lt;=30,"1-30 days",H146&lt;=60,"31-60 days",H146&lt;=90,"61-90 days",TRUE,"90+ days")</f>
        <v/>
      </c>
    </row>
    <row r="147">
      <c r="A147" t="inlineStr">
        <is>
          <t>INV0003308</t>
        </is>
      </c>
      <c r="B147" t="inlineStr">
        <is>
          <t>MER00156</t>
        </is>
      </c>
      <c r="C147">
        <f>XLOOKUP(B147,Merchants!$A$4:$A$1000,Merchants!$B$4:$B$1000,"Not found")</f>
        <v/>
      </c>
      <c r="D147">
        <f>XLOOKUP(A147,tblInvoices[invoice_id],tblInvoices[due_date])</f>
        <v/>
      </c>
      <c r="E147">
        <f>XLOOKUP(A147,tblInvoices[invoice_id],tblInvoices[total_invoice_amount])</f>
        <v/>
      </c>
      <c r="F147">
        <f>SUMIFS(tblPayments[payment_amount],tblPayments[invoice_id],A147,tblPayments[payment_status],"Success")</f>
        <v/>
      </c>
      <c r="G147">
        <f>MAX(0,E147-F147)</f>
        <v/>
      </c>
      <c r="H147">
        <f>DATE(2026,8,13)-D147</f>
        <v/>
      </c>
      <c r="I147">
        <f>IFS(G147=0,"Excluded (paid)",H147&lt;=0,"Current",H147&lt;=30,"1-30 days",H147&lt;=60,"31-60 days",H147&lt;=90,"61-90 days",TRUE,"90+ days")</f>
        <v/>
      </c>
    </row>
    <row r="148">
      <c r="A148" t="inlineStr">
        <is>
          <t>INV0003309</t>
        </is>
      </c>
      <c r="B148" t="inlineStr">
        <is>
          <t>MER00156</t>
        </is>
      </c>
      <c r="C148">
        <f>XLOOKUP(B148,Merchants!$A$4:$A$1000,Merchants!$B$4:$B$1000,"Not found")</f>
        <v/>
      </c>
      <c r="D148">
        <f>XLOOKUP(A148,tblInvoices[invoice_id],tblInvoices[due_date])</f>
        <v/>
      </c>
      <c r="E148">
        <f>XLOOKUP(A148,tblInvoices[invoice_id],tblInvoices[total_invoice_amount])</f>
        <v/>
      </c>
      <c r="F148">
        <f>SUMIFS(tblPayments[payment_amount],tblPayments[invoice_id],A148,tblPayments[payment_status],"Success")</f>
        <v/>
      </c>
      <c r="G148">
        <f>MAX(0,E148-F148)</f>
        <v/>
      </c>
      <c r="H148">
        <f>DATE(2026,8,13)-D148</f>
        <v/>
      </c>
      <c r="I148">
        <f>IFS(G148=0,"Excluded (paid)",H148&lt;=0,"Current",H148&lt;=30,"1-30 days",H148&lt;=60,"31-60 days",H148&lt;=90,"61-90 days",TRUE,"90+ days")</f>
        <v/>
      </c>
    </row>
    <row r="149">
      <c r="A149" t="inlineStr">
        <is>
          <t>INV0003310</t>
        </is>
      </c>
      <c r="B149" t="inlineStr">
        <is>
          <t>MER00156</t>
        </is>
      </c>
      <c r="C149">
        <f>XLOOKUP(B149,Merchants!$A$4:$A$1000,Merchants!$B$4:$B$1000,"Not found")</f>
        <v/>
      </c>
      <c r="D149">
        <f>XLOOKUP(A149,tblInvoices[invoice_id],tblInvoices[due_date])</f>
        <v/>
      </c>
      <c r="E149">
        <f>XLOOKUP(A149,tblInvoices[invoice_id],tblInvoices[total_invoice_amount])</f>
        <v/>
      </c>
      <c r="F149">
        <f>SUMIFS(tblPayments[payment_amount],tblPayments[invoice_id],A149,tblPayments[payment_status],"Success")</f>
        <v/>
      </c>
      <c r="G149">
        <f>MAX(0,E149-F149)</f>
        <v/>
      </c>
      <c r="H149">
        <f>DATE(2026,8,13)-D149</f>
        <v/>
      </c>
      <c r="I149">
        <f>IFS(G149=0,"Excluded (paid)",H149&lt;=0,"Current",H149&lt;=30,"1-30 days",H149&lt;=60,"31-60 days",H149&lt;=90,"61-90 days",TRUE,"90+ days")</f>
        <v/>
      </c>
    </row>
    <row r="150">
      <c r="A150" t="inlineStr">
        <is>
          <t>INV0003311</t>
        </is>
      </c>
      <c r="B150" t="inlineStr">
        <is>
          <t>MER00156</t>
        </is>
      </c>
      <c r="C150">
        <f>XLOOKUP(B150,Merchants!$A$4:$A$1000,Merchants!$B$4:$B$1000,"Not found")</f>
        <v/>
      </c>
      <c r="D150">
        <f>XLOOKUP(A150,tblInvoices[invoice_id],tblInvoices[due_date])</f>
        <v/>
      </c>
      <c r="E150">
        <f>XLOOKUP(A150,tblInvoices[invoice_id],tblInvoices[total_invoice_amount])</f>
        <v/>
      </c>
      <c r="F150">
        <f>SUMIFS(tblPayments[payment_amount],tblPayments[invoice_id],A150,tblPayments[payment_status],"Success")</f>
        <v/>
      </c>
      <c r="G150">
        <f>MAX(0,E150-F150)</f>
        <v/>
      </c>
      <c r="H150">
        <f>DATE(2026,8,13)-D150</f>
        <v/>
      </c>
      <c r="I150">
        <f>IFS(G150=0,"Excluded (paid)",H150&lt;=0,"Current",H150&lt;=30,"1-30 days",H150&lt;=60,"31-60 days",H150&lt;=90,"61-90 days",TRUE,"90+ days")</f>
        <v/>
      </c>
    </row>
    <row r="151">
      <c r="A151" t="inlineStr">
        <is>
          <t>INV0003312</t>
        </is>
      </c>
      <c r="B151" t="inlineStr">
        <is>
          <t>MER00156</t>
        </is>
      </c>
      <c r="C151">
        <f>XLOOKUP(B151,Merchants!$A$4:$A$1000,Merchants!$B$4:$B$1000,"Not found")</f>
        <v/>
      </c>
      <c r="D151">
        <f>XLOOKUP(A151,tblInvoices[invoice_id],tblInvoices[due_date])</f>
        <v/>
      </c>
      <c r="E151">
        <f>XLOOKUP(A151,tblInvoices[invoice_id],tblInvoices[total_invoice_amount])</f>
        <v/>
      </c>
      <c r="F151">
        <f>SUMIFS(tblPayments[payment_amount],tblPayments[invoice_id],A151,tblPayments[payment_status],"Success")</f>
        <v/>
      </c>
      <c r="G151">
        <f>MAX(0,E151-F151)</f>
        <v/>
      </c>
      <c r="H151">
        <f>DATE(2026,8,13)-D151</f>
        <v/>
      </c>
      <c r="I151">
        <f>IFS(G151=0,"Excluded (paid)",H151&lt;=0,"Current",H151&lt;=30,"1-30 days",H151&lt;=60,"31-60 days",H151&lt;=90,"61-90 days",TRUE,"90+ days")</f>
        <v/>
      </c>
    </row>
    <row r="152">
      <c r="A152" t="inlineStr">
        <is>
          <t>INV0003313</t>
        </is>
      </c>
      <c r="B152" t="inlineStr">
        <is>
          <t>MER00156</t>
        </is>
      </c>
      <c r="C152">
        <f>XLOOKUP(B152,Merchants!$A$4:$A$1000,Merchants!$B$4:$B$1000,"Not found")</f>
        <v/>
      </c>
      <c r="D152">
        <f>XLOOKUP(A152,tblInvoices[invoice_id],tblInvoices[due_date])</f>
        <v/>
      </c>
      <c r="E152">
        <f>XLOOKUP(A152,tblInvoices[invoice_id],tblInvoices[total_invoice_amount])</f>
        <v/>
      </c>
      <c r="F152">
        <f>SUMIFS(tblPayments[payment_amount],tblPayments[invoice_id],A152,tblPayments[payment_status],"Success")</f>
        <v/>
      </c>
      <c r="G152">
        <f>MAX(0,E152-F152)</f>
        <v/>
      </c>
      <c r="H152">
        <f>DATE(2026,8,13)-D152</f>
        <v/>
      </c>
      <c r="I152">
        <f>IFS(G152=0,"Excluded (paid)",H152&lt;=0,"Current",H152&lt;=30,"1-30 days",H152&lt;=60,"31-60 days",H152&lt;=90,"61-90 days",TRUE,"90+ days")</f>
        <v/>
      </c>
    </row>
    <row r="153">
      <c r="A153" t="inlineStr">
        <is>
          <t>INV0003314</t>
        </is>
      </c>
      <c r="B153" t="inlineStr">
        <is>
          <t>MER00156</t>
        </is>
      </c>
      <c r="C153">
        <f>XLOOKUP(B153,Merchants!$A$4:$A$1000,Merchants!$B$4:$B$1000,"Not found")</f>
        <v/>
      </c>
      <c r="D153">
        <f>XLOOKUP(A153,tblInvoices[invoice_id],tblInvoices[due_date])</f>
        <v/>
      </c>
      <c r="E153">
        <f>XLOOKUP(A153,tblInvoices[invoice_id],tblInvoices[total_invoice_amount])</f>
        <v/>
      </c>
      <c r="F153">
        <f>SUMIFS(tblPayments[payment_amount],tblPayments[invoice_id],A153,tblPayments[payment_status],"Success")</f>
        <v/>
      </c>
      <c r="G153">
        <f>MAX(0,E153-F153)</f>
        <v/>
      </c>
      <c r="H153">
        <f>DATE(2026,8,13)-D153</f>
        <v/>
      </c>
      <c r="I153">
        <f>IFS(G153=0,"Excluded (paid)",H153&lt;=0,"Current",H153&lt;=30,"1-30 days",H153&lt;=60,"31-60 days",H153&lt;=90,"61-90 days",TRUE,"90+ days")</f>
        <v/>
      </c>
    </row>
    <row r="154">
      <c r="A154" t="inlineStr">
        <is>
          <t>INV0003315</t>
        </is>
      </c>
      <c r="B154" t="inlineStr">
        <is>
          <t>MER00156</t>
        </is>
      </c>
      <c r="C154">
        <f>XLOOKUP(B154,Merchants!$A$4:$A$1000,Merchants!$B$4:$B$1000,"Not found")</f>
        <v/>
      </c>
      <c r="D154">
        <f>XLOOKUP(A154,tblInvoices[invoice_id],tblInvoices[due_date])</f>
        <v/>
      </c>
      <c r="E154">
        <f>XLOOKUP(A154,tblInvoices[invoice_id],tblInvoices[total_invoice_amount])</f>
        <v/>
      </c>
      <c r="F154">
        <f>SUMIFS(tblPayments[payment_amount],tblPayments[invoice_id],A154,tblPayments[payment_status],"Success")</f>
        <v/>
      </c>
      <c r="G154">
        <f>MAX(0,E154-F154)</f>
        <v/>
      </c>
      <c r="H154">
        <f>DATE(2026,8,13)-D154</f>
        <v/>
      </c>
      <c r="I154">
        <f>IFS(G154=0,"Excluded (paid)",H154&lt;=0,"Current",H154&lt;=30,"1-30 days",H154&lt;=60,"31-60 days",H154&lt;=90,"61-90 days",TRUE,"90+ days")</f>
        <v/>
      </c>
    </row>
    <row r="155">
      <c r="A155" t="inlineStr">
        <is>
          <t>INV0003316</t>
        </is>
      </c>
      <c r="B155" t="inlineStr">
        <is>
          <t>MER00156</t>
        </is>
      </c>
      <c r="C155">
        <f>XLOOKUP(B155,Merchants!$A$4:$A$1000,Merchants!$B$4:$B$1000,"Not found")</f>
        <v/>
      </c>
      <c r="D155">
        <f>XLOOKUP(A155,tblInvoices[invoice_id],tblInvoices[due_date])</f>
        <v/>
      </c>
      <c r="E155">
        <f>XLOOKUP(A155,tblInvoices[invoice_id],tblInvoices[total_invoice_amount])</f>
        <v/>
      </c>
      <c r="F155">
        <f>SUMIFS(tblPayments[payment_amount],tblPayments[invoice_id],A155,tblPayments[payment_status],"Success")</f>
        <v/>
      </c>
      <c r="G155">
        <f>MAX(0,E155-F155)</f>
        <v/>
      </c>
      <c r="H155">
        <f>DATE(2026,8,13)-D155</f>
        <v/>
      </c>
      <c r="I155">
        <f>IFS(G155=0,"Excluded (paid)",H155&lt;=0,"Current",H155&lt;=30,"1-30 days",H155&lt;=60,"31-60 days",H155&lt;=90,"61-90 days",TRUE,"90+ days")</f>
        <v/>
      </c>
    </row>
    <row r="156">
      <c r="A156" t="inlineStr">
        <is>
          <t>INV0003317</t>
        </is>
      </c>
      <c r="B156" t="inlineStr">
        <is>
          <t>MER00156</t>
        </is>
      </c>
      <c r="C156">
        <f>XLOOKUP(B156,Merchants!$A$4:$A$1000,Merchants!$B$4:$B$1000,"Not found")</f>
        <v/>
      </c>
      <c r="D156">
        <f>XLOOKUP(A156,tblInvoices[invoice_id],tblInvoices[due_date])</f>
        <v/>
      </c>
      <c r="E156">
        <f>XLOOKUP(A156,tblInvoices[invoice_id],tblInvoices[total_invoice_amount])</f>
        <v/>
      </c>
      <c r="F156">
        <f>SUMIFS(tblPayments[payment_amount],tblPayments[invoice_id],A156,tblPayments[payment_status],"Success")</f>
        <v/>
      </c>
      <c r="G156">
        <f>MAX(0,E156-F156)</f>
        <v/>
      </c>
      <c r="H156">
        <f>DATE(2026,8,13)-D156</f>
        <v/>
      </c>
      <c r="I156">
        <f>IFS(G156=0,"Excluded (paid)",H156&lt;=0,"Current",H156&lt;=30,"1-30 days",H156&lt;=60,"31-60 days",H156&lt;=90,"61-90 days",TRUE,"90+ days")</f>
        <v/>
      </c>
    </row>
    <row r="157">
      <c r="A157" t="inlineStr">
        <is>
          <t>INV0003318</t>
        </is>
      </c>
      <c r="B157" t="inlineStr">
        <is>
          <t>MER00156</t>
        </is>
      </c>
      <c r="C157">
        <f>XLOOKUP(B157,Merchants!$A$4:$A$1000,Merchants!$B$4:$B$1000,"Not found")</f>
        <v/>
      </c>
      <c r="D157">
        <f>XLOOKUP(A157,tblInvoices[invoice_id],tblInvoices[due_date])</f>
        <v/>
      </c>
      <c r="E157">
        <f>XLOOKUP(A157,tblInvoices[invoice_id],tblInvoices[total_invoice_amount])</f>
        <v/>
      </c>
      <c r="F157">
        <f>SUMIFS(tblPayments[payment_amount],tblPayments[invoice_id],A157,tblPayments[payment_status],"Success")</f>
        <v/>
      </c>
      <c r="G157">
        <f>MAX(0,E157-F157)</f>
        <v/>
      </c>
      <c r="H157">
        <f>DATE(2026,8,13)-D157</f>
        <v/>
      </c>
      <c r="I157">
        <f>IFS(G157=0,"Excluded (paid)",H157&lt;=0,"Current",H157&lt;=30,"1-30 days",H157&lt;=60,"31-60 days",H157&lt;=90,"61-90 days",TRUE,"90+ days")</f>
        <v/>
      </c>
    </row>
    <row r="158">
      <c r="A158" t="inlineStr">
        <is>
          <t>INV0003319</t>
        </is>
      </c>
      <c r="B158" t="inlineStr">
        <is>
          <t>MER00156</t>
        </is>
      </c>
      <c r="C158">
        <f>XLOOKUP(B158,Merchants!$A$4:$A$1000,Merchants!$B$4:$B$1000,"Not found")</f>
        <v/>
      </c>
      <c r="D158">
        <f>XLOOKUP(A158,tblInvoices[invoice_id],tblInvoices[due_date])</f>
        <v/>
      </c>
      <c r="E158">
        <f>XLOOKUP(A158,tblInvoices[invoice_id],tblInvoices[total_invoice_amount])</f>
        <v/>
      </c>
      <c r="F158">
        <f>SUMIFS(tblPayments[payment_amount],tblPayments[invoice_id],A158,tblPayments[payment_status],"Success")</f>
        <v/>
      </c>
      <c r="G158">
        <f>MAX(0,E158-F158)</f>
        <v/>
      </c>
      <c r="H158">
        <f>DATE(2026,8,13)-D158</f>
        <v/>
      </c>
      <c r="I158">
        <f>IFS(G158=0,"Excluded (paid)",H158&lt;=0,"Current",H158&lt;=30,"1-30 days",H158&lt;=60,"31-60 days",H158&lt;=90,"61-90 days",TRUE,"90+ days")</f>
        <v/>
      </c>
    </row>
    <row r="159">
      <c r="A159" t="inlineStr">
        <is>
          <t>INV0003320</t>
        </is>
      </c>
      <c r="B159" t="inlineStr">
        <is>
          <t>MER00156</t>
        </is>
      </c>
      <c r="C159">
        <f>XLOOKUP(B159,Merchants!$A$4:$A$1000,Merchants!$B$4:$B$1000,"Not found")</f>
        <v/>
      </c>
      <c r="D159">
        <f>XLOOKUP(A159,tblInvoices[invoice_id],tblInvoices[due_date])</f>
        <v/>
      </c>
      <c r="E159">
        <f>XLOOKUP(A159,tblInvoices[invoice_id],tblInvoices[total_invoice_amount])</f>
        <v/>
      </c>
      <c r="F159">
        <f>SUMIFS(tblPayments[payment_amount],tblPayments[invoice_id],A159,tblPayments[payment_status],"Success")</f>
        <v/>
      </c>
      <c r="G159">
        <f>MAX(0,E159-F159)</f>
        <v/>
      </c>
      <c r="H159">
        <f>DATE(2026,8,13)-D159</f>
        <v/>
      </c>
      <c r="I159">
        <f>IFS(G159=0,"Excluded (paid)",H159&lt;=0,"Current",H159&lt;=30,"1-30 days",H159&lt;=60,"31-60 days",H159&lt;=90,"61-90 days",TRUE,"90+ days")</f>
        <v/>
      </c>
    </row>
    <row r="160">
      <c r="A160" t="inlineStr">
        <is>
          <t>INV0003321</t>
        </is>
      </c>
      <c r="B160" t="inlineStr">
        <is>
          <t>MER00156</t>
        </is>
      </c>
      <c r="C160">
        <f>XLOOKUP(B160,Merchants!$A$4:$A$1000,Merchants!$B$4:$B$1000,"Not found")</f>
        <v/>
      </c>
      <c r="D160">
        <f>XLOOKUP(A160,tblInvoices[invoice_id],tblInvoices[due_date])</f>
        <v/>
      </c>
      <c r="E160">
        <f>XLOOKUP(A160,tblInvoices[invoice_id],tblInvoices[total_invoice_amount])</f>
        <v/>
      </c>
      <c r="F160">
        <f>SUMIFS(tblPayments[payment_amount],tblPayments[invoice_id],A160,tblPayments[payment_status],"Success")</f>
        <v/>
      </c>
      <c r="G160">
        <f>MAX(0,E160-F160)</f>
        <v/>
      </c>
      <c r="H160">
        <f>DATE(2026,8,13)-D160</f>
        <v/>
      </c>
      <c r="I160">
        <f>IFS(G160=0,"Excluded (paid)",H160&lt;=0,"Current",H160&lt;=30,"1-30 days",H160&lt;=60,"31-60 days",H160&lt;=90,"61-90 days",TRUE,"90+ days")</f>
        <v/>
      </c>
    </row>
    <row r="161">
      <c r="A161" t="inlineStr">
        <is>
          <t>INV0003322</t>
        </is>
      </c>
      <c r="B161" t="inlineStr">
        <is>
          <t>MER00156</t>
        </is>
      </c>
      <c r="C161">
        <f>XLOOKUP(B161,Merchants!$A$4:$A$1000,Merchants!$B$4:$B$1000,"Not found")</f>
        <v/>
      </c>
      <c r="D161">
        <f>XLOOKUP(A161,tblInvoices[invoice_id],tblInvoices[due_date])</f>
        <v/>
      </c>
      <c r="E161">
        <f>XLOOKUP(A161,tblInvoices[invoice_id],tblInvoices[total_invoice_amount])</f>
        <v/>
      </c>
      <c r="F161">
        <f>SUMIFS(tblPayments[payment_amount],tblPayments[invoice_id],A161,tblPayments[payment_status],"Success")</f>
        <v/>
      </c>
      <c r="G161">
        <f>MAX(0,E161-F161)</f>
        <v/>
      </c>
      <c r="H161">
        <f>DATE(2026,8,13)-D161</f>
        <v/>
      </c>
      <c r="I161">
        <f>IFS(G161=0,"Excluded (paid)",H161&lt;=0,"Current",H161&lt;=30,"1-30 days",H161&lt;=60,"31-60 days",H161&lt;=90,"61-90 days",TRUE,"90+ days")</f>
        <v/>
      </c>
    </row>
    <row r="162">
      <c r="A162" t="inlineStr">
        <is>
          <t>INV0003323</t>
        </is>
      </c>
      <c r="B162" t="inlineStr">
        <is>
          <t>MER00156</t>
        </is>
      </c>
      <c r="C162">
        <f>XLOOKUP(B162,Merchants!$A$4:$A$1000,Merchants!$B$4:$B$1000,"Not found")</f>
        <v/>
      </c>
      <c r="D162">
        <f>XLOOKUP(A162,tblInvoices[invoice_id],tblInvoices[due_date])</f>
        <v/>
      </c>
      <c r="E162">
        <f>XLOOKUP(A162,tblInvoices[invoice_id],tblInvoices[total_invoice_amount])</f>
        <v/>
      </c>
      <c r="F162">
        <f>SUMIFS(tblPayments[payment_amount],tblPayments[invoice_id],A162,tblPayments[payment_status],"Success")</f>
        <v/>
      </c>
      <c r="G162">
        <f>MAX(0,E162-F162)</f>
        <v/>
      </c>
      <c r="H162">
        <f>DATE(2026,8,13)-D162</f>
        <v/>
      </c>
      <c r="I162">
        <f>IFS(G162=0,"Excluded (paid)",H162&lt;=0,"Current",H162&lt;=30,"1-30 days",H162&lt;=60,"31-60 days",H162&lt;=90,"61-90 days",TRUE,"90+ days")</f>
        <v/>
      </c>
    </row>
    <row r="163">
      <c r="A163" t="inlineStr">
        <is>
          <t>INV0003903</t>
        </is>
      </c>
      <c r="B163" t="inlineStr">
        <is>
          <t>MER00184</t>
        </is>
      </c>
      <c r="C163">
        <f>XLOOKUP(B163,Merchants!$A$4:$A$1000,Merchants!$B$4:$B$1000,"Not found")</f>
        <v/>
      </c>
      <c r="D163">
        <f>XLOOKUP(A163,tblInvoices[invoice_id],tblInvoices[due_date])</f>
        <v/>
      </c>
      <c r="E163">
        <f>XLOOKUP(A163,tblInvoices[invoice_id],tblInvoices[total_invoice_amount])</f>
        <v/>
      </c>
      <c r="F163">
        <f>SUMIFS(tblPayments[payment_amount],tblPayments[invoice_id],A163,tblPayments[payment_status],"Success")</f>
        <v/>
      </c>
      <c r="G163">
        <f>MAX(0,E163-F163)</f>
        <v/>
      </c>
      <c r="H163">
        <f>DATE(2026,8,13)-D163</f>
        <v/>
      </c>
      <c r="I163">
        <f>IFS(G163=0,"Excluded (paid)",H163&lt;=0,"Current",H163&lt;=30,"1-30 days",H163&lt;=60,"31-60 days",H163&lt;=90,"61-90 days",TRUE,"90+ days")</f>
        <v/>
      </c>
    </row>
    <row r="164">
      <c r="A164" t="inlineStr">
        <is>
          <t>INV0003904</t>
        </is>
      </c>
      <c r="B164" t="inlineStr">
        <is>
          <t>MER00184</t>
        </is>
      </c>
      <c r="C164">
        <f>XLOOKUP(B164,Merchants!$A$4:$A$1000,Merchants!$B$4:$B$1000,"Not found")</f>
        <v/>
      </c>
      <c r="D164">
        <f>XLOOKUP(A164,tblInvoices[invoice_id],tblInvoices[due_date])</f>
        <v/>
      </c>
      <c r="E164">
        <f>XLOOKUP(A164,tblInvoices[invoice_id],tblInvoices[total_invoice_amount])</f>
        <v/>
      </c>
      <c r="F164">
        <f>SUMIFS(tblPayments[payment_amount],tblPayments[invoice_id],A164,tblPayments[payment_status],"Success")</f>
        <v/>
      </c>
      <c r="G164">
        <f>MAX(0,E164-F164)</f>
        <v/>
      </c>
      <c r="H164">
        <f>DATE(2026,8,13)-D164</f>
        <v/>
      </c>
      <c r="I164">
        <f>IFS(G164=0,"Excluded (paid)",H164&lt;=0,"Current",H164&lt;=30,"1-30 days",H164&lt;=60,"31-60 days",H164&lt;=90,"61-90 days",TRUE,"90+ days")</f>
        <v/>
      </c>
    </row>
    <row r="165">
      <c r="A165" t="inlineStr">
        <is>
          <t>INV0003905</t>
        </is>
      </c>
      <c r="B165" t="inlineStr">
        <is>
          <t>MER00184</t>
        </is>
      </c>
      <c r="C165">
        <f>XLOOKUP(B165,Merchants!$A$4:$A$1000,Merchants!$B$4:$B$1000,"Not found")</f>
        <v/>
      </c>
      <c r="D165">
        <f>XLOOKUP(A165,tblInvoices[invoice_id],tblInvoices[due_date])</f>
        <v/>
      </c>
      <c r="E165">
        <f>XLOOKUP(A165,tblInvoices[invoice_id],tblInvoices[total_invoice_amount])</f>
        <v/>
      </c>
      <c r="F165">
        <f>SUMIFS(tblPayments[payment_amount],tblPayments[invoice_id],A165,tblPayments[payment_status],"Success")</f>
        <v/>
      </c>
      <c r="G165">
        <f>MAX(0,E165-F165)</f>
        <v/>
      </c>
      <c r="H165">
        <f>DATE(2026,8,13)-D165</f>
        <v/>
      </c>
      <c r="I165">
        <f>IFS(G165=0,"Excluded (paid)",H165&lt;=0,"Current",H165&lt;=30,"1-30 days",H165&lt;=60,"31-60 days",H165&lt;=90,"61-90 days",TRUE,"90+ days")</f>
        <v/>
      </c>
    </row>
    <row r="166">
      <c r="A166" t="inlineStr">
        <is>
          <t>INV0003906</t>
        </is>
      </c>
      <c r="B166" t="inlineStr">
        <is>
          <t>MER00184</t>
        </is>
      </c>
      <c r="C166">
        <f>XLOOKUP(B166,Merchants!$A$4:$A$1000,Merchants!$B$4:$B$1000,"Not found")</f>
        <v/>
      </c>
      <c r="D166">
        <f>XLOOKUP(A166,tblInvoices[invoice_id],tblInvoices[due_date])</f>
        <v/>
      </c>
      <c r="E166">
        <f>XLOOKUP(A166,tblInvoices[invoice_id],tblInvoices[total_invoice_amount])</f>
        <v/>
      </c>
      <c r="F166">
        <f>SUMIFS(tblPayments[payment_amount],tblPayments[invoice_id],A166,tblPayments[payment_status],"Success")</f>
        <v/>
      </c>
      <c r="G166">
        <f>MAX(0,E166-F166)</f>
        <v/>
      </c>
      <c r="H166">
        <f>DATE(2026,8,13)-D166</f>
        <v/>
      </c>
      <c r="I166">
        <f>IFS(G166=0,"Excluded (paid)",H166&lt;=0,"Current",H166&lt;=30,"1-30 days",H166&lt;=60,"31-60 days",H166&lt;=90,"61-90 days",TRUE,"90+ days")</f>
        <v/>
      </c>
    </row>
    <row r="167">
      <c r="A167" t="inlineStr">
        <is>
          <t>INV0003907</t>
        </is>
      </c>
      <c r="B167" t="inlineStr">
        <is>
          <t>MER00184</t>
        </is>
      </c>
      <c r="C167">
        <f>XLOOKUP(B167,Merchants!$A$4:$A$1000,Merchants!$B$4:$B$1000,"Not found")</f>
        <v/>
      </c>
      <c r="D167">
        <f>XLOOKUP(A167,tblInvoices[invoice_id],tblInvoices[due_date])</f>
        <v/>
      </c>
      <c r="E167">
        <f>XLOOKUP(A167,tblInvoices[invoice_id],tblInvoices[total_invoice_amount])</f>
        <v/>
      </c>
      <c r="F167">
        <f>SUMIFS(tblPayments[payment_amount],tblPayments[invoice_id],A167,tblPayments[payment_status],"Success")</f>
        <v/>
      </c>
      <c r="G167">
        <f>MAX(0,E167-F167)</f>
        <v/>
      </c>
      <c r="H167">
        <f>DATE(2026,8,13)-D167</f>
        <v/>
      </c>
      <c r="I167">
        <f>IFS(G167=0,"Excluded (paid)",H167&lt;=0,"Current",H167&lt;=30,"1-30 days",H167&lt;=60,"31-60 days",H167&lt;=90,"61-90 days",TRUE,"90+ days")</f>
        <v/>
      </c>
    </row>
    <row r="168">
      <c r="A168" t="inlineStr">
        <is>
          <t>INV0003908</t>
        </is>
      </c>
      <c r="B168" t="inlineStr">
        <is>
          <t>MER00184</t>
        </is>
      </c>
      <c r="C168">
        <f>XLOOKUP(B168,Merchants!$A$4:$A$1000,Merchants!$B$4:$B$1000,"Not found")</f>
        <v/>
      </c>
      <c r="D168">
        <f>XLOOKUP(A168,tblInvoices[invoice_id],tblInvoices[due_date])</f>
        <v/>
      </c>
      <c r="E168">
        <f>XLOOKUP(A168,tblInvoices[invoice_id],tblInvoices[total_invoice_amount])</f>
        <v/>
      </c>
      <c r="F168">
        <f>SUMIFS(tblPayments[payment_amount],tblPayments[invoice_id],A168,tblPayments[payment_status],"Success")</f>
        <v/>
      </c>
      <c r="G168">
        <f>MAX(0,E168-F168)</f>
        <v/>
      </c>
      <c r="H168">
        <f>DATE(2026,8,13)-D168</f>
        <v/>
      </c>
      <c r="I168">
        <f>IFS(G168=0,"Excluded (paid)",H168&lt;=0,"Current",H168&lt;=30,"1-30 days",H168&lt;=60,"31-60 days",H168&lt;=90,"61-90 days",TRUE,"90+ days")</f>
        <v/>
      </c>
    </row>
    <row r="169">
      <c r="A169" t="inlineStr">
        <is>
          <t>INV0003909</t>
        </is>
      </c>
      <c r="B169" t="inlineStr">
        <is>
          <t>MER00184</t>
        </is>
      </c>
      <c r="C169">
        <f>XLOOKUP(B169,Merchants!$A$4:$A$1000,Merchants!$B$4:$B$1000,"Not found")</f>
        <v/>
      </c>
      <c r="D169">
        <f>XLOOKUP(A169,tblInvoices[invoice_id],tblInvoices[due_date])</f>
        <v/>
      </c>
      <c r="E169">
        <f>XLOOKUP(A169,tblInvoices[invoice_id],tblInvoices[total_invoice_amount])</f>
        <v/>
      </c>
      <c r="F169">
        <f>SUMIFS(tblPayments[payment_amount],tblPayments[invoice_id],A169,tblPayments[payment_status],"Success")</f>
        <v/>
      </c>
      <c r="G169">
        <f>MAX(0,E169-F169)</f>
        <v/>
      </c>
      <c r="H169">
        <f>DATE(2026,8,13)-D169</f>
        <v/>
      </c>
      <c r="I169">
        <f>IFS(G169=0,"Excluded (paid)",H169&lt;=0,"Current",H169&lt;=30,"1-30 days",H169&lt;=60,"31-60 days",H169&lt;=90,"61-90 days",TRUE,"90+ days")</f>
        <v/>
      </c>
    </row>
    <row r="170">
      <c r="A170" t="inlineStr">
        <is>
          <t>INV0003910</t>
        </is>
      </c>
      <c r="B170" t="inlineStr">
        <is>
          <t>MER00184</t>
        </is>
      </c>
      <c r="C170">
        <f>XLOOKUP(B170,Merchants!$A$4:$A$1000,Merchants!$B$4:$B$1000,"Not found")</f>
        <v/>
      </c>
      <c r="D170">
        <f>XLOOKUP(A170,tblInvoices[invoice_id],tblInvoices[due_date])</f>
        <v/>
      </c>
      <c r="E170">
        <f>XLOOKUP(A170,tblInvoices[invoice_id],tblInvoices[total_invoice_amount])</f>
        <v/>
      </c>
      <c r="F170">
        <f>SUMIFS(tblPayments[payment_amount],tblPayments[invoice_id],A170,tblPayments[payment_status],"Success")</f>
        <v/>
      </c>
      <c r="G170">
        <f>MAX(0,E170-F170)</f>
        <v/>
      </c>
      <c r="H170">
        <f>DATE(2026,8,13)-D170</f>
        <v/>
      </c>
      <c r="I170">
        <f>IFS(G170=0,"Excluded (paid)",H170&lt;=0,"Current",H170&lt;=30,"1-30 days",H170&lt;=60,"31-60 days",H170&lt;=90,"61-90 days",TRUE,"90+ days")</f>
        <v/>
      </c>
    </row>
    <row r="171">
      <c r="A171" t="inlineStr">
        <is>
          <t>INV0003911</t>
        </is>
      </c>
      <c r="B171" t="inlineStr">
        <is>
          <t>MER00184</t>
        </is>
      </c>
      <c r="C171">
        <f>XLOOKUP(B171,Merchants!$A$4:$A$1000,Merchants!$B$4:$B$1000,"Not found")</f>
        <v/>
      </c>
      <c r="D171">
        <f>XLOOKUP(A171,tblInvoices[invoice_id],tblInvoices[due_date])</f>
        <v/>
      </c>
      <c r="E171">
        <f>XLOOKUP(A171,tblInvoices[invoice_id],tblInvoices[total_invoice_amount])</f>
        <v/>
      </c>
      <c r="F171">
        <f>SUMIFS(tblPayments[payment_amount],tblPayments[invoice_id],A171,tblPayments[payment_status],"Success")</f>
        <v/>
      </c>
      <c r="G171">
        <f>MAX(0,E171-F171)</f>
        <v/>
      </c>
      <c r="H171">
        <f>DATE(2026,8,13)-D171</f>
        <v/>
      </c>
      <c r="I171">
        <f>IFS(G171=0,"Excluded (paid)",H171&lt;=0,"Current",H171&lt;=30,"1-30 days",H171&lt;=60,"31-60 days",H171&lt;=90,"61-90 days",TRUE,"90+ days")</f>
        <v/>
      </c>
    </row>
    <row r="172">
      <c r="A172" t="inlineStr">
        <is>
          <t>INV0003912</t>
        </is>
      </c>
      <c r="B172" t="inlineStr">
        <is>
          <t>MER00184</t>
        </is>
      </c>
      <c r="C172">
        <f>XLOOKUP(B172,Merchants!$A$4:$A$1000,Merchants!$B$4:$B$1000,"Not found")</f>
        <v/>
      </c>
      <c r="D172">
        <f>XLOOKUP(A172,tblInvoices[invoice_id],tblInvoices[due_date])</f>
        <v/>
      </c>
      <c r="E172">
        <f>XLOOKUP(A172,tblInvoices[invoice_id],tblInvoices[total_invoice_amount])</f>
        <v/>
      </c>
      <c r="F172">
        <f>SUMIFS(tblPayments[payment_amount],tblPayments[invoice_id],A172,tblPayments[payment_status],"Success")</f>
        <v/>
      </c>
      <c r="G172">
        <f>MAX(0,E172-F172)</f>
        <v/>
      </c>
      <c r="H172">
        <f>DATE(2026,8,13)-D172</f>
        <v/>
      </c>
      <c r="I172">
        <f>IFS(G172=0,"Excluded (paid)",H172&lt;=0,"Current",H172&lt;=30,"1-30 days",H172&lt;=60,"31-60 days",H172&lt;=90,"61-90 days",TRUE,"90+ days")</f>
        <v/>
      </c>
    </row>
    <row r="173">
      <c r="A173" t="inlineStr">
        <is>
          <t>INV0003913</t>
        </is>
      </c>
      <c r="B173" t="inlineStr">
        <is>
          <t>MER00184</t>
        </is>
      </c>
      <c r="C173">
        <f>XLOOKUP(B173,Merchants!$A$4:$A$1000,Merchants!$B$4:$B$1000,"Not found")</f>
        <v/>
      </c>
      <c r="D173">
        <f>XLOOKUP(A173,tblInvoices[invoice_id],tblInvoices[due_date])</f>
        <v/>
      </c>
      <c r="E173">
        <f>XLOOKUP(A173,tblInvoices[invoice_id],tblInvoices[total_invoice_amount])</f>
        <v/>
      </c>
      <c r="F173">
        <f>SUMIFS(tblPayments[payment_amount],tblPayments[invoice_id],A173,tblPayments[payment_status],"Success")</f>
        <v/>
      </c>
      <c r="G173">
        <f>MAX(0,E173-F173)</f>
        <v/>
      </c>
      <c r="H173">
        <f>DATE(2026,8,13)-D173</f>
        <v/>
      </c>
      <c r="I173">
        <f>IFS(G173=0,"Excluded (paid)",H173&lt;=0,"Current",H173&lt;=30,"1-30 days",H173&lt;=60,"31-60 days",H173&lt;=90,"61-90 days",TRUE,"90+ days")</f>
        <v/>
      </c>
    </row>
    <row r="174">
      <c r="A174" t="inlineStr">
        <is>
          <t>INV0003914</t>
        </is>
      </c>
      <c r="B174" t="inlineStr">
        <is>
          <t>MER00184</t>
        </is>
      </c>
      <c r="C174">
        <f>XLOOKUP(B174,Merchants!$A$4:$A$1000,Merchants!$B$4:$B$1000,"Not found")</f>
        <v/>
      </c>
      <c r="D174">
        <f>XLOOKUP(A174,tblInvoices[invoice_id],tblInvoices[due_date])</f>
        <v/>
      </c>
      <c r="E174">
        <f>XLOOKUP(A174,tblInvoices[invoice_id],tblInvoices[total_invoice_amount])</f>
        <v/>
      </c>
      <c r="F174">
        <f>SUMIFS(tblPayments[payment_amount],tblPayments[invoice_id],A174,tblPayments[payment_status],"Success")</f>
        <v/>
      </c>
      <c r="G174">
        <f>MAX(0,E174-F174)</f>
        <v/>
      </c>
      <c r="H174">
        <f>DATE(2026,8,13)-D174</f>
        <v/>
      </c>
      <c r="I174">
        <f>IFS(G174=0,"Excluded (paid)",H174&lt;=0,"Current",H174&lt;=30,"1-30 days",H174&lt;=60,"31-60 days",H174&lt;=90,"61-90 days",TRUE,"90+ days")</f>
        <v/>
      </c>
    </row>
    <row r="175">
      <c r="A175" t="inlineStr">
        <is>
          <t>INV0003915</t>
        </is>
      </c>
      <c r="B175" t="inlineStr">
        <is>
          <t>MER00184</t>
        </is>
      </c>
      <c r="C175">
        <f>XLOOKUP(B175,Merchants!$A$4:$A$1000,Merchants!$B$4:$B$1000,"Not found")</f>
        <v/>
      </c>
      <c r="D175">
        <f>XLOOKUP(A175,tblInvoices[invoice_id],tblInvoices[due_date])</f>
        <v/>
      </c>
      <c r="E175">
        <f>XLOOKUP(A175,tblInvoices[invoice_id],tblInvoices[total_invoice_amount])</f>
        <v/>
      </c>
      <c r="F175">
        <f>SUMIFS(tblPayments[payment_amount],tblPayments[invoice_id],A175,tblPayments[payment_status],"Success")</f>
        <v/>
      </c>
      <c r="G175">
        <f>MAX(0,E175-F175)</f>
        <v/>
      </c>
      <c r="H175">
        <f>DATE(2026,8,13)-D175</f>
        <v/>
      </c>
      <c r="I175">
        <f>IFS(G175=0,"Excluded (paid)",H175&lt;=0,"Current",H175&lt;=30,"1-30 days",H175&lt;=60,"31-60 days",H175&lt;=90,"61-90 days",TRUE,"90+ days")</f>
        <v/>
      </c>
    </row>
    <row r="176">
      <c r="A176" t="inlineStr">
        <is>
          <t>INV0004011</t>
        </is>
      </c>
      <c r="B176" t="inlineStr">
        <is>
          <t>MER00189</t>
        </is>
      </c>
      <c r="C176">
        <f>XLOOKUP(B176,Merchants!$A$4:$A$1000,Merchants!$B$4:$B$1000,"Not found")</f>
        <v/>
      </c>
      <c r="D176">
        <f>XLOOKUP(A176,tblInvoices[invoice_id],tblInvoices[due_date])</f>
        <v/>
      </c>
      <c r="E176">
        <f>XLOOKUP(A176,tblInvoices[invoice_id],tblInvoices[total_invoice_amount])</f>
        <v/>
      </c>
      <c r="F176">
        <f>SUMIFS(tblPayments[payment_amount],tblPayments[invoice_id],A176,tblPayments[payment_status],"Success")</f>
        <v/>
      </c>
      <c r="G176">
        <f>MAX(0,E176-F176)</f>
        <v/>
      </c>
      <c r="H176">
        <f>DATE(2026,8,13)-D176</f>
        <v/>
      </c>
      <c r="I176">
        <f>IFS(G176=0,"Excluded (paid)",H176&lt;=0,"Current",H176&lt;=30,"1-30 days",H176&lt;=60,"31-60 days",H176&lt;=90,"61-90 days",TRUE,"90+ days")</f>
        <v/>
      </c>
    </row>
    <row r="177">
      <c r="A177" t="inlineStr">
        <is>
          <t>INV0004012</t>
        </is>
      </c>
      <c r="B177" t="inlineStr">
        <is>
          <t>MER00189</t>
        </is>
      </c>
      <c r="C177">
        <f>XLOOKUP(B177,Merchants!$A$4:$A$1000,Merchants!$B$4:$B$1000,"Not found")</f>
        <v/>
      </c>
      <c r="D177">
        <f>XLOOKUP(A177,tblInvoices[invoice_id],tblInvoices[due_date])</f>
        <v/>
      </c>
      <c r="E177">
        <f>XLOOKUP(A177,tblInvoices[invoice_id],tblInvoices[total_invoice_amount])</f>
        <v/>
      </c>
      <c r="F177">
        <f>SUMIFS(tblPayments[payment_amount],tblPayments[invoice_id],A177,tblPayments[payment_status],"Success")</f>
        <v/>
      </c>
      <c r="G177">
        <f>MAX(0,E177-F177)</f>
        <v/>
      </c>
      <c r="H177">
        <f>DATE(2026,8,13)-D177</f>
        <v/>
      </c>
      <c r="I177">
        <f>IFS(G177=0,"Excluded (paid)",H177&lt;=0,"Current",H177&lt;=30,"1-30 days",H177&lt;=60,"31-60 days",H177&lt;=90,"61-90 days",TRUE,"90+ days")</f>
        <v/>
      </c>
    </row>
    <row r="178">
      <c r="A178" t="inlineStr">
        <is>
          <t>INV0004013</t>
        </is>
      </c>
      <c r="B178" t="inlineStr">
        <is>
          <t>MER00189</t>
        </is>
      </c>
      <c r="C178">
        <f>XLOOKUP(B178,Merchants!$A$4:$A$1000,Merchants!$B$4:$B$1000,"Not found")</f>
        <v/>
      </c>
      <c r="D178">
        <f>XLOOKUP(A178,tblInvoices[invoice_id],tblInvoices[due_date])</f>
        <v/>
      </c>
      <c r="E178">
        <f>XLOOKUP(A178,tblInvoices[invoice_id],tblInvoices[total_invoice_amount])</f>
        <v/>
      </c>
      <c r="F178">
        <f>SUMIFS(tblPayments[payment_amount],tblPayments[invoice_id],A178,tblPayments[payment_status],"Success")</f>
        <v/>
      </c>
      <c r="G178">
        <f>MAX(0,E178-F178)</f>
        <v/>
      </c>
      <c r="H178">
        <f>DATE(2026,8,13)-D178</f>
        <v/>
      </c>
      <c r="I178">
        <f>IFS(G178=0,"Excluded (paid)",H178&lt;=0,"Current",H178&lt;=30,"1-30 days",H178&lt;=60,"31-60 days",H178&lt;=90,"61-90 days",TRUE,"90+ days")</f>
        <v/>
      </c>
    </row>
    <row r="179">
      <c r="A179" t="inlineStr">
        <is>
          <t>INV0004014</t>
        </is>
      </c>
      <c r="B179" t="inlineStr">
        <is>
          <t>MER00189</t>
        </is>
      </c>
      <c r="C179">
        <f>XLOOKUP(B179,Merchants!$A$4:$A$1000,Merchants!$B$4:$B$1000,"Not found")</f>
        <v/>
      </c>
      <c r="D179">
        <f>XLOOKUP(A179,tblInvoices[invoice_id],tblInvoices[due_date])</f>
        <v/>
      </c>
      <c r="E179">
        <f>XLOOKUP(A179,tblInvoices[invoice_id],tblInvoices[total_invoice_amount])</f>
        <v/>
      </c>
      <c r="F179">
        <f>SUMIFS(tblPayments[payment_amount],tblPayments[invoice_id],A179,tblPayments[payment_status],"Success")</f>
        <v/>
      </c>
      <c r="G179">
        <f>MAX(0,E179-F179)</f>
        <v/>
      </c>
      <c r="H179">
        <f>DATE(2026,8,13)-D179</f>
        <v/>
      </c>
      <c r="I179">
        <f>IFS(G179=0,"Excluded (paid)",H179&lt;=0,"Current",H179&lt;=30,"1-30 days",H179&lt;=60,"31-60 days",H179&lt;=90,"61-90 days",TRUE,"90+ days")</f>
        <v/>
      </c>
    </row>
    <row r="180">
      <c r="A180" t="inlineStr">
        <is>
          <t>INV0004015</t>
        </is>
      </c>
      <c r="B180" t="inlineStr">
        <is>
          <t>MER00189</t>
        </is>
      </c>
      <c r="C180">
        <f>XLOOKUP(B180,Merchants!$A$4:$A$1000,Merchants!$B$4:$B$1000,"Not found")</f>
        <v/>
      </c>
      <c r="D180">
        <f>XLOOKUP(A180,tblInvoices[invoice_id],tblInvoices[due_date])</f>
        <v/>
      </c>
      <c r="E180">
        <f>XLOOKUP(A180,tblInvoices[invoice_id],tblInvoices[total_invoice_amount])</f>
        <v/>
      </c>
      <c r="F180">
        <f>SUMIFS(tblPayments[payment_amount],tblPayments[invoice_id],A180,tblPayments[payment_status],"Success")</f>
        <v/>
      </c>
      <c r="G180">
        <f>MAX(0,E180-F180)</f>
        <v/>
      </c>
      <c r="H180">
        <f>DATE(2026,8,13)-D180</f>
        <v/>
      </c>
      <c r="I180">
        <f>IFS(G180=0,"Excluded (paid)",H180&lt;=0,"Current",H180&lt;=30,"1-30 days",H180&lt;=60,"31-60 days",H180&lt;=90,"61-90 days",TRUE,"90+ days")</f>
        <v/>
      </c>
    </row>
    <row r="181">
      <c r="A181" t="inlineStr">
        <is>
          <t>INV0004016</t>
        </is>
      </c>
      <c r="B181" t="inlineStr">
        <is>
          <t>MER00189</t>
        </is>
      </c>
      <c r="C181">
        <f>XLOOKUP(B181,Merchants!$A$4:$A$1000,Merchants!$B$4:$B$1000,"Not found")</f>
        <v/>
      </c>
      <c r="D181">
        <f>XLOOKUP(A181,tblInvoices[invoice_id],tblInvoices[due_date])</f>
        <v/>
      </c>
      <c r="E181">
        <f>XLOOKUP(A181,tblInvoices[invoice_id],tblInvoices[total_invoice_amount])</f>
        <v/>
      </c>
      <c r="F181">
        <f>SUMIFS(tblPayments[payment_amount],tblPayments[invoice_id],A181,tblPayments[payment_status],"Success")</f>
        <v/>
      </c>
      <c r="G181">
        <f>MAX(0,E181-F181)</f>
        <v/>
      </c>
      <c r="H181">
        <f>DATE(2026,8,13)-D181</f>
        <v/>
      </c>
      <c r="I181">
        <f>IFS(G181=0,"Excluded (paid)",H181&lt;=0,"Current",H181&lt;=30,"1-30 days",H181&lt;=60,"31-60 days",H181&lt;=90,"61-90 days",TRUE,"90+ days")</f>
        <v/>
      </c>
    </row>
    <row r="182">
      <c r="A182" t="inlineStr">
        <is>
          <t>INV0004017</t>
        </is>
      </c>
      <c r="B182" t="inlineStr">
        <is>
          <t>MER00189</t>
        </is>
      </c>
      <c r="C182">
        <f>XLOOKUP(B182,Merchants!$A$4:$A$1000,Merchants!$B$4:$B$1000,"Not found")</f>
        <v/>
      </c>
      <c r="D182">
        <f>XLOOKUP(A182,tblInvoices[invoice_id],tblInvoices[due_date])</f>
        <v/>
      </c>
      <c r="E182">
        <f>XLOOKUP(A182,tblInvoices[invoice_id],tblInvoices[total_invoice_amount])</f>
        <v/>
      </c>
      <c r="F182">
        <f>SUMIFS(tblPayments[payment_amount],tblPayments[invoice_id],A182,tblPayments[payment_status],"Success")</f>
        <v/>
      </c>
      <c r="G182">
        <f>MAX(0,E182-F182)</f>
        <v/>
      </c>
      <c r="H182">
        <f>DATE(2026,8,13)-D182</f>
        <v/>
      </c>
      <c r="I182">
        <f>IFS(G182=0,"Excluded (paid)",H182&lt;=0,"Current",H182&lt;=30,"1-30 days",H182&lt;=60,"31-60 days",H182&lt;=90,"61-90 days",TRUE,"90+ days")</f>
        <v/>
      </c>
    </row>
    <row r="183">
      <c r="A183" t="inlineStr">
        <is>
          <t>INV0004018</t>
        </is>
      </c>
      <c r="B183" t="inlineStr">
        <is>
          <t>MER00189</t>
        </is>
      </c>
      <c r="C183">
        <f>XLOOKUP(B183,Merchants!$A$4:$A$1000,Merchants!$B$4:$B$1000,"Not found")</f>
        <v/>
      </c>
      <c r="D183">
        <f>XLOOKUP(A183,tblInvoices[invoice_id],tblInvoices[due_date])</f>
        <v/>
      </c>
      <c r="E183">
        <f>XLOOKUP(A183,tblInvoices[invoice_id],tblInvoices[total_invoice_amount])</f>
        <v/>
      </c>
      <c r="F183">
        <f>SUMIFS(tblPayments[payment_amount],tblPayments[invoice_id],A183,tblPayments[payment_status],"Success")</f>
        <v/>
      </c>
      <c r="G183">
        <f>MAX(0,E183-F183)</f>
        <v/>
      </c>
      <c r="H183">
        <f>DATE(2026,8,13)-D183</f>
        <v/>
      </c>
      <c r="I183">
        <f>IFS(G183=0,"Excluded (paid)",H183&lt;=0,"Current",H183&lt;=30,"1-30 days",H183&lt;=60,"31-60 days",H183&lt;=90,"61-90 days",TRUE,"90+ days")</f>
        <v/>
      </c>
    </row>
    <row r="184">
      <c r="A184" t="inlineStr">
        <is>
          <t>INV0004019</t>
        </is>
      </c>
      <c r="B184" t="inlineStr">
        <is>
          <t>MER00189</t>
        </is>
      </c>
      <c r="C184">
        <f>XLOOKUP(B184,Merchants!$A$4:$A$1000,Merchants!$B$4:$B$1000,"Not found")</f>
        <v/>
      </c>
      <c r="D184">
        <f>XLOOKUP(A184,tblInvoices[invoice_id],tblInvoices[due_date])</f>
        <v/>
      </c>
      <c r="E184">
        <f>XLOOKUP(A184,tblInvoices[invoice_id],tblInvoices[total_invoice_amount])</f>
        <v/>
      </c>
      <c r="F184">
        <f>SUMIFS(tblPayments[payment_amount],tblPayments[invoice_id],A184,tblPayments[payment_status],"Success")</f>
        <v/>
      </c>
      <c r="G184">
        <f>MAX(0,E184-F184)</f>
        <v/>
      </c>
      <c r="H184">
        <f>DATE(2026,8,13)-D184</f>
        <v/>
      </c>
      <c r="I184">
        <f>IFS(G184=0,"Excluded (paid)",H184&lt;=0,"Current",H184&lt;=30,"1-30 days",H184&lt;=60,"31-60 days",H184&lt;=90,"61-90 days",TRUE,"90+ days")</f>
        <v/>
      </c>
    </row>
    <row r="185">
      <c r="A185" t="inlineStr">
        <is>
          <t>INV0004020</t>
        </is>
      </c>
      <c r="B185" t="inlineStr">
        <is>
          <t>MER00189</t>
        </is>
      </c>
      <c r="C185">
        <f>XLOOKUP(B185,Merchants!$A$4:$A$1000,Merchants!$B$4:$B$1000,"Not found")</f>
        <v/>
      </c>
      <c r="D185">
        <f>XLOOKUP(A185,tblInvoices[invoice_id],tblInvoices[due_date])</f>
        <v/>
      </c>
      <c r="E185">
        <f>XLOOKUP(A185,tblInvoices[invoice_id],tblInvoices[total_invoice_amount])</f>
        <v/>
      </c>
      <c r="F185">
        <f>SUMIFS(tblPayments[payment_amount],tblPayments[invoice_id],A185,tblPayments[payment_status],"Success")</f>
        <v/>
      </c>
      <c r="G185">
        <f>MAX(0,E185-F185)</f>
        <v/>
      </c>
      <c r="H185">
        <f>DATE(2026,8,13)-D185</f>
        <v/>
      </c>
      <c r="I185">
        <f>IFS(G185=0,"Excluded (paid)",H185&lt;=0,"Current",H185&lt;=30,"1-30 days",H185&lt;=60,"31-60 days",H185&lt;=90,"61-90 days",TRUE,"90+ days")</f>
        <v/>
      </c>
    </row>
    <row r="186">
      <c r="A186" t="inlineStr">
        <is>
          <t>INV0004021</t>
        </is>
      </c>
      <c r="B186" t="inlineStr">
        <is>
          <t>MER00189</t>
        </is>
      </c>
      <c r="C186">
        <f>XLOOKUP(B186,Merchants!$A$4:$A$1000,Merchants!$B$4:$B$1000,"Not found")</f>
        <v/>
      </c>
      <c r="D186">
        <f>XLOOKUP(A186,tblInvoices[invoice_id],tblInvoices[due_date])</f>
        <v/>
      </c>
      <c r="E186">
        <f>XLOOKUP(A186,tblInvoices[invoice_id],tblInvoices[total_invoice_amount])</f>
        <v/>
      </c>
      <c r="F186">
        <f>SUMIFS(tblPayments[payment_amount],tblPayments[invoice_id],A186,tblPayments[payment_status],"Success")</f>
        <v/>
      </c>
      <c r="G186">
        <f>MAX(0,E186-F186)</f>
        <v/>
      </c>
      <c r="H186">
        <f>DATE(2026,8,13)-D186</f>
        <v/>
      </c>
      <c r="I186">
        <f>IFS(G186=0,"Excluded (paid)",H186&lt;=0,"Current",H186&lt;=30,"1-30 days",H186&lt;=60,"31-60 days",H186&lt;=90,"61-90 days",TRUE,"90+ days")</f>
        <v/>
      </c>
    </row>
    <row r="187">
      <c r="A187" t="inlineStr">
        <is>
          <t>INV0004022</t>
        </is>
      </c>
      <c r="B187" t="inlineStr">
        <is>
          <t>MER00189</t>
        </is>
      </c>
      <c r="C187">
        <f>XLOOKUP(B187,Merchants!$A$4:$A$1000,Merchants!$B$4:$B$1000,"Not found")</f>
        <v/>
      </c>
      <c r="D187">
        <f>XLOOKUP(A187,tblInvoices[invoice_id],tblInvoices[due_date])</f>
        <v/>
      </c>
      <c r="E187">
        <f>XLOOKUP(A187,tblInvoices[invoice_id],tblInvoices[total_invoice_amount])</f>
        <v/>
      </c>
      <c r="F187">
        <f>SUMIFS(tblPayments[payment_amount],tblPayments[invoice_id],A187,tblPayments[payment_status],"Success")</f>
        <v/>
      </c>
      <c r="G187">
        <f>MAX(0,E187-F187)</f>
        <v/>
      </c>
      <c r="H187">
        <f>DATE(2026,8,13)-D187</f>
        <v/>
      </c>
      <c r="I187">
        <f>IFS(G187=0,"Excluded (paid)",H187&lt;=0,"Current",H187&lt;=30,"1-30 days",H187&lt;=60,"31-60 days",H187&lt;=90,"61-90 days",TRUE,"90+ days")</f>
        <v/>
      </c>
    </row>
    <row r="188">
      <c r="A188" t="inlineStr">
        <is>
          <t>INV0004023</t>
        </is>
      </c>
      <c r="B188" t="inlineStr">
        <is>
          <t>MER00189</t>
        </is>
      </c>
      <c r="C188">
        <f>XLOOKUP(B188,Merchants!$A$4:$A$1000,Merchants!$B$4:$B$1000,"Not found")</f>
        <v/>
      </c>
      <c r="D188">
        <f>XLOOKUP(A188,tblInvoices[invoice_id],tblInvoices[due_date])</f>
        <v/>
      </c>
      <c r="E188">
        <f>XLOOKUP(A188,tblInvoices[invoice_id],tblInvoices[total_invoice_amount])</f>
        <v/>
      </c>
      <c r="F188">
        <f>SUMIFS(tblPayments[payment_amount],tblPayments[invoice_id],A188,tblPayments[payment_status],"Success")</f>
        <v/>
      </c>
      <c r="G188">
        <f>MAX(0,E188-F188)</f>
        <v/>
      </c>
      <c r="H188">
        <f>DATE(2026,8,13)-D188</f>
        <v/>
      </c>
      <c r="I188">
        <f>IFS(G188=0,"Excluded (paid)",H188&lt;=0,"Current",H188&lt;=30,"1-30 days",H188&lt;=60,"31-60 days",H188&lt;=90,"61-90 days",TRUE,"90+ days")</f>
        <v/>
      </c>
    </row>
    <row r="189">
      <c r="A189" t="inlineStr">
        <is>
          <t>INV0004024</t>
        </is>
      </c>
      <c r="B189" t="inlineStr">
        <is>
          <t>MER00189</t>
        </is>
      </c>
      <c r="C189">
        <f>XLOOKUP(B189,Merchants!$A$4:$A$1000,Merchants!$B$4:$B$1000,"Not found")</f>
        <v/>
      </c>
      <c r="D189">
        <f>XLOOKUP(A189,tblInvoices[invoice_id],tblInvoices[due_date])</f>
        <v/>
      </c>
      <c r="E189">
        <f>XLOOKUP(A189,tblInvoices[invoice_id],tblInvoices[total_invoice_amount])</f>
        <v/>
      </c>
      <c r="F189">
        <f>SUMIFS(tblPayments[payment_amount],tblPayments[invoice_id],A189,tblPayments[payment_status],"Success")</f>
        <v/>
      </c>
      <c r="G189">
        <f>MAX(0,E189-F189)</f>
        <v/>
      </c>
      <c r="H189">
        <f>DATE(2026,8,13)-D189</f>
        <v/>
      </c>
      <c r="I189">
        <f>IFS(G189=0,"Excluded (paid)",H189&lt;=0,"Current",H189&lt;=30,"1-30 days",H189&lt;=60,"31-60 days",H189&lt;=90,"61-90 days",TRUE,"90+ days")</f>
        <v/>
      </c>
    </row>
    <row r="190">
      <c r="A190" t="inlineStr">
        <is>
          <t>INV0004025</t>
        </is>
      </c>
      <c r="B190" t="inlineStr">
        <is>
          <t>MER00189</t>
        </is>
      </c>
      <c r="C190">
        <f>XLOOKUP(B190,Merchants!$A$4:$A$1000,Merchants!$B$4:$B$1000,"Not found")</f>
        <v/>
      </c>
      <c r="D190">
        <f>XLOOKUP(A190,tblInvoices[invoice_id],tblInvoices[due_date])</f>
        <v/>
      </c>
      <c r="E190">
        <f>XLOOKUP(A190,tblInvoices[invoice_id],tblInvoices[total_invoice_amount])</f>
        <v/>
      </c>
      <c r="F190">
        <f>SUMIFS(tblPayments[payment_amount],tblPayments[invoice_id],A190,tblPayments[payment_status],"Success")</f>
        <v/>
      </c>
      <c r="G190">
        <f>MAX(0,E190-F190)</f>
        <v/>
      </c>
      <c r="H190">
        <f>DATE(2026,8,13)-D190</f>
        <v/>
      </c>
      <c r="I190">
        <f>IFS(G190=0,"Excluded (paid)",H190&lt;=0,"Current",H190&lt;=30,"1-30 days",H190&lt;=60,"31-60 days",H190&lt;=90,"61-90 days",TRUE,"90+ days")</f>
        <v/>
      </c>
    </row>
    <row r="191">
      <c r="A191" t="inlineStr">
        <is>
          <t>INV0004026</t>
        </is>
      </c>
      <c r="B191" t="inlineStr">
        <is>
          <t>MER00189</t>
        </is>
      </c>
      <c r="C191">
        <f>XLOOKUP(B191,Merchants!$A$4:$A$1000,Merchants!$B$4:$B$1000,"Not found")</f>
        <v/>
      </c>
      <c r="D191">
        <f>XLOOKUP(A191,tblInvoices[invoice_id],tblInvoices[due_date])</f>
        <v/>
      </c>
      <c r="E191">
        <f>XLOOKUP(A191,tblInvoices[invoice_id],tblInvoices[total_invoice_amount])</f>
        <v/>
      </c>
      <c r="F191">
        <f>SUMIFS(tblPayments[payment_amount],tblPayments[invoice_id],A191,tblPayments[payment_status],"Success")</f>
        <v/>
      </c>
      <c r="G191">
        <f>MAX(0,E191-F191)</f>
        <v/>
      </c>
      <c r="H191">
        <f>DATE(2026,8,13)-D191</f>
        <v/>
      </c>
      <c r="I191">
        <f>IFS(G191=0,"Excluded (paid)",H191&lt;=0,"Current",H191&lt;=30,"1-30 days",H191&lt;=60,"31-60 days",H191&lt;=90,"61-90 days",TRUE,"90+ days")</f>
        <v/>
      </c>
    </row>
    <row r="192">
      <c r="A192" t="inlineStr">
        <is>
          <t>INV0004027</t>
        </is>
      </c>
      <c r="B192" t="inlineStr">
        <is>
          <t>MER00189</t>
        </is>
      </c>
      <c r="C192">
        <f>XLOOKUP(B192,Merchants!$A$4:$A$1000,Merchants!$B$4:$B$1000,"Not found")</f>
        <v/>
      </c>
      <c r="D192">
        <f>XLOOKUP(A192,tblInvoices[invoice_id],tblInvoices[due_date])</f>
        <v/>
      </c>
      <c r="E192">
        <f>XLOOKUP(A192,tblInvoices[invoice_id],tblInvoices[total_invoice_amount])</f>
        <v/>
      </c>
      <c r="F192">
        <f>SUMIFS(tblPayments[payment_amount],tblPayments[invoice_id],A192,tblPayments[payment_status],"Success")</f>
        <v/>
      </c>
      <c r="G192">
        <f>MAX(0,E192-F192)</f>
        <v/>
      </c>
      <c r="H192">
        <f>DATE(2026,8,13)-D192</f>
        <v/>
      </c>
      <c r="I192">
        <f>IFS(G192=0,"Excluded (paid)",H192&lt;=0,"Current",H192&lt;=30,"1-30 days",H192&lt;=60,"31-60 days",H192&lt;=90,"61-90 days",TRUE,"90+ days")</f>
        <v/>
      </c>
    </row>
    <row r="193">
      <c r="A193" t="inlineStr">
        <is>
          <t>INV0004028</t>
        </is>
      </c>
      <c r="B193" t="inlineStr">
        <is>
          <t>MER00189</t>
        </is>
      </c>
      <c r="C193">
        <f>XLOOKUP(B193,Merchants!$A$4:$A$1000,Merchants!$B$4:$B$1000,"Not found")</f>
        <v/>
      </c>
      <c r="D193">
        <f>XLOOKUP(A193,tblInvoices[invoice_id],tblInvoices[due_date])</f>
        <v/>
      </c>
      <c r="E193">
        <f>XLOOKUP(A193,tblInvoices[invoice_id],tblInvoices[total_invoice_amount])</f>
        <v/>
      </c>
      <c r="F193">
        <f>SUMIFS(tblPayments[payment_amount],tblPayments[invoice_id],A193,tblPayments[payment_status],"Success")</f>
        <v/>
      </c>
      <c r="G193">
        <f>MAX(0,E193-F193)</f>
        <v/>
      </c>
      <c r="H193">
        <f>DATE(2026,8,13)-D193</f>
        <v/>
      </c>
      <c r="I193">
        <f>IFS(G193=0,"Excluded (paid)",H193&lt;=0,"Current",H193&lt;=30,"1-30 days",H193&lt;=60,"31-60 days",H193&lt;=90,"61-90 days",TRUE,"90+ days")</f>
        <v/>
      </c>
    </row>
    <row r="194">
      <c r="A194" t="inlineStr">
        <is>
          <t>INV0004029</t>
        </is>
      </c>
      <c r="B194" t="inlineStr">
        <is>
          <t>MER00189</t>
        </is>
      </c>
      <c r="C194">
        <f>XLOOKUP(B194,Merchants!$A$4:$A$1000,Merchants!$B$4:$B$1000,"Not found")</f>
        <v/>
      </c>
      <c r="D194">
        <f>XLOOKUP(A194,tblInvoices[invoice_id],tblInvoices[due_date])</f>
        <v/>
      </c>
      <c r="E194">
        <f>XLOOKUP(A194,tblInvoices[invoice_id],tblInvoices[total_invoice_amount])</f>
        <v/>
      </c>
      <c r="F194">
        <f>SUMIFS(tblPayments[payment_amount],tblPayments[invoice_id],A194,tblPayments[payment_status],"Success")</f>
        <v/>
      </c>
      <c r="G194">
        <f>MAX(0,E194-F194)</f>
        <v/>
      </c>
      <c r="H194">
        <f>DATE(2026,8,13)-D194</f>
        <v/>
      </c>
      <c r="I194">
        <f>IFS(G194=0,"Excluded (paid)",H194&lt;=0,"Current",H194&lt;=30,"1-30 days",H194&lt;=60,"31-60 days",H194&lt;=90,"61-90 days",TRUE,"90+ days")</f>
        <v/>
      </c>
    </row>
    <row r="195">
      <c r="A195" t="inlineStr">
        <is>
          <t>INV0004030</t>
        </is>
      </c>
      <c r="B195" t="inlineStr">
        <is>
          <t>MER00189</t>
        </is>
      </c>
      <c r="C195">
        <f>XLOOKUP(B195,Merchants!$A$4:$A$1000,Merchants!$B$4:$B$1000,"Not found")</f>
        <v/>
      </c>
      <c r="D195">
        <f>XLOOKUP(A195,tblInvoices[invoice_id],tblInvoices[due_date])</f>
        <v/>
      </c>
      <c r="E195">
        <f>XLOOKUP(A195,tblInvoices[invoice_id],tblInvoices[total_invoice_amount])</f>
        <v/>
      </c>
      <c r="F195">
        <f>SUMIFS(tblPayments[payment_amount],tblPayments[invoice_id],A195,tblPayments[payment_status],"Success")</f>
        <v/>
      </c>
      <c r="G195">
        <f>MAX(0,E195-F195)</f>
        <v/>
      </c>
      <c r="H195">
        <f>DATE(2026,8,13)-D195</f>
        <v/>
      </c>
      <c r="I195">
        <f>IFS(G195=0,"Excluded (paid)",H195&lt;=0,"Current",H195&lt;=30,"1-30 days",H195&lt;=60,"31-60 days",H195&lt;=90,"61-90 days",TRUE,"90+ days")</f>
        <v/>
      </c>
    </row>
    <row r="196">
      <c r="A196" t="inlineStr">
        <is>
          <t>INV0004031</t>
        </is>
      </c>
      <c r="B196" t="inlineStr">
        <is>
          <t>MER00189</t>
        </is>
      </c>
      <c r="C196">
        <f>XLOOKUP(B196,Merchants!$A$4:$A$1000,Merchants!$B$4:$B$1000,"Not found")</f>
        <v/>
      </c>
      <c r="D196">
        <f>XLOOKUP(A196,tblInvoices[invoice_id],tblInvoices[due_date])</f>
        <v/>
      </c>
      <c r="E196">
        <f>XLOOKUP(A196,tblInvoices[invoice_id],tblInvoices[total_invoice_amount])</f>
        <v/>
      </c>
      <c r="F196">
        <f>SUMIFS(tblPayments[payment_amount],tblPayments[invoice_id],A196,tblPayments[payment_status],"Success")</f>
        <v/>
      </c>
      <c r="G196">
        <f>MAX(0,E196-F196)</f>
        <v/>
      </c>
      <c r="H196">
        <f>DATE(2026,8,13)-D196</f>
        <v/>
      </c>
      <c r="I196">
        <f>IFS(G196=0,"Excluded (paid)",H196&lt;=0,"Current",H196&lt;=30,"1-30 days",H196&lt;=60,"31-60 days",H196&lt;=90,"61-90 days",TRUE,"90+ days")</f>
        <v/>
      </c>
    </row>
    <row r="197">
      <c r="A197" t="inlineStr">
        <is>
          <t>INV0004032</t>
        </is>
      </c>
      <c r="B197" t="inlineStr">
        <is>
          <t>MER00189</t>
        </is>
      </c>
      <c r="C197">
        <f>XLOOKUP(B197,Merchants!$A$4:$A$1000,Merchants!$B$4:$B$1000,"Not found")</f>
        <v/>
      </c>
      <c r="D197">
        <f>XLOOKUP(A197,tblInvoices[invoice_id],tblInvoices[due_date])</f>
        <v/>
      </c>
      <c r="E197">
        <f>XLOOKUP(A197,tblInvoices[invoice_id],tblInvoices[total_invoice_amount])</f>
        <v/>
      </c>
      <c r="F197">
        <f>SUMIFS(tblPayments[payment_amount],tblPayments[invoice_id],A197,tblPayments[payment_status],"Success")</f>
        <v/>
      </c>
      <c r="G197">
        <f>MAX(0,E197-F197)</f>
        <v/>
      </c>
      <c r="H197">
        <f>DATE(2026,8,13)-D197</f>
        <v/>
      </c>
      <c r="I197">
        <f>IFS(G197=0,"Excluded (paid)",H197&lt;=0,"Current",H197&lt;=30,"1-30 days",H197&lt;=60,"31-60 days",H197&lt;=90,"61-90 days",TRUE,"90+ days")</f>
        <v/>
      </c>
    </row>
    <row r="198">
      <c r="A198" t="inlineStr">
        <is>
          <t>INV0004033</t>
        </is>
      </c>
      <c r="B198" t="inlineStr">
        <is>
          <t>MER00189</t>
        </is>
      </c>
      <c r="C198">
        <f>XLOOKUP(B198,Merchants!$A$4:$A$1000,Merchants!$B$4:$B$1000,"Not found")</f>
        <v/>
      </c>
      <c r="D198">
        <f>XLOOKUP(A198,tblInvoices[invoice_id],tblInvoices[due_date])</f>
        <v/>
      </c>
      <c r="E198">
        <f>XLOOKUP(A198,tblInvoices[invoice_id],tblInvoices[total_invoice_amount])</f>
        <v/>
      </c>
      <c r="F198">
        <f>SUMIFS(tblPayments[payment_amount],tblPayments[invoice_id],A198,tblPayments[payment_status],"Success")</f>
        <v/>
      </c>
      <c r="G198">
        <f>MAX(0,E198-F198)</f>
        <v/>
      </c>
      <c r="H198">
        <f>DATE(2026,8,13)-D198</f>
        <v/>
      </c>
      <c r="I198">
        <f>IFS(G198=0,"Excluded (paid)",H198&lt;=0,"Current",H198&lt;=30,"1-30 days",H198&lt;=60,"31-60 days",H198&lt;=90,"61-90 days",TRUE,"90+ days")</f>
        <v/>
      </c>
    </row>
    <row r="199">
      <c r="A199" t="inlineStr">
        <is>
          <t>INV0004034</t>
        </is>
      </c>
      <c r="B199" t="inlineStr">
        <is>
          <t>MER00189</t>
        </is>
      </c>
      <c r="C199">
        <f>XLOOKUP(B199,Merchants!$A$4:$A$1000,Merchants!$B$4:$B$1000,"Not found")</f>
        <v/>
      </c>
      <c r="D199">
        <f>XLOOKUP(A199,tblInvoices[invoice_id],tblInvoices[due_date])</f>
        <v/>
      </c>
      <c r="E199">
        <f>XLOOKUP(A199,tblInvoices[invoice_id],tblInvoices[total_invoice_amount])</f>
        <v/>
      </c>
      <c r="F199">
        <f>SUMIFS(tblPayments[payment_amount],tblPayments[invoice_id],A199,tblPayments[payment_status],"Success")</f>
        <v/>
      </c>
      <c r="G199">
        <f>MAX(0,E199-F199)</f>
        <v/>
      </c>
      <c r="H199">
        <f>DATE(2026,8,13)-D199</f>
        <v/>
      </c>
      <c r="I199">
        <f>IFS(G199=0,"Excluded (paid)",H199&lt;=0,"Current",H199&lt;=30,"1-30 days",H199&lt;=60,"31-60 days",H199&lt;=90,"61-90 days",TRUE,"90+ days")</f>
        <v/>
      </c>
    </row>
    <row r="200">
      <c r="A200" t="inlineStr">
        <is>
          <t>INV0004313</t>
        </is>
      </c>
      <c r="B200" t="inlineStr">
        <is>
          <t>MER00203</t>
        </is>
      </c>
      <c r="C200">
        <f>XLOOKUP(B200,Merchants!$A$4:$A$1000,Merchants!$B$4:$B$1000,"Not found")</f>
        <v/>
      </c>
      <c r="D200">
        <f>XLOOKUP(A200,tblInvoices[invoice_id],tblInvoices[due_date])</f>
        <v/>
      </c>
      <c r="E200">
        <f>XLOOKUP(A200,tblInvoices[invoice_id],tblInvoices[total_invoice_amount])</f>
        <v/>
      </c>
      <c r="F200">
        <f>SUMIFS(tblPayments[payment_amount],tblPayments[invoice_id],A200,tblPayments[payment_status],"Success")</f>
        <v/>
      </c>
      <c r="G200">
        <f>MAX(0,E200-F200)</f>
        <v/>
      </c>
      <c r="H200">
        <f>DATE(2026,8,13)-D200</f>
        <v/>
      </c>
      <c r="I200">
        <f>IFS(G200=0,"Excluded (paid)",H200&lt;=0,"Current",H200&lt;=30,"1-30 days",H200&lt;=60,"31-60 days",H200&lt;=90,"61-90 days",TRUE,"90+ days")</f>
        <v/>
      </c>
    </row>
    <row r="201">
      <c r="A201" t="inlineStr">
        <is>
          <t>INV0004314</t>
        </is>
      </c>
      <c r="B201" t="inlineStr">
        <is>
          <t>MER00203</t>
        </is>
      </c>
      <c r="C201">
        <f>XLOOKUP(B201,Merchants!$A$4:$A$1000,Merchants!$B$4:$B$1000,"Not found")</f>
        <v/>
      </c>
      <c r="D201">
        <f>XLOOKUP(A201,tblInvoices[invoice_id],tblInvoices[due_date])</f>
        <v/>
      </c>
      <c r="E201">
        <f>XLOOKUP(A201,tblInvoices[invoice_id],tblInvoices[total_invoice_amount])</f>
        <v/>
      </c>
      <c r="F201">
        <f>SUMIFS(tblPayments[payment_amount],tblPayments[invoice_id],A201,tblPayments[payment_status],"Success")</f>
        <v/>
      </c>
      <c r="G201">
        <f>MAX(0,E201-F201)</f>
        <v/>
      </c>
      <c r="H201">
        <f>DATE(2026,8,13)-D201</f>
        <v/>
      </c>
      <c r="I201">
        <f>IFS(G201=0,"Excluded (paid)",H201&lt;=0,"Current",H201&lt;=30,"1-30 days",H201&lt;=60,"31-60 days",H201&lt;=90,"61-90 days",TRUE,"90+ days")</f>
        <v/>
      </c>
    </row>
    <row r="202">
      <c r="A202" t="inlineStr">
        <is>
          <t>INV0004315</t>
        </is>
      </c>
      <c r="B202" t="inlineStr">
        <is>
          <t>MER00203</t>
        </is>
      </c>
      <c r="C202">
        <f>XLOOKUP(B202,Merchants!$A$4:$A$1000,Merchants!$B$4:$B$1000,"Not found")</f>
        <v/>
      </c>
      <c r="D202">
        <f>XLOOKUP(A202,tblInvoices[invoice_id],tblInvoices[due_date])</f>
        <v/>
      </c>
      <c r="E202">
        <f>XLOOKUP(A202,tblInvoices[invoice_id],tblInvoices[total_invoice_amount])</f>
        <v/>
      </c>
      <c r="F202">
        <f>SUMIFS(tblPayments[payment_amount],tblPayments[invoice_id],A202,tblPayments[payment_status],"Success")</f>
        <v/>
      </c>
      <c r="G202">
        <f>MAX(0,E202-F202)</f>
        <v/>
      </c>
      <c r="H202">
        <f>DATE(2026,8,13)-D202</f>
        <v/>
      </c>
      <c r="I202">
        <f>IFS(G202=0,"Excluded (paid)",H202&lt;=0,"Current",H202&lt;=30,"1-30 days",H202&lt;=60,"31-60 days",H202&lt;=90,"61-90 days",TRUE,"90+ days")</f>
        <v/>
      </c>
    </row>
    <row r="203">
      <c r="A203" t="inlineStr">
        <is>
          <t>INV0004316</t>
        </is>
      </c>
      <c r="B203" t="inlineStr">
        <is>
          <t>MER00203</t>
        </is>
      </c>
      <c r="C203">
        <f>XLOOKUP(B203,Merchants!$A$4:$A$1000,Merchants!$B$4:$B$1000,"Not found")</f>
        <v/>
      </c>
      <c r="D203">
        <f>XLOOKUP(A203,tblInvoices[invoice_id],tblInvoices[due_date])</f>
        <v/>
      </c>
      <c r="E203">
        <f>XLOOKUP(A203,tblInvoices[invoice_id],tblInvoices[total_invoice_amount])</f>
        <v/>
      </c>
      <c r="F203">
        <f>SUMIFS(tblPayments[payment_amount],tblPayments[invoice_id],A203,tblPayments[payment_status],"Success")</f>
        <v/>
      </c>
      <c r="G203">
        <f>MAX(0,E203-F203)</f>
        <v/>
      </c>
      <c r="H203">
        <f>DATE(2026,8,13)-D203</f>
        <v/>
      </c>
      <c r="I203">
        <f>IFS(G203=0,"Excluded (paid)",H203&lt;=0,"Current",H203&lt;=30,"1-30 days",H203&lt;=60,"31-60 days",H203&lt;=90,"61-90 days",TRUE,"90+ days")</f>
        <v/>
      </c>
    </row>
    <row r="204">
      <c r="A204" t="inlineStr">
        <is>
          <t>INV0004317</t>
        </is>
      </c>
      <c r="B204" t="inlineStr">
        <is>
          <t>MER00203</t>
        </is>
      </c>
      <c r="C204">
        <f>XLOOKUP(B204,Merchants!$A$4:$A$1000,Merchants!$B$4:$B$1000,"Not found")</f>
        <v/>
      </c>
      <c r="D204">
        <f>XLOOKUP(A204,tblInvoices[invoice_id],tblInvoices[due_date])</f>
        <v/>
      </c>
      <c r="E204">
        <f>XLOOKUP(A204,tblInvoices[invoice_id],tblInvoices[total_invoice_amount])</f>
        <v/>
      </c>
      <c r="F204">
        <f>SUMIFS(tblPayments[payment_amount],tblPayments[invoice_id],A204,tblPayments[payment_status],"Success")</f>
        <v/>
      </c>
      <c r="G204">
        <f>MAX(0,E204-F204)</f>
        <v/>
      </c>
      <c r="H204">
        <f>DATE(2026,8,13)-D204</f>
        <v/>
      </c>
      <c r="I204">
        <f>IFS(G204=0,"Excluded (paid)",H204&lt;=0,"Current",H204&lt;=30,"1-30 days",H204&lt;=60,"31-60 days",H204&lt;=90,"61-90 days",TRUE,"90+ days")</f>
        <v/>
      </c>
    </row>
    <row r="205">
      <c r="A205" t="inlineStr">
        <is>
          <t>INV0004318</t>
        </is>
      </c>
      <c r="B205" t="inlineStr">
        <is>
          <t>MER00203</t>
        </is>
      </c>
      <c r="C205">
        <f>XLOOKUP(B205,Merchants!$A$4:$A$1000,Merchants!$B$4:$B$1000,"Not found")</f>
        <v/>
      </c>
      <c r="D205">
        <f>XLOOKUP(A205,tblInvoices[invoice_id],tblInvoices[due_date])</f>
        <v/>
      </c>
      <c r="E205">
        <f>XLOOKUP(A205,tblInvoices[invoice_id],tblInvoices[total_invoice_amount])</f>
        <v/>
      </c>
      <c r="F205">
        <f>SUMIFS(tblPayments[payment_amount],tblPayments[invoice_id],A205,tblPayments[payment_status],"Success")</f>
        <v/>
      </c>
      <c r="G205">
        <f>MAX(0,E205-F205)</f>
        <v/>
      </c>
      <c r="H205">
        <f>DATE(2026,8,13)-D205</f>
        <v/>
      </c>
      <c r="I205">
        <f>IFS(G205=0,"Excluded (paid)",H205&lt;=0,"Current",H205&lt;=30,"1-30 days",H205&lt;=60,"31-60 days",H205&lt;=90,"61-90 days",TRUE,"90+ days")</f>
        <v/>
      </c>
    </row>
    <row r="206">
      <c r="A206" t="inlineStr">
        <is>
          <t>INV0004319</t>
        </is>
      </c>
      <c r="B206" t="inlineStr">
        <is>
          <t>MER00203</t>
        </is>
      </c>
      <c r="C206">
        <f>XLOOKUP(B206,Merchants!$A$4:$A$1000,Merchants!$B$4:$B$1000,"Not found")</f>
        <v/>
      </c>
      <c r="D206">
        <f>XLOOKUP(A206,tblInvoices[invoice_id],tblInvoices[due_date])</f>
        <v/>
      </c>
      <c r="E206">
        <f>XLOOKUP(A206,tblInvoices[invoice_id],tblInvoices[total_invoice_amount])</f>
        <v/>
      </c>
      <c r="F206">
        <f>SUMIFS(tblPayments[payment_amount],tblPayments[invoice_id],A206,tblPayments[payment_status],"Success")</f>
        <v/>
      </c>
      <c r="G206">
        <f>MAX(0,E206-F206)</f>
        <v/>
      </c>
      <c r="H206">
        <f>DATE(2026,8,13)-D206</f>
        <v/>
      </c>
      <c r="I206">
        <f>IFS(G206=0,"Excluded (paid)",H206&lt;=0,"Current",H206&lt;=30,"1-30 days",H206&lt;=60,"31-60 days",H206&lt;=90,"61-90 days",TRUE,"90+ days")</f>
        <v/>
      </c>
    </row>
    <row r="207">
      <c r="A207" t="inlineStr">
        <is>
          <t>INV0004320</t>
        </is>
      </c>
      <c r="B207" t="inlineStr">
        <is>
          <t>MER00203</t>
        </is>
      </c>
      <c r="C207">
        <f>XLOOKUP(B207,Merchants!$A$4:$A$1000,Merchants!$B$4:$B$1000,"Not found")</f>
        <v/>
      </c>
      <c r="D207">
        <f>XLOOKUP(A207,tblInvoices[invoice_id],tblInvoices[due_date])</f>
        <v/>
      </c>
      <c r="E207">
        <f>XLOOKUP(A207,tblInvoices[invoice_id],tblInvoices[total_invoice_amount])</f>
        <v/>
      </c>
      <c r="F207">
        <f>SUMIFS(tblPayments[payment_amount],tblPayments[invoice_id],A207,tblPayments[payment_status],"Success")</f>
        <v/>
      </c>
      <c r="G207">
        <f>MAX(0,E207-F207)</f>
        <v/>
      </c>
      <c r="H207">
        <f>DATE(2026,8,13)-D207</f>
        <v/>
      </c>
      <c r="I207">
        <f>IFS(G207=0,"Excluded (paid)",H207&lt;=0,"Current",H207&lt;=30,"1-30 days",H207&lt;=60,"31-60 days",H207&lt;=90,"61-90 days",TRUE,"90+ days")</f>
        <v/>
      </c>
    </row>
    <row r="208">
      <c r="A208" t="inlineStr">
        <is>
          <t>INV0004321</t>
        </is>
      </c>
      <c r="B208" t="inlineStr">
        <is>
          <t>MER00203</t>
        </is>
      </c>
      <c r="C208">
        <f>XLOOKUP(B208,Merchants!$A$4:$A$1000,Merchants!$B$4:$B$1000,"Not found")</f>
        <v/>
      </c>
      <c r="D208">
        <f>XLOOKUP(A208,tblInvoices[invoice_id],tblInvoices[due_date])</f>
        <v/>
      </c>
      <c r="E208">
        <f>XLOOKUP(A208,tblInvoices[invoice_id],tblInvoices[total_invoice_amount])</f>
        <v/>
      </c>
      <c r="F208">
        <f>SUMIFS(tblPayments[payment_amount],tblPayments[invoice_id],A208,tblPayments[payment_status],"Success")</f>
        <v/>
      </c>
      <c r="G208">
        <f>MAX(0,E208-F208)</f>
        <v/>
      </c>
      <c r="H208">
        <f>DATE(2026,8,13)-D208</f>
        <v/>
      </c>
      <c r="I208">
        <f>IFS(G208=0,"Excluded (paid)",H208&lt;=0,"Current",H208&lt;=30,"1-30 days",H208&lt;=60,"31-60 days",H208&lt;=90,"61-90 days",TRUE,"90+ days")</f>
        <v/>
      </c>
    </row>
    <row r="209">
      <c r="A209" t="inlineStr">
        <is>
          <t>INV0004322</t>
        </is>
      </c>
      <c r="B209" t="inlineStr">
        <is>
          <t>MER00203</t>
        </is>
      </c>
      <c r="C209">
        <f>XLOOKUP(B209,Merchants!$A$4:$A$1000,Merchants!$B$4:$B$1000,"Not found")</f>
        <v/>
      </c>
      <c r="D209">
        <f>XLOOKUP(A209,tblInvoices[invoice_id],tblInvoices[due_date])</f>
        <v/>
      </c>
      <c r="E209">
        <f>XLOOKUP(A209,tblInvoices[invoice_id],tblInvoices[total_invoice_amount])</f>
        <v/>
      </c>
      <c r="F209">
        <f>SUMIFS(tblPayments[payment_amount],tblPayments[invoice_id],A209,tblPayments[payment_status],"Success")</f>
        <v/>
      </c>
      <c r="G209">
        <f>MAX(0,E209-F209)</f>
        <v/>
      </c>
      <c r="H209">
        <f>DATE(2026,8,13)-D209</f>
        <v/>
      </c>
      <c r="I209">
        <f>IFS(G209=0,"Excluded (paid)",H209&lt;=0,"Current",H209&lt;=30,"1-30 days",H209&lt;=60,"31-60 days",H209&lt;=90,"61-90 days",TRUE,"90+ days")</f>
        <v/>
      </c>
    </row>
    <row r="210">
      <c r="A210" t="inlineStr">
        <is>
          <t>INV0004323</t>
        </is>
      </c>
      <c r="B210" t="inlineStr">
        <is>
          <t>MER00203</t>
        </is>
      </c>
      <c r="C210">
        <f>XLOOKUP(B210,Merchants!$A$4:$A$1000,Merchants!$B$4:$B$1000,"Not found")</f>
        <v/>
      </c>
      <c r="D210">
        <f>XLOOKUP(A210,tblInvoices[invoice_id],tblInvoices[due_date])</f>
        <v/>
      </c>
      <c r="E210">
        <f>XLOOKUP(A210,tblInvoices[invoice_id],tblInvoices[total_invoice_amount])</f>
        <v/>
      </c>
      <c r="F210">
        <f>SUMIFS(tblPayments[payment_amount],tblPayments[invoice_id],A210,tblPayments[payment_status],"Success")</f>
        <v/>
      </c>
      <c r="G210">
        <f>MAX(0,E210-F210)</f>
        <v/>
      </c>
      <c r="H210">
        <f>DATE(2026,8,13)-D210</f>
        <v/>
      </c>
      <c r="I210">
        <f>IFS(G210=0,"Excluded (paid)",H210&lt;=0,"Current",H210&lt;=30,"1-30 days",H210&lt;=60,"31-60 days",H210&lt;=90,"61-90 days",TRUE,"90+ days")</f>
        <v/>
      </c>
    </row>
    <row r="211">
      <c r="A211" t="inlineStr">
        <is>
          <t>INV0004324</t>
        </is>
      </c>
      <c r="B211" t="inlineStr">
        <is>
          <t>MER00203</t>
        </is>
      </c>
      <c r="C211">
        <f>XLOOKUP(B211,Merchants!$A$4:$A$1000,Merchants!$B$4:$B$1000,"Not found")</f>
        <v/>
      </c>
      <c r="D211">
        <f>XLOOKUP(A211,tblInvoices[invoice_id],tblInvoices[due_date])</f>
        <v/>
      </c>
      <c r="E211">
        <f>XLOOKUP(A211,tblInvoices[invoice_id],tblInvoices[total_invoice_amount])</f>
        <v/>
      </c>
      <c r="F211">
        <f>SUMIFS(tblPayments[payment_amount],tblPayments[invoice_id],A211,tblPayments[payment_status],"Success")</f>
        <v/>
      </c>
      <c r="G211">
        <f>MAX(0,E211-F211)</f>
        <v/>
      </c>
      <c r="H211">
        <f>DATE(2026,8,13)-D211</f>
        <v/>
      </c>
      <c r="I211">
        <f>IFS(G211=0,"Excluded (paid)",H211&lt;=0,"Current",H211&lt;=30,"1-30 days",H211&lt;=60,"31-60 days",H211&lt;=90,"61-90 days",TRUE,"90+ days")</f>
        <v/>
      </c>
    </row>
    <row r="212">
      <c r="A212" t="inlineStr">
        <is>
          <t>INV0004325</t>
        </is>
      </c>
      <c r="B212" t="inlineStr">
        <is>
          <t>MER00203</t>
        </is>
      </c>
      <c r="C212">
        <f>XLOOKUP(B212,Merchants!$A$4:$A$1000,Merchants!$B$4:$B$1000,"Not found")</f>
        <v/>
      </c>
      <c r="D212">
        <f>XLOOKUP(A212,tblInvoices[invoice_id],tblInvoices[due_date])</f>
        <v/>
      </c>
      <c r="E212">
        <f>XLOOKUP(A212,tblInvoices[invoice_id],tblInvoices[total_invoice_amount])</f>
        <v/>
      </c>
      <c r="F212">
        <f>SUMIFS(tblPayments[payment_amount],tblPayments[invoice_id],A212,tblPayments[payment_status],"Success")</f>
        <v/>
      </c>
      <c r="G212">
        <f>MAX(0,E212-F212)</f>
        <v/>
      </c>
      <c r="H212">
        <f>DATE(2026,8,13)-D212</f>
        <v/>
      </c>
      <c r="I212">
        <f>IFS(G212=0,"Excluded (paid)",H212&lt;=0,"Current",H212&lt;=30,"1-30 days",H212&lt;=60,"31-60 days",H212&lt;=90,"61-90 days",TRUE,"90+ days")</f>
        <v/>
      </c>
    </row>
    <row r="213">
      <c r="A213" t="inlineStr">
        <is>
          <t>INV0004326</t>
        </is>
      </c>
      <c r="B213" t="inlineStr">
        <is>
          <t>MER00203</t>
        </is>
      </c>
      <c r="C213">
        <f>XLOOKUP(B213,Merchants!$A$4:$A$1000,Merchants!$B$4:$B$1000,"Not found")</f>
        <v/>
      </c>
      <c r="D213">
        <f>XLOOKUP(A213,tblInvoices[invoice_id],tblInvoices[due_date])</f>
        <v/>
      </c>
      <c r="E213">
        <f>XLOOKUP(A213,tblInvoices[invoice_id],tblInvoices[total_invoice_amount])</f>
        <v/>
      </c>
      <c r="F213">
        <f>SUMIFS(tblPayments[payment_amount],tblPayments[invoice_id],A213,tblPayments[payment_status],"Success")</f>
        <v/>
      </c>
      <c r="G213">
        <f>MAX(0,E213-F213)</f>
        <v/>
      </c>
      <c r="H213">
        <f>DATE(2026,8,13)-D213</f>
        <v/>
      </c>
      <c r="I213">
        <f>IFS(G213=0,"Excluded (paid)",H213&lt;=0,"Current",H213&lt;=30,"1-30 days",H213&lt;=60,"31-60 days",H213&lt;=90,"61-90 days",TRUE,"90+ days")</f>
        <v/>
      </c>
    </row>
    <row r="214">
      <c r="A214" t="inlineStr">
        <is>
          <t>INV0004327</t>
        </is>
      </c>
      <c r="B214" t="inlineStr">
        <is>
          <t>MER00203</t>
        </is>
      </c>
      <c r="C214">
        <f>XLOOKUP(B214,Merchants!$A$4:$A$1000,Merchants!$B$4:$B$1000,"Not found")</f>
        <v/>
      </c>
      <c r="D214">
        <f>XLOOKUP(A214,tblInvoices[invoice_id],tblInvoices[due_date])</f>
        <v/>
      </c>
      <c r="E214">
        <f>XLOOKUP(A214,tblInvoices[invoice_id],tblInvoices[total_invoice_amount])</f>
        <v/>
      </c>
      <c r="F214">
        <f>SUMIFS(tblPayments[payment_amount],tblPayments[invoice_id],A214,tblPayments[payment_status],"Success")</f>
        <v/>
      </c>
      <c r="G214">
        <f>MAX(0,E214-F214)</f>
        <v/>
      </c>
      <c r="H214">
        <f>DATE(2026,8,13)-D214</f>
        <v/>
      </c>
      <c r="I214">
        <f>IFS(G214=0,"Excluded (paid)",H214&lt;=0,"Current",H214&lt;=30,"1-30 days",H214&lt;=60,"31-60 days",H214&lt;=90,"61-90 days",TRUE,"90+ days")</f>
        <v/>
      </c>
    </row>
    <row r="215">
      <c r="A215" t="inlineStr">
        <is>
          <t>INV0004328</t>
        </is>
      </c>
      <c r="B215" t="inlineStr">
        <is>
          <t>MER00203</t>
        </is>
      </c>
      <c r="C215">
        <f>XLOOKUP(B215,Merchants!$A$4:$A$1000,Merchants!$B$4:$B$1000,"Not found")</f>
        <v/>
      </c>
      <c r="D215">
        <f>XLOOKUP(A215,tblInvoices[invoice_id],tblInvoices[due_date])</f>
        <v/>
      </c>
      <c r="E215">
        <f>XLOOKUP(A215,tblInvoices[invoice_id],tblInvoices[total_invoice_amount])</f>
        <v/>
      </c>
      <c r="F215">
        <f>SUMIFS(tblPayments[payment_amount],tblPayments[invoice_id],A215,tblPayments[payment_status],"Success")</f>
        <v/>
      </c>
      <c r="G215">
        <f>MAX(0,E215-F215)</f>
        <v/>
      </c>
      <c r="H215">
        <f>DATE(2026,8,13)-D215</f>
        <v/>
      </c>
      <c r="I215">
        <f>IFS(G215=0,"Excluded (paid)",H215&lt;=0,"Current",H215&lt;=30,"1-30 days",H215&lt;=60,"31-60 days",H215&lt;=90,"61-90 days",TRUE,"90+ days")</f>
        <v/>
      </c>
    </row>
    <row r="216">
      <c r="A216" t="inlineStr">
        <is>
          <t>INV0004329</t>
        </is>
      </c>
      <c r="B216" t="inlineStr">
        <is>
          <t>MER00203</t>
        </is>
      </c>
      <c r="C216">
        <f>XLOOKUP(B216,Merchants!$A$4:$A$1000,Merchants!$B$4:$B$1000,"Not found")</f>
        <v/>
      </c>
      <c r="D216">
        <f>XLOOKUP(A216,tblInvoices[invoice_id],tblInvoices[due_date])</f>
        <v/>
      </c>
      <c r="E216">
        <f>XLOOKUP(A216,tblInvoices[invoice_id],tblInvoices[total_invoice_amount])</f>
        <v/>
      </c>
      <c r="F216">
        <f>SUMIFS(tblPayments[payment_amount],tblPayments[invoice_id],A216,tblPayments[payment_status],"Success")</f>
        <v/>
      </c>
      <c r="G216">
        <f>MAX(0,E216-F216)</f>
        <v/>
      </c>
      <c r="H216">
        <f>DATE(2026,8,13)-D216</f>
        <v/>
      </c>
      <c r="I216">
        <f>IFS(G216=0,"Excluded (paid)",H216&lt;=0,"Current",H216&lt;=30,"1-30 days",H216&lt;=60,"31-60 days",H216&lt;=90,"61-90 days",TRUE,"90+ days")</f>
        <v/>
      </c>
    </row>
    <row r="217">
      <c r="A217" t="inlineStr">
        <is>
          <t>INV0004330</t>
        </is>
      </c>
      <c r="B217" t="inlineStr">
        <is>
          <t>MER00203</t>
        </is>
      </c>
      <c r="C217">
        <f>XLOOKUP(B217,Merchants!$A$4:$A$1000,Merchants!$B$4:$B$1000,"Not found")</f>
        <v/>
      </c>
      <c r="D217">
        <f>XLOOKUP(A217,tblInvoices[invoice_id],tblInvoices[due_date])</f>
        <v/>
      </c>
      <c r="E217">
        <f>XLOOKUP(A217,tblInvoices[invoice_id],tblInvoices[total_invoice_amount])</f>
        <v/>
      </c>
      <c r="F217">
        <f>SUMIFS(tblPayments[payment_amount],tblPayments[invoice_id],A217,tblPayments[payment_status],"Success")</f>
        <v/>
      </c>
      <c r="G217">
        <f>MAX(0,E217-F217)</f>
        <v/>
      </c>
      <c r="H217">
        <f>DATE(2026,8,13)-D217</f>
        <v/>
      </c>
      <c r="I217">
        <f>IFS(G217=0,"Excluded (paid)",H217&lt;=0,"Current",H217&lt;=30,"1-30 days",H217&lt;=60,"31-60 days",H217&lt;=90,"61-90 days",TRUE,"90+ days")</f>
        <v/>
      </c>
    </row>
    <row r="218">
      <c r="A218" t="inlineStr">
        <is>
          <t>INV0004331</t>
        </is>
      </c>
      <c r="B218" t="inlineStr">
        <is>
          <t>MER00203</t>
        </is>
      </c>
      <c r="C218">
        <f>XLOOKUP(B218,Merchants!$A$4:$A$1000,Merchants!$B$4:$B$1000,"Not found")</f>
        <v/>
      </c>
      <c r="D218">
        <f>XLOOKUP(A218,tblInvoices[invoice_id],tblInvoices[due_date])</f>
        <v/>
      </c>
      <c r="E218">
        <f>XLOOKUP(A218,tblInvoices[invoice_id],tblInvoices[total_invoice_amount])</f>
        <v/>
      </c>
      <c r="F218">
        <f>SUMIFS(tblPayments[payment_amount],tblPayments[invoice_id],A218,tblPayments[payment_status],"Success")</f>
        <v/>
      </c>
      <c r="G218">
        <f>MAX(0,E218-F218)</f>
        <v/>
      </c>
      <c r="H218">
        <f>DATE(2026,8,13)-D218</f>
        <v/>
      </c>
      <c r="I218">
        <f>IFS(G218=0,"Excluded (paid)",H218&lt;=0,"Current",H218&lt;=30,"1-30 days",H218&lt;=60,"31-60 days",H218&lt;=90,"61-90 days",TRUE,"90+ days")</f>
        <v/>
      </c>
    </row>
    <row r="219">
      <c r="A219" t="inlineStr">
        <is>
          <t>INV0004332</t>
        </is>
      </c>
      <c r="B219" t="inlineStr">
        <is>
          <t>MER00203</t>
        </is>
      </c>
      <c r="C219">
        <f>XLOOKUP(B219,Merchants!$A$4:$A$1000,Merchants!$B$4:$B$1000,"Not found")</f>
        <v/>
      </c>
      <c r="D219">
        <f>XLOOKUP(A219,tblInvoices[invoice_id],tblInvoices[due_date])</f>
        <v/>
      </c>
      <c r="E219">
        <f>XLOOKUP(A219,tblInvoices[invoice_id],tblInvoices[total_invoice_amount])</f>
        <v/>
      </c>
      <c r="F219">
        <f>SUMIFS(tblPayments[payment_amount],tblPayments[invoice_id],A219,tblPayments[payment_status],"Success")</f>
        <v/>
      </c>
      <c r="G219">
        <f>MAX(0,E219-F219)</f>
        <v/>
      </c>
      <c r="H219">
        <f>DATE(2026,8,13)-D219</f>
        <v/>
      </c>
      <c r="I219">
        <f>IFS(G219=0,"Excluded (paid)",H219&lt;=0,"Current",H219&lt;=30,"1-30 days",H219&lt;=60,"31-60 days",H219&lt;=90,"61-90 days",TRUE,"90+ days")</f>
        <v/>
      </c>
    </row>
    <row r="220">
      <c r="A220" t="inlineStr">
        <is>
          <t>INV0004333</t>
        </is>
      </c>
      <c r="B220" t="inlineStr">
        <is>
          <t>MER00203</t>
        </is>
      </c>
      <c r="C220">
        <f>XLOOKUP(B220,Merchants!$A$4:$A$1000,Merchants!$B$4:$B$1000,"Not found")</f>
        <v/>
      </c>
      <c r="D220">
        <f>XLOOKUP(A220,tblInvoices[invoice_id],tblInvoices[due_date])</f>
        <v/>
      </c>
      <c r="E220">
        <f>XLOOKUP(A220,tblInvoices[invoice_id],tblInvoices[total_invoice_amount])</f>
        <v/>
      </c>
      <c r="F220">
        <f>SUMIFS(tblPayments[payment_amount],tblPayments[invoice_id],A220,tblPayments[payment_status],"Success")</f>
        <v/>
      </c>
      <c r="G220">
        <f>MAX(0,E220-F220)</f>
        <v/>
      </c>
      <c r="H220">
        <f>DATE(2026,8,13)-D220</f>
        <v/>
      </c>
      <c r="I220">
        <f>IFS(G220=0,"Excluded (paid)",H220&lt;=0,"Current",H220&lt;=30,"1-30 days",H220&lt;=60,"31-60 days",H220&lt;=90,"61-90 days",TRUE,"90+ days")</f>
        <v/>
      </c>
    </row>
    <row r="221">
      <c r="A221" t="inlineStr">
        <is>
          <t>INV0004334</t>
        </is>
      </c>
      <c r="B221" t="inlineStr">
        <is>
          <t>MER00203</t>
        </is>
      </c>
      <c r="C221">
        <f>XLOOKUP(B221,Merchants!$A$4:$A$1000,Merchants!$B$4:$B$1000,"Not found")</f>
        <v/>
      </c>
      <c r="D221">
        <f>XLOOKUP(A221,tblInvoices[invoice_id],tblInvoices[due_date])</f>
        <v/>
      </c>
      <c r="E221">
        <f>XLOOKUP(A221,tblInvoices[invoice_id],tblInvoices[total_invoice_amount])</f>
        <v/>
      </c>
      <c r="F221">
        <f>SUMIFS(tblPayments[payment_amount],tblPayments[invoice_id],A221,tblPayments[payment_status],"Success")</f>
        <v/>
      </c>
      <c r="G221">
        <f>MAX(0,E221-F221)</f>
        <v/>
      </c>
      <c r="H221">
        <f>DATE(2026,8,13)-D221</f>
        <v/>
      </c>
      <c r="I221">
        <f>IFS(G221=0,"Excluded (paid)",H221&lt;=0,"Current",H221&lt;=30,"1-30 days",H221&lt;=60,"31-60 days",H221&lt;=90,"61-90 days",TRUE,"90+ days")</f>
        <v/>
      </c>
    </row>
    <row r="222">
      <c r="A222" t="inlineStr">
        <is>
          <t>INV0004335</t>
        </is>
      </c>
      <c r="B222" t="inlineStr">
        <is>
          <t>MER00203</t>
        </is>
      </c>
      <c r="C222">
        <f>XLOOKUP(B222,Merchants!$A$4:$A$1000,Merchants!$B$4:$B$1000,"Not found")</f>
        <v/>
      </c>
      <c r="D222">
        <f>XLOOKUP(A222,tblInvoices[invoice_id],tblInvoices[due_date])</f>
        <v/>
      </c>
      <c r="E222">
        <f>XLOOKUP(A222,tblInvoices[invoice_id],tblInvoices[total_invoice_amount])</f>
        <v/>
      </c>
      <c r="F222">
        <f>SUMIFS(tblPayments[payment_amount],tblPayments[invoice_id],A222,tblPayments[payment_status],"Success")</f>
        <v/>
      </c>
      <c r="G222">
        <f>MAX(0,E222-F222)</f>
        <v/>
      </c>
      <c r="H222">
        <f>DATE(2026,8,13)-D222</f>
        <v/>
      </c>
      <c r="I222">
        <f>IFS(G222=0,"Excluded (paid)",H222&lt;=0,"Current",H222&lt;=30,"1-30 days",H222&lt;=60,"31-60 days",H222&lt;=90,"61-90 days",TRUE,"90+ days")</f>
        <v/>
      </c>
    </row>
    <row r="223">
      <c r="A223" t="inlineStr">
        <is>
          <t>INV0004336</t>
        </is>
      </c>
      <c r="B223" t="inlineStr">
        <is>
          <t>MER00203</t>
        </is>
      </c>
      <c r="C223">
        <f>XLOOKUP(B223,Merchants!$A$4:$A$1000,Merchants!$B$4:$B$1000,"Not found")</f>
        <v/>
      </c>
      <c r="D223">
        <f>XLOOKUP(A223,tblInvoices[invoice_id],tblInvoices[due_date])</f>
        <v/>
      </c>
      <c r="E223">
        <f>XLOOKUP(A223,tblInvoices[invoice_id],tblInvoices[total_invoice_amount])</f>
        <v/>
      </c>
      <c r="F223">
        <f>SUMIFS(tblPayments[payment_amount],tblPayments[invoice_id],A223,tblPayments[payment_status],"Success")</f>
        <v/>
      </c>
      <c r="G223">
        <f>MAX(0,E223-F223)</f>
        <v/>
      </c>
      <c r="H223">
        <f>DATE(2026,8,13)-D223</f>
        <v/>
      </c>
      <c r="I223">
        <f>IFS(G223=0,"Excluded (paid)",H223&lt;=0,"Current",H223&lt;=30,"1-30 days",H223&lt;=60,"31-60 days",H223&lt;=90,"61-90 days",TRUE,"90+ days")</f>
        <v/>
      </c>
    </row>
    <row r="224">
      <c r="A224" t="inlineStr">
        <is>
          <t>INV0007295</t>
        </is>
      </c>
      <c r="B224" t="inlineStr">
        <is>
          <t>MER00346</t>
        </is>
      </c>
      <c r="C224">
        <f>XLOOKUP(B224,Merchants!$A$4:$A$1000,Merchants!$B$4:$B$1000,"Not found")</f>
        <v/>
      </c>
      <c r="D224">
        <f>XLOOKUP(A224,tblInvoices[invoice_id],tblInvoices[due_date])</f>
        <v/>
      </c>
      <c r="E224">
        <f>XLOOKUP(A224,tblInvoices[invoice_id],tblInvoices[total_invoice_amount])</f>
        <v/>
      </c>
      <c r="F224">
        <f>SUMIFS(tblPayments[payment_amount],tblPayments[invoice_id],A224,tblPayments[payment_status],"Success")</f>
        <v/>
      </c>
      <c r="G224">
        <f>MAX(0,E224-F224)</f>
        <v/>
      </c>
      <c r="H224">
        <f>DATE(2026,8,13)-D224</f>
        <v/>
      </c>
      <c r="I224">
        <f>IFS(G224=0,"Excluded (paid)",H224&lt;=0,"Current",H224&lt;=30,"1-30 days",H224&lt;=60,"31-60 days",H224&lt;=90,"61-90 days",TRUE,"90+ days")</f>
        <v/>
      </c>
    </row>
    <row r="225">
      <c r="A225" t="inlineStr">
        <is>
          <t>INV0007296</t>
        </is>
      </c>
      <c r="B225" t="inlineStr">
        <is>
          <t>MER00346</t>
        </is>
      </c>
      <c r="C225">
        <f>XLOOKUP(B225,Merchants!$A$4:$A$1000,Merchants!$B$4:$B$1000,"Not found")</f>
        <v/>
      </c>
      <c r="D225">
        <f>XLOOKUP(A225,tblInvoices[invoice_id],tblInvoices[due_date])</f>
        <v/>
      </c>
      <c r="E225">
        <f>XLOOKUP(A225,tblInvoices[invoice_id],tblInvoices[total_invoice_amount])</f>
        <v/>
      </c>
      <c r="F225">
        <f>SUMIFS(tblPayments[payment_amount],tblPayments[invoice_id],A225,tblPayments[payment_status],"Success")</f>
        <v/>
      </c>
      <c r="G225">
        <f>MAX(0,E225-F225)</f>
        <v/>
      </c>
      <c r="H225">
        <f>DATE(2026,8,13)-D225</f>
        <v/>
      </c>
      <c r="I225">
        <f>IFS(G225=0,"Excluded (paid)",H225&lt;=0,"Current",H225&lt;=30,"1-30 days",H225&lt;=60,"31-60 days",H225&lt;=90,"61-90 days",TRUE,"90+ days")</f>
        <v/>
      </c>
    </row>
    <row r="226">
      <c r="A226" t="inlineStr">
        <is>
          <t>INV0007297</t>
        </is>
      </c>
      <c r="B226" t="inlineStr">
        <is>
          <t>MER00346</t>
        </is>
      </c>
      <c r="C226">
        <f>XLOOKUP(B226,Merchants!$A$4:$A$1000,Merchants!$B$4:$B$1000,"Not found")</f>
        <v/>
      </c>
      <c r="D226">
        <f>XLOOKUP(A226,tblInvoices[invoice_id],tblInvoices[due_date])</f>
        <v/>
      </c>
      <c r="E226">
        <f>XLOOKUP(A226,tblInvoices[invoice_id],tblInvoices[total_invoice_amount])</f>
        <v/>
      </c>
      <c r="F226">
        <f>SUMIFS(tblPayments[payment_amount],tblPayments[invoice_id],A226,tblPayments[payment_status],"Success")</f>
        <v/>
      </c>
      <c r="G226">
        <f>MAX(0,E226-F226)</f>
        <v/>
      </c>
      <c r="H226">
        <f>DATE(2026,8,13)-D226</f>
        <v/>
      </c>
      <c r="I226">
        <f>IFS(G226=0,"Excluded (paid)",H226&lt;=0,"Current",H226&lt;=30,"1-30 days",H226&lt;=60,"31-60 days",H226&lt;=90,"61-90 days",TRUE,"90+ days")</f>
        <v/>
      </c>
    </row>
    <row r="227">
      <c r="A227" t="inlineStr">
        <is>
          <t>INV0007298</t>
        </is>
      </c>
      <c r="B227" t="inlineStr">
        <is>
          <t>MER00346</t>
        </is>
      </c>
      <c r="C227">
        <f>XLOOKUP(B227,Merchants!$A$4:$A$1000,Merchants!$B$4:$B$1000,"Not found")</f>
        <v/>
      </c>
      <c r="D227">
        <f>XLOOKUP(A227,tblInvoices[invoice_id],tblInvoices[due_date])</f>
        <v/>
      </c>
      <c r="E227">
        <f>XLOOKUP(A227,tblInvoices[invoice_id],tblInvoices[total_invoice_amount])</f>
        <v/>
      </c>
      <c r="F227">
        <f>SUMIFS(tblPayments[payment_amount],tblPayments[invoice_id],A227,tblPayments[payment_status],"Success")</f>
        <v/>
      </c>
      <c r="G227">
        <f>MAX(0,E227-F227)</f>
        <v/>
      </c>
      <c r="H227">
        <f>DATE(2026,8,13)-D227</f>
        <v/>
      </c>
      <c r="I227">
        <f>IFS(G227=0,"Excluded (paid)",H227&lt;=0,"Current",H227&lt;=30,"1-30 days",H227&lt;=60,"31-60 days",H227&lt;=90,"61-90 days",TRUE,"90+ days")</f>
        <v/>
      </c>
    </row>
    <row r="228">
      <c r="A228" t="inlineStr">
        <is>
          <t>INV0007299</t>
        </is>
      </c>
      <c r="B228" t="inlineStr">
        <is>
          <t>MER00346</t>
        </is>
      </c>
      <c r="C228">
        <f>XLOOKUP(B228,Merchants!$A$4:$A$1000,Merchants!$B$4:$B$1000,"Not found")</f>
        <v/>
      </c>
      <c r="D228">
        <f>XLOOKUP(A228,tblInvoices[invoice_id],tblInvoices[due_date])</f>
        <v/>
      </c>
      <c r="E228">
        <f>XLOOKUP(A228,tblInvoices[invoice_id],tblInvoices[total_invoice_amount])</f>
        <v/>
      </c>
      <c r="F228">
        <f>SUMIFS(tblPayments[payment_amount],tblPayments[invoice_id],A228,tblPayments[payment_status],"Success")</f>
        <v/>
      </c>
      <c r="G228">
        <f>MAX(0,E228-F228)</f>
        <v/>
      </c>
      <c r="H228">
        <f>DATE(2026,8,13)-D228</f>
        <v/>
      </c>
      <c r="I228">
        <f>IFS(G228=0,"Excluded (paid)",H228&lt;=0,"Current",H228&lt;=30,"1-30 days",H228&lt;=60,"31-60 days",H228&lt;=90,"61-90 days",TRUE,"90+ days")</f>
        <v/>
      </c>
    </row>
    <row r="229">
      <c r="A229" t="inlineStr">
        <is>
          <t>INV0007300</t>
        </is>
      </c>
      <c r="B229" t="inlineStr">
        <is>
          <t>MER00346</t>
        </is>
      </c>
      <c r="C229">
        <f>XLOOKUP(B229,Merchants!$A$4:$A$1000,Merchants!$B$4:$B$1000,"Not found")</f>
        <v/>
      </c>
      <c r="D229">
        <f>XLOOKUP(A229,tblInvoices[invoice_id],tblInvoices[due_date])</f>
        <v/>
      </c>
      <c r="E229">
        <f>XLOOKUP(A229,tblInvoices[invoice_id],tblInvoices[total_invoice_amount])</f>
        <v/>
      </c>
      <c r="F229">
        <f>SUMIFS(tblPayments[payment_amount],tblPayments[invoice_id],A229,tblPayments[payment_status],"Success")</f>
        <v/>
      </c>
      <c r="G229">
        <f>MAX(0,E229-F229)</f>
        <v/>
      </c>
      <c r="H229">
        <f>DATE(2026,8,13)-D229</f>
        <v/>
      </c>
      <c r="I229">
        <f>IFS(G229=0,"Excluded (paid)",H229&lt;=0,"Current",H229&lt;=30,"1-30 days",H229&lt;=60,"31-60 days",H229&lt;=90,"61-90 days",TRUE,"90+ days")</f>
        <v/>
      </c>
    </row>
    <row r="230">
      <c r="A230" t="inlineStr">
        <is>
          <t>INV0007301</t>
        </is>
      </c>
      <c r="B230" t="inlineStr">
        <is>
          <t>MER00346</t>
        </is>
      </c>
      <c r="C230">
        <f>XLOOKUP(B230,Merchants!$A$4:$A$1000,Merchants!$B$4:$B$1000,"Not found")</f>
        <v/>
      </c>
      <c r="D230">
        <f>XLOOKUP(A230,tblInvoices[invoice_id],tblInvoices[due_date])</f>
        <v/>
      </c>
      <c r="E230">
        <f>XLOOKUP(A230,tblInvoices[invoice_id],tblInvoices[total_invoice_amount])</f>
        <v/>
      </c>
      <c r="F230">
        <f>SUMIFS(tblPayments[payment_amount],tblPayments[invoice_id],A230,tblPayments[payment_status],"Success")</f>
        <v/>
      </c>
      <c r="G230">
        <f>MAX(0,E230-F230)</f>
        <v/>
      </c>
      <c r="H230">
        <f>DATE(2026,8,13)-D230</f>
        <v/>
      </c>
      <c r="I230">
        <f>IFS(G230=0,"Excluded (paid)",H230&lt;=0,"Current",H230&lt;=30,"1-30 days",H230&lt;=60,"31-60 days",H230&lt;=90,"61-90 days",TRUE,"90+ days")</f>
        <v/>
      </c>
    </row>
    <row r="231">
      <c r="A231" t="inlineStr">
        <is>
          <t>INV0007302</t>
        </is>
      </c>
      <c r="B231" t="inlineStr">
        <is>
          <t>MER00346</t>
        </is>
      </c>
      <c r="C231">
        <f>XLOOKUP(B231,Merchants!$A$4:$A$1000,Merchants!$B$4:$B$1000,"Not found")</f>
        <v/>
      </c>
      <c r="D231">
        <f>XLOOKUP(A231,tblInvoices[invoice_id],tblInvoices[due_date])</f>
        <v/>
      </c>
      <c r="E231">
        <f>XLOOKUP(A231,tblInvoices[invoice_id],tblInvoices[total_invoice_amount])</f>
        <v/>
      </c>
      <c r="F231">
        <f>SUMIFS(tblPayments[payment_amount],tblPayments[invoice_id],A231,tblPayments[payment_status],"Success")</f>
        <v/>
      </c>
      <c r="G231">
        <f>MAX(0,E231-F231)</f>
        <v/>
      </c>
      <c r="H231">
        <f>DATE(2026,8,13)-D231</f>
        <v/>
      </c>
      <c r="I231">
        <f>IFS(G231=0,"Excluded (paid)",H231&lt;=0,"Current",H231&lt;=30,"1-30 days",H231&lt;=60,"31-60 days",H231&lt;=90,"61-90 days",TRUE,"90+ days")</f>
        <v/>
      </c>
    </row>
    <row r="232">
      <c r="A232" t="inlineStr">
        <is>
          <t>INV0007303</t>
        </is>
      </c>
      <c r="B232" t="inlineStr">
        <is>
          <t>MER00346</t>
        </is>
      </c>
      <c r="C232">
        <f>XLOOKUP(B232,Merchants!$A$4:$A$1000,Merchants!$B$4:$B$1000,"Not found")</f>
        <v/>
      </c>
      <c r="D232">
        <f>XLOOKUP(A232,tblInvoices[invoice_id],tblInvoices[due_date])</f>
        <v/>
      </c>
      <c r="E232">
        <f>XLOOKUP(A232,tblInvoices[invoice_id],tblInvoices[total_invoice_amount])</f>
        <v/>
      </c>
      <c r="F232">
        <f>SUMIFS(tblPayments[payment_amount],tblPayments[invoice_id],A232,tblPayments[payment_status],"Success")</f>
        <v/>
      </c>
      <c r="G232">
        <f>MAX(0,E232-F232)</f>
        <v/>
      </c>
      <c r="H232">
        <f>DATE(2026,8,13)-D232</f>
        <v/>
      </c>
      <c r="I232">
        <f>IFS(G232=0,"Excluded (paid)",H232&lt;=0,"Current",H232&lt;=30,"1-30 days",H232&lt;=60,"31-60 days",H232&lt;=90,"61-90 days",TRUE,"90+ days")</f>
        <v/>
      </c>
    </row>
    <row r="233">
      <c r="A233" t="inlineStr">
        <is>
          <t>INV0007304</t>
        </is>
      </c>
      <c r="B233" t="inlineStr">
        <is>
          <t>MER00346</t>
        </is>
      </c>
      <c r="C233">
        <f>XLOOKUP(B233,Merchants!$A$4:$A$1000,Merchants!$B$4:$B$1000,"Not found")</f>
        <v/>
      </c>
      <c r="D233">
        <f>XLOOKUP(A233,tblInvoices[invoice_id],tblInvoices[due_date])</f>
        <v/>
      </c>
      <c r="E233">
        <f>XLOOKUP(A233,tblInvoices[invoice_id],tblInvoices[total_invoice_amount])</f>
        <v/>
      </c>
      <c r="F233">
        <f>SUMIFS(tblPayments[payment_amount],tblPayments[invoice_id],A233,tblPayments[payment_status],"Success")</f>
        <v/>
      </c>
      <c r="G233">
        <f>MAX(0,E233-F233)</f>
        <v/>
      </c>
      <c r="H233">
        <f>DATE(2026,8,13)-D233</f>
        <v/>
      </c>
      <c r="I233">
        <f>IFS(G233=0,"Excluded (paid)",H233&lt;=0,"Current",H233&lt;=30,"1-30 days",H233&lt;=60,"31-60 days",H233&lt;=90,"61-90 days",TRUE,"90+ days")</f>
        <v/>
      </c>
    </row>
    <row r="234">
      <c r="A234" t="inlineStr">
        <is>
          <t>INV0007305</t>
        </is>
      </c>
      <c r="B234" t="inlineStr">
        <is>
          <t>MER00346</t>
        </is>
      </c>
      <c r="C234">
        <f>XLOOKUP(B234,Merchants!$A$4:$A$1000,Merchants!$B$4:$B$1000,"Not found")</f>
        <v/>
      </c>
      <c r="D234">
        <f>XLOOKUP(A234,tblInvoices[invoice_id],tblInvoices[due_date])</f>
        <v/>
      </c>
      <c r="E234">
        <f>XLOOKUP(A234,tblInvoices[invoice_id],tblInvoices[total_invoice_amount])</f>
        <v/>
      </c>
      <c r="F234">
        <f>SUMIFS(tblPayments[payment_amount],tblPayments[invoice_id],A234,tblPayments[payment_status],"Success")</f>
        <v/>
      </c>
      <c r="G234">
        <f>MAX(0,E234-F234)</f>
        <v/>
      </c>
      <c r="H234">
        <f>DATE(2026,8,13)-D234</f>
        <v/>
      </c>
      <c r="I234">
        <f>IFS(G234=0,"Excluded (paid)",H234&lt;=0,"Current",H234&lt;=30,"1-30 days",H234&lt;=60,"31-60 days",H234&lt;=90,"61-90 days",TRUE,"90+ days")</f>
        <v/>
      </c>
    </row>
    <row r="235">
      <c r="A235" t="inlineStr">
        <is>
          <t>INV0007306</t>
        </is>
      </c>
      <c r="B235" t="inlineStr">
        <is>
          <t>MER00346</t>
        </is>
      </c>
      <c r="C235">
        <f>XLOOKUP(B235,Merchants!$A$4:$A$1000,Merchants!$B$4:$B$1000,"Not found")</f>
        <v/>
      </c>
      <c r="D235">
        <f>XLOOKUP(A235,tblInvoices[invoice_id],tblInvoices[due_date])</f>
        <v/>
      </c>
      <c r="E235">
        <f>XLOOKUP(A235,tblInvoices[invoice_id],tblInvoices[total_invoice_amount])</f>
        <v/>
      </c>
      <c r="F235">
        <f>SUMIFS(tblPayments[payment_amount],tblPayments[invoice_id],A235,tblPayments[payment_status],"Success")</f>
        <v/>
      </c>
      <c r="G235">
        <f>MAX(0,E235-F235)</f>
        <v/>
      </c>
      <c r="H235">
        <f>DATE(2026,8,13)-D235</f>
        <v/>
      </c>
      <c r="I235">
        <f>IFS(G235=0,"Excluded (paid)",H235&lt;=0,"Current",H235&lt;=30,"1-30 days",H235&lt;=60,"31-60 days",H235&lt;=90,"61-90 days",TRUE,"90+ days")</f>
        <v/>
      </c>
    </row>
    <row r="236">
      <c r="A236" t="inlineStr">
        <is>
          <t>INV0007307</t>
        </is>
      </c>
      <c r="B236" t="inlineStr">
        <is>
          <t>MER00346</t>
        </is>
      </c>
      <c r="C236">
        <f>XLOOKUP(B236,Merchants!$A$4:$A$1000,Merchants!$B$4:$B$1000,"Not found")</f>
        <v/>
      </c>
      <c r="D236">
        <f>XLOOKUP(A236,tblInvoices[invoice_id],tblInvoices[due_date])</f>
        <v/>
      </c>
      <c r="E236">
        <f>XLOOKUP(A236,tblInvoices[invoice_id],tblInvoices[total_invoice_amount])</f>
        <v/>
      </c>
      <c r="F236">
        <f>SUMIFS(tblPayments[payment_amount],tblPayments[invoice_id],A236,tblPayments[payment_status],"Success")</f>
        <v/>
      </c>
      <c r="G236">
        <f>MAX(0,E236-F236)</f>
        <v/>
      </c>
      <c r="H236">
        <f>DATE(2026,8,13)-D236</f>
        <v/>
      </c>
      <c r="I236">
        <f>IFS(G236=0,"Excluded (paid)",H236&lt;=0,"Current",H236&lt;=30,"1-30 days",H236&lt;=60,"31-60 days",H236&lt;=90,"61-90 days",TRUE,"90+ days")</f>
        <v/>
      </c>
    </row>
    <row r="237">
      <c r="A237" t="inlineStr">
        <is>
          <t>INV0007308</t>
        </is>
      </c>
      <c r="B237" t="inlineStr">
        <is>
          <t>MER00346</t>
        </is>
      </c>
      <c r="C237">
        <f>XLOOKUP(B237,Merchants!$A$4:$A$1000,Merchants!$B$4:$B$1000,"Not found")</f>
        <v/>
      </c>
      <c r="D237">
        <f>XLOOKUP(A237,tblInvoices[invoice_id],tblInvoices[due_date])</f>
        <v/>
      </c>
      <c r="E237">
        <f>XLOOKUP(A237,tblInvoices[invoice_id],tblInvoices[total_invoice_amount])</f>
        <v/>
      </c>
      <c r="F237">
        <f>SUMIFS(tblPayments[payment_amount],tblPayments[invoice_id],A237,tblPayments[payment_status],"Success")</f>
        <v/>
      </c>
      <c r="G237">
        <f>MAX(0,E237-F237)</f>
        <v/>
      </c>
      <c r="H237">
        <f>DATE(2026,8,13)-D237</f>
        <v/>
      </c>
      <c r="I237">
        <f>IFS(G237=0,"Excluded (paid)",H237&lt;=0,"Current",H237&lt;=30,"1-30 days",H237&lt;=60,"31-60 days",H237&lt;=90,"61-90 days",TRUE,"90+ days")</f>
        <v/>
      </c>
    </row>
    <row r="238">
      <c r="A238" t="inlineStr">
        <is>
          <t>INV0007309</t>
        </is>
      </c>
      <c r="B238" t="inlineStr">
        <is>
          <t>MER00346</t>
        </is>
      </c>
      <c r="C238">
        <f>XLOOKUP(B238,Merchants!$A$4:$A$1000,Merchants!$B$4:$B$1000,"Not found")</f>
        <v/>
      </c>
      <c r="D238">
        <f>XLOOKUP(A238,tblInvoices[invoice_id],tblInvoices[due_date])</f>
        <v/>
      </c>
      <c r="E238">
        <f>XLOOKUP(A238,tblInvoices[invoice_id],tblInvoices[total_invoice_amount])</f>
        <v/>
      </c>
      <c r="F238">
        <f>SUMIFS(tblPayments[payment_amount],tblPayments[invoice_id],A238,tblPayments[payment_status],"Success")</f>
        <v/>
      </c>
      <c r="G238">
        <f>MAX(0,E238-F238)</f>
        <v/>
      </c>
      <c r="H238">
        <f>DATE(2026,8,13)-D238</f>
        <v/>
      </c>
      <c r="I238">
        <f>IFS(G238=0,"Excluded (paid)",H238&lt;=0,"Current",H238&lt;=30,"1-30 days",H238&lt;=60,"31-60 days",H238&lt;=90,"61-90 days",TRUE,"90+ days")</f>
        <v/>
      </c>
    </row>
    <row r="239">
      <c r="A239" t="inlineStr">
        <is>
          <t>INV0007310</t>
        </is>
      </c>
      <c r="B239" t="inlineStr">
        <is>
          <t>MER00346</t>
        </is>
      </c>
      <c r="C239">
        <f>XLOOKUP(B239,Merchants!$A$4:$A$1000,Merchants!$B$4:$B$1000,"Not found")</f>
        <v/>
      </c>
      <c r="D239">
        <f>XLOOKUP(A239,tblInvoices[invoice_id],tblInvoices[due_date])</f>
        <v/>
      </c>
      <c r="E239">
        <f>XLOOKUP(A239,tblInvoices[invoice_id],tblInvoices[total_invoice_amount])</f>
        <v/>
      </c>
      <c r="F239">
        <f>SUMIFS(tblPayments[payment_amount],tblPayments[invoice_id],A239,tblPayments[payment_status],"Success")</f>
        <v/>
      </c>
      <c r="G239">
        <f>MAX(0,E239-F239)</f>
        <v/>
      </c>
      <c r="H239">
        <f>DATE(2026,8,13)-D239</f>
        <v/>
      </c>
      <c r="I239">
        <f>IFS(G239=0,"Excluded (paid)",H239&lt;=0,"Current",H239&lt;=30,"1-30 days",H239&lt;=60,"31-60 days",H239&lt;=90,"61-90 days",TRUE,"90+ days")</f>
        <v/>
      </c>
    </row>
    <row r="240">
      <c r="A240" t="inlineStr">
        <is>
          <t>INV0007311</t>
        </is>
      </c>
      <c r="B240" t="inlineStr">
        <is>
          <t>MER00346</t>
        </is>
      </c>
      <c r="C240">
        <f>XLOOKUP(B240,Merchants!$A$4:$A$1000,Merchants!$B$4:$B$1000,"Not found")</f>
        <v/>
      </c>
      <c r="D240">
        <f>XLOOKUP(A240,tblInvoices[invoice_id],tblInvoices[due_date])</f>
        <v/>
      </c>
      <c r="E240">
        <f>XLOOKUP(A240,tblInvoices[invoice_id],tblInvoices[total_invoice_amount])</f>
        <v/>
      </c>
      <c r="F240">
        <f>SUMIFS(tblPayments[payment_amount],tblPayments[invoice_id],A240,tblPayments[payment_status],"Success")</f>
        <v/>
      </c>
      <c r="G240">
        <f>MAX(0,E240-F240)</f>
        <v/>
      </c>
      <c r="H240">
        <f>DATE(2026,8,13)-D240</f>
        <v/>
      </c>
      <c r="I240">
        <f>IFS(G240=0,"Excluded (paid)",H240&lt;=0,"Current",H240&lt;=30,"1-30 days",H240&lt;=60,"31-60 days",H240&lt;=90,"61-90 days",TRUE,"90+ days")</f>
        <v/>
      </c>
    </row>
    <row r="241">
      <c r="A241" t="inlineStr">
        <is>
          <t>INV0007312</t>
        </is>
      </c>
      <c r="B241" t="inlineStr">
        <is>
          <t>MER00346</t>
        </is>
      </c>
      <c r="C241">
        <f>XLOOKUP(B241,Merchants!$A$4:$A$1000,Merchants!$B$4:$B$1000,"Not found")</f>
        <v/>
      </c>
      <c r="D241">
        <f>XLOOKUP(A241,tblInvoices[invoice_id],tblInvoices[due_date])</f>
        <v/>
      </c>
      <c r="E241">
        <f>XLOOKUP(A241,tblInvoices[invoice_id],tblInvoices[total_invoice_amount])</f>
        <v/>
      </c>
      <c r="F241">
        <f>SUMIFS(tblPayments[payment_amount],tblPayments[invoice_id],A241,tblPayments[payment_status],"Success")</f>
        <v/>
      </c>
      <c r="G241">
        <f>MAX(0,E241-F241)</f>
        <v/>
      </c>
      <c r="H241">
        <f>DATE(2026,8,13)-D241</f>
        <v/>
      </c>
      <c r="I241">
        <f>IFS(G241=0,"Excluded (paid)",H241&lt;=0,"Current",H241&lt;=30,"1-30 days",H241&lt;=60,"31-60 days",H241&lt;=90,"61-90 days",TRUE,"90+ days")</f>
        <v/>
      </c>
    </row>
    <row r="242">
      <c r="A242" t="inlineStr">
        <is>
          <t>INV0007313</t>
        </is>
      </c>
      <c r="B242" t="inlineStr">
        <is>
          <t>MER00346</t>
        </is>
      </c>
      <c r="C242">
        <f>XLOOKUP(B242,Merchants!$A$4:$A$1000,Merchants!$B$4:$B$1000,"Not found")</f>
        <v/>
      </c>
      <c r="D242">
        <f>XLOOKUP(A242,tblInvoices[invoice_id],tblInvoices[due_date])</f>
        <v/>
      </c>
      <c r="E242">
        <f>XLOOKUP(A242,tblInvoices[invoice_id],tblInvoices[total_invoice_amount])</f>
        <v/>
      </c>
      <c r="F242">
        <f>SUMIFS(tblPayments[payment_amount],tblPayments[invoice_id],A242,tblPayments[payment_status],"Success")</f>
        <v/>
      </c>
      <c r="G242">
        <f>MAX(0,E242-F242)</f>
        <v/>
      </c>
      <c r="H242">
        <f>DATE(2026,8,13)-D242</f>
        <v/>
      </c>
      <c r="I242">
        <f>IFS(G242=0,"Excluded (paid)",H242&lt;=0,"Current",H242&lt;=30,"1-30 days",H242&lt;=60,"31-60 days",H242&lt;=90,"61-90 days",TRUE,"90+ days")</f>
        <v/>
      </c>
    </row>
    <row r="243">
      <c r="A243" t="inlineStr">
        <is>
          <t>INV0007314</t>
        </is>
      </c>
      <c r="B243" t="inlineStr">
        <is>
          <t>MER00346</t>
        </is>
      </c>
      <c r="C243">
        <f>XLOOKUP(B243,Merchants!$A$4:$A$1000,Merchants!$B$4:$B$1000,"Not found")</f>
        <v/>
      </c>
      <c r="D243">
        <f>XLOOKUP(A243,tblInvoices[invoice_id],tblInvoices[due_date])</f>
        <v/>
      </c>
      <c r="E243">
        <f>XLOOKUP(A243,tblInvoices[invoice_id],tblInvoices[total_invoice_amount])</f>
        <v/>
      </c>
      <c r="F243">
        <f>SUMIFS(tblPayments[payment_amount],tblPayments[invoice_id],A243,tblPayments[payment_status],"Success")</f>
        <v/>
      </c>
      <c r="G243">
        <f>MAX(0,E243-F243)</f>
        <v/>
      </c>
      <c r="H243">
        <f>DATE(2026,8,13)-D243</f>
        <v/>
      </c>
      <c r="I243">
        <f>IFS(G243=0,"Excluded (paid)",H243&lt;=0,"Current",H243&lt;=30,"1-30 days",H243&lt;=60,"31-60 days",H243&lt;=90,"61-90 days",TRUE,"90+ days")</f>
        <v/>
      </c>
    </row>
    <row r="244">
      <c r="A244" t="inlineStr">
        <is>
          <t>INV0007315</t>
        </is>
      </c>
      <c r="B244" t="inlineStr">
        <is>
          <t>MER00346</t>
        </is>
      </c>
      <c r="C244">
        <f>XLOOKUP(B244,Merchants!$A$4:$A$1000,Merchants!$B$4:$B$1000,"Not found")</f>
        <v/>
      </c>
      <c r="D244">
        <f>XLOOKUP(A244,tblInvoices[invoice_id],tblInvoices[due_date])</f>
        <v/>
      </c>
      <c r="E244">
        <f>XLOOKUP(A244,tblInvoices[invoice_id],tblInvoices[total_invoice_amount])</f>
        <v/>
      </c>
      <c r="F244">
        <f>SUMIFS(tblPayments[payment_amount],tblPayments[invoice_id],A244,tblPayments[payment_status],"Success")</f>
        <v/>
      </c>
      <c r="G244">
        <f>MAX(0,E244-F244)</f>
        <v/>
      </c>
      <c r="H244">
        <f>DATE(2026,8,13)-D244</f>
        <v/>
      </c>
      <c r="I244">
        <f>IFS(G244=0,"Excluded (paid)",H244&lt;=0,"Current",H244&lt;=30,"1-30 days",H244&lt;=60,"31-60 days",H244&lt;=90,"61-90 days",TRUE,"90+ days")</f>
        <v/>
      </c>
    </row>
    <row r="245">
      <c r="A245" t="inlineStr">
        <is>
          <t>INV0007316</t>
        </is>
      </c>
      <c r="B245" t="inlineStr">
        <is>
          <t>MER00346</t>
        </is>
      </c>
      <c r="C245">
        <f>XLOOKUP(B245,Merchants!$A$4:$A$1000,Merchants!$B$4:$B$1000,"Not found")</f>
        <v/>
      </c>
      <c r="D245">
        <f>XLOOKUP(A245,tblInvoices[invoice_id],tblInvoices[due_date])</f>
        <v/>
      </c>
      <c r="E245">
        <f>XLOOKUP(A245,tblInvoices[invoice_id],tblInvoices[total_invoice_amount])</f>
        <v/>
      </c>
      <c r="F245">
        <f>SUMIFS(tblPayments[payment_amount],tblPayments[invoice_id],A245,tblPayments[payment_status],"Success")</f>
        <v/>
      </c>
      <c r="G245">
        <f>MAX(0,E245-F245)</f>
        <v/>
      </c>
      <c r="H245">
        <f>DATE(2026,8,13)-D245</f>
        <v/>
      </c>
      <c r="I245">
        <f>IFS(G245=0,"Excluded (paid)",H245&lt;=0,"Current",H245&lt;=30,"1-30 days",H245&lt;=60,"31-60 days",H245&lt;=90,"61-90 days",TRUE,"90+ days")</f>
        <v/>
      </c>
    </row>
    <row r="246">
      <c r="A246" t="inlineStr">
        <is>
          <t>INV0007317</t>
        </is>
      </c>
      <c r="B246" t="inlineStr">
        <is>
          <t>MER00346</t>
        </is>
      </c>
      <c r="C246">
        <f>XLOOKUP(B246,Merchants!$A$4:$A$1000,Merchants!$B$4:$B$1000,"Not found")</f>
        <v/>
      </c>
      <c r="D246">
        <f>XLOOKUP(A246,tblInvoices[invoice_id],tblInvoices[due_date])</f>
        <v/>
      </c>
      <c r="E246">
        <f>XLOOKUP(A246,tblInvoices[invoice_id],tblInvoices[total_invoice_amount])</f>
        <v/>
      </c>
      <c r="F246">
        <f>SUMIFS(tblPayments[payment_amount],tblPayments[invoice_id],A246,tblPayments[payment_status],"Success")</f>
        <v/>
      </c>
      <c r="G246">
        <f>MAX(0,E246-F246)</f>
        <v/>
      </c>
      <c r="H246">
        <f>DATE(2026,8,13)-D246</f>
        <v/>
      </c>
      <c r="I246">
        <f>IFS(G246=0,"Excluded (paid)",H246&lt;=0,"Current",H246&lt;=30,"1-30 days",H246&lt;=60,"31-60 days",H246&lt;=90,"61-90 days",TRUE,"90+ days")</f>
        <v/>
      </c>
    </row>
    <row r="247">
      <c r="A247" t="inlineStr">
        <is>
          <t>INV0007318</t>
        </is>
      </c>
      <c r="B247" t="inlineStr">
        <is>
          <t>MER00347</t>
        </is>
      </c>
      <c r="C247">
        <f>XLOOKUP(B247,Merchants!$A$4:$A$1000,Merchants!$B$4:$B$1000,"Not found")</f>
        <v/>
      </c>
      <c r="D247">
        <f>XLOOKUP(A247,tblInvoices[invoice_id],tblInvoices[due_date])</f>
        <v/>
      </c>
      <c r="E247">
        <f>XLOOKUP(A247,tblInvoices[invoice_id],tblInvoices[total_invoice_amount])</f>
        <v/>
      </c>
      <c r="F247">
        <f>SUMIFS(tblPayments[payment_amount],tblPayments[invoice_id],A247,tblPayments[payment_status],"Success")</f>
        <v/>
      </c>
      <c r="G247">
        <f>MAX(0,E247-F247)</f>
        <v/>
      </c>
      <c r="H247">
        <f>DATE(2026,8,13)-D247</f>
        <v/>
      </c>
      <c r="I247">
        <f>IFS(G247=0,"Excluded (paid)",H247&lt;=0,"Current",H247&lt;=30,"1-30 days",H247&lt;=60,"31-60 days",H247&lt;=90,"61-90 days",TRUE,"90+ days")</f>
        <v/>
      </c>
    </row>
    <row r="248">
      <c r="A248" t="inlineStr">
        <is>
          <t>INV0007319</t>
        </is>
      </c>
      <c r="B248" t="inlineStr">
        <is>
          <t>MER00347</t>
        </is>
      </c>
      <c r="C248">
        <f>XLOOKUP(B248,Merchants!$A$4:$A$1000,Merchants!$B$4:$B$1000,"Not found")</f>
        <v/>
      </c>
      <c r="D248">
        <f>XLOOKUP(A248,tblInvoices[invoice_id],tblInvoices[due_date])</f>
        <v/>
      </c>
      <c r="E248">
        <f>XLOOKUP(A248,tblInvoices[invoice_id],tblInvoices[total_invoice_amount])</f>
        <v/>
      </c>
      <c r="F248">
        <f>SUMIFS(tblPayments[payment_amount],tblPayments[invoice_id],A248,tblPayments[payment_status],"Success")</f>
        <v/>
      </c>
      <c r="G248">
        <f>MAX(0,E248-F248)</f>
        <v/>
      </c>
      <c r="H248">
        <f>DATE(2026,8,13)-D248</f>
        <v/>
      </c>
      <c r="I248">
        <f>IFS(G248=0,"Excluded (paid)",H248&lt;=0,"Current",H248&lt;=30,"1-30 days",H248&lt;=60,"31-60 days",H248&lt;=90,"61-90 days",TRUE,"90+ days")</f>
        <v/>
      </c>
    </row>
    <row r="249">
      <c r="A249" t="inlineStr">
        <is>
          <t>INV0007320</t>
        </is>
      </c>
      <c r="B249" t="inlineStr">
        <is>
          <t>MER00347</t>
        </is>
      </c>
      <c r="C249">
        <f>XLOOKUP(B249,Merchants!$A$4:$A$1000,Merchants!$B$4:$B$1000,"Not found")</f>
        <v/>
      </c>
      <c r="D249">
        <f>XLOOKUP(A249,tblInvoices[invoice_id],tblInvoices[due_date])</f>
        <v/>
      </c>
      <c r="E249">
        <f>XLOOKUP(A249,tblInvoices[invoice_id],tblInvoices[total_invoice_amount])</f>
        <v/>
      </c>
      <c r="F249">
        <f>SUMIFS(tblPayments[payment_amount],tblPayments[invoice_id],A249,tblPayments[payment_status],"Success")</f>
        <v/>
      </c>
      <c r="G249">
        <f>MAX(0,E249-F249)</f>
        <v/>
      </c>
      <c r="H249">
        <f>DATE(2026,8,13)-D249</f>
        <v/>
      </c>
      <c r="I249">
        <f>IFS(G249=0,"Excluded (paid)",H249&lt;=0,"Current",H249&lt;=30,"1-30 days",H249&lt;=60,"31-60 days",H249&lt;=90,"61-90 days",TRUE,"90+ days")</f>
        <v/>
      </c>
    </row>
    <row r="250">
      <c r="A250" t="inlineStr">
        <is>
          <t>INV0007477</t>
        </is>
      </c>
      <c r="B250" t="inlineStr">
        <is>
          <t>MER00355</t>
        </is>
      </c>
      <c r="C250">
        <f>XLOOKUP(B250,Merchants!$A$4:$A$1000,Merchants!$B$4:$B$1000,"Not found")</f>
        <v/>
      </c>
      <c r="D250">
        <f>XLOOKUP(A250,tblInvoices[invoice_id],tblInvoices[due_date])</f>
        <v/>
      </c>
      <c r="E250">
        <f>XLOOKUP(A250,tblInvoices[invoice_id],tblInvoices[total_invoice_amount])</f>
        <v/>
      </c>
      <c r="F250">
        <f>SUMIFS(tblPayments[payment_amount],tblPayments[invoice_id],A250,tblPayments[payment_status],"Success")</f>
        <v/>
      </c>
      <c r="G250">
        <f>MAX(0,E250-F250)</f>
        <v/>
      </c>
      <c r="H250">
        <f>DATE(2026,8,13)-D250</f>
        <v/>
      </c>
      <c r="I250">
        <f>IFS(G250=0,"Excluded (paid)",H250&lt;=0,"Current",H250&lt;=30,"1-30 days",H250&lt;=60,"31-60 days",H250&lt;=90,"61-90 days",TRUE,"90+ days")</f>
        <v/>
      </c>
    </row>
    <row r="251">
      <c r="A251" t="inlineStr">
        <is>
          <t>INV0007478</t>
        </is>
      </c>
      <c r="B251" t="inlineStr">
        <is>
          <t>MER00355</t>
        </is>
      </c>
      <c r="C251">
        <f>XLOOKUP(B251,Merchants!$A$4:$A$1000,Merchants!$B$4:$B$1000,"Not found")</f>
        <v/>
      </c>
      <c r="D251">
        <f>XLOOKUP(A251,tblInvoices[invoice_id],tblInvoices[due_date])</f>
        <v/>
      </c>
      <c r="E251">
        <f>XLOOKUP(A251,tblInvoices[invoice_id],tblInvoices[total_invoice_amount])</f>
        <v/>
      </c>
      <c r="F251">
        <f>SUMIFS(tblPayments[payment_amount],tblPayments[invoice_id],A251,tblPayments[payment_status],"Success")</f>
        <v/>
      </c>
      <c r="G251">
        <f>MAX(0,E251-F251)</f>
        <v/>
      </c>
      <c r="H251">
        <f>DATE(2026,8,13)-D251</f>
        <v/>
      </c>
      <c r="I251">
        <f>IFS(G251=0,"Excluded (paid)",H251&lt;=0,"Current",H251&lt;=30,"1-30 days",H251&lt;=60,"31-60 days",H251&lt;=90,"61-90 days",TRUE,"90+ days")</f>
        <v/>
      </c>
    </row>
    <row r="252">
      <c r="A252" t="inlineStr">
        <is>
          <t>INV0007479</t>
        </is>
      </c>
      <c r="B252" t="inlineStr">
        <is>
          <t>MER00355</t>
        </is>
      </c>
      <c r="C252">
        <f>XLOOKUP(B252,Merchants!$A$4:$A$1000,Merchants!$B$4:$B$1000,"Not found")</f>
        <v/>
      </c>
      <c r="D252">
        <f>XLOOKUP(A252,tblInvoices[invoice_id],tblInvoices[due_date])</f>
        <v/>
      </c>
      <c r="E252">
        <f>XLOOKUP(A252,tblInvoices[invoice_id],tblInvoices[total_invoice_amount])</f>
        <v/>
      </c>
      <c r="F252">
        <f>SUMIFS(tblPayments[payment_amount],tblPayments[invoice_id],A252,tblPayments[payment_status],"Success")</f>
        <v/>
      </c>
      <c r="G252">
        <f>MAX(0,E252-F252)</f>
        <v/>
      </c>
      <c r="H252">
        <f>DATE(2026,8,13)-D252</f>
        <v/>
      </c>
      <c r="I252">
        <f>IFS(G252=0,"Excluded (paid)",H252&lt;=0,"Current",H252&lt;=30,"1-30 days",H252&lt;=60,"31-60 days",H252&lt;=90,"61-90 days",TRUE,"90+ days")</f>
        <v/>
      </c>
    </row>
    <row r="253">
      <c r="A253" t="inlineStr">
        <is>
          <t>INV0007480</t>
        </is>
      </c>
      <c r="B253" t="inlineStr">
        <is>
          <t>MER00355</t>
        </is>
      </c>
      <c r="C253">
        <f>XLOOKUP(B253,Merchants!$A$4:$A$1000,Merchants!$B$4:$B$1000,"Not found")</f>
        <v/>
      </c>
      <c r="D253">
        <f>XLOOKUP(A253,tblInvoices[invoice_id],tblInvoices[due_date])</f>
        <v/>
      </c>
      <c r="E253">
        <f>XLOOKUP(A253,tblInvoices[invoice_id],tblInvoices[total_invoice_amount])</f>
        <v/>
      </c>
      <c r="F253">
        <f>SUMIFS(tblPayments[payment_amount],tblPayments[invoice_id],A253,tblPayments[payment_status],"Success")</f>
        <v/>
      </c>
      <c r="G253">
        <f>MAX(0,E253-F253)</f>
        <v/>
      </c>
      <c r="H253">
        <f>DATE(2026,8,13)-D253</f>
        <v/>
      </c>
      <c r="I253">
        <f>IFS(G253=0,"Excluded (paid)",H253&lt;=0,"Current",H253&lt;=30,"1-30 days",H253&lt;=60,"31-60 days",H253&lt;=90,"61-90 days",TRUE,"90+ days")</f>
        <v/>
      </c>
    </row>
    <row r="254">
      <c r="A254" t="inlineStr">
        <is>
          <t>INV0007481</t>
        </is>
      </c>
      <c r="B254" t="inlineStr">
        <is>
          <t>MER00355</t>
        </is>
      </c>
      <c r="C254">
        <f>XLOOKUP(B254,Merchants!$A$4:$A$1000,Merchants!$B$4:$B$1000,"Not found")</f>
        <v/>
      </c>
      <c r="D254">
        <f>XLOOKUP(A254,tblInvoices[invoice_id],tblInvoices[due_date])</f>
        <v/>
      </c>
      <c r="E254">
        <f>XLOOKUP(A254,tblInvoices[invoice_id],tblInvoices[total_invoice_amount])</f>
        <v/>
      </c>
      <c r="F254">
        <f>SUMIFS(tblPayments[payment_amount],tblPayments[invoice_id],A254,tblPayments[payment_status],"Success")</f>
        <v/>
      </c>
      <c r="G254">
        <f>MAX(0,E254-F254)</f>
        <v/>
      </c>
      <c r="H254">
        <f>DATE(2026,8,13)-D254</f>
        <v/>
      </c>
      <c r="I254">
        <f>IFS(G254=0,"Excluded (paid)",H254&lt;=0,"Current",H254&lt;=30,"1-30 days",H254&lt;=60,"31-60 days",H254&lt;=90,"61-90 days",TRUE,"90+ days")</f>
        <v/>
      </c>
    </row>
    <row r="255">
      <c r="A255" t="inlineStr">
        <is>
          <t>INV0007482</t>
        </is>
      </c>
      <c r="B255" t="inlineStr">
        <is>
          <t>MER00355</t>
        </is>
      </c>
      <c r="C255">
        <f>XLOOKUP(B255,Merchants!$A$4:$A$1000,Merchants!$B$4:$B$1000,"Not found")</f>
        <v/>
      </c>
      <c r="D255">
        <f>XLOOKUP(A255,tblInvoices[invoice_id],tblInvoices[due_date])</f>
        <v/>
      </c>
      <c r="E255">
        <f>XLOOKUP(A255,tblInvoices[invoice_id],tblInvoices[total_invoice_amount])</f>
        <v/>
      </c>
      <c r="F255">
        <f>SUMIFS(tblPayments[payment_amount],tblPayments[invoice_id],A255,tblPayments[payment_status],"Success")</f>
        <v/>
      </c>
      <c r="G255">
        <f>MAX(0,E255-F255)</f>
        <v/>
      </c>
      <c r="H255">
        <f>DATE(2026,8,13)-D255</f>
        <v/>
      </c>
      <c r="I255">
        <f>IFS(G255=0,"Excluded (paid)",H255&lt;=0,"Current",H255&lt;=30,"1-30 days",H255&lt;=60,"31-60 days",H255&lt;=90,"61-90 days",TRUE,"90+ days")</f>
        <v/>
      </c>
    </row>
    <row r="256">
      <c r="A256" t="inlineStr">
        <is>
          <t>INV0007483</t>
        </is>
      </c>
      <c r="B256" t="inlineStr">
        <is>
          <t>MER00355</t>
        </is>
      </c>
      <c r="C256">
        <f>XLOOKUP(B256,Merchants!$A$4:$A$1000,Merchants!$B$4:$B$1000,"Not found")</f>
        <v/>
      </c>
      <c r="D256">
        <f>XLOOKUP(A256,tblInvoices[invoice_id],tblInvoices[due_date])</f>
        <v/>
      </c>
      <c r="E256">
        <f>XLOOKUP(A256,tblInvoices[invoice_id],tblInvoices[total_invoice_amount])</f>
        <v/>
      </c>
      <c r="F256">
        <f>SUMIFS(tblPayments[payment_amount],tblPayments[invoice_id],A256,tblPayments[payment_status],"Success")</f>
        <v/>
      </c>
      <c r="G256">
        <f>MAX(0,E256-F256)</f>
        <v/>
      </c>
      <c r="H256">
        <f>DATE(2026,8,13)-D256</f>
        <v/>
      </c>
      <c r="I256">
        <f>IFS(G256=0,"Excluded (paid)",H256&lt;=0,"Current",H256&lt;=30,"1-30 days",H256&lt;=60,"31-60 days",H256&lt;=90,"61-90 days",TRUE,"90+ days")</f>
        <v/>
      </c>
    </row>
    <row r="257">
      <c r="A257" t="inlineStr">
        <is>
          <t>INV0007484</t>
        </is>
      </c>
      <c r="B257" t="inlineStr">
        <is>
          <t>MER00355</t>
        </is>
      </c>
      <c r="C257">
        <f>XLOOKUP(B257,Merchants!$A$4:$A$1000,Merchants!$B$4:$B$1000,"Not found")</f>
        <v/>
      </c>
      <c r="D257">
        <f>XLOOKUP(A257,tblInvoices[invoice_id],tblInvoices[due_date])</f>
        <v/>
      </c>
      <c r="E257">
        <f>XLOOKUP(A257,tblInvoices[invoice_id],tblInvoices[total_invoice_amount])</f>
        <v/>
      </c>
      <c r="F257">
        <f>SUMIFS(tblPayments[payment_amount],tblPayments[invoice_id],A257,tblPayments[payment_status],"Success")</f>
        <v/>
      </c>
      <c r="G257">
        <f>MAX(0,E257-F257)</f>
        <v/>
      </c>
      <c r="H257">
        <f>DATE(2026,8,13)-D257</f>
        <v/>
      </c>
      <c r="I257">
        <f>IFS(G257=0,"Excluded (paid)",H257&lt;=0,"Current",H257&lt;=30,"1-30 days",H257&lt;=60,"31-60 days",H257&lt;=90,"61-90 days",TRUE,"90+ days")</f>
        <v/>
      </c>
    </row>
    <row r="258">
      <c r="A258" t="inlineStr">
        <is>
          <t>INV0007485</t>
        </is>
      </c>
      <c r="B258" t="inlineStr">
        <is>
          <t>MER00355</t>
        </is>
      </c>
      <c r="C258">
        <f>XLOOKUP(B258,Merchants!$A$4:$A$1000,Merchants!$B$4:$B$1000,"Not found")</f>
        <v/>
      </c>
      <c r="D258">
        <f>XLOOKUP(A258,tblInvoices[invoice_id],tblInvoices[due_date])</f>
        <v/>
      </c>
      <c r="E258">
        <f>XLOOKUP(A258,tblInvoices[invoice_id],tblInvoices[total_invoice_amount])</f>
        <v/>
      </c>
      <c r="F258">
        <f>SUMIFS(tblPayments[payment_amount],tblPayments[invoice_id],A258,tblPayments[payment_status],"Success")</f>
        <v/>
      </c>
      <c r="G258">
        <f>MAX(0,E258-F258)</f>
        <v/>
      </c>
      <c r="H258">
        <f>DATE(2026,8,13)-D258</f>
        <v/>
      </c>
      <c r="I258">
        <f>IFS(G258=0,"Excluded (paid)",H258&lt;=0,"Current",H258&lt;=30,"1-30 days",H258&lt;=60,"31-60 days",H258&lt;=90,"61-90 days",TRUE,"90+ days")</f>
        <v/>
      </c>
    </row>
    <row r="259">
      <c r="A259" t="inlineStr">
        <is>
          <t>INV0007486</t>
        </is>
      </c>
      <c r="B259" t="inlineStr">
        <is>
          <t>MER00355</t>
        </is>
      </c>
      <c r="C259">
        <f>XLOOKUP(B259,Merchants!$A$4:$A$1000,Merchants!$B$4:$B$1000,"Not found")</f>
        <v/>
      </c>
      <c r="D259">
        <f>XLOOKUP(A259,tblInvoices[invoice_id],tblInvoices[due_date])</f>
        <v/>
      </c>
      <c r="E259">
        <f>XLOOKUP(A259,tblInvoices[invoice_id],tblInvoices[total_invoice_amount])</f>
        <v/>
      </c>
      <c r="F259">
        <f>SUMIFS(tblPayments[payment_amount],tblPayments[invoice_id],A259,tblPayments[payment_status],"Success")</f>
        <v/>
      </c>
      <c r="G259">
        <f>MAX(0,E259-F259)</f>
        <v/>
      </c>
      <c r="H259">
        <f>DATE(2026,8,13)-D259</f>
        <v/>
      </c>
      <c r="I259">
        <f>IFS(G259=0,"Excluded (paid)",H259&lt;=0,"Current",H259&lt;=30,"1-30 days",H259&lt;=60,"31-60 days",H259&lt;=90,"61-90 days",TRUE,"90+ days")</f>
        <v/>
      </c>
    </row>
    <row r="260">
      <c r="A260" t="inlineStr">
        <is>
          <t>INV0007487</t>
        </is>
      </c>
      <c r="B260" t="inlineStr">
        <is>
          <t>MER00355</t>
        </is>
      </c>
      <c r="C260">
        <f>XLOOKUP(B260,Merchants!$A$4:$A$1000,Merchants!$B$4:$B$1000,"Not found")</f>
        <v/>
      </c>
      <c r="D260">
        <f>XLOOKUP(A260,tblInvoices[invoice_id],tblInvoices[due_date])</f>
        <v/>
      </c>
      <c r="E260">
        <f>XLOOKUP(A260,tblInvoices[invoice_id],tblInvoices[total_invoice_amount])</f>
        <v/>
      </c>
      <c r="F260">
        <f>SUMIFS(tblPayments[payment_amount],tblPayments[invoice_id],A260,tblPayments[payment_status],"Success")</f>
        <v/>
      </c>
      <c r="G260">
        <f>MAX(0,E260-F260)</f>
        <v/>
      </c>
      <c r="H260">
        <f>DATE(2026,8,13)-D260</f>
        <v/>
      </c>
      <c r="I260">
        <f>IFS(G260=0,"Excluded (paid)",H260&lt;=0,"Current",H260&lt;=30,"1-30 days",H260&lt;=60,"31-60 days",H260&lt;=90,"61-90 days",TRUE,"90+ days")</f>
        <v/>
      </c>
    </row>
    <row r="261">
      <c r="A261" t="inlineStr">
        <is>
          <t>INV0007488</t>
        </is>
      </c>
      <c r="B261" t="inlineStr">
        <is>
          <t>MER00355</t>
        </is>
      </c>
      <c r="C261">
        <f>XLOOKUP(B261,Merchants!$A$4:$A$1000,Merchants!$B$4:$B$1000,"Not found")</f>
        <v/>
      </c>
      <c r="D261">
        <f>XLOOKUP(A261,tblInvoices[invoice_id],tblInvoices[due_date])</f>
        <v/>
      </c>
      <c r="E261">
        <f>XLOOKUP(A261,tblInvoices[invoice_id],tblInvoices[total_invoice_amount])</f>
        <v/>
      </c>
      <c r="F261">
        <f>SUMIFS(tblPayments[payment_amount],tblPayments[invoice_id],A261,tblPayments[payment_status],"Success")</f>
        <v/>
      </c>
      <c r="G261">
        <f>MAX(0,E261-F261)</f>
        <v/>
      </c>
      <c r="H261">
        <f>DATE(2026,8,13)-D261</f>
        <v/>
      </c>
      <c r="I261">
        <f>IFS(G261=0,"Excluded (paid)",H261&lt;=0,"Current",H261&lt;=30,"1-30 days",H261&lt;=60,"31-60 days",H261&lt;=90,"61-90 days",TRUE,"90+ days")</f>
        <v/>
      </c>
    </row>
    <row r="262">
      <c r="A262" t="inlineStr">
        <is>
          <t>INV0007489</t>
        </is>
      </c>
      <c r="B262" t="inlineStr">
        <is>
          <t>MER00355</t>
        </is>
      </c>
      <c r="C262">
        <f>XLOOKUP(B262,Merchants!$A$4:$A$1000,Merchants!$B$4:$B$1000,"Not found")</f>
        <v/>
      </c>
      <c r="D262">
        <f>XLOOKUP(A262,tblInvoices[invoice_id],tblInvoices[due_date])</f>
        <v/>
      </c>
      <c r="E262">
        <f>XLOOKUP(A262,tblInvoices[invoice_id],tblInvoices[total_invoice_amount])</f>
        <v/>
      </c>
      <c r="F262">
        <f>SUMIFS(tblPayments[payment_amount],tblPayments[invoice_id],A262,tblPayments[payment_status],"Success")</f>
        <v/>
      </c>
      <c r="G262">
        <f>MAX(0,E262-F262)</f>
        <v/>
      </c>
      <c r="H262">
        <f>DATE(2026,8,13)-D262</f>
        <v/>
      </c>
      <c r="I262">
        <f>IFS(G262=0,"Excluded (paid)",H262&lt;=0,"Current",H262&lt;=30,"1-30 days",H262&lt;=60,"31-60 days",H262&lt;=90,"61-90 days",TRUE,"90+ days")</f>
        <v/>
      </c>
    </row>
    <row r="263">
      <c r="A263" t="inlineStr">
        <is>
          <t>INV0007490</t>
        </is>
      </c>
      <c r="B263" t="inlineStr">
        <is>
          <t>MER00355</t>
        </is>
      </c>
      <c r="C263">
        <f>XLOOKUP(B263,Merchants!$A$4:$A$1000,Merchants!$B$4:$B$1000,"Not found")</f>
        <v/>
      </c>
      <c r="D263">
        <f>XLOOKUP(A263,tblInvoices[invoice_id],tblInvoices[due_date])</f>
        <v/>
      </c>
      <c r="E263">
        <f>XLOOKUP(A263,tblInvoices[invoice_id],tblInvoices[total_invoice_amount])</f>
        <v/>
      </c>
      <c r="F263">
        <f>SUMIFS(tblPayments[payment_amount],tblPayments[invoice_id],A263,tblPayments[payment_status],"Success")</f>
        <v/>
      </c>
      <c r="G263">
        <f>MAX(0,E263-F263)</f>
        <v/>
      </c>
      <c r="H263">
        <f>DATE(2026,8,13)-D263</f>
        <v/>
      </c>
      <c r="I263">
        <f>IFS(G263=0,"Excluded (paid)",H263&lt;=0,"Current",H263&lt;=30,"1-30 days",H263&lt;=60,"31-60 days",H263&lt;=90,"61-90 days",TRUE,"90+ days")</f>
        <v/>
      </c>
    </row>
    <row r="264">
      <c r="A264" t="inlineStr">
        <is>
          <t>INV0007491</t>
        </is>
      </c>
      <c r="B264" t="inlineStr">
        <is>
          <t>MER00355</t>
        </is>
      </c>
      <c r="C264">
        <f>XLOOKUP(B264,Merchants!$A$4:$A$1000,Merchants!$B$4:$B$1000,"Not found")</f>
        <v/>
      </c>
      <c r="D264">
        <f>XLOOKUP(A264,tblInvoices[invoice_id],tblInvoices[due_date])</f>
        <v/>
      </c>
      <c r="E264">
        <f>XLOOKUP(A264,tblInvoices[invoice_id],tblInvoices[total_invoice_amount])</f>
        <v/>
      </c>
      <c r="F264">
        <f>SUMIFS(tblPayments[payment_amount],tblPayments[invoice_id],A264,tblPayments[payment_status],"Success")</f>
        <v/>
      </c>
      <c r="G264">
        <f>MAX(0,E264-F264)</f>
        <v/>
      </c>
      <c r="H264">
        <f>DATE(2026,8,13)-D264</f>
        <v/>
      </c>
      <c r="I264">
        <f>IFS(G264=0,"Excluded (paid)",H264&lt;=0,"Current",H264&lt;=30,"1-30 days",H264&lt;=60,"31-60 days",H264&lt;=90,"61-90 days",TRUE,"90+ days")</f>
        <v/>
      </c>
    </row>
    <row r="265">
      <c r="A265" t="inlineStr">
        <is>
          <t>INV0007492</t>
        </is>
      </c>
      <c r="B265" t="inlineStr">
        <is>
          <t>MER00355</t>
        </is>
      </c>
      <c r="C265">
        <f>XLOOKUP(B265,Merchants!$A$4:$A$1000,Merchants!$B$4:$B$1000,"Not found")</f>
        <v/>
      </c>
      <c r="D265">
        <f>XLOOKUP(A265,tblInvoices[invoice_id],tblInvoices[due_date])</f>
        <v/>
      </c>
      <c r="E265">
        <f>XLOOKUP(A265,tblInvoices[invoice_id],tblInvoices[total_invoice_amount])</f>
        <v/>
      </c>
      <c r="F265">
        <f>SUMIFS(tblPayments[payment_amount],tblPayments[invoice_id],A265,tblPayments[payment_status],"Success")</f>
        <v/>
      </c>
      <c r="G265">
        <f>MAX(0,E265-F265)</f>
        <v/>
      </c>
      <c r="H265">
        <f>DATE(2026,8,13)-D265</f>
        <v/>
      </c>
      <c r="I265">
        <f>IFS(G265=0,"Excluded (paid)",H265&lt;=0,"Current",H265&lt;=30,"1-30 days",H265&lt;=60,"31-60 days",H265&lt;=90,"61-90 days",TRUE,"90+ days")</f>
        <v/>
      </c>
    </row>
    <row r="266">
      <c r="A266" t="inlineStr">
        <is>
          <t>INV0007493</t>
        </is>
      </c>
      <c r="B266" t="inlineStr">
        <is>
          <t>MER00355</t>
        </is>
      </c>
      <c r="C266">
        <f>XLOOKUP(B266,Merchants!$A$4:$A$1000,Merchants!$B$4:$B$1000,"Not found")</f>
        <v/>
      </c>
      <c r="D266">
        <f>XLOOKUP(A266,tblInvoices[invoice_id],tblInvoices[due_date])</f>
        <v/>
      </c>
      <c r="E266">
        <f>XLOOKUP(A266,tblInvoices[invoice_id],tblInvoices[total_invoice_amount])</f>
        <v/>
      </c>
      <c r="F266">
        <f>SUMIFS(tblPayments[payment_amount],tblPayments[invoice_id],A266,tblPayments[payment_status],"Success")</f>
        <v/>
      </c>
      <c r="G266">
        <f>MAX(0,E266-F266)</f>
        <v/>
      </c>
      <c r="H266">
        <f>DATE(2026,8,13)-D266</f>
        <v/>
      </c>
      <c r="I266">
        <f>IFS(G266=0,"Excluded (paid)",H266&lt;=0,"Current",H266&lt;=30,"1-30 days",H266&lt;=60,"31-60 days",H266&lt;=90,"61-90 days",TRUE,"90+ days")</f>
        <v/>
      </c>
    </row>
    <row r="267">
      <c r="A267" t="inlineStr">
        <is>
          <t>INV0007494</t>
        </is>
      </c>
      <c r="B267" t="inlineStr">
        <is>
          <t>MER00355</t>
        </is>
      </c>
      <c r="C267">
        <f>XLOOKUP(B267,Merchants!$A$4:$A$1000,Merchants!$B$4:$B$1000,"Not found")</f>
        <v/>
      </c>
      <c r="D267">
        <f>XLOOKUP(A267,tblInvoices[invoice_id],tblInvoices[due_date])</f>
        <v/>
      </c>
      <c r="E267">
        <f>XLOOKUP(A267,tblInvoices[invoice_id],tblInvoices[total_invoice_amount])</f>
        <v/>
      </c>
      <c r="F267">
        <f>SUMIFS(tblPayments[payment_amount],tblPayments[invoice_id],A267,tblPayments[payment_status],"Success")</f>
        <v/>
      </c>
      <c r="G267">
        <f>MAX(0,E267-F267)</f>
        <v/>
      </c>
      <c r="H267">
        <f>DATE(2026,8,13)-D267</f>
        <v/>
      </c>
      <c r="I267">
        <f>IFS(G267=0,"Excluded (paid)",H267&lt;=0,"Current",H267&lt;=30,"1-30 days",H267&lt;=60,"31-60 days",H267&lt;=90,"61-90 days",TRUE,"90+ days")</f>
        <v/>
      </c>
    </row>
    <row r="268">
      <c r="A268" t="inlineStr">
        <is>
          <t>INV0007495</t>
        </is>
      </c>
      <c r="B268" t="inlineStr">
        <is>
          <t>MER00355</t>
        </is>
      </c>
      <c r="C268">
        <f>XLOOKUP(B268,Merchants!$A$4:$A$1000,Merchants!$B$4:$B$1000,"Not found")</f>
        <v/>
      </c>
      <c r="D268">
        <f>XLOOKUP(A268,tblInvoices[invoice_id],tblInvoices[due_date])</f>
        <v/>
      </c>
      <c r="E268">
        <f>XLOOKUP(A268,tblInvoices[invoice_id],tblInvoices[total_invoice_amount])</f>
        <v/>
      </c>
      <c r="F268">
        <f>SUMIFS(tblPayments[payment_amount],tblPayments[invoice_id],A268,tblPayments[payment_status],"Success")</f>
        <v/>
      </c>
      <c r="G268">
        <f>MAX(0,E268-F268)</f>
        <v/>
      </c>
      <c r="H268">
        <f>DATE(2026,8,13)-D268</f>
        <v/>
      </c>
      <c r="I268">
        <f>IFS(G268=0,"Excluded (paid)",H268&lt;=0,"Current",H268&lt;=30,"1-30 days",H268&lt;=60,"31-60 days",H268&lt;=90,"61-90 days",TRUE,"90+ days")</f>
        <v/>
      </c>
    </row>
    <row r="269">
      <c r="A269" t="inlineStr">
        <is>
          <t>INV0007496</t>
        </is>
      </c>
      <c r="B269" t="inlineStr">
        <is>
          <t>MER00355</t>
        </is>
      </c>
      <c r="C269">
        <f>XLOOKUP(B269,Merchants!$A$4:$A$1000,Merchants!$B$4:$B$1000,"Not found")</f>
        <v/>
      </c>
      <c r="D269">
        <f>XLOOKUP(A269,tblInvoices[invoice_id],tblInvoices[due_date])</f>
        <v/>
      </c>
      <c r="E269">
        <f>XLOOKUP(A269,tblInvoices[invoice_id],tblInvoices[total_invoice_amount])</f>
        <v/>
      </c>
      <c r="F269">
        <f>SUMIFS(tblPayments[payment_amount],tblPayments[invoice_id],A269,tblPayments[payment_status],"Success")</f>
        <v/>
      </c>
      <c r="G269">
        <f>MAX(0,E269-F269)</f>
        <v/>
      </c>
      <c r="H269">
        <f>DATE(2026,8,13)-D269</f>
        <v/>
      </c>
      <c r="I269">
        <f>IFS(G269=0,"Excluded (paid)",H269&lt;=0,"Current",H269&lt;=30,"1-30 days",H269&lt;=60,"31-60 days",H269&lt;=90,"61-90 days",TRUE,"90+ days")</f>
        <v/>
      </c>
    </row>
    <row r="270">
      <c r="A270" t="inlineStr">
        <is>
          <t>INV0007497</t>
        </is>
      </c>
      <c r="B270" t="inlineStr">
        <is>
          <t>MER00355</t>
        </is>
      </c>
      <c r="C270">
        <f>XLOOKUP(B270,Merchants!$A$4:$A$1000,Merchants!$B$4:$B$1000,"Not found")</f>
        <v/>
      </c>
      <c r="D270">
        <f>XLOOKUP(A270,tblInvoices[invoice_id],tblInvoices[due_date])</f>
        <v/>
      </c>
      <c r="E270">
        <f>XLOOKUP(A270,tblInvoices[invoice_id],tblInvoices[total_invoice_amount])</f>
        <v/>
      </c>
      <c r="F270">
        <f>SUMIFS(tblPayments[payment_amount],tblPayments[invoice_id],A270,tblPayments[payment_status],"Success")</f>
        <v/>
      </c>
      <c r="G270">
        <f>MAX(0,E270-F270)</f>
        <v/>
      </c>
      <c r="H270">
        <f>DATE(2026,8,13)-D270</f>
        <v/>
      </c>
      <c r="I270">
        <f>IFS(G270=0,"Excluded (paid)",H270&lt;=0,"Current",H270&lt;=30,"1-30 days",H270&lt;=60,"31-60 days",H270&lt;=90,"61-90 days",TRUE,"90+ days")</f>
        <v/>
      </c>
    </row>
    <row r="271">
      <c r="A271" t="inlineStr">
        <is>
          <t>INV0007498</t>
        </is>
      </c>
      <c r="B271" t="inlineStr">
        <is>
          <t>MER00355</t>
        </is>
      </c>
      <c r="C271">
        <f>XLOOKUP(B271,Merchants!$A$4:$A$1000,Merchants!$B$4:$B$1000,"Not found")</f>
        <v/>
      </c>
      <c r="D271">
        <f>XLOOKUP(A271,tblInvoices[invoice_id],tblInvoices[due_date])</f>
        <v/>
      </c>
      <c r="E271">
        <f>XLOOKUP(A271,tblInvoices[invoice_id],tblInvoices[total_invoice_amount])</f>
        <v/>
      </c>
      <c r="F271">
        <f>SUMIFS(tblPayments[payment_amount],tblPayments[invoice_id],A271,tblPayments[payment_status],"Success")</f>
        <v/>
      </c>
      <c r="G271">
        <f>MAX(0,E271-F271)</f>
        <v/>
      </c>
      <c r="H271">
        <f>DATE(2026,8,13)-D271</f>
        <v/>
      </c>
      <c r="I271">
        <f>IFS(G271=0,"Excluded (paid)",H271&lt;=0,"Current",H271&lt;=30,"1-30 days",H271&lt;=60,"31-60 days",H271&lt;=90,"61-90 days",TRUE,"90+ days")</f>
        <v/>
      </c>
    </row>
    <row r="272">
      <c r="A272" t="inlineStr">
        <is>
          <t>INV0007499</t>
        </is>
      </c>
      <c r="B272" t="inlineStr">
        <is>
          <t>MER00355</t>
        </is>
      </c>
      <c r="C272">
        <f>XLOOKUP(B272,Merchants!$A$4:$A$1000,Merchants!$B$4:$B$1000,"Not found")</f>
        <v/>
      </c>
      <c r="D272">
        <f>XLOOKUP(A272,tblInvoices[invoice_id],tblInvoices[due_date])</f>
        <v/>
      </c>
      <c r="E272">
        <f>XLOOKUP(A272,tblInvoices[invoice_id],tblInvoices[total_invoice_amount])</f>
        <v/>
      </c>
      <c r="F272">
        <f>SUMIFS(tblPayments[payment_amount],tblPayments[invoice_id],A272,tblPayments[payment_status],"Success")</f>
        <v/>
      </c>
      <c r="G272">
        <f>MAX(0,E272-F272)</f>
        <v/>
      </c>
      <c r="H272">
        <f>DATE(2026,8,13)-D272</f>
        <v/>
      </c>
      <c r="I272">
        <f>IFS(G272=0,"Excluded (paid)",H272&lt;=0,"Current",H272&lt;=30,"1-30 days",H272&lt;=60,"31-60 days",H272&lt;=90,"61-90 days",TRUE,"90+ days")</f>
        <v/>
      </c>
    </row>
    <row r="273">
      <c r="A273" t="inlineStr">
        <is>
          <t>INV0007500</t>
        </is>
      </c>
      <c r="B273" t="inlineStr">
        <is>
          <t>MER00355</t>
        </is>
      </c>
      <c r="C273">
        <f>XLOOKUP(B273,Merchants!$A$4:$A$1000,Merchants!$B$4:$B$1000,"Not found")</f>
        <v/>
      </c>
      <c r="D273">
        <f>XLOOKUP(A273,tblInvoices[invoice_id],tblInvoices[due_date])</f>
        <v/>
      </c>
      <c r="E273">
        <f>XLOOKUP(A273,tblInvoices[invoice_id],tblInvoices[total_invoice_amount])</f>
        <v/>
      </c>
      <c r="F273">
        <f>SUMIFS(tblPayments[payment_amount],tblPayments[invoice_id],A273,tblPayments[payment_status],"Success")</f>
        <v/>
      </c>
      <c r="G273">
        <f>MAX(0,E273-F273)</f>
        <v/>
      </c>
      <c r="H273">
        <f>DATE(2026,8,13)-D273</f>
        <v/>
      </c>
      <c r="I273">
        <f>IFS(G273=0,"Excluded (paid)",H273&lt;=0,"Current",H273&lt;=30,"1-30 days",H273&lt;=60,"31-60 days",H273&lt;=90,"61-90 days",TRUE,"90+ days")</f>
        <v/>
      </c>
    </row>
    <row r="274">
      <c r="A274" t="inlineStr">
        <is>
          <t>INV0008006</t>
        </is>
      </c>
      <c r="B274" t="inlineStr">
        <is>
          <t>MER00381</t>
        </is>
      </c>
      <c r="C274">
        <f>XLOOKUP(B274,Merchants!$A$4:$A$1000,Merchants!$B$4:$B$1000,"Not found")</f>
        <v/>
      </c>
      <c r="D274">
        <f>XLOOKUP(A274,tblInvoices[invoice_id],tblInvoices[due_date])</f>
        <v/>
      </c>
      <c r="E274">
        <f>XLOOKUP(A274,tblInvoices[invoice_id],tblInvoices[total_invoice_amount])</f>
        <v/>
      </c>
      <c r="F274">
        <f>SUMIFS(tblPayments[payment_amount],tblPayments[invoice_id],A274,tblPayments[payment_status],"Success")</f>
        <v/>
      </c>
      <c r="G274">
        <f>MAX(0,E274-F274)</f>
        <v/>
      </c>
      <c r="H274">
        <f>DATE(2026,8,13)-D274</f>
        <v/>
      </c>
      <c r="I274">
        <f>IFS(G274=0,"Excluded (paid)",H274&lt;=0,"Current",H274&lt;=30,"1-30 days",H274&lt;=60,"31-60 days",H274&lt;=90,"61-90 days",TRUE,"90+ days")</f>
        <v/>
      </c>
    </row>
    <row r="275">
      <c r="A275" t="inlineStr">
        <is>
          <t>INV0008007</t>
        </is>
      </c>
      <c r="B275" t="inlineStr">
        <is>
          <t>MER00381</t>
        </is>
      </c>
      <c r="C275">
        <f>XLOOKUP(B275,Merchants!$A$4:$A$1000,Merchants!$B$4:$B$1000,"Not found")</f>
        <v/>
      </c>
      <c r="D275">
        <f>XLOOKUP(A275,tblInvoices[invoice_id],tblInvoices[due_date])</f>
        <v/>
      </c>
      <c r="E275">
        <f>XLOOKUP(A275,tblInvoices[invoice_id],tblInvoices[total_invoice_amount])</f>
        <v/>
      </c>
      <c r="F275">
        <f>SUMIFS(tblPayments[payment_amount],tblPayments[invoice_id],A275,tblPayments[payment_status],"Success")</f>
        <v/>
      </c>
      <c r="G275">
        <f>MAX(0,E275-F275)</f>
        <v/>
      </c>
      <c r="H275">
        <f>DATE(2026,8,13)-D275</f>
        <v/>
      </c>
      <c r="I275">
        <f>IFS(G275=0,"Excluded (paid)",H275&lt;=0,"Current",H275&lt;=30,"1-30 days",H275&lt;=60,"31-60 days",H275&lt;=90,"61-90 days",TRUE,"90+ days")</f>
        <v/>
      </c>
    </row>
    <row r="276">
      <c r="A276" t="inlineStr">
        <is>
          <t>INV0008008</t>
        </is>
      </c>
      <c r="B276" t="inlineStr">
        <is>
          <t>MER00381</t>
        </is>
      </c>
      <c r="C276">
        <f>XLOOKUP(B276,Merchants!$A$4:$A$1000,Merchants!$B$4:$B$1000,"Not found")</f>
        <v/>
      </c>
      <c r="D276">
        <f>XLOOKUP(A276,tblInvoices[invoice_id],tblInvoices[due_date])</f>
        <v/>
      </c>
      <c r="E276">
        <f>XLOOKUP(A276,tblInvoices[invoice_id],tblInvoices[total_invoice_amount])</f>
        <v/>
      </c>
      <c r="F276">
        <f>SUMIFS(tblPayments[payment_amount],tblPayments[invoice_id],A276,tblPayments[payment_status],"Success")</f>
        <v/>
      </c>
      <c r="G276">
        <f>MAX(0,E276-F276)</f>
        <v/>
      </c>
      <c r="H276">
        <f>DATE(2026,8,13)-D276</f>
        <v/>
      </c>
      <c r="I276">
        <f>IFS(G276=0,"Excluded (paid)",H276&lt;=0,"Current",H276&lt;=30,"1-30 days",H276&lt;=60,"31-60 days",H276&lt;=90,"61-90 days",TRUE,"90+ days")</f>
        <v/>
      </c>
    </row>
    <row r="277">
      <c r="A277" t="inlineStr">
        <is>
          <t>INV0008009</t>
        </is>
      </c>
      <c r="B277" t="inlineStr">
        <is>
          <t>MER00381</t>
        </is>
      </c>
      <c r="C277">
        <f>XLOOKUP(B277,Merchants!$A$4:$A$1000,Merchants!$B$4:$B$1000,"Not found")</f>
        <v/>
      </c>
      <c r="D277">
        <f>XLOOKUP(A277,tblInvoices[invoice_id],tblInvoices[due_date])</f>
        <v/>
      </c>
      <c r="E277">
        <f>XLOOKUP(A277,tblInvoices[invoice_id],tblInvoices[total_invoice_amount])</f>
        <v/>
      </c>
      <c r="F277">
        <f>SUMIFS(tblPayments[payment_amount],tblPayments[invoice_id],A277,tblPayments[payment_status],"Success")</f>
        <v/>
      </c>
      <c r="G277">
        <f>MAX(0,E277-F277)</f>
        <v/>
      </c>
      <c r="H277">
        <f>DATE(2026,8,13)-D277</f>
        <v/>
      </c>
      <c r="I277">
        <f>IFS(G277=0,"Excluded (paid)",H277&lt;=0,"Current",H277&lt;=30,"1-30 days",H277&lt;=60,"31-60 days",H277&lt;=90,"61-90 days",TRUE,"90+ days")</f>
        <v/>
      </c>
    </row>
    <row r="278">
      <c r="A278" t="inlineStr">
        <is>
          <t>INV0008010</t>
        </is>
      </c>
      <c r="B278" t="inlineStr">
        <is>
          <t>MER00381</t>
        </is>
      </c>
      <c r="C278">
        <f>XLOOKUP(B278,Merchants!$A$4:$A$1000,Merchants!$B$4:$B$1000,"Not found")</f>
        <v/>
      </c>
      <c r="D278">
        <f>XLOOKUP(A278,tblInvoices[invoice_id],tblInvoices[due_date])</f>
        <v/>
      </c>
      <c r="E278">
        <f>XLOOKUP(A278,tblInvoices[invoice_id],tblInvoices[total_invoice_amount])</f>
        <v/>
      </c>
      <c r="F278">
        <f>SUMIFS(tblPayments[payment_amount],tblPayments[invoice_id],A278,tblPayments[payment_status],"Success")</f>
        <v/>
      </c>
      <c r="G278">
        <f>MAX(0,E278-F278)</f>
        <v/>
      </c>
      <c r="H278">
        <f>DATE(2026,8,13)-D278</f>
        <v/>
      </c>
      <c r="I278">
        <f>IFS(G278=0,"Excluded (paid)",H278&lt;=0,"Current",H278&lt;=30,"1-30 days",H278&lt;=60,"31-60 days",H278&lt;=90,"61-90 days",TRUE,"90+ days")</f>
        <v/>
      </c>
    </row>
    <row r="279">
      <c r="A279" t="inlineStr">
        <is>
          <t>INV0008011</t>
        </is>
      </c>
      <c r="B279" t="inlineStr">
        <is>
          <t>MER00381</t>
        </is>
      </c>
      <c r="C279">
        <f>XLOOKUP(B279,Merchants!$A$4:$A$1000,Merchants!$B$4:$B$1000,"Not found")</f>
        <v/>
      </c>
      <c r="D279">
        <f>XLOOKUP(A279,tblInvoices[invoice_id],tblInvoices[due_date])</f>
        <v/>
      </c>
      <c r="E279">
        <f>XLOOKUP(A279,tblInvoices[invoice_id],tblInvoices[total_invoice_amount])</f>
        <v/>
      </c>
      <c r="F279">
        <f>SUMIFS(tblPayments[payment_amount],tblPayments[invoice_id],A279,tblPayments[payment_status],"Success")</f>
        <v/>
      </c>
      <c r="G279">
        <f>MAX(0,E279-F279)</f>
        <v/>
      </c>
      <c r="H279">
        <f>DATE(2026,8,13)-D279</f>
        <v/>
      </c>
      <c r="I279">
        <f>IFS(G279=0,"Excluded (paid)",H279&lt;=0,"Current",H279&lt;=30,"1-30 days",H279&lt;=60,"31-60 days",H279&lt;=90,"61-90 days",TRUE,"90+ days")</f>
        <v/>
      </c>
    </row>
    <row r="280">
      <c r="A280" t="inlineStr">
        <is>
          <t>INV0008012</t>
        </is>
      </c>
      <c r="B280" t="inlineStr">
        <is>
          <t>MER00381</t>
        </is>
      </c>
      <c r="C280">
        <f>XLOOKUP(B280,Merchants!$A$4:$A$1000,Merchants!$B$4:$B$1000,"Not found")</f>
        <v/>
      </c>
      <c r="D280">
        <f>XLOOKUP(A280,tblInvoices[invoice_id],tblInvoices[due_date])</f>
        <v/>
      </c>
      <c r="E280">
        <f>XLOOKUP(A280,tblInvoices[invoice_id],tblInvoices[total_invoice_amount])</f>
        <v/>
      </c>
      <c r="F280">
        <f>SUMIFS(tblPayments[payment_amount],tblPayments[invoice_id],A280,tblPayments[payment_status],"Success")</f>
        <v/>
      </c>
      <c r="G280">
        <f>MAX(0,E280-F280)</f>
        <v/>
      </c>
      <c r="H280">
        <f>DATE(2026,8,13)-D280</f>
        <v/>
      </c>
      <c r="I280">
        <f>IFS(G280=0,"Excluded (paid)",H280&lt;=0,"Current",H280&lt;=30,"1-30 days",H280&lt;=60,"31-60 days",H280&lt;=90,"61-90 days",TRUE,"90+ days")</f>
        <v/>
      </c>
    </row>
    <row r="281">
      <c r="A281" t="inlineStr">
        <is>
          <t>INV0008013</t>
        </is>
      </c>
      <c r="B281" t="inlineStr">
        <is>
          <t>MER00381</t>
        </is>
      </c>
      <c r="C281">
        <f>XLOOKUP(B281,Merchants!$A$4:$A$1000,Merchants!$B$4:$B$1000,"Not found")</f>
        <v/>
      </c>
      <c r="D281">
        <f>XLOOKUP(A281,tblInvoices[invoice_id],tblInvoices[due_date])</f>
        <v/>
      </c>
      <c r="E281">
        <f>XLOOKUP(A281,tblInvoices[invoice_id],tblInvoices[total_invoice_amount])</f>
        <v/>
      </c>
      <c r="F281">
        <f>SUMIFS(tblPayments[payment_amount],tblPayments[invoice_id],A281,tblPayments[payment_status],"Success")</f>
        <v/>
      </c>
      <c r="G281">
        <f>MAX(0,E281-F281)</f>
        <v/>
      </c>
      <c r="H281">
        <f>DATE(2026,8,13)-D281</f>
        <v/>
      </c>
      <c r="I281">
        <f>IFS(G281=0,"Excluded (paid)",H281&lt;=0,"Current",H281&lt;=30,"1-30 days",H281&lt;=60,"31-60 days",H281&lt;=90,"61-90 days",TRUE,"90+ days")</f>
        <v/>
      </c>
    </row>
    <row r="282">
      <c r="A282" t="inlineStr">
        <is>
          <t>INV0008014</t>
        </is>
      </c>
      <c r="B282" t="inlineStr">
        <is>
          <t>MER00381</t>
        </is>
      </c>
      <c r="C282">
        <f>XLOOKUP(B282,Merchants!$A$4:$A$1000,Merchants!$B$4:$B$1000,"Not found")</f>
        <v/>
      </c>
      <c r="D282">
        <f>XLOOKUP(A282,tblInvoices[invoice_id],tblInvoices[due_date])</f>
        <v/>
      </c>
      <c r="E282">
        <f>XLOOKUP(A282,tblInvoices[invoice_id],tblInvoices[total_invoice_amount])</f>
        <v/>
      </c>
      <c r="F282">
        <f>SUMIFS(tblPayments[payment_amount],tblPayments[invoice_id],A282,tblPayments[payment_status],"Success")</f>
        <v/>
      </c>
      <c r="G282">
        <f>MAX(0,E282-F282)</f>
        <v/>
      </c>
      <c r="H282">
        <f>DATE(2026,8,13)-D282</f>
        <v/>
      </c>
      <c r="I282">
        <f>IFS(G282=0,"Excluded (paid)",H282&lt;=0,"Current",H282&lt;=30,"1-30 days",H282&lt;=60,"31-60 days",H282&lt;=90,"61-90 days",TRUE,"90+ days")</f>
        <v/>
      </c>
    </row>
    <row r="283">
      <c r="A283" t="inlineStr">
        <is>
          <t>INV0008015</t>
        </is>
      </c>
      <c r="B283" t="inlineStr">
        <is>
          <t>MER00381</t>
        </is>
      </c>
      <c r="C283">
        <f>XLOOKUP(B283,Merchants!$A$4:$A$1000,Merchants!$B$4:$B$1000,"Not found")</f>
        <v/>
      </c>
      <c r="D283">
        <f>XLOOKUP(A283,tblInvoices[invoice_id],tblInvoices[due_date])</f>
        <v/>
      </c>
      <c r="E283">
        <f>XLOOKUP(A283,tblInvoices[invoice_id],tblInvoices[total_invoice_amount])</f>
        <v/>
      </c>
      <c r="F283">
        <f>SUMIFS(tblPayments[payment_amount],tblPayments[invoice_id],A283,tblPayments[payment_status],"Success")</f>
        <v/>
      </c>
      <c r="G283">
        <f>MAX(0,E283-F283)</f>
        <v/>
      </c>
      <c r="H283">
        <f>DATE(2026,8,13)-D283</f>
        <v/>
      </c>
      <c r="I283">
        <f>IFS(G283=0,"Excluded (paid)",H283&lt;=0,"Current",H283&lt;=30,"1-30 days",H283&lt;=60,"31-60 days",H283&lt;=90,"61-90 days",TRUE,"90+ days")</f>
        <v/>
      </c>
    </row>
    <row r="284">
      <c r="A284" t="inlineStr">
        <is>
          <t>INV0008016</t>
        </is>
      </c>
      <c r="B284" t="inlineStr">
        <is>
          <t>MER00381</t>
        </is>
      </c>
      <c r="C284">
        <f>XLOOKUP(B284,Merchants!$A$4:$A$1000,Merchants!$B$4:$B$1000,"Not found")</f>
        <v/>
      </c>
      <c r="D284">
        <f>XLOOKUP(A284,tblInvoices[invoice_id],tblInvoices[due_date])</f>
        <v/>
      </c>
      <c r="E284">
        <f>XLOOKUP(A284,tblInvoices[invoice_id],tblInvoices[total_invoice_amount])</f>
        <v/>
      </c>
      <c r="F284">
        <f>SUMIFS(tblPayments[payment_amount],tblPayments[invoice_id],A284,tblPayments[payment_status],"Success")</f>
        <v/>
      </c>
      <c r="G284">
        <f>MAX(0,E284-F284)</f>
        <v/>
      </c>
      <c r="H284">
        <f>DATE(2026,8,13)-D284</f>
        <v/>
      </c>
      <c r="I284">
        <f>IFS(G284=0,"Excluded (paid)",H284&lt;=0,"Current",H284&lt;=30,"1-30 days",H284&lt;=60,"31-60 days",H284&lt;=90,"61-90 days",TRUE,"90+ days")</f>
        <v/>
      </c>
    </row>
    <row r="285">
      <c r="A285" t="inlineStr">
        <is>
          <t>INV0008017</t>
        </is>
      </c>
      <c r="B285" t="inlineStr">
        <is>
          <t>MER00381</t>
        </is>
      </c>
      <c r="C285">
        <f>XLOOKUP(B285,Merchants!$A$4:$A$1000,Merchants!$B$4:$B$1000,"Not found")</f>
        <v/>
      </c>
      <c r="D285">
        <f>XLOOKUP(A285,tblInvoices[invoice_id],tblInvoices[due_date])</f>
        <v/>
      </c>
      <c r="E285">
        <f>XLOOKUP(A285,tblInvoices[invoice_id],tblInvoices[total_invoice_amount])</f>
        <v/>
      </c>
      <c r="F285">
        <f>SUMIFS(tblPayments[payment_amount],tblPayments[invoice_id],A285,tblPayments[payment_status],"Success")</f>
        <v/>
      </c>
      <c r="G285">
        <f>MAX(0,E285-F285)</f>
        <v/>
      </c>
      <c r="H285">
        <f>DATE(2026,8,13)-D285</f>
        <v/>
      </c>
      <c r="I285">
        <f>IFS(G285=0,"Excluded (paid)",H285&lt;=0,"Current",H285&lt;=30,"1-30 days",H285&lt;=60,"31-60 days",H285&lt;=90,"61-90 days",TRUE,"90+ days")</f>
        <v/>
      </c>
    </row>
    <row r="286">
      <c r="A286" t="inlineStr">
        <is>
          <t>INV0008018</t>
        </is>
      </c>
      <c r="B286" t="inlineStr">
        <is>
          <t>MER00381</t>
        </is>
      </c>
      <c r="C286">
        <f>XLOOKUP(B286,Merchants!$A$4:$A$1000,Merchants!$B$4:$B$1000,"Not found")</f>
        <v/>
      </c>
      <c r="D286">
        <f>XLOOKUP(A286,tblInvoices[invoice_id],tblInvoices[due_date])</f>
        <v/>
      </c>
      <c r="E286">
        <f>XLOOKUP(A286,tblInvoices[invoice_id],tblInvoices[total_invoice_amount])</f>
        <v/>
      </c>
      <c r="F286">
        <f>SUMIFS(tblPayments[payment_amount],tblPayments[invoice_id],A286,tblPayments[payment_status],"Success")</f>
        <v/>
      </c>
      <c r="G286">
        <f>MAX(0,E286-F286)</f>
        <v/>
      </c>
      <c r="H286">
        <f>DATE(2026,8,13)-D286</f>
        <v/>
      </c>
      <c r="I286">
        <f>IFS(G286=0,"Excluded (paid)",H286&lt;=0,"Current",H286&lt;=30,"1-30 days",H286&lt;=60,"31-60 days",H286&lt;=90,"61-90 days",TRUE,"90+ days")</f>
        <v/>
      </c>
    </row>
    <row r="287">
      <c r="A287" t="inlineStr">
        <is>
          <t>INV0008019</t>
        </is>
      </c>
      <c r="B287" t="inlineStr">
        <is>
          <t>MER00381</t>
        </is>
      </c>
      <c r="C287">
        <f>XLOOKUP(B287,Merchants!$A$4:$A$1000,Merchants!$B$4:$B$1000,"Not found")</f>
        <v/>
      </c>
      <c r="D287">
        <f>XLOOKUP(A287,tblInvoices[invoice_id],tblInvoices[due_date])</f>
        <v/>
      </c>
      <c r="E287">
        <f>XLOOKUP(A287,tblInvoices[invoice_id],tblInvoices[total_invoice_amount])</f>
        <v/>
      </c>
      <c r="F287">
        <f>SUMIFS(tblPayments[payment_amount],tblPayments[invoice_id],A287,tblPayments[payment_status],"Success")</f>
        <v/>
      </c>
      <c r="G287">
        <f>MAX(0,E287-F287)</f>
        <v/>
      </c>
      <c r="H287">
        <f>DATE(2026,8,13)-D287</f>
        <v/>
      </c>
      <c r="I287">
        <f>IFS(G287=0,"Excluded (paid)",H287&lt;=0,"Current",H287&lt;=30,"1-30 days",H287&lt;=60,"31-60 days",H287&lt;=90,"61-90 days",TRUE,"90+ days")</f>
        <v/>
      </c>
    </row>
    <row r="288">
      <c r="A288" t="inlineStr">
        <is>
          <t>INV0008020</t>
        </is>
      </c>
      <c r="B288" t="inlineStr">
        <is>
          <t>MER00381</t>
        </is>
      </c>
      <c r="C288">
        <f>XLOOKUP(B288,Merchants!$A$4:$A$1000,Merchants!$B$4:$B$1000,"Not found")</f>
        <v/>
      </c>
      <c r="D288">
        <f>XLOOKUP(A288,tblInvoices[invoice_id],tblInvoices[due_date])</f>
        <v/>
      </c>
      <c r="E288">
        <f>XLOOKUP(A288,tblInvoices[invoice_id],tblInvoices[total_invoice_amount])</f>
        <v/>
      </c>
      <c r="F288">
        <f>SUMIFS(tblPayments[payment_amount],tblPayments[invoice_id],A288,tblPayments[payment_status],"Success")</f>
        <v/>
      </c>
      <c r="G288">
        <f>MAX(0,E288-F288)</f>
        <v/>
      </c>
      <c r="H288">
        <f>DATE(2026,8,13)-D288</f>
        <v/>
      </c>
      <c r="I288">
        <f>IFS(G288=0,"Excluded (paid)",H288&lt;=0,"Current",H288&lt;=30,"1-30 days",H288&lt;=60,"31-60 days",H288&lt;=90,"61-90 days",TRUE,"90+ days")</f>
        <v/>
      </c>
    </row>
    <row r="289">
      <c r="A289" t="inlineStr">
        <is>
          <t>INV0008021</t>
        </is>
      </c>
      <c r="B289" t="inlineStr">
        <is>
          <t>MER00381</t>
        </is>
      </c>
      <c r="C289">
        <f>XLOOKUP(B289,Merchants!$A$4:$A$1000,Merchants!$B$4:$B$1000,"Not found")</f>
        <v/>
      </c>
      <c r="D289">
        <f>XLOOKUP(A289,tblInvoices[invoice_id],tblInvoices[due_date])</f>
        <v/>
      </c>
      <c r="E289">
        <f>XLOOKUP(A289,tblInvoices[invoice_id],tblInvoices[total_invoice_amount])</f>
        <v/>
      </c>
      <c r="F289">
        <f>SUMIFS(tblPayments[payment_amount],tblPayments[invoice_id],A289,tblPayments[payment_status],"Success")</f>
        <v/>
      </c>
      <c r="G289">
        <f>MAX(0,E289-F289)</f>
        <v/>
      </c>
      <c r="H289">
        <f>DATE(2026,8,13)-D289</f>
        <v/>
      </c>
      <c r="I289">
        <f>IFS(G289=0,"Excluded (paid)",H289&lt;=0,"Current",H289&lt;=30,"1-30 days",H289&lt;=60,"31-60 days",H289&lt;=90,"61-90 days",TRUE,"90+ days")</f>
        <v/>
      </c>
    </row>
    <row r="290">
      <c r="A290" t="inlineStr">
        <is>
          <t>INV0008022</t>
        </is>
      </c>
      <c r="B290" t="inlineStr">
        <is>
          <t>MER00381</t>
        </is>
      </c>
      <c r="C290">
        <f>XLOOKUP(B290,Merchants!$A$4:$A$1000,Merchants!$B$4:$B$1000,"Not found")</f>
        <v/>
      </c>
      <c r="D290">
        <f>XLOOKUP(A290,tblInvoices[invoice_id],tblInvoices[due_date])</f>
        <v/>
      </c>
      <c r="E290">
        <f>XLOOKUP(A290,tblInvoices[invoice_id],tblInvoices[total_invoice_amount])</f>
        <v/>
      </c>
      <c r="F290">
        <f>SUMIFS(tblPayments[payment_amount],tblPayments[invoice_id],A290,tblPayments[payment_status],"Success")</f>
        <v/>
      </c>
      <c r="G290">
        <f>MAX(0,E290-F290)</f>
        <v/>
      </c>
      <c r="H290">
        <f>DATE(2026,8,13)-D290</f>
        <v/>
      </c>
      <c r="I290">
        <f>IFS(G290=0,"Excluded (paid)",H290&lt;=0,"Current",H290&lt;=30,"1-30 days",H290&lt;=60,"31-60 days",H290&lt;=90,"61-90 days",TRUE,"90+ days")</f>
        <v/>
      </c>
    </row>
    <row r="291">
      <c r="A291" t="inlineStr">
        <is>
          <t>INV0008023</t>
        </is>
      </c>
      <c r="B291" t="inlineStr">
        <is>
          <t>MER00381</t>
        </is>
      </c>
      <c r="C291">
        <f>XLOOKUP(B291,Merchants!$A$4:$A$1000,Merchants!$B$4:$B$1000,"Not found")</f>
        <v/>
      </c>
      <c r="D291">
        <f>XLOOKUP(A291,tblInvoices[invoice_id],tblInvoices[due_date])</f>
        <v/>
      </c>
      <c r="E291">
        <f>XLOOKUP(A291,tblInvoices[invoice_id],tblInvoices[total_invoice_amount])</f>
        <v/>
      </c>
      <c r="F291">
        <f>SUMIFS(tblPayments[payment_amount],tblPayments[invoice_id],A291,tblPayments[payment_status],"Success")</f>
        <v/>
      </c>
      <c r="G291">
        <f>MAX(0,E291-F291)</f>
        <v/>
      </c>
      <c r="H291">
        <f>DATE(2026,8,13)-D291</f>
        <v/>
      </c>
      <c r="I291">
        <f>IFS(G291=0,"Excluded (paid)",H291&lt;=0,"Current",H291&lt;=30,"1-30 days",H291&lt;=60,"31-60 days",H291&lt;=90,"61-90 days",TRUE,"90+ days")</f>
        <v/>
      </c>
    </row>
    <row r="292">
      <c r="A292" t="inlineStr">
        <is>
          <t>INV0008024</t>
        </is>
      </c>
      <c r="B292" t="inlineStr">
        <is>
          <t>MER00381</t>
        </is>
      </c>
      <c r="C292">
        <f>XLOOKUP(B292,Merchants!$A$4:$A$1000,Merchants!$B$4:$B$1000,"Not found")</f>
        <v/>
      </c>
      <c r="D292">
        <f>XLOOKUP(A292,tblInvoices[invoice_id],tblInvoices[due_date])</f>
        <v/>
      </c>
      <c r="E292">
        <f>XLOOKUP(A292,tblInvoices[invoice_id],tblInvoices[total_invoice_amount])</f>
        <v/>
      </c>
      <c r="F292">
        <f>SUMIFS(tblPayments[payment_amount],tblPayments[invoice_id],A292,tblPayments[payment_status],"Success")</f>
        <v/>
      </c>
      <c r="G292">
        <f>MAX(0,E292-F292)</f>
        <v/>
      </c>
      <c r="H292">
        <f>DATE(2026,8,13)-D292</f>
        <v/>
      </c>
      <c r="I292">
        <f>IFS(G292=0,"Excluded (paid)",H292&lt;=0,"Current",H292&lt;=30,"1-30 days",H292&lt;=60,"31-60 days",H292&lt;=90,"61-90 days",TRUE,"90+ days")</f>
        <v/>
      </c>
    </row>
    <row r="293">
      <c r="A293" t="inlineStr">
        <is>
          <t>INV0008025</t>
        </is>
      </c>
      <c r="B293" t="inlineStr">
        <is>
          <t>MER00381</t>
        </is>
      </c>
      <c r="C293">
        <f>XLOOKUP(B293,Merchants!$A$4:$A$1000,Merchants!$B$4:$B$1000,"Not found")</f>
        <v/>
      </c>
      <c r="D293">
        <f>XLOOKUP(A293,tblInvoices[invoice_id],tblInvoices[due_date])</f>
        <v/>
      </c>
      <c r="E293">
        <f>XLOOKUP(A293,tblInvoices[invoice_id],tblInvoices[total_invoice_amount])</f>
        <v/>
      </c>
      <c r="F293">
        <f>SUMIFS(tblPayments[payment_amount],tblPayments[invoice_id],A293,tblPayments[payment_status],"Success")</f>
        <v/>
      </c>
      <c r="G293">
        <f>MAX(0,E293-F293)</f>
        <v/>
      </c>
      <c r="H293">
        <f>DATE(2026,8,13)-D293</f>
        <v/>
      </c>
      <c r="I293">
        <f>IFS(G293=0,"Excluded (paid)",H293&lt;=0,"Current",H293&lt;=30,"1-30 days",H293&lt;=60,"31-60 days",H293&lt;=90,"61-90 days",TRUE,"90+ days")</f>
        <v/>
      </c>
    </row>
    <row r="294">
      <c r="A294" t="inlineStr">
        <is>
          <t>INV0008026</t>
        </is>
      </c>
      <c r="B294" t="inlineStr">
        <is>
          <t>MER00381</t>
        </is>
      </c>
      <c r="C294">
        <f>XLOOKUP(B294,Merchants!$A$4:$A$1000,Merchants!$B$4:$B$1000,"Not found")</f>
        <v/>
      </c>
      <c r="D294">
        <f>XLOOKUP(A294,tblInvoices[invoice_id],tblInvoices[due_date])</f>
        <v/>
      </c>
      <c r="E294">
        <f>XLOOKUP(A294,tblInvoices[invoice_id],tblInvoices[total_invoice_amount])</f>
        <v/>
      </c>
      <c r="F294">
        <f>SUMIFS(tblPayments[payment_amount],tblPayments[invoice_id],A294,tblPayments[payment_status],"Success")</f>
        <v/>
      </c>
      <c r="G294">
        <f>MAX(0,E294-F294)</f>
        <v/>
      </c>
      <c r="H294">
        <f>DATE(2026,8,13)-D294</f>
        <v/>
      </c>
      <c r="I294">
        <f>IFS(G294=0,"Excluded (paid)",H294&lt;=0,"Current",H294&lt;=30,"1-30 days",H294&lt;=60,"31-60 days",H294&lt;=90,"61-90 days",TRUE,"90+ days")</f>
        <v/>
      </c>
    </row>
    <row r="295">
      <c r="A295" t="inlineStr">
        <is>
          <t>INV0008027</t>
        </is>
      </c>
      <c r="B295" t="inlineStr">
        <is>
          <t>MER00381</t>
        </is>
      </c>
      <c r="C295">
        <f>XLOOKUP(B295,Merchants!$A$4:$A$1000,Merchants!$B$4:$B$1000,"Not found")</f>
        <v/>
      </c>
      <c r="D295">
        <f>XLOOKUP(A295,tblInvoices[invoice_id],tblInvoices[due_date])</f>
        <v/>
      </c>
      <c r="E295">
        <f>XLOOKUP(A295,tblInvoices[invoice_id],tblInvoices[total_invoice_amount])</f>
        <v/>
      </c>
      <c r="F295">
        <f>SUMIFS(tblPayments[payment_amount],tblPayments[invoice_id],A295,tblPayments[payment_status],"Success")</f>
        <v/>
      </c>
      <c r="G295">
        <f>MAX(0,E295-F295)</f>
        <v/>
      </c>
      <c r="H295">
        <f>DATE(2026,8,13)-D295</f>
        <v/>
      </c>
      <c r="I295">
        <f>IFS(G295=0,"Excluded (paid)",H295&lt;=0,"Current",H295&lt;=30,"1-30 days",H295&lt;=60,"31-60 days",H295&lt;=90,"61-90 days",TRUE,"90+ days")</f>
        <v/>
      </c>
    </row>
    <row r="296">
      <c r="A296" t="inlineStr">
        <is>
          <t>INV0008028</t>
        </is>
      </c>
      <c r="B296" t="inlineStr">
        <is>
          <t>MER00381</t>
        </is>
      </c>
      <c r="C296">
        <f>XLOOKUP(B296,Merchants!$A$4:$A$1000,Merchants!$B$4:$B$1000,"Not found")</f>
        <v/>
      </c>
      <c r="D296">
        <f>XLOOKUP(A296,tblInvoices[invoice_id],tblInvoices[due_date])</f>
        <v/>
      </c>
      <c r="E296">
        <f>XLOOKUP(A296,tblInvoices[invoice_id],tblInvoices[total_invoice_amount])</f>
        <v/>
      </c>
      <c r="F296">
        <f>SUMIFS(tblPayments[payment_amount],tblPayments[invoice_id],A296,tblPayments[payment_status],"Success")</f>
        <v/>
      </c>
      <c r="G296">
        <f>MAX(0,E296-F296)</f>
        <v/>
      </c>
      <c r="H296">
        <f>DATE(2026,8,13)-D296</f>
        <v/>
      </c>
      <c r="I296">
        <f>IFS(G296=0,"Excluded (paid)",H296&lt;=0,"Current",H296&lt;=30,"1-30 days",H296&lt;=60,"31-60 days",H296&lt;=90,"61-90 days",TRUE,"90+ days")</f>
        <v/>
      </c>
    </row>
    <row r="297">
      <c r="A297" t="inlineStr">
        <is>
          <t>INV0008029</t>
        </is>
      </c>
      <c r="B297" t="inlineStr">
        <is>
          <t>MER00381</t>
        </is>
      </c>
      <c r="C297">
        <f>XLOOKUP(B297,Merchants!$A$4:$A$1000,Merchants!$B$4:$B$1000,"Not found")</f>
        <v/>
      </c>
      <c r="D297">
        <f>XLOOKUP(A297,tblInvoices[invoice_id],tblInvoices[due_date])</f>
        <v/>
      </c>
      <c r="E297">
        <f>XLOOKUP(A297,tblInvoices[invoice_id],tblInvoices[total_invoice_amount])</f>
        <v/>
      </c>
      <c r="F297">
        <f>SUMIFS(tblPayments[payment_amount],tblPayments[invoice_id],A297,tblPayments[payment_status],"Success")</f>
        <v/>
      </c>
      <c r="G297">
        <f>MAX(0,E297-F297)</f>
        <v/>
      </c>
      <c r="H297">
        <f>DATE(2026,8,13)-D297</f>
        <v/>
      </c>
      <c r="I297">
        <f>IFS(G297=0,"Excluded (paid)",H297&lt;=0,"Current",H297&lt;=30,"1-30 days",H297&lt;=60,"31-60 days",H297&lt;=90,"61-90 days",TRUE,"90+ days")</f>
        <v/>
      </c>
    </row>
    <row r="298">
      <c r="A298" t="inlineStr">
        <is>
          <t>INV0008124</t>
        </is>
      </c>
      <c r="B298" t="inlineStr">
        <is>
          <t>MER00386</t>
        </is>
      </c>
      <c r="C298">
        <f>XLOOKUP(B298,Merchants!$A$4:$A$1000,Merchants!$B$4:$B$1000,"Not found")</f>
        <v/>
      </c>
      <c r="D298">
        <f>XLOOKUP(A298,tblInvoices[invoice_id],tblInvoices[due_date])</f>
        <v/>
      </c>
      <c r="E298">
        <f>XLOOKUP(A298,tblInvoices[invoice_id],tblInvoices[total_invoice_amount])</f>
        <v/>
      </c>
      <c r="F298">
        <f>SUMIFS(tblPayments[payment_amount],tblPayments[invoice_id],A298,tblPayments[payment_status],"Success")</f>
        <v/>
      </c>
      <c r="G298">
        <f>MAX(0,E298-F298)</f>
        <v/>
      </c>
      <c r="H298">
        <f>DATE(2026,8,13)-D298</f>
        <v/>
      </c>
      <c r="I298">
        <f>IFS(G298=0,"Excluded (paid)",H298&lt;=0,"Current",H298&lt;=30,"1-30 days",H298&lt;=60,"31-60 days",H298&lt;=90,"61-90 days",TRUE,"90+ days")</f>
        <v/>
      </c>
    </row>
    <row r="299">
      <c r="A299" t="inlineStr">
        <is>
          <t>INV0008125</t>
        </is>
      </c>
      <c r="B299" t="inlineStr">
        <is>
          <t>MER00386</t>
        </is>
      </c>
      <c r="C299">
        <f>XLOOKUP(B299,Merchants!$A$4:$A$1000,Merchants!$B$4:$B$1000,"Not found")</f>
        <v/>
      </c>
      <c r="D299">
        <f>XLOOKUP(A299,tblInvoices[invoice_id],tblInvoices[due_date])</f>
        <v/>
      </c>
      <c r="E299">
        <f>XLOOKUP(A299,tblInvoices[invoice_id],tblInvoices[total_invoice_amount])</f>
        <v/>
      </c>
      <c r="F299">
        <f>SUMIFS(tblPayments[payment_amount],tblPayments[invoice_id],A299,tblPayments[payment_status],"Success")</f>
        <v/>
      </c>
      <c r="G299">
        <f>MAX(0,E299-F299)</f>
        <v/>
      </c>
      <c r="H299">
        <f>DATE(2026,8,13)-D299</f>
        <v/>
      </c>
      <c r="I299">
        <f>IFS(G299=0,"Excluded (paid)",H299&lt;=0,"Current",H299&lt;=30,"1-30 days",H299&lt;=60,"31-60 days",H299&lt;=90,"61-90 days",TRUE,"90+ days")</f>
        <v/>
      </c>
    </row>
    <row r="300">
      <c r="A300" t="inlineStr">
        <is>
          <t>INV0008126</t>
        </is>
      </c>
      <c r="B300" t="inlineStr">
        <is>
          <t>MER00386</t>
        </is>
      </c>
      <c r="C300">
        <f>XLOOKUP(B300,Merchants!$A$4:$A$1000,Merchants!$B$4:$B$1000,"Not found")</f>
        <v/>
      </c>
      <c r="D300">
        <f>XLOOKUP(A300,tblInvoices[invoice_id],tblInvoices[due_date])</f>
        <v/>
      </c>
      <c r="E300">
        <f>XLOOKUP(A300,tblInvoices[invoice_id],tblInvoices[total_invoice_amount])</f>
        <v/>
      </c>
      <c r="F300">
        <f>SUMIFS(tblPayments[payment_amount],tblPayments[invoice_id],A300,tblPayments[payment_status],"Success")</f>
        <v/>
      </c>
      <c r="G300">
        <f>MAX(0,E300-F300)</f>
        <v/>
      </c>
      <c r="H300">
        <f>DATE(2026,8,13)-D300</f>
        <v/>
      </c>
      <c r="I300">
        <f>IFS(G300=0,"Excluded (paid)",H300&lt;=0,"Current",H300&lt;=30,"1-30 days",H300&lt;=60,"31-60 days",H300&lt;=90,"61-90 days",TRUE,"90+ days")</f>
        <v/>
      </c>
    </row>
    <row r="301">
      <c r="A301" t="inlineStr">
        <is>
          <t>INV0008127</t>
        </is>
      </c>
      <c r="B301" t="inlineStr">
        <is>
          <t>MER00386</t>
        </is>
      </c>
      <c r="C301">
        <f>XLOOKUP(B301,Merchants!$A$4:$A$1000,Merchants!$B$4:$B$1000,"Not found")</f>
        <v/>
      </c>
      <c r="D301">
        <f>XLOOKUP(A301,tblInvoices[invoice_id],tblInvoices[due_date])</f>
        <v/>
      </c>
      <c r="E301">
        <f>XLOOKUP(A301,tblInvoices[invoice_id],tblInvoices[total_invoice_amount])</f>
        <v/>
      </c>
      <c r="F301">
        <f>SUMIFS(tblPayments[payment_amount],tblPayments[invoice_id],A301,tblPayments[payment_status],"Success")</f>
        <v/>
      </c>
      <c r="G301">
        <f>MAX(0,E301-F301)</f>
        <v/>
      </c>
      <c r="H301">
        <f>DATE(2026,8,13)-D301</f>
        <v/>
      </c>
      <c r="I301">
        <f>IFS(G301=0,"Excluded (paid)",H301&lt;=0,"Current",H301&lt;=30,"1-30 days",H301&lt;=60,"31-60 days",H301&lt;=90,"61-90 days",TRUE,"90+ days")</f>
        <v/>
      </c>
    </row>
    <row r="302">
      <c r="A302" t="inlineStr">
        <is>
          <t>INV0008128</t>
        </is>
      </c>
      <c r="B302" t="inlineStr">
        <is>
          <t>MER00386</t>
        </is>
      </c>
      <c r="C302">
        <f>XLOOKUP(B302,Merchants!$A$4:$A$1000,Merchants!$B$4:$B$1000,"Not found")</f>
        <v/>
      </c>
      <c r="D302">
        <f>XLOOKUP(A302,tblInvoices[invoice_id],tblInvoices[due_date])</f>
        <v/>
      </c>
      <c r="E302">
        <f>XLOOKUP(A302,tblInvoices[invoice_id],tblInvoices[total_invoice_amount])</f>
        <v/>
      </c>
      <c r="F302">
        <f>SUMIFS(tblPayments[payment_amount],tblPayments[invoice_id],A302,tblPayments[payment_status],"Success")</f>
        <v/>
      </c>
      <c r="G302">
        <f>MAX(0,E302-F302)</f>
        <v/>
      </c>
      <c r="H302">
        <f>DATE(2026,8,13)-D302</f>
        <v/>
      </c>
      <c r="I302">
        <f>IFS(G302=0,"Excluded (paid)",H302&lt;=0,"Current",H302&lt;=30,"1-30 days",H302&lt;=60,"31-60 days",H302&lt;=90,"61-90 days",TRUE,"90+ days")</f>
        <v/>
      </c>
    </row>
    <row r="303">
      <c r="A303" t="inlineStr">
        <is>
          <t>INV0008129</t>
        </is>
      </c>
      <c r="B303" t="inlineStr">
        <is>
          <t>MER00386</t>
        </is>
      </c>
      <c r="C303">
        <f>XLOOKUP(B303,Merchants!$A$4:$A$1000,Merchants!$B$4:$B$1000,"Not found")</f>
        <v/>
      </c>
      <c r="D303">
        <f>XLOOKUP(A303,tblInvoices[invoice_id],tblInvoices[due_date])</f>
        <v/>
      </c>
      <c r="E303">
        <f>XLOOKUP(A303,tblInvoices[invoice_id],tblInvoices[total_invoice_amount])</f>
        <v/>
      </c>
      <c r="F303">
        <f>SUMIFS(tblPayments[payment_amount],tblPayments[invoice_id],A303,tblPayments[payment_status],"Success")</f>
        <v/>
      </c>
      <c r="G303">
        <f>MAX(0,E303-F303)</f>
        <v/>
      </c>
      <c r="H303">
        <f>DATE(2026,8,13)-D303</f>
        <v/>
      </c>
      <c r="I303">
        <f>IFS(G303=0,"Excluded (paid)",H303&lt;=0,"Current",H303&lt;=30,"1-30 days",H303&lt;=60,"31-60 days",H303&lt;=90,"61-90 days",TRUE,"90+ days")</f>
        <v/>
      </c>
    </row>
    <row r="304">
      <c r="A304" t="inlineStr">
        <is>
          <t>INV0008130</t>
        </is>
      </c>
      <c r="B304" t="inlineStr">
        <is>
          <t>MER00386</t>
        </is>
      </c>
      <c r="C304">
        <f>XLOOKUP(B304,Merchants!$A$4:$A$1000,Merchants!$B$4:$B$1000,"Not found")</f>
        <v/>
      </c>
      <c r="D304">
        <f>XLOOKUP(A304,tblInvoices[invoice_id],tblInvoices[due_date])</f>
        <v/>
      </c>
      <c r="E304">
        <f>XLOOKUP(A304,tblInvoices[invoice_id],tblInvoices[total_invoice_amount])</f>
        <v/>
      </c>
      <c r="F304">
        <f>SUMIFS(tblPayments[payment_amount],tblPayments[invoice_id],A304,tblPayments[payment_status],"Success")</f>
        <v/>
      </c>
      <c r="G304">
        <f>MAX(0,E304-F304)</f>
        <v/>
      </c>
      <c r="H304">
        <f>DATE(2026,8,13)-D304</f>
        <v/>
      </c>
      <c r="I304">
        <f>IFS(G304=0,"Excluded (paid)",H304&lt;=0,"Current",H304&lt;=30,"1-30 days",H304&lt;=60,"31-60 days",H304&lt;=90,"61-90 days",TRUE,"90+ days")</f>
        <v/>
      </c>
    </row>
    <row r="305">
      <c r="A305" t="inlineStr">
        <is>
          <t>INV0008131</t>
        </is>
      </c>
      <c r="B305" t="inlineStr">
        <is>
          <t>MER00386</t>
        </is>
      </c>
      <c r="C305">
        <f>XLOOKUP(B305,Merchants!$A$4:$A$1000,Merchants!$B$4:$B$1000,"Not found")</f>
        <v/>
      </c>
      <c r="D305">
        <f>XLOOKUP(A305,tblInvoices[invoice_id],tblInvoices[due_date])</f>
        <v/>
      </c>
      <c r="E305">
        <f>XLOOKUP(A305,tblInvoices[invoice_id],tblInvoices[total_invoice_amount])</f>
        <v/>
      </c>
      <c r="F305">
        <f>SUMIFS(tblPayments[payment_amount],tblPayments[invoice_id],A305,tblPayments[payment_status],"Success")</f>
        <v/>
      </c>
      <c r="G305">
        <f>MAX(0,E305-F305)</f>
        <v/>
      </c>
      <c r="H305">
        <f>DATE(2026,8,13)-D305</f>
        <v/>
      </c>
      <c r="I305">
        <f>IFS(G305=0,"Excluded (paid)",H305&lt;=0,"Current",H305&lt;=30,"1-30 days",H305&lt;=60,"31-60 days",H305&lt;=90,"61-90 days",TRUE,"90+ days")</f>
        <v/>
      </c>
    </row>
    <row r="306">
      <c r="A306" t="inlineStr">
        <is>
          <t>INV0008132</t>
        </is>
      </c>
      <c r="B306" t="inlineStr">
        <is>
          <t>MER00386</t>
        </is>
      </c>
      <c r="C306">
        <f>XLOOKUP(B306,Merchants!$A$4:$A$1000,Merchants!$B$4:$B$1000,"Not found")</f>
        <v/>
      </c>
      <c r="D306">
        <f>XLOOKUP(A306,tblInvoices[invoice_id],tblInvoices[due_date])</f>
        <v/>
      </c>
      <c r="E306">
        <f>XLOOKUP(A306,tblInvoices[invoice_id],tblInvoices[total_invoice_amount])</f>
        <v/>
      </c>
      <c r="F306">
        <f>SUMIFS(tblPayments[payment_amount],tblPayments[invoice_id],A306,tblPayments[payment_status],"Success")</f>
        <v/>
      </c>
      <c r="G306">
        <f>MAX(0,E306-F306)</f>
        <v/>
      </c>
      <c r="H306">
        <f>DATE(2026,8,13)-D306</f>
        <v/>
      </c>
      <c r="I306">
        <f>IFS(G306=0,"Excluded (paid)",H306&lt;=0,"Current",H306&lt;=30,"1-30 days",H306&lt;=60,"31-60 days",H306&lt;=90,"61-90 days",TRUE,"90+ days")</f>
        <v/>
      </c>
    </row>
    <row r="307">
      <c r="A307" t="inlineStr">
        <is>
          <t>INV0008133</t>
        </is>
      </c>
      <c r="B307" t="inlineStr">
        <is>
          <t>MER00386</t>
        </is>
      </c>
      <c r="C307">
        <f>XLOOKUP(B307,Merchants!$A$4:$A$1000,Merchants!$B$4:$B$1000,"Not found")</f>
        <v/>
      </c>
      <c r="D307">
        <f>XLOOKUP(A307,tblInvoices[invoice_id],tblInvoices[due_date])</f>
        <v/>
      </c>
      <c r="E307">
        <f>XLOOKUP(A307,tblInvoices[invoice_id],tblInvoices[total_invoice_amount])</f>
        <v/>
      </c>
      <c r="F307">
        <f>SUMIFS(tblPayments[payment_amount],tblPayments[invoice_id],A307,tblPayments[payment_status],"Success")</f>
        <v/>
      </c>
      <c r="G307">
        <f>MAX(0,E307-F307)</f>
        <v/>
      </c>
      <c r="H307">
        <f>DATE(2026,8,13)-D307</f>
        <v/>
      </c>
      <c r="I307">
        <f>IFS(G307=0,"Excluded (paid)",H307&lt;=0,"Current",H307&lt;=30,"1-30 days",H307&lt;=60,"31-60 days",H307&lt;=90,"61-90 days",TRUE,"90+ days")</f>
        <v/>
      </c>
    </row>
    <row r="308">
      <c r="A308" t="inlineStr">
        <is>
          <t>INV0008134</t>
        </is>
      </c>
      <c r="B308" t="inlineStr">
        <is>
          <t>MER00386</t>
        </is>
      </c>
      <c r="C308">
        <f>XLOOKUP(B308,Merchants!$A$4:$A$1000,Merchants!$B$4:$B$1000,"Not found")</f>
        <v/>
      </c>
      <c r="D308">
        <f>XLOOKUP(A308,tblInvoices[invoice_id],tblInvoices[due_date])</f>
        <v/>
      </c>
      <c r="E308">
        <f>XLOOKUP(A308,tblInvoices[invoice_id],tblInvoices[total_invoice_amount])</f>
        <v/>
      </c>
      <c r="F308">
        <f>SUMIFS(tblPayments[payment_amount],tblPayments[invoice_id],A308,tblPayments[payment_status],"Success")</f>
        <v/>
      </c>
      <c r="G308">
        <f>MAX(0,E308-F308)</f>
        <v/>
      </c>
      <c r="H308">
        <f>DATE(2026,8,13)-D308</f>
        <v/>
      </c>
      <c r="I308">
        <f>IFS(G308=0,"Excluded (paid)",H308&lt;=0,"Current",H308&lt;=30,"1-30 days",H308&lt;=60,"31-60 days",H308&lt;=90,"61-90 days",TRUE,"90+ days")</f>
        <v/>
      </c>
    </row>
    <row r="309">
      <c r="A309" t="inlineStr">
        <is>
          <t>INV0008135</t>
        </is>
      </c>
      <c r="B309" t="inlineStr">
        <is>
          <t>MER00386</t>
        </is>
      </c>
      <c r="C309">
        <f>XLOOKUP(B309,Merchants!$A$4:$A$1000,Merchants!$B$4:$B$1000,"Not found")</f>
        <v/>
      </c>
      <c r="D309">
        <f>XLOOKUP(A309,tblInvoices[invoice_id],tblInvoices[due_date])</f>
        <v/>
      </c>
      <c r="E309">
        <f>XLOOKUP(A309,tblInvoices[invoice_id],tblInvoices[total_invoice_amount])</f>
        <v/>
      </c>
      <c r="F309">
        <f>SUMIFS(tblPayments[payment_amount],tblPayments[invoice_id],A309,tblPayments[payment_status],"Success")</f>
        <v/>
      </c>
      <c r="G309">
        <f>MAX(0,E309-F309)</f>
        <v/>
      </c>
      <c r="H309">
        <f>DATE(2026,8,13)-D309</f>
        <v/>
      </c>
      <c r="I309">
        <f>IFS(G309=0,"Excluded (paid)",H309&lt;=0,"Current",H309&lt;=30,"1-30 days",H309&lt;=60,"31-60 days",H309&lt;=90,"61-90 days",TRUE,"90+ days")</f>
        <v/>
      </c>
    </row>
    <row r="310">
      <c r="A310" t="inlineStr">
        <is>
          <t>INV0008136</t>
        </is>
      </c>
      <c r="B310" t="inlineStr">
        <is>
          <t>MER00386</t>
        </is>
      </c>
      <c r="C310">
        <f>XLOOKUP(B310,Merchants!$A$4:$A$1000,Merchants!$B$4:$B$1000,"Not found")</f>
        <v/>
      </c>
      <c r="D310">
        <f>XLOOKUP(A310,tblInvoices[invoice_id],tblInvoices[due_date])</f>
        <v/>
      </c>
      <c r="E310">
        <f>XLOOKUP(A310,tblInvoices[invoice_id],tblInvoices[total_invoice_amount])</f>
        <v/>
      </c>
      <c r="F310">
        <f>SUMIFS(tblPayments[payment_amount],tblPayments[invoice_id],A310,tblPayments[payment_status],"Success")</f>
        <v/>
      </c>
      <c r="G310">
        <f>MAX(0,E310-F310)</f>
        <v/>
      </c>
      <c r="H310">
        <f>DATE(2026,8,13)-D310</f>
        <v/>
      </c>
      <c r="I310">
        <f>IFS(G310=0,"Excluded (paid)",H310&lt;=0,"Current",H310&lt;=30,"1-30 days",H310&lt;=60,"31-60 days",H310&lt;=90,"61-90 days",TRUE,"90+ days")</f>
        <v/>
      </c>
    </row>
    <row r="311">
      <c r="A311" t="inlineStr">
        <is>
          <t>INV0009199</t>
        </is>
      </c>
      <c r="B311" t="inlineStr">
        <is>
          <t>MER00436</t>
        </is>
      </c>
      <c r="C311">
        <f>XLOOKUP(B311,Merchants!$A$4:$A$1000,Merchants!$B$4:$B$1000,"Not found")</f>
        <v/>
      </c>
      <c r="D311">
        <f>XLOOKUP(A311,tblInvoices[invoice_id],tblInvoices[due_date])</f>
        <v/>
      </c>
      <c r="E311">
        <f>XLOOKUP(A311,tblInvoices[invoice_id],tblInvoices[total_invoice_amount])</f>
        <v/>
      </c>
      <c r="F311">
        <f>SUMIFS(tblPayments[payment_amount],tblPayments[invoice_id],A311,tblPayments[payment_status],"Success")</f>
        <v/>
      </c>
      <c r="G311">
        <f>MAX(0,E311-F311)</f>
        <v/>
      </c>
      <c r="H311">
        <f>DATE(2026,8,13)-D311</f>
        <v/>
      </c>
      <c r="I311">
        <f>IFS(G311=0,"Excluded (paid)",H311&lt;=0,"Current",H311&lt;=30,"1-30 days",H311&lt;=60,"31-60 days",H311&lt;=90,"61-90 days",TRUE,"90+ days")</f>
        <v/>
      </c>
    </row>
    <row r="312">
      <c r="A312" t="inlineStr">
        <is>
          <t>INV0009200</t>
        </is>
      </c>
      <c r="B312" t="inlineStr">
        <is>
          <t>MER00436</t>
        </is>
      </c>
      <c r="C312">
        <f>XLOOKUP(B312,Merchants!$A$4:$A$1000,Merchants!$B$4:$B$1000,"Not found")</f>
        <v/>
      </c>
      <c r="D312">
        <f>XLOOKUP(A312,tblInvoices[invoice_id],tblInvoices[due_date])</f>
        <v/>
      </c>
      <c r="E312">
        <f>XLOOKUP(A312,tblInvoices[invoice_id],tblInvoices[total_invoice_amount])</f>
        <v/>
      </c>
      <c r="F312">
        <f>SUMIFS(tblPayments[payment_amount],tblPayments[invoice_id],A312,tblPayments[payment_status],"Success")</f>
        <v/>
      </c>
      <c r="G312">
        <f>MAX(0,E312-F312)</f>
        <v/>
      </c>
      <c r="H312">
        <f>DATE(2026,8,13)-D312</f>
        <v/>
      </c>
      <c r="I312">
        <f>IFS(G312=0,"Excluded (paid)",H312&lt;=0,"Current",H312&lt;=30,"1-30 days",H312&lt;=60,"31-60 days",H312&lt;=90,"61-90 days",TRUE,"90+ days")</f>
        <v/>
      </c>
    </row>
    <row r="313">
      <c r="A313" t="inlineStr">
        <is>
          <t>INV0009201</t>
        </is>
      </c>
      <c r="B313" t="inlineStr">
        <is>
          <t>MER00436</t>
        </is>
      </c>
      <c r="C313">
        <f>XLOOKUP(B313,Merchants!$A$4:$A$1000,Merchants!$B$4:$B$1000,"Not found")</f>
        <v/>
      </c>
      <c r="D313">
        <f>XLOOKUP(A313,tblInvoices[invoice_id],tblInvoices[due_date])</f>
        <v/>
      </c>
      <c r="E313">
        <f>XLOOKUP(A313,tblInvoices[invoice_id],tblInvoices[total_invoice_amount])</f>
        <v/>
      </c>
      <c r="F313">
        <f>SUMIFS(tblPayments[payment_amount],tblPayments[invoice_id],A313,tblPayments[payment_status],"Success")</f>
        <v/>
      </c>
      <c r="G313">
        <f>MAX(0,E313-F313)</f>
        <v/>
      </c>
      <c r="H313">
        <f>DATE(2026,8,13)-D313</f>
        <v/>
      </c>
      <c r="I313">
        <f>IFS(G313=0,"Excluded (paid)",H313&lt;=0,"Current",H313&lt;=30,"1-30 days",H313&lt;=60,"31-60 days",H313&lt;=90,"61-90 days",TRUE,"90+ days")</f>
        <v/>
      </c>
    </row>
    <row r="314">
      <c r="A314" t="inlineStr">
        <is>
          <t>INV0009202</t>
        </is>
      </c>
      <c r="B314" t="inlineStr">
        <is>
          <t>MER00436</t>
        </is>
      </c>
      <c r="C314">
        <f>XLOOKUP(B314,Merchants!$A$4:$A$1000,Merchants!$B$4:$B$1000,"Not found")</f>
        <v/>
      </c>
      <c r="D314">
        <f>XLOOKUP(A314,tblInvoices[invoice_id],tblInvoices[due_date])</f>
        <v/>
      </c>
      <c r="E314">
        <f>XLOOKUP(A314,tblInvoices[invoice_id],tblInvoices[total_invoice_amount])</f>
        <v/>
      </c>
      <c r="F314">
        <f>SUMIFS(tblPayments[payment_amount],tblPayments[invoice_id],A314,tblPayments[payment_status],"Success")</f>
        <v/>
      </c>
      <c r="G314">
        <f>MAX(0,E314-F314)</f>
        <v/>
      </c>
      <c r="H314">
        <f>DATE(2026,8,13)-D314</f>
        <v/>
      </c>
      <c r="I314">
        <f>IFS(G314=0,"Excluded (paid)",H314&lt;=0,"Current",H314&lt;=30,"1-30 days",H314&lt;=60,"31-60 days",H314&lt;=90,"61-90 days",TRUE,"90+ days")</f>
        <v/>
      </c>
    </row>
    <row r="315">
      <c r="A315" t="inlineStr">
        <is>
          <t>INV0009203</t>
        </is>
      </c>
      <c r="B315" t="inlineStr">
        <is>
          <t>MER00436</t>
        </is>
      </c>
      <c r="C315">
        <f>XLOOKUP(B315,Merchants!$A$4:$A$1000,Merchants!$B$4:$B$1000,"Not found")</f>
        <v/>
      </c>
      <c r="D315">
        <f>XLOOKUP(A315,tblInvoices[invoice_id],tblInvoices[due_date])</f>
        <v/>
      </c>
      <c r="E315">
        <f>XLOOKUP(A315,tblInvoices[invoice_id],tblInvoices[total_invoice_amount])</f>
        <v/>
      </c>
      <c r="F315">
        <f>SUMIFS(tblPayments[payment_amount],tblPayments[invoice_id],A315,tblPayments[payment_status],"Success")</f>
        <v/>
      </c>
      <c r="G315">
        <f>MAX(0,E315-F315)</f>
        <v/>
      </c>
      <c r="H315">
        <f>DATE(2026,8,13)-D315</f>
        <v/>
      </c>
      <c r="I315">
        <f>IFS(G315=0,"Excluded (paid)",H315&lt;=0,"Current",H315&lt;=30,"1-30 days",H315&lt;=60,"31-60 days",H315&lt;=90,"61-90 days",TRUE,"90+ days")</f>
        <v/>
      </c>
    </row>
    <row r="316">
      <c r="A316" t="inlineStr">
        <is>
          <t>INV0009204</t>
        </is>
      </c>
      <c r="B316" t="inlineStr">
        <is>
          <t>MER00436</t>
        </is>
      </c>
      <c r="C316">
        <f>XLOOKUP(B316,Merchants!$A$4:$A$1000,Merchants!$B$4:$B$1000,"Not found")</f>
        <v/>
      </c>
      <c r="D316">
        <f>XLOOKUP(A316,tblInvoices[invoice_id],tblInvoices[due_date])</f>
        <v/>
      </c>
      <c r="E316">
        <f>XLOOKUP(A316,tblInvoices[invoice_id],tblInvoices[total_invoice_amount])</f>
        <v/>
      </c>
      <c r="F316">
        <f>SUMIFS(tblPayments[payment_amount],tblPayments[invoice_id],A316,tblPayments[payment_status],"Success")</f>
        <v/>
      </c>
      <c r="G316">
        <f>MAX(0,E316-F316)</f>
        <v/>
      </c>
      <c r="H316">
        <f>DATE(2026,8,13)-D316</f>
        <v/>
      </c>
      <c r="I316">
        <f>IFS(G316=0,"Excluded (paid)",H316&lt;=0,"Current",H316&lt;=30,"1-30 days",H316&lt;=60,"31-60 days",H316&lt;=90,"61-90 days",TRUE,"90+ days")</f>
        <v/>
      </c>
    </row>
    <row r="317">
      <c r="A317" t="inlineStr">
        <is>
          <t>INV0009205</t>
        </is>
      </c>
      <c r="B317" t="inlineStr">
        <is>
          <t>MER00436</t>
        </is>
      </c>
      <c r="C317">
        <f>XLOOKUP(B317,Merchants!$A$4:$A$1000,Merchants!$B$4:$B$1000,"Not found")</f>
        <v/>
      </c>
      <c r="D317">
        <f>XLOOKUP(A317,tblInvoices[invoice_id],tblInvoices[due_date])</f>
        <v/>
      </c>
      <c r="E317">
        <f>XLOOKUP(A317,tblInvoices[invoice_id],tblInvoices[total_invoice_amount])</f>
        <v/>
      </c>
      <c r="F317">
        <f>SUMIFS(tblPayments[payment_amount],tblPayments[invoice_id],A317,tblPayments[payment_status],"Success")</f>
        <v/>
      </c>
      <c r="G317">
        <f>MAX(0,E317-F317)</f>
        <v/>
      </c>
      <c r="H317">
        <f>DATE(2026,8,13)-D317</f>
        <v/>
      </c>
      <c r="I317">
        <f>IFS(G317=0,"Excluded (paid)",H317&lt;=0,"Current",H317&lt;=30,"1-30 days",H317&lt;=60,"31-60 days",H317&lt;=90,"61-90 days",TRUE,"90+ days")</f>
        <v/>
      </c>
    </row>
    <row r="318">
      <c r="A318" t="inlineStr">
        <is>
          <t>INV0009206</t>
        </is>
      </c>
      <c r="B318" t="inlineStr">
        <is>
          <t>MER00436</t>
        </is>
      </c>
      <c r="C318">
        <f>XLOOKUP(B318,Merchants!$A$4:$A$1000,Merchants!$B$4:$B$1000,"Not found")</f>
        <v/>
      </c>
      <c r="D318">
        <f>XLOOKUP(A318,tblInvoices[invoice_id],tblInvoices[due_date])</f>
        <v/>
      </c>
      <c r="E318">
        <f>XLOOKUP(A318,tblInvoices[invoice_id],tblInvoices[total_invoice_amount])</f>
        <v/>
      </c>
      <c r="F318">
        <f>SUMIFS(tblPayments[payment_amount],tblPayments[invoice_id],A318,tblPayments[payment_status],"Success")</f>
        <v/>
      </c>
      <c r="G318">
        <f>MAX(0,E318-F318)</f>
        <v/>
      </c>
      <c r="H318">
        <f>DATE(2026,8,13)-D318</f>
        <v/>
      </c>
      <c r="I318">
        <f>IFS(G318=0,"Excluded (paid)",H318&lt;=0,"Current",H318&lt;=30,"1-30 days",H318&lt;=60,"31-60 days",H318&lt;=90,"61-90 days",TRUE,"90+ days")</f>
        <v/>
      </c>
    </row>
    <row r="319">
      <c r="A319" t="inlineStr">
        <is>
          <t>INV0009207</t>
        </is>
      </c>
      <c r="B319" t="inlineStr">
        <is>
          <t>MER00436</t>
        </is>
      </c>
      <c r="C319">
        <f>XLOOKUP(B319,Merchants!$A$4:$A$1000,Merchants!$B$4:$B$1000,"Not found")</f>
        <v/>
      </c>
      <c r="D319">
        <f>XLOOKUP(A319,tblInvoices[invoice_id],tblInvoices[due_date])</f>
        <v/>
      </c>
      <c r="E319">
        <f>XLOOKUP(A319,tblInvoices[invoice_id],tblInvoices[total_invoice_amount])</f>
        <v/>
      </c>
      <c r="F319">
        <f>SUMIFS(tblPayments[payment_amount],tblPayments[invoice_id],A319,tblPayments[payment_status],"Success")</f>
        <v/>
      </c>
      <c r="G319">
        <f>MAX(0,E319-F319)</f>
        <v/>
      </c>
      <c r="H319">
        <f>DATE(2026,8,13)-D319</f>
        <v/>
      </c>
      <c r="I319">
        <f>IFS(G319=0,"Excluded (paid)",H319&lt;=0,"Current",H319&lt;=30,"1-30 days",H319&lt;=60,"31-60 days",H319&lt;=90,"61-90 days",TRUE,"90+ days")</f>
        <v/>
      </c>
    </row>
    <row r="320">
      <c r="A320" t="inlineStr">
        <is>
          <t>INV0009208</t>
        </is>
      </c>
      <c r="B320" t="inlineStr">
        <is>
          <t>MER00436</t>
        </is>
      </c>
      <c r="C320">
        <f>XLOOKUP(B320,Merchants!$A$4:$A$1000,Merchants!$B$4:$B$1000,"Not found")</f>
        <v/>
      </c>
      <c r="D320">
        <f>XLOOKUP(A320,tblInvoices[invoice_id],tblInvoices[due_date])</f>
        <v/>
      </c>
      <c r="E320">
        <f>XLOOKUP(A320,tblInvoices[invoice_id],tblInvoices[total_invoice_amount])</f>
        <v/>
      </c>
      <c r="F320">
        <f>SUMIFS(tblPayments[payment_amount],tblPayments[invoice_id],A320,tblPayments[payment_status],"Success")</f>
        <v/>
      </c>
      <c r="G320">
        <f>MAX(0,E320-F320)</f>
        <v/>
      </c>
      <c r="H320">
        <f>DATE(2026,8,13)-D320</f>
        <v/>
      </c>
      <c r="I320">
        <f>IFS(G320=0,"Excluded (paid)",H320&lt;=0,"Current",H320&lt;=30,"1-30 days",H320&lt;=60,"31-60 days",H320&lt;=90,"61-90 days",TRUE,"90+ days")</f>
        <v/>
      </c>
    </row>
    <row r="321">
      <c r="A321" t="inlineStr">
        <is>
          <t>INV0009209</t>
        </is>
      </c>
      <c r="B321" t="inlineStr">
        <is>
          <t>MER00436</t>
        </is>
      </c>
      <c r="C321">
        <f>XLOOKUP(B321,Merchants!$A$4:$A$1000,Merchants!$B$4:$B$1000,"Not found")</f>
        <v/>
      </c>
      <c r="D321">
        <f>XLOOKUP(A321,tblInvoices[invoice_id],tblInvoices[due_date])</f>
        <v/>
      </c>
      <c r="E321">
        <f>XLOOKUP(A321,tblInvoices[invoice_id],tblInvoices[total_invoice_amount])</f>
        <v/>
      </c>
      <c r="F321">
        <f>SUMIFS(tblPayments[payment_amount],tblPayments[invoice_id],A321,tblPayments[payment_status],"Success")</f>
        <v/>
      </c>
      <c r="G321">
        <f>MAX(0,E321-F321)</f>
        <v/>
      </c>
      <c r="H321">
        <f>DATE(2026,8,13)-D321</f>
        <v/>
      </c>
      <c r="I321">
        <f>IFS(G321=0,"Excluded (paid)",H321&lt;=0,"Current",H321&lt;=30,"1-30 days",H321&lt;=60,"31-60 days",H321&lt;=90,"61-90 days",TRUE,"90+ days")</f>
        <v/>
      </c>
    </row>
    <row r="322">
      <c r="A322" t="inlineStr">
        <is>
          <t>INV0009210</t>
        </is>
      </c>
      <c r="B322" t="inlineStr">
        <is>
          <t>MER00436</t>
        </is>
      </c>
      <c r="C322">
        <f>XLOOKUP(B322,Merchants!$A$4:$A$1000,Merchants!$B$4:$B$1000,"Not found")</f>
        <v/>
      </c>
      <c r="D322">
        <f>XLOOKUP(A322,tblInvoices[invoice_id],tblInvoices[due_date])</f>
        <v/>
      </c>
      <c r="E322">
        <f>XLOOKUP(A322,tblInvoices[invoice_id],tblInvoices[total_invoice_amount])</f>
        <v/>
      </c>
      <c r="F322">
        <f>SUMIFS(tblPayments[payment_amount],tblPayments[invoice_id],A322,tblPayments[payment_status],"Success")</f>
        <v/>
      </c>
      <c r="G322">
        <f>MAX(0,E322-F322)</f>
        <v/>
      </c>
      <c r="H322">
        <f>DATE(2026,8,13)-D322</f>
        <v/>
      </c>
      <c r="I322">
        <f>IFS(G322=0,"Excluded (paid)",H322&lt;=0,"Current",H322&lt;=30,"1-30 days",H322&lt;=60,"31-60 days",H322&lt;=90,"61-90 days",TRUE,"90+ days")</f>
        <v/>
      </c>
    </row>
    <row r="323">
      <c r="A323" t="inlineStr">
        <is>
          <t>INV0009211</t>
        </is>
      </c>
      <c r="B323" t="inlineStr">
        <is>
          <t>MER00436</t>
        </is>
      </c>
      <c r="C323">
        <f>XLOOKUP(B323,Merchants!$A$4:$A$1000,Merchants!$B$4:$B$1000,"Not found")</f>
        <v/>
      </c>
      <c r="D323">
        <f>XLOOKUP(A323,tblInvoices[invoice_id],tblInvoices[due_date])</f>
        <v/>
      </c>
      <c r="E323">
        <f>XLOOKUP(A323,tblInvoices[invoice_id],tblInvoices[total_invoice_amount])</f>
        <v/>
      </c>
      <c r="F323">
        <f>SUMIFS(tblPayments[payment_amount],tblPayments[invoice_id],A323,tblPayments[payment_status],"Success")</f>
        <v/>
      </c>
      <c r="G323">
        <f>MAX(0,E323-F323)</f>
        <v/>
      </c>
      <c r="H323">
        <f>DATE(2026,8,13)-D323</f>
        <v/>
      </c>
      <c r="I323">
        <f>IFS(G323=0,"Excluded (paid)",H323&lt;=0,"Current",H323&lt;=30,"1-30 days",H323&lt;=60,"31-60 days",H323&lt;=90,"61-90 days",TRUE,"90+ days")</f>
        <v/>
      </c>
    </row>
    <row r="324">
      <c r="A324" t="inlineStr">
        <is>
          <t>INV0009212</t>
        </is>
      </c>
      <c r="B324" t="inlineStr">
        <is>
          <t>MER00436</t>
        </is>
      </c>
      <c r="C324">
        <f>XLOOKUP(B324,Merchants!$A$4:$A$1000,Merchants!$B$4:$B$1000,"Not found")</f>
        <v/>
      </c>
      <c r="D324">
        <f>XLOOKUP(A324,tblInvoices[invoice_id],tblInvoices[due_date])</f>
        <v/>
      </c>
      <c r="E324">
        <f>XLOOKUP(A324,tblInvoices[invoice_id],tblInvoices[total_invoice_amount])</f>
        <v/>
      </c>
      <c r="F324">
        <f>SUMIFS(tblPayments[payment_amount],tblPayments[invoice_id],A324,tblPayments[payment_status],"Success")</f>
        <v/>
      </c>
      <c r="G324">
        <f>MAX(0,E324-F324)</f>
        <v/>
      </c>
      <c r="H324">
        <f>DATE(2026,8,13)-D324</f>
        <v/>
      </c>
      <c r="I324">
        <f>IFS(G324=0,"Excluded (paid)",H324&lt;=0,"Current",H324&lt;=30,"1-30 days",H324&lt;=60,"31-60 days",H324&lt;=90,"61-90 days",TRUE,"90+ days")</f>
        <v/>
      </c>
    </row>
    <row r="325">
      <c r="A325" t="inlineStr">
        <is>
          <t>INV0009213</t>
        </is>
      </c>
      <c r="B325" t="inlineStr">
        <is>
          <t>MER00436</t>
        </is>
      </c>
      <c r="C325">
        <f>XLOOKUP(B325,Merchants!$A$4:$A$1000,Merchants!$B$4:$B$1000,"Not found")</f>
        <v/>
      </c>
      <c r="D325">
        <f>XLOOKUP(A325,tblInvoices[invoice_id],tblInvoices[due_date])</f>
        <v/>
      </c>
      <c r="E325">
        <f>XLOOKUP(A325,tblInvoices[invoice_id],tblInvoices[total_invoice_amount])</f>
        <v/>
      </c>
      <c r="F325">
        <f>SUMIFS(tblPayments[payment_amount],tblPayments[invoice_id],A325,tblPayments[payment_status],"Success")</f>
        <v/>
      </c>
      <c r="G325">
        <f>MAX(0,E325-F325)</f>
        <v/>
      </c>
      <c r="H325">
        <f>DATE(2026,8,13)-D325</f>
        <v/>
      </c>
      <c r="I325">
        <f>IFS(G325=0,"Excluded (paid)",H325&lt;=0,"Current",H325&lt;=30,"1-30 days",H325&lt;=60,"31-60 days",H325&lt;=90,"61-90 days",TRUE,"90+ days")</f>
        <v/>
      </c>
    </row>
    <row r="326">
      <c r="A326" t="inlineStr">
        <is>
          <t>INV0009214</t>
        </is>
      </c>
      <c r="B326" t="inlineStr">
        <is>
          <t>MER00436</t>
        </is>
      </c>
      <c r="C326">
        <f>XLOOKUP(B326,Merchants!$A$4:$A$1000,Merchants!$B$4:$B$1000,"Not found")</f>
        <v/>
      </c>
      <c r="D326">
        <f>XLOOKUP(A326,tblInvoices[invoice_id],tblInvoices[due_date])</f>
        <v/>
      </c>
      <c r="E326">
        <f>XLOOKUP(A326,tblInvoices[invoice_id],tblInvoices[total_invoice_amount])</f>
        <v/>
      </c>
      <c r="F326">
        <f>SUMIFS(tblPayments[payment_amount],tblPayments[invoice_id],A326,tblPayments[payment_status],"Success")</f>
        <v/>
      </c>
      <c r="G326">
        <f>MAX(0,E326-F326)</f>
        <v/>
      </c>
      <c r="H326">
        <f>DATE(2026,8,13)-D326</f>
        <v/>
      </c>
      <c r="I326">
        <f>IFS(G326=0,"Excluded (paid)",H326&lt;=0,"Current",H326&lt;=30,"1-30 days",H326&lt;=60,"31-60 days",H326&lt;=90,"61-90 days",TRUE,"90+ days")</f>
        <v/>
      </c>
    </row>
    <row r="327">
      <c r="A327" t="inlineStr">
        <is>
          <t>INV0009215</t>
        </is>
      </c>
      <c r="B327" t="inlineStr">
        <is>
          <t>MER00436</t>
        </is>
      </c>
      <c r="C327">
        <f>XLOOKUP(B327,Merchants!$A$4:$A$1000,Merchants!$B$4:$B$1000,"Not found")</f>
        <v/>
      </c>
      <c r="D327">
        <f>XLOOKUP(A327,tblInvoices[invoice_id],tblInvoices[due_date])</f>
        <v/>
      </c>
      <c r="E327">
        <f>XLOOKUP(A327,tblInvoices[invoice_id],tblInvoices[total_invoice_amount])</f>
        <v/>
      </c>
      <c r="F327">
        <f>SUMIFS(tblPayments[payment_amount],tblPayments[invoice_id],A327,tblPayments[payment_status],"Success")</f>
        <v/>
      </c>
      <c r="G327">
        <f>MAX(0,E327-F327)</f>
        <v/>
      </c>
      <c r="H327">
        <f>DATE(2026,8,13)-D327</f>
        <v/>
      </c>
      <c r="I327">
        <f>IFS(G327=0,"Excluded (paid)",H327&lt;=0,"Current",H327&lt;=30,"1-30 days",H327&lt;=60,"31-60 days",H327&lt;=90,"61-90 days",TRUE,"90+ days")</f>
        <v/>
      </c>
    </row>
    <row r="328">
      <c r="A328" t="inlineStr">
        <is>
          <t>INV0009216</t>
        </is>
      </c>
      <c r="B328" t="inlineStr">
        <is>
          <t>MER00436</t>
        </is>
      </c>
      <c r="C328">
        <f>XLOOKUP(B328,Merchants!$A$4:$A$1000,Merchants!$B$4:$B$1000,"Not found")</f>
        <v/>
      </c>
      <c r="D328">
        <f>XLOOKUP(A328,tblInvoices[invoice_id],tblInvoices[due_date])</f>
        <v/>
      </c>
      <c r="E328">
        <f>XLOOKUP(A328,tblInvoices[invoice_id],tblInvoices[total_invoice_amount])</f>
        <v/>
      </c>
      <c r="F328">
        <f>SUMIFS(tblPayments[payment_amount],tblPayments[invoice_id],A328,tblPayments[payment_status],"Success")</f>
        <v/>
      </c>
      <c r="G328">
        <f>MAX(0,E328-F328)</f>
        <v/>
      </c>
      <c r="H328">
        <f>DATE(2026,8,13)-D328</f>
        <v/>
      </c>
      <c r="I328">
        <f>IFS(G328=0,"Excluded (paid)",H328&lt;=0,"Current",H328&lt;=30,"1-30 days",H328&lt;=60,"31-60 days",H328&lt;=90,"61-90 days",TRUE,"90+ days")</f>
        <v/>
      </c>
    </row>
    <row r="329">
      <c r="A329" t="inlineStr">
        <is>
          <t>INV0009217</t>
        </is>
      </c>
      <c r="B329" t="inlineStr">
        <is>
          <t>MER00436</t>
        </is>
      </c>
      <c r="C329">
        <f>XLOOKUP(B329,Merchants!$A$4:$A$1000,Merchants!$B$4:$B$1000,"Not found")</f>
        <v/>
      </c>
      <c r="D329">
        <f>XLOOKUP(A329,tblInvoices[invoice_id],tblInvoices[due_date])</f>
        <v/>
      </c>
      <c r="E329">
        <f>XLOOKUP(A329,tblInvoices[invoice_id],tblInvoices[total_invoice_amount])</f>
        <v/>
      </c>
      <c r="F329">
        <f>SUMIFS(tblPayments[payment_amount],tblPayments[invoice_id],A329,tblPayments[payment_status],"Success")</f>
        <v/>
      </c>
      <c r="G329">
        <f>MAX(0,E329-F329)</f>
        <v/>
      </c>
      <c r="H329">
        <f>DATE(2026,8,13)-D329</f>
        <v/>
      </c>
      <c r="I329">
        <f>IFS(G329=0,"Excluded (paid)",H329&lt;=0,"Current",H329&lt;=30,"1-30 days",H329&lt;=60,"31-60 days",H329&lt;=90,"61-90 days",TRUE,"90+ days")</f>
        <v/>
      </c>
    </row>
    <row r="330">
      <c r="A330" t="inlineStr">
        <is>
          <t>INV0009218</t>
        </is>
      </c>
      <c r="B330" t="inlineStr">
        <is>
          <t>MER00436</t>
        </is>
      </c>
      <c r="C330">
        <f>XLOOKUP(B330,Merchants!$A$4:$A$1000,Merchants!$B$4:$B$1000,"Not found")</f>
        <v/>
      </c>
      <c r="D330">
        <f>XLOOKUP(A330,tblInvoices[invoice_id],tblInvoices[due_date])</f>
        <v/>
      </c>
      <c r="E330">
        <f>XLOOKUP(A330,tblInvoices[invoice_id],tblInvoices[total_invoice_amount])</f>
        <v/>
      </c>
      <c r="F330">
        <f>SUMIFS(tblPayments[payment_amount],tblPayments[invoice_id],A330,tblPayments[payment_status],"Success")</f>
        <v/>
      </c>
      <c r="G330">
        <f>MAX(0,E330-F330)</f>
        <v/>
      </c>
      <c r="H330">
        <f>DATE(2026,8,13)-D330</f>
        <v/>
      </c>
      <c r="I330">
        <f>IFS(G330=0,"Excluded (paid)",H330&lt;=0,"Current",H330&lt;=30,"1-30 days",H330&lt;=60,"31-60 days",H330&lt;=90,"61-90 days",TRUE,"90+ days")</f>
        <v/>
      </c>
    </row>
    <row r="331">
      <c r="A331" t="inlineStr">
        <is>
          <t>INV0009219</t>
        </is>
      </c>
      <c r="B331" t="inlineStr">
        <is>
          <t>MER00436</t>
        </is>
      </c>
      <c r="C331">
        <f>XLOOKUP(B331,Merchants!$A$4:$A$1000,Merchants!$B$4:$B$1000,"Not found")</f>
        <v/>
      </c>
      <c r="D331">
        <f>XLOOKUP(A331,tblInvoices[invoice_id],tblInvoices[due_date])</f>
        <v/>
      </c>
      <c r="E331">
        <f>XLOOKUP(A331,tblInvoices[invoice_id],tblInvoices[total_invoice_amount])</f>
        <v/>
      </c>
      <c r="F331">
        <f>SUMIFS(tblPayments[payment_amount],tblPayments[invoice_id],A331,tblPayments[payment_status],"Success")</f>
        <v/>
      </c>
      <c r="G331">
        <f>MAX(0,E331-F331)</f>
        <v/>
      </c>
      <c r="H331">
        <f>DATE(2026,8,13)-D331</f>
        <v/>
      </c>
      <c r="I331">
        <f>IFS(G331=0,"Excluded (paid)",H331&lt;=0,"Current",H331&lt;=30,"1-30 days",H331&lt;=60,"31-60 days",H331&lt;=90,"61-90 days",TRUE,"90+ days")</f>
        <v/>
      </c>
    </row>
    <row r="332">
      <c r="A332" t="inlineStr">
        <is>
          <t>INV0009220</t>
        </is>
      </c>
      <c r="B332" t="inlineStr">
        <is>
          <t>MER00436</t>
        </is>
      </c>
      <c r="C332">
        <f>XLOOKUP(B332,Merchants!$A$4:$A$1000,Merchants!$B$4:$B$1000,"Not found")</f>
        <v/>
      </c>
      <c r="D332">
        <f>XLOOKUP(A332,tblInvoices[invoice_id],tblInvoices[due_date])</f>
        <v/>
      </c>
      <c r="E332">
        <f>XLOOKUP(A332,tblInvoices[invoice_id],tblInvoices[total_invoice_amount])</f>
        <v/>
      </c>
      <c r="F332">
        <f>SUMIFS(tblPayments[payment_amount],tblPayments[invoice_id],A332,tblPayments[payment_status],"Success")</f>
        <v/>
      </c>
      <c r="G332">
        <f>MAX(0,E332-F332)</f>
        <v/>
      </c>
      <c r="H332">
        <f>DATE(2026,8,13)-D332</f>
        <v/>
      </c>
      <c r="I332">
        <f>IFS(G332=0,"Excluded (paid)",H332&lt;=0,"Current",H332&lt;=30,"1-30 days",H332&lt;=60,"31-60 days",H332&lt;=90,"61-90 days",TRUE,"90+ days")</f>
        <v/>
      </c>
    </row>
    <row r="333">
      <c r="A333" t="inlineStr">
        <is>
          <t>INV0009221</t>
        </is>
      </c>
      <c r="B333" t="inlineStr">
        <is>
          <t>MER00436</t>
        </is>
      </c>
      <c r="C333">
        <f>XLOOKUP(B333,Merchants!$A$4:$A$1000,Merchants!$B$4:$B$1000,"Not found")</f>
        <v/>
      </c>
      <c r="D333">
        <f>XLOOKUP(A333,tblInvoices[invoice_id],tblInvoices[due_date])</f>
        <v/>
      </c>
      <c r="E333">
        <f>XLOOKUP(A333,tblInvoices[invoice_id],tblInvoices[total_invoice_amount])</f>
        <v/>
      </c>
      <c r="F333">
        <f>SUMIFS(tblPayments[payment_amount],tblPayments[invoice_id],A333,tblPayments[payment_status],"Success")</f>
        <v/>
      </c>
      <c r="G333">
        <f>MAX(0,E333-F333)</f>
        <v/>
      </c>
      <c r="H333">
        <f>DATE(2026,8,13)-D333</f>
        <v/>
      </c>
      <c r="I333">
        <f>IFS(G333=0,"Excluded (paid)",H333&lt;=0,"Current",H333&lt;=30,"1-30 days",H333&lt;=60,"31-60 days",H333&lt;=90,"61-90 days",TRUE,"90+ days")</f>
        <v/>
      </c>
    </row>
    <row r="334">
      <c r="A334" t="inlineStr">
        <is>
          <t>INV0009222</t>
        </is>
      </c>
      <c r="B334" t="inlineStr">
        <is>
          <t>MER00436</t>
        </is>
      </c>
      <c r="C334">
        <f>XLOOKUP(B334,Merchants!$A$4:$A$1000,Merchants!$B$4:$B$1000,"Not found")</f>
        <v/>
      </c>
      <c r="D334">
        <f>XLOOKUP(A334,tblInvoices[invoice_id],tblInvoices[due_date])</f>
        <v/>
      </c>
      <c r="E334">
        <f>XLOOKUP(A334,tblInvoices[invoice_id],tblInvoices[total_invoice_amount])</f>
        <v/>
      </c>
      <c r="F334">
        <f>SUMIFS(tblPayments[payment_amount],tblPayments[invoice_id],A334,tblPayments[payment_status],"Success")</f>
        <v/>
      </c>
      <c r="G334">
        <f>MAX(0,E334-F334)</f>
        <v/>
      </c>
      <c r="H334">
        <f>DATE(2026,8,13)-D334</f>
        <v/>
      </c>
      <c r="I334">
        <f>IFS(G334=0,"Excluded (paid)",H334&lt;=0,"Current",H334&lt;=30,"1-30 days",H334&lt;=60,"31-60 days",H334&lt;=90,"61-90 days",TRUE,"90+ days")</f>
        <v/>
      </c>
    </row>
    <row r="335">
      <c r="A335" t="inlineStr">
        <is>
          <t>INV0009635</t>
        </is>
      </c>
      <c r="B335" t="inlineStr">
        <is>
          <t>MER00457</t>
        </is>
      </c>
      <c r="C335">
        <f>XLOOKUP(B335,Merchants!$A$4:$A$1000,Merchants!$B$4:$B$1000,"Not found")</f>
        <v/>
      </c>
      <c r="D335">
        <f>XLOOKUP(A335,tblInvoices[invoice_id],tblInvoices[due_date])</f>
        <v/>
      </c>
      <c r="E335">
        <f>XLOOKUP(A335,tblInvoices[invoice_id],tblInvoices[total_invoice_amount])</f>
        <v/>
      </c>
      <c r="F335">
        <f>SUMIFS(tblPayments[payment_amount],tblPayments[invoice_id],A335,tblPayments[payment_status],"Success")</f>
        <v/>
      </c>
      <c r="G335">
        <f>MAX(0,E335-F335)</f>
        <v/>
      </c>
      <c r="H335">
        <f>DATE(2026,8,13)-D335</f>
        <v/>
      </c>
      <c r="I335">
        <f>IFS(G335=0,"Excluded (paid)",H335&lt;=0,"Current",H335&lt;=30,"1-30 days",H335&lt;=60,"31-60 days",H335&lt;=90,"61-90 days",TRUE,"90+ days")</f>
        <v/>
      </c>
    </row>
    <row r="336">
      <c r="A336" t="inlineStr">
        <is>
          <t>INV0009636</t>
        </is>
      </c>
      <c r="B336" t="inlineStr">
        <is>
          <t>MER00457</t>
        </is>
      </c>
      <c r="C336">
        <f>XLOOKUP(B336,Merchants!$A$4:$A$1000,Merchants!$B$4:$B$1000,"Not found")</f>
        <v/>
      </c>
      <c r="D336">
        <f>XLOOKUP(A336,tblInvoices[invoice_id],tblInvoices[due_date])</f>
        <v/>
      </c>
      <c r="E336">
        <f>XLOOKUP(A336,tblInvoices[invoice_id],tblInvoices[total_invoice_amount])</f>
        <v/>
      </c>
      <c r="F336">
        <f>SUMIFS(tblPayments[payment_amount],tblPayments[invoice_id],A336,tblPayments[payment_status],"Success")</f>
        <v/>
      </c>
      <c r="G336">
        <f>MAX(0,E336-F336)</f>
        <v/>
      </c>
      <c r="H336">
        <f>DATE(2026,8,13)-D336</f>
        <v/>
      </c>
      <c r="I336">
        <f>IFS(G336=0,"Excluded (paid)",H336&lt;=0,"Current",H336&lt;=30,"1-30 days",H336&lt;=60,"31-60 days",H336&lt;=90,"61-90 days",TRUE,"90+ days")</f>
        <v/>
      </c>
    </row>
    <row r="337">
      <c r="A337" t="inlineStr">
        <is>
          <t>INV0009637</t>
        </is>
      </c>
      <c r="B337" t="inlineStr">
        <is>
          <t>MER00457</t>
        </is>
      </c>
      <c r="C337">
        <f>XLOOKUP(B337,Merchants!$A$4:$A$1000,Merchants!$B$4:$B$1000,"Not found")</f>
        <v/>
      </c>
      <c r="D337">
        <f>XLOOKUP(A337,tblInvoices[invoice_id],tblInvoices[due_date])</f>
        <v/>
      </c>
      <c r="E337">
        <f>XLOOKUP(A337,tblInvoices[invoice_id],tblInvoices[total_invoice_amount])</f>
        <v/>
      </c>
      <c r="F337">
        <f>SUMIFS(tblPayments[payment_amount],tblPayments[invoice_id],A337,tblPayments[payment_status],"Success")</f>
        <v/>
      </c>
      <c r="G337">
        <f>MAX(0,E337-F337)</f>
        <v/>
      </c>
      <c r="H337">
        <f>DATE(2026,8,13)-D337</f>
        <v/>
      </c>
      <c r="I337">
        <f>IFS(G337=0,"Excluded (paid)",H337&lt;=0,"Current",H337&lt;=30,"1-30 days",H337&lt;=60,"31-60 days",H337&lt;=90,"61-90 days",TRUE,"90+ days")</f>
        <v/>
      </c>
    </row>
    <row r="338">
      <c r="A338" t="inlineStr">
        <is>
          <t>INV0009638</t>
        </is>
      </c>
      <c r="B338" t="inlineStr">
        <is>
          <t>MER00457</t>
        </is>
      </c>
      <c r="C338">
        <f>XLOOKUP(B338,Merchants!$A$4:$A$1000,Merchants!$B$4:$B$1000,"Not found")</f>
        <v/>
      </c>
      <c r="D338">
        <f>XLOOKUP(A338,tblInvoices[invoice_id],tblInvoices[due_date])</f>
        <v/>
      </c>
      <c r="E338">
        <f>XLOOKUP(A338,tblInvoices[invoice_id],tblInvoices[total_invoice_amount])</f>
        <v/>
      </c>
      <c r="F338">
        <f>SUMIFS(tblPayments[payment_amount],tblPayments[invoice_id],A338,tblPayments[payment_status],"Success")</f>
        <v/>
      </c>
      <c r="G338">
        <f>MAX(0,E338-F338)</f>
        <v/>
      </c>
      <c r="H338">
        <f>DATE(2026,8,13)-D338</f>
        <v/>
      </c>
      <c r="I338">
        <f>IFS(G338=0,"Excluded (paid)",H338&lt;=0,"Current",H338&lt;=30,"1-30 days",H338&lt;=60,"31-60 days",H338&lt;=90,"61-90 days",TRUE,"90+ days")</f>
        <v/>
      </c>
    </row>
    <row r="339">
      <c r="A339" t="inlineStr">
        <is>
          <t>INV0009639</t>
        </is>
      </c>
      <c r="B339" t="inlineStr">
        <is>
          <t>MER00457</t>
        </is>
      </c>
      <c r="C339">
        <f>XLOOKUP(B339,Merchants!$A$4:$A$1000,Merchants!$B$4:$B$1000,"Not found")</f>
        <v/>
      </c>
      <c r="D339">
        <f>XLOOKUP(A339,tblInvoices[invoice_id],tblInvoices[due_date])</f>
        <v/>
      </c>
      <c r="E339">
        <f>XLOOKUP(A339,tblInvoices[invoice_id],tblInvoices[total_invoice_amount])</f>
        <v/>
      </c>
      <c r="F339">
        <f>SUMIFS(tblPayments[payment_amount],tblPayments[invoice_id],A339,tblPayments[payment_status],"Success")</f>
        <v/>
      </c>
      <c r="G339">
        <f>MAX(0,E339-F339)</f>
        <v/>
      </c>
      <c r="H339">
        <f>DATE(2026,8,13)-D339</f>
        <v/>
      </c>
      <c r="I339">
        <f>IFS(G339=0,"Excluded (paid)",H339&lt;=0,"Current",H339&lt;=30,"1-30 days",H339&lt;=60,"31-60 days",H339&lt;=90,"61-90 days",TRUE,"90+ days")</f>
        <v/>
      </c>
    </row>
    <row r="340">
      <c r="A340" t="inlineStr">
        <is>
          <t>INV0009640</t>
        </is>
      </c>
      <c r="B340" t="inlineStr">
        <is>
          <t>MER00457</t>
        </is>
      </c>
      <c r="C340">
        <f>XLOOKUP(B340,Merchants!$A$4:$A$1000,Merchants!$B$4:$B$1000,"Not found")</f>
        <v/>
      </c>
      <c r="D340">
        <f>XLOOKUP(A340,tblInvoices[invoice_id],tblInvoices[due_date])</f>
        <v/>
      </c>
      <c r="E340">
        <f>XLOOKUP(A340,tblInvoices[invoice_id],tblInvoices[total_invoice_amount])</f>
        <v/>
      </c>
      <c r="F340">
        <f>SUMIFS(tblPayments[payment_amount],tblPayments[invoice_id],A340,tblPayments[payment_status],"Success")</f>
        <v/>
      </c>
      <c r="G340">
        <f>MAX(0,E340-F340)</f>
        <v/>
      </c>
      <c r="H340">
        <f>DATE(2026,8,13)-D340</f>
        <v/>
      </c>
      <c r="I340">
        <f>IFS(G340=0,"Excluded (paid)",H340&lt;=0,"Current",H340&lt;=30,"1-30 days",H340&lt;=60,"31-60 days",H340&lt;=90,"61-90 days",TRUE,"90+ days")</f>
        <v/>
      </c>
    </row>
    <row r="341">
      <c r="A341" t="inlineStr">
        <is>
          <t>INV0009641</t>
        </is>
      </c>
      <c r="B341" t="inlineStr">
        <is>
          <t>MER00457</t>
        </is>
      </c>
      <c r="C341">
        <f>XLOOKUP(B341,Merchants!$A$4:$A$1000,Merchants!$B$4:$B$1000,"Not found")</f>
        <v/>
      </c>
      <c r="D341">
        <f>XLOOKUP(A341,tblInvoices[invoice_id],tblInvoices[due_date])</f>
        <v/>
      </c>
      <c r="E341">
        <f>XLOOKUP(A341,tblInvoices[invoice_id],tblInvoices[total_invoice_amount])</f>
        <v/>
      </c>
      <c r="F341">
        <f>SUMIFS(tblPayments[payment_amount],tblPayments[invoice_id],A341,tblPayments[payment_status],"Success")</f>
        <v/>
      </c>
      <c r="G341">
        <f>MAX(0,E341-F341)</f>
        <v/>
      </c>
      <c r="H341">
        <f>DATE(2026,8,13)-D341</f>
        <v/>
      </c>
      <c r="I341">
        <f>IFS(G341=0,"Excluded (paid)",H341&lt;=0,"Current",H341&lt;=30,"1-30 days",H341&lt;=60,"31-60 days",H341&lt;=90,"61-90 days",TRUE,"90+ days")</f>
        <v/>
      </c>
    </row>
    <row r="342">
      <c r="A342" t="inlineStr">
        <is>
          <t>INV0009642</t>
        </is>
      </c>
      <c r="B342" t="inlineStr">
        <is>
          <t>MER00457</t>
        </is>
      </c>
      <c r="C342">
        <f>XLOOKUP(B342,Merchants!$A$4:$A$1000,Merchants!$B$4:$B$1000,"Not found")</f>
        <v/>
      </c>
      <c r="D342">
        <f>XLOOKUP(A342,tblInvoices[invoice_id],tblInvoices[due_date])</f>
        <v/>
      </c>
      <c r="E342">
        <f>XLOOKUP(A342,tblInvoices[invoice_id],tblInvoices[total_invoice_amount])</f>
        <v/>
      </c>
      <c r="F342">
        <f>SUMIFS(tblPayments[payment_amount],tblPayments[invoice_id],A342,tblPayments[payment_status],"Success")</f>
        <v/>
      </c>
      <c r="G342">
        <f>MAX(0,E342-F342)</f>
        <v/>
      </c>
      <c r="H342">
        <f>DATE(2026,8,13)-D342</f>
        <v/>
      </c>
      <c r="I342">
        <f>IFS(G342=0,"Excluded (paid)",H342&lt;=0,"Current",H342&lt;=30,"1-30 days",H342&lt;=60,"31-60 days",H342&lt;=90,"61-90 days",TRUE,"90+ days")</f>
        <v/>
      </c>
    </row>
    <row r="343">
      <c r="A343" t="inlineStr">
        <is>
          <t>INV0009643</t>
        </is>
      </c>
      <c r="B343" t="inlineStr">
        <is>
          <t>MER00457</t>
        </is>
      </c>
      <c r="C343">
        <f>XLOOKUP(B343,Merchants!$A$4:$A$1000,Merchants!$B$4:$B$1000,"Not found")</f>
        <v/>
      </c>
      <c r="D343">
        <f>XLOOKUP(A343,tblInvoices[invoice_id],tblInvoices[due_date])</f>
        <v/>
      </c>
      <c r="E343">
        <f>XLOOKUP(A343,tblInvoices[invoice_id],tblInvoices[total_invoice_amount])</f>
        <v/>
      </c>
      <c r="F343">
        <f>SUMIFS(tblPayments[payment_amount],tblPayments[invoice_id],A343,tblPayments[payment_status],"Success")</f>
        <v/>
      </c>
      <c r="G343">
        <f>MAX(0,E343-F343)</f>
        <v/>
      </c>
      <c r="H343">
        <f>DATE(2026,8,13)-D343</f>
        <v/>
      </c>
      <c r="I343">
        <f>IFS(G343=0,"Excluded (paid)",H343&lt;=0,"Current",H343&lt;=30,"1-30 days",H343&lt;=60,"31-60 days",H343&lt;=90,"61-90 days",TRUE,"90+ days")</f>
        <v/>
      </c>
    </row>
    <row r="344">
      <c r="A344" t="inlineStr">
        <is>
          <t>INV0009644</t>
        </is>
      </c>
      <c r="B344" t="inlineStr">
        <is>
          <t>MER00457</t>
        </is>
      </c>
      <c r="C344">
        <f>XLOOKUP(B344,Merchants!$A$4:$A$1000,Merchants!$B$4:$B$1000,"Not found")</f>
        <v/>
      </c>
      <c r="D344">
        <f>XLOOKUP(A344,tblInvoices[invoice_id],tblInvoices[due_date])</f>
        <v/>
      </c>
      <c r="E344">
        <f>XLOOKUP(A344,tblInvoices[invoice_id],tblInvoices[total_invoice_amount])</f>
        <v/>
      </c>
      <c r="F344">
        <f>SUMIFS(tblPayments[payment_amount],tblPayments[invoice_id],A344,tblPayments[payment_status],"Success")</f>
        <v/>
      </c>
      <c r="G344">
        <f>MAX(0,E344-F344)</f>
        <v/>
      </c>
      <c r="H344">
        <f>DATE(2026,8,13)-D344</f>
        <v/>
      </c>
      <c r="I344">
        <f>IFS(G344=0,"Excluded (paid)",H344&lt;=0,"Current",H344&lt;=30,"1-30 days",H344&lt;=60,"31-60 days",H344&lt;=90,"61-90 days",TRUE,"90+ days")</f>
        <v/>
      </c>
    </row>
    <row r="345">
      <c r="A345" t="inlineStr">
        <is>
          <t>INV0009645</t>
        </is>
      </c>
      <c r="B345" t="inlineStr">
        <is>
          <t>MER00457</t>
        </is>
      </c>
      <c r="C345">
        <f>XLOOKUP(B345,Merchants!$A$4:$A$1000,Merchants!$B$4:$B$1000,"Not found")</f>
        <v/>
      </c>
      <c r="D345">
        <f>XLOOKUP(A345,tblInvoices[invoice_id],tblInvoices[due_date])</f>
        <v/>
      </c>
      <c r="E345">
        <f>XLOOKUP(A345,tblInvoices[invoice_id],tblInvoices[total_invoice_amount])</f>
        <v/>
      </c>
      <c r="F345">
        <f>SUMIFS(tblPayments[payment_amount],tblPayments[invoice_id],A345,tblPayments[payment_status],"Success")</f>
        <v/>
      </c>
      <c r="G345">
        <f>MAX(0,E345-F345)</f>
        <v/>
      </c>
      <c r="H345">
        <f>DATE(2026,8,13)-D345</f>
        <v/>
      </c>
      <c r="I345">
        <f>IFS(G345=0,"Excluded (paid)",H345&lt;=0,"Current",H345&lt;=30,"1-30 days",H345&lt;=60,"31-60 days",H345&lt;=90,"61-90 days",TRUE,"90+ days")</f>
        <v/>
      </c>
    </row>
    <row r="346">
      <c r="A346" t="inlineStr">
        <is>
          <t>INV0009646</t>
        </is>
      </c>
      <c r="B346" t="inlineStr">
        <is>
          <t>MER00457</t>
        </is>
      </c>
      <c r="C346">
        <f>XLOOKUP(B346,Merchants!$A$4:$A$1000,Merchants!$B$4:$B$1000,"Not found")</f>
        <v/>
      </c>
      <c r="D346">
        <f>XLOOKUP(A346,tblInvoices[invoice_id],tblInvoices[due_date])</f>
        <v/>
      </c>
      <c r="E346">
        <f>XLOOKUP(A346,tblInvoices[invoice_id],tblInvoices[total_invoice_amount])</f>
        <v/>
      </c>
      <c r="F346">
        <f>SUMIFS(tblPayments[payment_amount],tblPayments[invoice_id],A346,tblPayments[payment_status],"Success")</f>
        <v/>
      </c>
      <c r="G346">
        <f>MAX(0,E346-F346)</f>
        <v/>
      </c>
      <c r="H346">
        <f>DATE(2026,8,13)-D346</f>
        <v/>
      </c>
      <c r="I346">
        <f>IFS(G346=0,"Excluded (paid)",H346&lt;=0,"Current",H346&lt;=30,"1-30 days",H346&lt;=60,"31-60 days",H346&lt;=90,"61-90 days",TRUE,"90+ days")</f>
        <v/>
      </c>
    </row>
    <row r="347">
      <c r="A347" t="inlineStr">
        <is>
          <t>INV0009647</t>
        </is>
      </c>
      <c r="B347" t="inlineStr">
        <is>
          <t>MER00457</t>
        </is>
      </c>
      <c r="C347">
        <f>XLOOKUP(B347,Merchants!$A$4:$A$1000,Merchants!$B$4:$B$1000,"Not found")</f>
        <v/>
      </c>
      <c r="D347">
        <f>XLOOKUP(A347,tblInvoices[invoice_id],tblInvoices[due_date])</f>
        <v/>
      </c>
      <c r="E347">
        <f>XLOOKUP(A347,tblInvoices[invoice_id],tblInvoices[total_invoice_amount])</f>
        <v/>
      </c>
      <c r="F347">
        <f>SUMIFS(tblPayments[payment_amount],tblPayments[invoice_id],A347,tblPayments[payment_status],"Success")</f>
        <v/>
      </c>
      <c r="G347">
        <f>MAX(0,E347-F347)</f>
        <v/>
      </c>
      <c r="H347">
        <f>DATE(2026,8,13)-D347</f>
        <v/>
      </c>
      <c r="I347">
        <f>IFS(G347=0,"Excluded (paid)",H347&lt;=0,"Current",H347&lt;=30,"1-30 days",H347&lt;=60,"31-60 days",H347&lt;=90,"61-90 days",TRUE,"90+ days")</f>
        <v/>
      </c>
    </row>
    <row r="348">
      <c r="A348" t="inlineStr">
        <is>
          <t>INV0009648</t>
        </is>
      </c>
      <c r="B348" t="inlineStr">
        <is>
          <t>MER00457</t>
        </is>
      </c>
      <c r="C348">
        <f>XLOOKUP(B348,Merchants!$A$4:$A$1000,Merchants!$B$4:$B$1000,"Not found")</f>
        <v/>
      </c>
      <c r="D348">
        <f>XLOOKUP(A348,tblInvoices[invoice_id],tblInvoices[due_date])</f>
        <v/>
      </c>
      <c r="E348">
        <f>XLOOKUP(A348,tblInvoices[invoice_id],tblInvoices[total_invoice_amount])</f>
        <v/>
      </c>
      <c r="F348">
        <f>SUMIFS(tblPayments[payment_amount],tblPayments[invoice_id],A348,tblPayments[payment_status],"Success")</f>
        <v/>
      </c>
      <c r="G348">
        <f>MAX(0,E348-F348)</f>
        <v/>
      </c>
      <c r="H348">
        <f>DATE(2026,8,13)-D348</f>
        <v/>
      </c>
      <c r="I348">
        <f>IFS(G348=0,"Excluded (paid)",H348&lt;=0,"Current",H348&lt;=30,"1-30 days",H348&lt;=60,"31-60 days",H348&lt;=90,"61-90 days",TRUE,"90+ days")</f>
        <v/>
      </c>
    </row>
    <row r="349">
      <c r="A349" t="inlineStr">
        <is>
          <t>INV0009649</t>
        </is>
      </c>
      <c r="B349" t="inlineStr">
        <is>
          <t>MER00457</t>
        </is>
      </c>
      <c r="C349">
        <f>XLOOKUP(B349,Merchants!$A$4:$A$1000,Merchants!$B$4:$B$1000,"Not found")</f>
        <v/>
      </c>
      <c r="D349">
        <f>XLOOKUP(A349,tblInvoices[invoice_id],tblInvoices[due_date])</f>
        <v/>
      </c>
      <c r="E349">
        <f>XLOOKUP(A349,tblInvoices[invoice_id],tblInvoices[total_invoice_amount])</f>
        <v/>
      </c>
      <c r="F349">
        <f>SUMIFS(tblPayments[payment_amount],tblPayments[invoice_id],A349,tblPayments[payment_status],"Success")</f>
        <v/>
      </c>
      <c r="G349">
        <f>MAX(0,E349-F349)</f>
        <v/>
      </c>
      <c r="H349">
        <f>DATE(2026,8,13)-D349</f>
        <v/>
      </c>
      <c r="I349">
        <f>IFS(G349=0,"Excluded (paid)",H349&lt;=0,"Current",H349&lt;=30,"1-30 days",H349&lt;=60,"31-60 days",H349&lt;=90,"61-90 days",TRUE,"90+ days")</f>
        <v/>
      </c>
    </row>
    <row r="350">
      <c r="A350" t="inlineStr">
        <is>
          <t>INV0009650</t>
        </is>
      </c>
      <c r="B350" t="inlineStr">
        <is>
          <t>MER00457</t>
        </is>
      </c>
      <c r="C350">
        <f>XLOOKUP(B350,Merchants!$A$4:$A$1000,Merchants!$B$4:$B$1000,"Not found")</f>
        <v/>
      </c>
      <c r="D350">
        <f>XLOOKUP(A350,tblInvoices[invoice_id],tblInvoices[due_date])</f>
        <v/>
      </c>
      <c r="E350">
        <f>XLOOKUP(A350,tblInvoices[invoice_id],tblInvoices[total_invoice_amount])</f>
        <v/>
      </c>
      <c r="F350">
        <f>SUMIFS(tblPayments[payment_amount],tblPayments[invoice_id],A350,tblPayments[payment_status],"Success")</f>
        <v/>
      </c>
      <c r="G350">
        <f>MAX(0,E350-F350)</f>
        <v/>
      </c>
      <c r="H350">
        <f>DATE(2026,8,13)-D350</f>
        <v/>
      </c>
      <c r="I350">
        <f>IFS(G350=0,"Excluded (paid)",H350&lt;=0,"Current",H350&lt;=30,"1-30 days",H350&lt;=60,"31-60 days",H350&lt;=90,"61-90 days",TRUE,"90+ days")</f>
        <v/>
      </c>
    </row>
    <row r="351">
      <c r="A351" t="inlineStr">
        <is>
          <t>INV0009651</t>
        </is>
      </c>
      <c r="B351" t="inlineStr">
        <is>
          <t>MER00457</t>
        </is>
      </c>
      <c r="C351">
        <f>XLOOKUP(B351,Merchants!$A$4:$A$1000,Merchants!$B$4:$B$1000,"Not found")</f>
        <v/>
      </c>
      <c r="D351">
        <f>XLOOKUP(A351,tblInvoices[invoice_id],tblInvoices[due_date])</f>
        <v/>
      </c>
      <c r="E351">
        <f>XLOOKUP(A351,tblInvoices[invoice_id],tblInvoices[total_invoice_amount])</f>
        <v/>
      </c>
      <c r="F351">
        <f>SUMIFS(tblPayments[payment_amount],tblPayments[invoice_id],A351,tblPayments[payment_status],"Success")</f>
        <v/>
      </c>
      <c r="G351">
        <f>MAX(0,E351-F351)</f>
        <v/>
      </c>
      <c r="H351">
        <f>DATE(2026,8,13)-D351</f>
        <v/>
      </c>
      <c r="I351">
        <f>IFS(G351=0,"Excluded (paid)",H351&lt;=0,"Current",H351&lt;=30,"1-30 days",H351&lt;=60,"31-60 days",H351&lt;=90,"61-90 days",TRUE,"90+ days")</f>
        <v/>
      </c>
    </row>
    <row r="352">
      <c r="A352" t="inlineStr">
        <is>
          <t>INV0009652</t>
        </is>
      </c>
      <c r="B352" t="inlineStr">
        <is>
          <t>MER00457</t>
        </is>
      </c>
      <c r="C352">
        <f>XLOOKUP(B352,Merchants!$A$4:$A$1000,Merchants!$B$4:$B$1000,"Not found")</f>
        <v/>
      </c>
      <c r="D352">
        <f>XLOOKUP(A352,tblInvoices[invoice_id],tblInvoices[due_date])</f>
        <v/>
      </c>
      <c r="E352">
        <f>XLOOKUP(A352,tblInvoices[invoice_id],tblInvoices[total_invoice_amount])</f>
        <v/>
      </c>
      <c r="F352">
        <f>SUMIFS(tblPayments[payment_amount],tblPayments[invoice_id],A352,tblPayments[payment_status],"Success")</f>
        <v/>
      </c>
      <c r="G352">
        <f>MAX(0,E352-F352)</f>
        <v/>
      </c>
      <c r="H352">
        <f>DATE(2026,8,13)-D352</f>
        <v/>
      </c>
      <c r="I352">
        <f>IFS(G352=0,"Excluded (paid)",H352&lt;=0,"Current",H352&lt;=30,"1-30 days",H352&lt;=60,"31-60 days",H352&lt;=90,"61-90 days",TRUE,"90+ days")</f>
        <v/>
      </c>
    </row>
    <row r="353">
      <c r="A353" t="inlineStr">
        <is>
          <t>INV0009653</t>
        </is>
      </c>
      <c r="B353" t="inlineStr">
        <is>
          <t>MER00457</t>
        </is>
      </c>
      <c r="C353">
        <f>XLOOKUP(B353,Merchants!$A$4:$A$1000,Merchants!$B$4:$B$1000,"Not found")</f>
        <v/>
      </c>
      <c r="D353">
        <f>XLOOKUP(A353,tblInvoices[invoice_id],tblInvoices[due_date])</f>
        <v/>
      </c>
      <c r="E353">
        <f>XLOOKUP(A353,tblInvoices[invoice_id],tblInvoices[total_invoice_amount])</f>
        <v/>
      </c>
      <c r="F353">
        <f>SUMIFS(tblPayments[payment_amount],tblPayments[invoice_id],A353,tblPayments[payment_status],"Success")</f>
        <v/>
      </c>
      <c r="G353">
        <f>MAX(0,E353-F353)</f>
        <v/>
      </c>
      <c r="H353">
        <f>DATE(2026,8,13)-D353</f>
        <v/>
      </c>
      <c r="I353">
        <f>IFS(G353=0,"Excluded (paid)",H353&lt;=0,"Current",H353&lt;=30,"1-30 days",H353&lt;=60,"31-60 days",H353&lt;=90,"61-90 days",TRUE,"90+ days")</f>
        <v/>
      </c>
    </row>
    <row r="354">
      <c r="A354" t="inlineStr">
        <is>
          <t>INV0009654</t>
        </is>
      </c>
      <c r="B354" t="inlineStr">
        <is>
          <t>MER00457</t>
        </is>
      </c>
      <c r="C354">
        <f>XLOOKUP(B354,Merchants!$A$4:$A$1000,Merchants!$B$4:$B$1000,"Not found")</f>
        <v/>
      </c>
      <c r="D354">
        <f>XLOOKUP(A354,tblInvoices[invoice_id],tblInvoices[due_date])</f>
        <v/>
      </c>
      <c r="E354">
        <f>XLOOKUP(A354,tblInvoices[invoice_id],tblInvoices[total_invoice_amount])</f>
        <v/>
      </c>
      <c r="F354">
        <f>SUMIFS(tblPayments[payment_amount],tblPayments[invoice_id],A354,tblPayments[payment_status],"Success")</f>
        <v/>
      </c>
      <c r="G354">
        <f>MAX(0,E354-F354)</f>
        <v/>
      </c>
      <c r="H354">
        <f>DATE(2026,8,13)-D354</f>
        <v/>
      </c>
      <c r="I354">
        <f>IFS(G354=0,"Excluded (paid)",H354&lt;=0,"Current",H354&lt;=30,"1-30 days",H354&lt;=60,"31-60 days",H354&lt;=90,"61-90 days",TRUE,"90+ days")</f>
        <v/>
      </c>
    </row>
    <row r="355">
      <c r="A355" t="inlineStr">
        <is>
          <t>INV0009655</t>
        </is>
      </c>
      <c r="B355" t="inlineStr">
        <is>
          <t>MER00457</t>
        </is>
      </c>
      <c r="C355">
        <f>XLOOKUP(B355,Merchants!$A$4:$A$1000,Merchants!$B$4:$B$1000,"Not found")</f>
        <v/>
      </c>
      <c r="D355">
        <f>XLOOKUP(A355,tblInvoices[invoice_id],tblInvoices[due_date])</f>
        <v/>
      </c>
      <c r="E355">
        <f>XLOOKUP(A355,tblInvoices[invoice_id],tblInvoices[total_invoice_amount])</f>
        <v/>
      </c>
      <c r="F355">
        <f>SUMIFS(tblPayments[payment_amount],tblPayments[invoice_id],A355,tblPayments[payment_status],"Success")</f>
        <v/>
      </c>
      <c r="G355">
        <f>MAX(0,E355-F355)</f>
        <v/>
      </c>
      <c r="H355">
        <f>DATE(2026,8,13)-D355</f>
        <v/>
      </c>
      <c r="I355">
        <f>IFS(G355=0,"Excluded (paid)",H355&lt;=0,"Current",H355&lt;=30,"1-30 days",H355&lt;=60,"31-60 days",H355&lt;=90,"61-90 days",TRUE,"90+ days")</f>
        <v/>
      </c>
    </row>
    <row r="356">
      <c r="A356" t="inlineStr">
        <is>
          <t>INV0009656</t>
        </is>
      </c>
      <c r="B356" t="inlineStr">
        <is>
          <t>MER00457</t>
        </is>
      </c>
      <c r="C356">
        <f>XLOOKUP(B356,Merchants!$A$4:$A$1000,Merchants!$B$4:$B$1000,"Not found")</f>
        <v/>
      </c>
      <c r="D356">
        <f>XLOOKUP(A356,tblInvoices[invoice_id],tblInvoices[due_date])</f>
        <v/>
      </c>
      <c r="E356">
        <f>XLOOKUP(A356,tblInvoices[invoice_id],tblInvoices[total_invoice_amount])</f>
        <v/>
      </c>
      <c r="F356">
        <f>SUMIFS(tblPayments[payment_amount],tblPayments[invoice_id],A356,tblPayments[payment_status],"Success")</f>
        <v/>
      </c>
      <c r="G356">
        <f>MAX(0,E356-F356)</f>
        <v/>
      </c>
      <c r="H356">
        <f>DATE(2026,8,13)-D356</f>
        <v/>
      </c>
      <c r="I356">
        <f>IFS(G356=0,"Excluded (paid)",H356&lt;=0,"Current",H356&lt;=30,"1-30 days",H356&lt;=60,"31-60 days",H356&lt;=90,"61-90 days",TRUE,"90+ days")</f>
        <v/>
      </c>
    </row>
    <row r="357">
      <c r="A357" t="inlineStr">
        <is>
          <t>INV0009657</t>
        </is>
      </c>
      <c r="B357" t="inlineStr">
        <is>
          <t>MER00457</t>
        </is>
      </c>
      <c r="C357">
        <f>XLOOKUP(B357,Merchants!$A$4:$A$1000,Merchants!$B$4:$B$1000,"Not found")</f>
        <v/>
      </c>
      <c r="D357">
        <f>XLOOKUP(A357,tblInvoices[invoice_id],tblInvoices[due_date])</f>
        <v/>
      </c>
      <c r="E357">
        <f>XLOOKUP(A357,tblInvoices[invoice_id],tblInvoices[total_invoice_amount])</f>
        <v/>
      </c>
      <c r="F357">
        <f>SUMIFS(tblPayments[payment_amount],tblPayments[invoice_id],A357,tblPayments[payment_status],"Success")</f>
        <v/>
      </c>
      <c r="G357">
        <f>MAX(0,E357-F357)</f>
        <v/>
      </c>
      <c r="H357">
        <f>DATE(2026,8,13)-D357</f>
        <v/>
      </c>
      <c r="I357">
        <f>IFS(G357=0,"Excluded (paid)",H357&lt;=0,"Current",H357&lt;=30,"1-30 days",H357&lt;=60,"31-60 days",H357&lt;=90,"61-90 days",TRUE,"90+ days")</f>
        <v/>
      </c>
    </row>
    <row r="358">
      <c r="A358" t="inlineStr">
        <is>
          <t>INV0009658</t>
        </is>
      </c>
      <c r="B358" t="inlineStr">
        <is>
          <t>MER00457</t>
        </is>
      </c>
      <c r="C358">
        <f>XLOOKUP(B358,Merchants!$A$4:$A$1000,Merchants!$B$4:$B$1000,"Not found")</f>
        <v/>
      </c>
      <c r="D358">
        <f>XLOOKUP(A358,tblInvoices[invoice_id],tblInvoices[due_date])</f>
        <v/>
      </c>
      <c r="E358">
        <f>XLOOKUP(A358,tblInvoices[invoice_id],tblInvoices[total_invoice_amount])</f>
        <v/>
      </c>
      <c r="F358">
        <f>SUMIFS(tblPayments[payment_amount],tblPayments[invoice_id],A358,tblPayments[payment_status],"Success")</f>
        <v/>
      </c>
      <c r="G358">
        <f>MAX(0,E358-F358)</f>
        <v/>
      </c>
      <c r="H358">
        <f>DATE(2026,8,13)-D358</f>
        <v/>
      </c>
      <c r="I358">
        <f>IFS(G358=0,"Excluded (paid)",H358&lt;=0,"Current",H358&lt;=30,"1-30 days",H358&lt;=60,"31-60 days",H358&lt;=90,"61-90 days",TRUE,"90+ days")</f>
        <v/>
      </c>
    </row>
    <row r="359">
      <c r="A359" t="inlineStr">
        <is>
          <t>INV0010152</t>
        </is>
      </c>
      <c r="B359" t="inlineStr">
        <is>
          <t>MER00480</t>
        </is>
      </c>
      <c r="C359">
        <f>XLOOKUP(B359,Merchants!$A$4:$A$1000,Merchants!$B$4:$B$1000,"Not found")</f>
        <v/>
      </c>
      <c r="D359">
        <f>XLOOKUP(A359,tblInvoices[invoice_id],tblInvoices[due_date])</f>
        <v/>
      </c>
      <c r="E359">
        <f>XLOOKUP(A359,tblInvoices[invoice_id],tblInvoices[total_invoice_amount])</f>
        <v/>
      </c>
      <c r="F359">
        <f>SUMIFS(tblPayments[payment_amount],tblPayments[invoice_id],A359,tblPayments[payment_status],"Success")</f>
        <v/>
      </c>
      <c r="G359">
        <f>MAX(0,E359-F359)</f>
        <v/>
      </c>
      <c r="H359">
        <f>DATE(2026,8,13)-D359</f>
        <v/>
      </c>
      <c r="I359">
        <f>IFS(G359=0,"Excluded (paid)",H359&lt;=0,"Current",H359&lt;=30,"1-30 days",H359&lt;=60,"31-60 days",H359&lt;=90,"61-90 days",TRUE,"90+ days")</f>
        <v/>
      </c>
    </row>
    <row r="360">
      <c r="A360" t="inlineStr">
        <is>
          <t>INV0010153</t>
        </is>
      </c>
      <c r="B360" t="inlineStr">
        <is>
          <t>MER00480</t>
        </is>
      </c>
      <c r="C360">
        <f>XLOOKUP(B360,Merchants!$A$4:$A$1000,Merchants!$B$4:$B$1000,"Not found")</f>
        <v/>
      </c>
      <c r="D360">
        <f>XLOOKUP(A360,tblInvoices[invoice_id],tblInvoices[due_date])</f>
        <v/>
      </c>
      <c r="E360">
        <f>XLOOKUP(A360,tblInvoices[invoice_id],tblInvoices[total_invoice_amount])</f>
        <v/>
      </c>
      <c r="F360">
        <f>SUMIFS(tblPayments[payment_amount],tblPayments[invoice_id],A360,tblPayments[payment_status],"Success")</f>
        <v/>
      </c>
      <c r="G360">
        <f>MAX(0,E360-F360)</f>
        <v/>
      </c>
      <c r="H360">
        <f>DATE(2026,8,13)-D360</f>
        <v/>
      </c>
      <c r="I360">
        <f>IFS(G360=0,"Excluded (paid)",H360&lt;=0,"Current",H360&lt;=30,"1-30 days",H360&lt;=60,"31-60 days",H360&lt;=90,"61-90 days",TRUE,"90+ days")</f>
        <v/>
      </c>
    </row>
    <row r="361">
      <c r="A361" t="inlineStr">
        <is>
          <t>INV0010154</t>
        </is>
      </c>
      <c r="B361" t="inlineStr">
        <is>
          <t>MER00480</t>
        </is>
      </c>
      <c r="C361">
        <f>XLOOKUP(B361,Merchants!$A$4:$A$1000,Merchants!$B$4:$B$1000,"Not found")</f>
        <v/>
      </c>
      <c r="D361">
        <f>XLOOKUP(A361,tblInvoices[invoice_id],tblInvoices[due_date])</f>
        <v/>
      </c>
      <c r="E361">
        <f>XLOOKUP(A361,tblInvoices[invoice_id],tblInvoices[total_invoice_amount])</f>
        <v/>
      </c>
      <c r="F361">
        <f>SUMIFS(tblPayments[payment_amount],tblPayments[invoice_id],A361,tblPayments[payment_status],"Success")</f>
        <v/>
      </c>
      <c r="G361">
        <f>MAX(0,E361-F361)</f>
        <v/>
      </c>
      <c r="H361">
        <f>DATE(2026,8,13)-D361</f>
        <v/>
      </c>
      <c r="I361">
        <f>IFS(G361=0,"Excluded (paid)",H361&lt;=0,"Current",H361&lt;=30,"1-30 days",H361&lt;=60,"31-60 days",H361&lt;=90,"61-90 days",TRUE,"90+ days")</f>
        <v/>
      </c>
    </row>
    <row r="362">
      <c r="A362" t="inlineStr">
        <is>
          <t>INV0010155</t>
        </is>
      </c>
      <c r="B362" t="inlineStr">
        <is>
          <t>MER00480</t>
        </is>
      </c>
      <c r="C362">
        <f>XLOOKUP(B362,Merchants!$A$4:$A$1000,Merchants!$B$4:$B$1000,"Not found")</f>
        <v/>
      </c>
      <c r="D362">
        <f>XLOOKUP(A362,tblInvoices[invoice_id],tblInvoices[due_date])</f>
        <v/>
      </c>
      <c r="E362">
        <f>XLOOKUP(A362,tblInvoices[invoice_id],tblInvoices[total_invoice_amount])</f>
        <v/>
      </c>
      <c r="F362">
        <f>SUMIFS(tblPayments[payment_amount],tblPayments[invoice_id],A362,tblPayments[payment_status],"Success")</f>
        <v/>
      </c>
      <c r="G362">
        <f>MAX(0,E362-F362)</f>
        <v/>
      </c>
      <c r="H362">
        <f>DATE(2026,8,13)-D362</f>
        <v/>
      </c>
      <c r="I362">
        <f>IFS(G362=0,"Excluded (paid)",H362&lt;=0,"Current",H362&lt;=30,"1-30 days",H362&lt;=60,"31-60 days",H362&lt;=90,"61-90 days",TRUE,"90+ days")</f>
        <v/>
      </c>
    </row>
    <row r="363">
      <c r="A363" t="inlineStr">
        <is>
          <t>INV0010156</t>
        </is>
      </c>
      <c r="B363" t="inlineStr">
        <is>
          <t>MER00480</t>
        </is>
      </c>
      <c r="C363">
        <f>XLOOKUP(B363,Merchants!$A$4:$A$1000,Merchants!$B$4:$B$1000,"Not found")</f>
        <v/>
      </c>
      <c r="D363">
        <f>XLOOKUP(A363,tblInvoices[invoice_id],tblInvoices[due_date])</f>
        <v/>
      </c>
      <c r="E363">
        <f>XLOOKUP(A363,tblInvoices[invoice_id],tblInvoices[total_invoice_amount])</f>
        <v/>
      </c>
      <c r="F363">
        <f>SUMIFS(tblPayments[payment_amount],tblPayments[invoice_id],A363,tblPayments[payment_status],"Success")</f>
        <v/>
      </c>
      <c r="G363">
        <f>MAX(0,E363-F363)</f>
        <v/>
      </c>
      <c r="H363">
        <f>DATE(2026,8,13)-D363</f>
        <v/>
      </c>
      <c r="I363">
        <f>IFS(G363=0,"Excluded (paid)",H363&lt;=0,"Current",H363&lt;=30,"1-30 days",H363&lt;=60,"31-60 days",H363&lt;=90,"61-90 days",TRUE,"90+ days")</f>
        <v/>
      </c>
    </row>
    <row r="364">
      <c r="A364" t="inlineStr">
        <is>
          <t>INV0010157</t>
        </is>
      </c>
      <c r="B364" t="inlineStr">
        <is>
          <t>MER00480</t>
        </is>
      </c>
      <c r="C364">
        <f>XLOOKUP(B364,Merchants!$A$4:$A$1000,Merchants!$B$4:$B$1000,"Not found")</f>
        <v/>
      </c>
      <c r="D364">
        <f>XLOOKUP(A364,tblInvoices[invoice_id],tblInvoices[due_date])</f>
        <v/>
      </c>
      <c r="E364">
        <f>XLOOKUP(A364,tblInvoices[invoice_id],tblInvoices[total_invoice_amount])</f>
        <v/>
      </c>
      <c r="F364">
        <f>SUMIFS(tblPayments[payment_amount],tblPayments[invoice_id],A364,tblPayments[payment_status],"Success")</f>
        <v/>
      </c>
      <c r="G364">
        <f>MAX(0,E364-F364)</f>
        <v/>
      </c>
      <c r="H364">
        <f>DATE(2026,8,13)-D364</f>
        <v/>
      </c>
      <c r="I364">
        <f>IFS(G364=0,"Excluded (paid)",H364&lt;=0,"Current",H364&lt;=30,"1-30 days",H364&lt;=60,"31-60 days",H364&lt;=90,"61-90 days",TRUE,"90+ days")</f>
        <v/>
      </c>
    </row>
    <row r="365">
      <c r="A365" t="inlineStr">
        <is>
          <t>INV0010158</t>
        </is>
      </c>
      <c r="B365" t="inlineStr">
        <is>
          <t>MER00480</t>
        </is>
      </c>
      <c r="C365">
        <f>XLOOKUP(B365,Merchants!$A$4:$A$1000,Merchants!$B$4:$B$1000,"Not found")</f>
        <v/>
      </c>
      <c r="D365">
        <f>XLOOKUP(A365,tblInvoices[invoice_id],tblInvoices[due_date])</f>
        <v/>
      </c>
      <c r="E365">
        <f>XLOOKUP(A365,tblInvoices[invoice_id],tblInvoices[total_invoice_amount])</f>
        <v/>
      </c>
      <c r="F365">
        <f>SUMIFS(tblPayments[payment_amount],tblPayments[invoice_id],A365,tblPayments[payment_status],"Success")</f>
        <v/>
      </c>
      <c r="G365">
        <f>MAX(0,E365-F365)</f>
        <v/>
      </c>
      <c r="H365">
        <f>DATE(2026,8,13)-D365</f>
        <v/>
      </c>
      <c r="I365">
        <f>IFS(G365=0,"Excluded (paid)",H365&lt;=0,"Current",H365&lt;=30,"1-30 days",H365&lt;=60,"31-60 days",H365&lt;=90,"61-90 days",TRUE,"90+ days")</f>
        <v/>
      </c>
    </row>
    <row r="366">
      <c r="A366" t="inlineStr">
        <is>
          <t>INV0010159</t>
        </is>
      </c>
      <c r="B366" t="inlineStr">
        <is>
          <t>MER00480</t>
        </is>
      </c>
      <c r="C366">
        <f>XLOOKUP(B366,Merchants!$A$4:$A$1000,Merchants!$B$4:$B$1000,"Not found")</f>
        <v/>
      </c>
      <c r="D366">
        <f>XLOOKUP(A366,tblInvoices[invoice_id],tblInvoices[due_date])</f>
        <v/>
      </c>
      <c r="E366">
        <f>XLOOKUP(A366,tblInvoices[invoice_id],tblInvoices[total_invoice_amount])</f>
        <v/>
      </c>
      <c r="F366">
        <f>SUMIFS(tblPayments[payment_amount],tblPayments[invoice_id],A366,tblPayments[payment_status],"Success")</f>
        <v/>
      </c>
      <c r="G366">
        <f>MAX(0,E366-F366)</f>
        <v/>
      </c>
      <c r="H366">
        <f>DATE(2026,8,13)-D366</f>
        <v/>
      </c>
      <c r="I366">
        <f>IFS(G366=0,"Excluded (paid)",H366&lt;=0,"Current",H366&lt;=30,"1-30 days",H366&lt;=60,"31-60 days",H366&lt;=90,"61-90 days",TRUE,"90+ days")</f>
        <v/>
      </c>
    </row>
    <row r="367">
      <c r="A367" t="inlineStr">
        <is>
          <t>INV0010160</t>
        </is>
      </c>
      <c r="B367" t="inlineStr">
        <is>
          <t>MER00480</t>
        </is>
      </c>
      <c r="C367">
        <f>XLOOKUP(B367,Merchants!$A$4:$A$1000,Merchants!$B$4:$B$1000,"Not found")</f>
        <v/>
      </c>
      <c r="D367">
        <f>XLOOKUP(A367,tblInvoices[invoice_id],tblInvoices[due_date])</f>
        <v/>
      </c>
      <c r="E367">
        <f>XLOOKUP(A367,tblInvoices[invoice_id],tblInvoices[total_invoice_amount])</f>
        <v/>
      </c>
      <c r="F367">
        <f>SUMIFS(tblPayments[payment_amount],tblPayments[invoice_id],A367,tblPayments[payment_status],"Success")</f>
        <v/>
      </c>
      <c r="G367">
        <f>MAX(0,E367-F367)</f>
        <v/>
      </c>
      <c r="H367">
        <f>DATE(2026,8,13)-D367</f>
        <v/>
      </c>
      <c r="I367">
        <f>IFS(G367=0,"Excluded (paid)",H367&lt;=0,"Current",H367&lt;=30,"1-30 days",H367&lt;=60,"31-60 days",H367&lt;=90,"61-90 days",TRUE,"90+ days")</f>
        <v/>
      </c>
    </row>
    <row r="368">
      <c r="A368" t="inlineStr">
        <is>
          <t>INV0010161</t>
        </is>
      </c>
      <c r="B368" t="inlineStr">
        <is>
          <t>MER00480</t>
        </is>
      </c>
      <c r="C368">
        <f>XLOOKUP(B368,Merchants!$A$4:$A$1000,Merchants!$B$4:$B$1000,"Not found")</f>
        <v/>
      </c>
      <c r="D368">
        <f>XLOOKUP(A368,tblInvoices[invoice_id],tblInvoices[due_date])</f>
        <v/>
      </c>
      <c r="E368">
        <f>XLOOKUP(A368,tblInvoices[invoice_id],tblInvoices[total_invoice_amount])</f>
        <v/>
      </c>
      <c r="F368">
        <f>SUMIFS(tblPayments[payment_amount],tblPayments[invoice_id],A368,tblPayments[payment_status],"Success")</f>
        <v/>
      </c>
      <c r="G368">
        <f>MAX(0,E368-F368)</f>
        <v/>
      </c>
      <c r="H368">
        <f>DATE(2026,8,13)-D368</f>
        <v/>
      </c>
      <c r="I368">
        <f>IFS(G368=0,"Excluded (paid)",H368&lt;=0,"Current",H368&lt;=30,"1-30 days",H368&lt;=60,"31-60 days",H368&lt;=90,"61-90 days",TRUE,"90+ days")</f>
        <v/>
      </c>
    </row>
    <row r="369">
      <c r="A369" t="inlineStr">
        <is>
          <t>INV0010162</t>
        </is>
      </c>
      <c r="B369" t="inlineStr">
        <is>
          <t>MER00480</t>
        </is>
      </c>
      <c r="C369">
        <f>XLOOKUP(B369,Merchants!$A$4:$A$1000,Merchants!$B$4:$B$1000,"Not found")</f>
        <v/>
      </c>
      <c r="D369">
        <f>XLOOKUP(A369,tblInvoices[invoice_id],tblInvoices[due_date])</f>
        <v/>
      </c>
      <c r="E369">
        <f>XLOOKUP(A369,tblInvoices[invoice_id],tblInvoices[total_invoice_amount])</f>
        <v/>
      </c>
      <c r="F369">
        <f>SUMIFS(tblPayments[payment_amount],tblPayments[invoice_id],A369,tblPayments[payment_status],"Success")</f>
        <v/>
      </c>
      <c r="G369">
        <f>MAX(0,E369-F369)</f>
        <v/>
      </c>
      <c r="H369">
        <f>DATE(2026,8,13)-D369</f>
        <v/>
      </c>
      <c r="I369">
        <f>IFS(G369=0,"Excluded (paid)",H369&lt;=0,"Current",H369&lt;=30,"1-30 days",H369&lt;=60,"31-60 days",H369&lt;=90,"61-90 days",TRUE,"90+ days")</f>
        <v/>
      </c>
    </row>
    <row r="370">
      <c r="A370" t="inlineStr">
        <is>
          <t>INV0010163</t>
        </is>
      </c>
      <c r="B370" t="inlineStr">
        <is>
          <t>MER00480</t>
        </is>
      </c>
      <c r="C370">
        <f>XLOOKUP(B370,Merchants!$A$4:$A$1000,Merchants!$B$4:$B$1000,"Not found")</f>
        <v/>
      </c>
      <c r="D370">
        <f>XLOOKUP(A370,tblInvoices[invoice_id],tblInvoices[due_date])</f>
        <v/>
      </c>
      <c r="E370">
        <f>XLOOKUP(A370,tblInvoices[invoice_id],tblInvoices[total_invoice_amount])</f>
        <v/>
      </c>
      <c r="F370">
        <f>SUMIFS(tblPayments[payment_amount],tblPayments[invoice_id],A370,tblPayments[payment_status],"Success")</f>
        <v/>
      </c>
      <c r="G370">
        <f>MAX(0,E370-F370)</f>
        <v/>
      </c>
      <c r="H370">
        <f>DATE(2026,8,13)-D370</f>
        <v/>
      </c>
      <c r="I370">
        <f>IFS(G370=0,"Excluded (paid)",H370&lt;=0,"Current",H370&lt;=30,"1-30 days",H370&lt;=60,"31-60 days",H370&lt;=90,"61-90 days",TRUE,"90+ days")</f>
        <v/>
      </c>
    </row>
    <row r="371">
      <c r="A371" t="inlineStr">
        <is>
          <t>INV0010164</t>
        </is>
      </c>
      <c r="B371" t="inlineStr">
        <is>
          <t>MER00480</t>
        </is>
      </c>
      <c r="C371">
        <f>XLOOKUP(B371,Merchants!$A$4:$A$1000,Merchants!$B$4:$B$1000,"Not found")</f>
        <v/>
      </c>
      <c r="D371">
        <f>XLOOKUP(A371,tblInvoices[invoice_id],tblInvoices[due_date])</f>
        <v/>
      </c>
      <c r="E371">
        <f>XLOOKUP(A371,tblInvoices[invoice_id],tblInvoices[total_invoice_amount])</f>
        <v/>
      </c>
      <c r="F371">
        <f>SUMIFS(tblPayments[payment_amount],tblPayments[invoice_id],A371,tblPayments[payment_status],"Success")</f>
        <v/>
      </c>
      <c r="G371">
        <f>MAX(0,E371-F371)</f>
        <v/>
      </c>
      <c r="H371">
        <f>DATE(2026,8,13)-D371</f>
        <v/>
      </c>
      <c r="I371">
        <f>IFS(G371=0,"Excluded (paid)",H371&lt;=0,"Current",H371&lt;=30,"1-30 days",H371&lt;=60,"31-60 days",H371&lt;=90,"61-90 days",TRUE,"90+ days")</f>
        <v/>
      </c>
    </row>
    <row r="372">
      <c r="A372" t="inlineStr">
        <is>
          <t>INV0010165</t>
        </is>
      </c>
      <c r="B372" t="inlineStr">
        <is>
          <t>MER00480</t>
        </is>
      </c>
      <c r="C372">
        <f>XLOOKUP(B372,Merchants!$A$4:$A$1000,Merchants!$B$4:$B$1000,"Not found")</f>
        <v/>
      </c>
      <c r="D372">
        <f>XLOOKUP(A372,tblInvoices[invoice_id],tblInvoices[due_date])</f>
        <v/>
      </c>
      <c r="E372">
        <f>XLOOKUP(A372,tblInvoices[invoice_id],tblInvoices[total_invoice_amount])</f>
        <v/>
      </c>
      <c r="F372">
        <f>SUMIFS(tblPayments[payment_amount],tblPayments[invoice_id],A372,tblPayments[payment_status],"Success")</f>
        <v/>
      </c>
      <c r="G372">
        <f>MAX(0,E372-F372)</f>
        <v/>
      </c>
      <c r="H372">
        <f>DATE(2026,8,13)-D372</f>
        <v/>
      </c>
      <c r="I372">
        <f>IFS(G372=0,"Excluded (paid)",H372&lt;=0,"Current",H372&lt;=30,"1-30 days",H372&lt;=60,"31-60 days",H372&lt;=90,"61-90 days",TRUE,"90+ days")</f>
        <v/>
      </c>
    </row>
    <row r="373">
      <c r="A373" t="inlineStr">
        <is>
          <t>INV0010166</t>
        </is>
      </c>
      <c r="B373" t="inlineStr">
        <is>
          <t>MER00480</t>
        </is>
      </c>
      <c r="C373">
        <f>XLOOKUP(B373,Merchants!$A$4:$A$1000,Merchants!$B$4:$B$1000,"Not found")</f>
        <v/>
      </c>
      <c r="D373">
        <f>XLOOKUP(A373,tblInvoices[invoice_id],tblInvoices[due_date])</f>
        <v/>
      </c>
      <c r="E373">
        <f>XLOOKUP(A373,tblInvoices[invoice_id],tblInvoices[total_invoice_amount])</f>
        <v/>
      </c>
      <c r="F373">
        <f>SUMIFS(tblPayments[payment_amount],tblPayments[invoice_id],A373,tblPayments[payment_status],"Success")</f>
        <v/>
      </c>
      <c r="G373">
        <f>MAX(0,E373-F373)</f>
        <v/>
      </c>
      <c r="H373">
        <f>DATE(2026,8,13)-D373</f>
        <v/>
      </c>
      <c r="I373">
        <f>IFS(G373=0,"Excluded (paid)",H373&lt;=0,"Current",H373&lt;=30,"1-30 days",H373&lt;=60,"31-60 days",H373&lt;=90,"61-90 days",TRUE,"90+ days")</f>
        <v/>
      </c>
    </row>
    <row r="374">
      <c r="A374" t="inlineStr">
        <is>
          <t>INV0010167</t>
        </is>
      </c>
      <c r="B374" t="inlineStr">
        <is>
          <t>MER00480</t>
        </is>
      </c>
      <c r="C374">
        <f>XLOOKUP(B374,Merchants!$A$4:$A$1000,Merchants!$B$4:$B$1000,"Not found")</f>
        <v/>
      </c>
      <c r="D374">
        <f>XLOOKUP(A374,tblInvoices[invoice_id],tblInvoices[due_date])</f>
        <v/>
      </c>
      <c r="E374">
        <f>XLOOKUP(A374,tblInvoices[invoice_id],tblInvoices[total_invoice_amount])</f>
        <v/>
      </c>
      <c r="F374">
        <f>SUMIFS(tblPayments[payment_amount],tblPayments[invoice_id],A374,tblPayments[payment_status],"Success")</f>
        <v/>
      </c>
      <c r="G374">
        <f>MAX(0,E374-F374)</f>
        <v/>
      </c>
      <c r="H374">
        <f>DATE(2026,8,13)-D374</f>
        <v/>
      </c>
      <c r="I374">
        <f>IFS(G374=0,"Excluded (paid)",H374&lt;=0,"Current",H374&lt;=30,"1-30 days",H374&lt;=60,"31-60 days",H374&lt;=90,"61-90 days",TRUE,"90+ days")</f>
        <v/>
      </c>
    </row>
    <row r="375">
      <c r="A375" t="inlineStr">
        <is>
          <t>INV0010168</t>
        </is>
      </c>
      <c r="B375" t="inlineStr">
        <is>
          <t>MER00480</t>
        </is>
      </c>
      <c r="C375">
        <f>XLOOKUP(B375,Merchants!$A$4:$A$1000,Merchants!$B$4:$B$1000,"Not found")</f>
        <v/>
      </c>
      <c r="D375">
        <f>XLOOKUP(A375,tblInvoices[invoice_id],tblInvoices[due_date])</f>
        <v/>
      </c>
      <c r="E375">
        <f>XLOOKUP(A375,tblInvoices[invoice_id],tblInvoices[total_invoice_amount])</f>
        <v/>
      </c>
      <c r="F375">
        <f>SUMIFS(tblPayments[payment_amount],tblPayments[invoice_id],A375,tblPayments[payment_status],"Success")</f>
        <v/>
      </c>
      <c r="G375">
        <f>MAX(0,E375-F375)</f>
        <v/>
      </c>
      <c r="H375">
        <f>DATE(2026,8,13)-D375</f>
        <v/>
      </c>
      <c r="I375">
        <f>IFS(G375=0,"Excluded (paid)",H375&lt;=0,"Current",H375&lt;=30,"1-30 days",H375&lt;=60,"31-60 days",H375&lt;=90,"61-90 days",TRUE,"90+ days")</f>
        <v/>
      </c>
    </row>
    <row r="376">
      <c r="A376" t="inlineStr">
        <is>
          <t>INV0010169</t>
        </is>
      </c>
      <c r="B376" t="inlineStr">
        <is>
          <t>MER00480</t>
        </is>
      </c>
      <c r="C376">
        <f>XLOOKUP(B376,Merchants!$A$4:$A$1000,Merchants!$B$4:$B$1000,"Not found")</f>
        <v/>
      </c>
      <c r="D376">
        <f>XLOOKUP(A376,tblInvoices[invoice_id],tblInvoices[due_date])</f>
        <v/>
      </c>
      <c r="E376">
        <f>XLOOKUP(A376,tblInvoices[invoice_id],tblInvoices[total_invoice_amount])</f>
        <v/>
      </c>
      <c r="F376">
        <f>SUMIFS(tblPayments[payment_amount],tblPayments[invoice_id],A376,tblPayments[payment_status],"Success")</f>
        <v/>
      </c>
      <c r="G376">
        <f>MAX(0,E376-F376)</f>
        <v/>
      </c>
      <c r="H376">
        <f>DATE(2026,8,13)-D376</f>
        <v/>
      </c>
      <c r="I376">
        <f>IFS(G376=0,"Excluded (paid)",H376&lt;=0,"Current",H376&lt;=30,"1-30 days",H376&lt;=60,"31-60 days",H376&lt;=90,"61-90 days",TRUE,"90+ days")</f>
        <v/>
      </c>
    </row>
    <row r="377">
      <c r="A377" t="inlineStr">
        <is>
          <t>INV0010170</t>
        </is>
      </c>
      <c r="B377" t="inlineStr">
        <is>
          <t>MER00480</t>
        </is>
      </c>
      <c r="C377">
        <f>XLOOKUP(B377,Merchants!$A$4:$A$1000,Merchants!$B$4:$B$1000,"Not found")</f>
        <v/>
      </c>
      <c r="D377">
        <f>XLOOKUP(A377,tblInvoices[invoice_id],tblInvoices[due_date])</f>
        <v/>
      </c>
      <c r="E377">
        <f>XLOOKUP(A377,tblInvoices[invoice_id],tblInvoices[total_invoice_amount])</f>
        <v/>
      </c>
      <c r="F377">
        <f>SUMIFS(tblPayments[payment_amount],tblPayments[invoice_id],A377,tblPayments[payment_status],"Success")</f>
        <v/>
      </c>
      <c r="G377">
        <f>MAX(0,E377-F377)</f>
        <v/>
      </c>
      <c r="H377">
        <f>DATE(2026,8,13)-D377</f>
        <v/>
      </c>
      <c r="I377">
        <f>IFS(G377=0,"Excluded (paid)",H377&lt;=0,"Current",H377&lt;=30,"1-30 days",H377&lt;=60,"31-60 days",H377&lt;=90,"61-90 days",TRUE,"90+ days")</f>
        <v/>
      </c>
    </row>
    <row r="378">
      <c r="A378" t="inlineStr">
        <is>
          <t>INV0010171</t>
        </is>
      </c>
      <c r="B378" t="inlineStr">
        <is>
          <t>MER00480</t>
        </is>
      </c>
      <c r="C378">
        <f>XLOOKUP(B378,Merchants!$A$4:$A$1000,Merchants!$B$4:$B$1000,"Not found")</f>
        <v/>
      </c>
      <c r="D378">
        <f>XLOOKUP(A378,tblInvoices[invoice_id],tblInvoices[due_date])</f>
        <v/>
      </c>
      <c r="E378">
        <f>XLOOKUP(A378,tblInvoices[invoice_id],tblInvoices[total_invoice_amount])</f>
        <v/>
      </c>
      <c r="F378">
        <f>SUMIFS(tblPayments[payment_amount],tblPayments[invoice_id],A378,tblPayments[payment_status],"Success")</f>
        <v/>
      </c>
      <c r="G378">
        <f>MAX(0,E378-F378)</f>
        <v/>
      </c>
      <c r="H378">
        <f>DATE(2026,8,13)-D378</f>
        <v/>
      </c>
      <c r="I378">
        <f>IFS(G378=0,"Excluded (paid)",H378&lt;=0,"Current",H378&lt;=30,"1-30 days",H378&lt;=60,"31-60 days",H378&lt;=90,"61-90 days",TRUE,"90+ days")</f>
        <v/>
      </c>
    </row>
    <row r="379">
      <c r="A379" t="inlineStr">
        <is>
          <t>INV0010172</t>
        </is>
      </c>
      <c r="B379" t="inlineStr">
        <is>
          <t>MER00480</t>
        </is>
      </c>
      <c r="C379">
        <f>XLOOKUP(B379,Merchants!$A$4:$A$1000,Merchants!$B$4:$B$1000,"Not found")</f>
        <v/>
      </c>
      <c r="D379">
        <f>XLOOKUP(A379,tblInvoices[invoice_id],tblInvoices[due_date])</f>
        <v/>
      </c>
      <c r="E379">
        <f>XLOOKUP(A379,tblInvoices[invoice_id],tblInvoices[total_invoice_amount])</f>
        <v/>
      </c>
      <c r="F379">
        <f>SUMIFS(tblPayments[payment_amount],tblPayments[invoice_id],A379,tblPayments[payment_status],"Success")</f>
        <v/>
      </c>
      <c r="G379">
        <f>MAX(0,E379-F379)</f>
        <v/>
      </c>
      <c r="H379">
        <f>DATE(2026,8,13)-D379</f>
        <v/>
      </c>
      <c r="I379">
        <f>IFS(G379=0,"Excluded (paid)",H379&lt;=0,"Current",H379&lt;=30,"1-30 days",H379&lt;=60,"31-60 days",H379&lt;=90,"61-90 days",TRUE,"90+ days")</f>
        <v/>
      </c>
    </row>
    <row r="380">
      <c r="A380" t="inlineStr">
        <is>
          <t>INV0010173</t>
        </is>
      </c>
      <c r="B380" t="inlineStr">
        <is>
          <t>MER00480</t>
        </is>
      </c>
      <c r="C380">
        <f>XLOOKUP(B380,Merchants!$A$4:$A$1000,Merchants!$B$4:$B$1000,"Not found")</f>
        <v/>
      </c>
      <c r="D380">
        <f>XLOOKUP(A380,tblInvoices[invoice_id],tblInvoices[due_date])</f>
        <v/>
      </c>
      <c r="E380">
        <f>XLOOKUP(A380,tblInvoices[invoice_id],tblInvoices[total_invoice_amount])</f>
        <v/>
      </c>
      <c r="F380">
        <f>SUMIFS(tblPayments[payment_amount],tblPayments[invoice_id],A380,tblPayments[payment_status],"Success")</f>
        <v/>
      </c>
      <c r="G380">
        <f>MAX(0,E380-F380)</f>
        <v/>
      </c>
      <c r="H380">
        <f>DATE(2026,8,13)-D380</f>
        <v/>
      </c>
      <c r="I380">
        <f>IFS(G380=0,"Excluded (paid)",H380&lt;=0,"Current",H380&lt;=30,"1-30 days",H380&lt;=60,"31-60 days",H380&lt;=90,"61-90 days",TRUE,"90+ days")</f>
        <v/>
      </c>
    </row>
    <row r="381">
      <c r="A381" t="inlineStr">
        <is>
          <t>INV0010174</t>
        </is>
      </c>
      <c r="B381" t="inlineStr">
        <is>
          <t>MER00480</t>
        </is>
      </c>
      <c r="C381">
        <f>XLOOKUP(B381,Merchants!$A$4:$A$1000,Merchants!$B$4:$B$1000,"Not found")</f>
        <v/>
      </c>
      <c r="D381">
        <f>XLOOKUP(A381,tblInvoices[invoice_id],tblInvoices[due_date])</f>
        <v/>
      </c>
      <c r="E381">
        <f>XLOOKUP(A381,tblInvoices[invoice_id],tblInvoices[total_invoice_amount])</f>
        <v/>
      </c>
      <c r="F381">
        <f>SUMIFS(tblPayments[payment_amount],tblPayments[invoice_id],A381,tblPayments[payment_status],"Success")</f>
        <v/>
      </c>
      <c r="G381">
        <f>MAX(0,E381-F381)</f>
        <v/>
      </c>
      <c r="H381">
        <f>DATE(2026,8,13)-D381</f>
        <v/>
      </c>
      <c r="I381">
        <f>IFS(G381=0,"Excluded (paid)",H381&lt;=0,"Current",H381&lt;=30,"1-30 days",H381&lt;=60,"31-60 days",H381&lt;=90,"61-90 days",TRUE,"90+ days")</f>
        <v/>
      </c>
    </row>
    <row r="382">
      <c r="A382" t="inlineStr">
        <is>
          <t>INV0010175</t>
        </is>
      </c>
      <c r="B382" t="inlineStr">
        <is>
          <t>MER00480</t>
        </is>
      </c>
      <c r="C382">
        <f>XLOOKUP(B382,Merchants!$A$4:$A$1000,Merchants!$B$4:$B$1000,"Not found")</f>
        <v/>
      </c>
      <c r="D382">
        <f>XLOOKUP(A382,tblInvoices[invoice_id],tblInvoices[due_date])</f>
        <v/>
      </c>
      <c r="E382">
        <f>XLOOKUP(A382,tblInvoices[invoice_id],tblInvoices[total_invoice_amount])</f>
        <v/>
      </c>
      <c r="F382">
        <f>SUMIFS(tblPayments[payment_amount],tblPayments[invoice_id],A382,tblPayments[payment_status],"Success")</f>
        <v/>
      </c>
      <c r="G382">
        <f>MAX(0,E382-F382)</f>
        <v/>
      </c>
      <c r="H382">
        <f>DATE(2026,8,13)-D382</f>
        <v/>
      </c>
      <c r="I382">
        <f>IFS(G382=0,"Excluded (paid)",H382&lt;=0,"Current",H382&lt;=30,"1-30 days",H382&lt;=60,"31-60 days",H382&lt;=90,"61-90 days",TRUE,"90+ days")</f>
        <v/>
      </c>
    </row>
    <row r="383">
      <c r="A383" t="inlineStr">
        <is>
          <t>INV0010246</t>
        </is>
      </c>
      <c r="B383" t="inlineStr">
        <is>
          <t>MER00484</t>
        </is>
      </c>
      <c r="C383">
        <f>XLOOKUP(B383,Merchants!$A$4:$A$1000,Merchants!$B$4:$B$1000,"Not found")</f>
        <v/>
      </c>
      <c r="D383">
        <f>XLOOKUP(A383,tblInvoices[invoice_id],tblInvoices[due_date])</f>
        <v/>
      </c>
      <c r="E383">
        <f>XLOOKUP(A383,tblInvoices[invoice_id],tblInvoices[total_invoice_amount])</f>
        <v/>
      </c>
      <c r="F383">
        <f>SUMIFS(tblPayments[payment_amount],tblPayments[invoice_id],A383,tblPayments[payment_status],"Success")</f>
        <v/>
      </c>
      <c r="G383">
        <f>MAX(0,E383-F383)</f>
        <v/>
      </c>
      <c r="H383">
        <f>DATE(2026,8,13)-D383</f>
        <v/>
      </c>
      <c r="I383">
        <f>IFS(G383=0,"Excluded (paid)",H383&lt;=0,"Current",H383&lt;=30,"1-30 days",H383&lt;=60,"31-60 days",H383&lt;=90,"61-90 days",TRUE,"90+ days")</f>
        <v/>
      </c>
    </row>
    <row r="384">
      <c r="A384" t="inlineStr">
        <is>
          <t>INV0010247</t>
        </is>
      </c>
      <c r="B384" t="inlineStr">
        <is>
          <t>MER00484</t>
        </is>
      </c>
      <c r="C384">
        <f>XLOOKUP(B384,Merchants!$A$4:$A$1000,Merchants!$B$4:$B$1000,"Not found")</f>
        <v/>
      </c>
      <c r="D384">
        <f>XLOOKUP(A384,tblInvoices[invoice_id],tblInvoices[due_date])</f>
        <v/>
      </c>
      <c r="E384">
        <f>XLOOKUP(A384,tblInvoices[invoice_id],tblInvoices[total_invoice_amount])</f>
        <v/>
      </c>
      <c r="F384">
        <f>SUMIFS(tblPayments[payment_amount],tblPayments[invoice_id],A384,tblPayments[payment_status],"Success")</f>
        <v/>
      </c>
      <c r="G384">
        <f>MAX(0,E384-F384)</f>
        <v/>
      </c>
      <c r="H384">
        <f>DATE(2026,8,13)-D384</f>
        <v/>
      </c>
      <c r="I384">
        <f>IFS(G384=0,"Excluded (paid)",H384&lt;=0,"Current",H384&lt;=30,"1-30 days",H384&lt;=60,"31-60 days",H384&lt;=90,"61-90 days",TRUE,"90+ days")</f>
        <v/>
      </c>
    </row>
    <row r="385">
      <c r="A385" t="inlineStr">
        <is>
          <t>INV0010248</t>
        </is>
      </c>
      <c r="B385" t="inlineStr">
        <is>
          <t>MER00484</t>
        </is>
      </c>
      <c r="C385">
        <f>XLOOKUP(B385,Merchants!$A$4:$A$1000,Merchants!$B$4:$B$1000,"Not found")</f>
        <v/>
      </c>
      <c r="D385">
        <f>XLOOKUP(A385,tblInvoices[invoice_id],tblInvoices[due_date])</f>
        <v/>
      </c>
      <c r="E385">
        <f>XLOOKUP(A385,tblInvoices[invoice_id],tblInvoices[total_invoice_amount])</f>
        <v/>
      </c>
      <c r="F385">
        <f>SUMIFS(tblPayments[payment_amount],tblPayments[invoice_id],A385,tblPayments[payment_status],"Success")</f>
        <v/>
      </c>
      <c r="G385">
        <f>MAX(0,E385-F385)</f>
        <v/>
      </c>
      <c r="H385">
        <f>DATE(2026,8,13)-D385</f>
        <v/>
      </c>
      <c r="I385">
        <f>IFS(G385=0,"Excluded (paid)",H385&lt;=0,"Current",H385&lt;=30,"1-30 days",H385&lt;=60,"31-60 days",H385&lt;=90,"61-90 days",TRUE,"90+ days")</f>
        <v/>
      </c>
    </row>
    <row r="386">
      <c r="A386" t="inlineStr">
        <is>
          <t>INV0010249</t>
        </is>
      </c>
      <c r="B386" t="inlineStr">
        <is>
          <t>MER00484</t>
        </is>
      </c>
      <c r="C386">
        <f>XLOOKUP(B386,Merchants!$A$4:$A$1000,Merchants!$B$4:$B$1000,"Not found")</f>
        <v/>
      </c>
      <c r="D386">
        <f>XLOOKUP(A386,tblInvoices[invoice_id],tblInvoices[due_date])</f>
        <v/>
      </c>
      <c r="E386">
        <f>XLOOKUP(A386,tblInvoices[invoice_id],tblInvoices[total_invoice_amount])</f>
        <v/>
      </c>
      <c r="F386">
        <f>SUMIFS(tblPayments[payment_amount],tblPayments[invoice_id],A386,tblPayments[payment_status],"Success")</f>
        <v/>
      </c>
      <c r="G386">
        <f>MAX(0,E386-F386)</f>
        <v/>
      </c>
      <c r="H386">
        <f>DATE(2026,8,13)-D386</f>
        <v/>
      </c>
      <c r="I386">
        <f>IFS(G386=0,"Excluded (paid)",H386&lt;=0,"Current",H386&lt;=30,"1-30 days",H386&lt;=60,"31-60 days",H386&lt;=90,"61-90 days",TRUE,"90+ days")</f>
        <v/>
      </c>
    </row>
    <row r="387">
      <c r="A387" t="inlineStr">
        <is>
          <t>INV0010250</t>
        </is>
      </c>
      <c r="B387" t="inlineStr">
        <is>
          <t>MER00484</t>
        </is>
      </c>
      <c r="C387">
        <f>XLOOKUP(B387,Merchants!$A$4:$A$1000,Merchants!$B$4:$B$1000,"Not found")</f>
        <v/>
      </c>
      <c r="D387">
        <f>XLOOKUP(A387,tblInvoices[invoice_id],tblInvoices[due_date])</f>
        <v/>
      </c>
      <c r="E387">
        <f>XLOOKUP(A387,tblInvoices[invoice_id],tblInvoices[total_invoice_amount])</f>
        <v/>
      </c>
      <c r="F387">
        <f>SUMIFS(tblPayments[payment_amount],tblPayments[invoice_id],A387,tblPayments[payment_status],"Success")</f>
        <v/>
      </c>
      <c r="G387">
        <f>MAX(0,E387-F387)</f>
        <v/>
      </c>
      <c r="H387">
        <f>DATE(2026,8,13)-D387</f>
        <v/>
      </c>
      <c r="I387">
        <f>IFS(G387=0,"Excluded (paid)",H387&lt;=0,"Current",H387&lt;=30,"1-30 days",H387&lt;=60,"31-60 days",H387&lt;=90,"61-90 days",TRUE,"90+ days")</f>
        <v/>
      </c>
    </row>
    <row r="388">
      <c r="A388" t="inlineStr">
        <is>
          <t>INV0010251</t>
        </is>
      </c>
      <c r="B388" t="inlineStr">
        <is>
          <t>MER00484</t>
        </is>
      </c>
      <c r="C388">
        <f>XLOOKUP(B388,Merchants!$A$4:$A$1000,Merchants!$B$4:$B$1000,"Not found")</f>
        <v/>
      </c>
      <c r="D388">
        <f>XLOOKUP(A388,tblInvoices[invoice_id],tblInvoices[due_date])</f>
        <v/>
      </c>
      <c r="E388">
        <f>XLOOKUP(A388,tblInvoices[invoice_id],tblInvoices[total_invoice_amount])</f>
        <v/>
      </c>
      <c r="F388">
        <f>SUMIFS(tblPayments[payment_amount],tblPayments[invoice_id],A388,tblPayments[payment_status],"Success")</f>
        <v/>
      </c>
      <c r="G388">
        <f>MAX(0,E388-F388)</f>
        <v/>
      </c>
      <c r="H388">
        <f>DATE(2026,8,13)-D388</f>
        <v/>
      </c>
      <c r="I388">
        <f>IFS(G388=0,"Excluded (paid)",H388&lt;=0,"Current",H388&lt;=30,"1-30 days",H388&lt;=60,"31-60 days",H388&lt;=90,"61-90 days",TRUE,"90+ days")</f>
        <v/>
      </c>
    </row>
    <row r="389">
      <c r="A389" t="inlineStr">
        <is>
          <t>INV0010252</t>
        </is>
      </c>
      <c r="B389" t="inlineStr">
        <is>
          <t>MER00484</t>
        </is>
      </c>
      <c r="C389">
        <f>XLOOKUP(B389,Merchants!$A$4:$A$1000,Merchants!$B$4:$B$1000,"Not found")</f>
        <v/>
      </c>
      <c r="D389">
        <f>XLOOKUP(A389,tblInvoices[invoice_id],tblInvoices[due_date])</f>
        <v/>
      </c>
      <c r="E389">
        <f>XLOOKUP(A389,tblInvoices[invoice_id],tblInvoices[total_invoice_amount])</f>
        <v/>
      </c>
      <c r="F389">
        <f>SUMIFS(tblPayments[payment_amount],tblPayments[invoice_id],A389,tblPayments[payment_status],"Success")</f>
        <v/>
      </c>
      <c r="G389">
        <f>MAX(0,E389-F389)</f>
        <v/>
      </c>
      <c r="H389">
        <f>DATE(2026,8,13)-D389</f>
        <v/>
      </c>
      <c r="I389">
        <f>IFS(G389=0,"Excluded (paid)",H389&lt;=0,"Current",H389&lt;=30,"1-30 days",H389&lt;=60,"31-60 days",H389&lt;=90,"61-90 days",TRUE,"90+ days")</f>
        <v/>
      </c>
    </row>
    <row r="390">
      <c r="A390" t="inlineStr">
        <is>
          <t>INV0010253</t>
        </is>
      </c>
      <c r="B390" t="inlineStr">
        <is>
          <t>MER00484</t>
        </is>
      </c>
      <c r="C390">
        <f>XLOOKUP(B390,Merchants!$A$4:$A$1000,Merchants!$B$4:$B$1000,"Not found")</f>
        <v/>
      </c>
      <c r="D390">
        <f>XLOOKUP(A390,tblInvoices[invoice_id],tblInvoices[due_date])</f>
        <v/>
      </c>
      <c r="E390">
        <f>XLOOKUP(A390,tblInvoices[invoice_id],tblInvoices[total_invoice_amount])</f>
        <v/>
      </c>
      <c r="F390">
        <f>SUMIFS(tblPayments[payment_amount],tblPayments[invoice_id],A390,tblPayments[payment_status],"Success")</f>
        <v/>
      </c>
      <c r="G390">
        <f>MAX(0,E390-F390)</f>
        <v/>
      </c>
      <c r="H390">
        <f>DATE(2026,8,13)-D390</f>
        <v/>
      </c>
      <c r="I390">
        <f>IFS(G390=0,"Excluded (paid)",H390&lt;=0,"Current",H390&lt;=30,"1-30 days",H390&lt;=60,"31-60 days",H390&lt;=90,"61-90 days",TRUE,"90+ days")</f>
        <v/>
      </c>
    </row>
    <row r="391">
      <c r="A391" t="inlineStr">
        <is>
          <t>INV0010254</t>
        </is>
      </c>
      <c r="B391" t="inlineStr">
        <is>
          <t>MER00484</t>
        </is>
      </c>
      <c r="C391">
        <f>XLOOKUP(B391,Merchants!$A$4:$A$1000,Merchants!$B$4:$B$1000,"Not found")</f>
        <v/>
      </c>
      <c r="D391">
        <f>XLOOKUP(A391,tblInvoices[invoice_id],tblInvoices[due_date])</f>
        <v/>
      </c>
      <c r="E391">
        <f>XLOOKUP(A391,tblInvoices[invoice_id],tblInvoices[total_invoice_amount])</f>
        <v/>
      </c>
      <c r="F391">
        <f>SUMIFS(tblPayments[payment_amount],tblPayments[invoice_id],A391,tblPayments[payment_status],"Success")</f>
        <v/>
      </c>
      <c r="G391">
        <f>MAX(0,E391-F391)</f>
        <v/>
      </c>
      <c r="H391">
        <f>DATE(2026,8,13)-D391</f>
        <v/>
      </c>
      <c r="I391">
        <f>IFS(G391=0,"Excluded (paid)",H391&lt;=0,"Current",H391&lt;=30,"1-30 days",H391&lt;=60,"31-60 days",H391&lt;=90,"61-90 days",TRUE,"90+ days")</f>
        <v/>
      </c>
    </row>
    <row r="392">
      <c r="A392" t="inlineStr">
        <is>
          <t>INV0010255</t>
        </is>
      </c>
      <c r="B392" t="inlineStr">
        <is>
          <t>MER00484</t>
        </is>
      </c>
      <c r="C392">
        <f>XLOOKUP(B392,Merchants!$A$4:$A$1000,Merchants!$B$4:$B$1000,"Not found")</f>
        <v/>
      </c>
      <c r="D392">
        <f>XLOOKUP(A392,tblInvoices[invoice_id],tblInvoices[due_date])</f>
        <v/>
      </c>
      <c r="E392">
        <f>XLOOKUP(A392,tblInvoices[invoice_id],tblInvoices[total_invoice_amount])</f>
        <v/>
      </c>
      <c r="F392">
        <f>SUMIFS(tblPayments[payment_amount],tblPayments[invoice_id],A392,tblPayments[payment_status],"Success")</f>
        <v/>
      </c>
      <c r="G392">
        <f>MAX(0,E392-F392)</f>
        <v/>
      </c>
      <c r="H392">
        <f>DATE(2026,8,13)-D392</f>
        <v/>
      </c>
      <c r="I392">
        <f>IFS(G392=0,"Excluded (paid)",H392&lt;=0,"Current",H392&lt;=30,"1-30 days",H392&lt;=60,"31-60 days",H392&lt;=90,"61-90 days",TRUE,"90+ days")</f>
        <v/>
      </c>
    </row>
    <row r="393">
      <c r="A393" t="inlineStr">
        <is>
          <t>INV0010256</t>
        </is>
      </c>
      <c r="B393" t="inlineStr">
        <is>
          <t>MER00484</t>
        </is>
      </c>
      <c r="C393">
        <f>XLOOKUP(B393,Merchants!$A$4:$A$1000,Merchants!$B$4:$B$1000,"Not found")</f>
        <v/>
      </c>
      <c r="D393">
        <f>XLOOKUP(A393,tblInvoices[invoice_id],tblInvoices[due_date])</f>
        <v/>
      </c>
      <c r="E393">
        <f>XLOOKUP(A393,tblInvoices[invoice_id],tblInvoices[total_invoice_amount])</f>
        <v/>
      </c>
      <c r="F393">
        <f>SUMIFS(tblPayments[payment_amount],tblPayments[invoice_id],A393,tblPayments[payment_status],"Success")</f>
        <v/>
      </c>
      <c r="G393">
        <f>MAX(0,E393-F393)</f>
        <v/>
      </c>
      <c r="H393">
        <f>DATE(2026,8,13)-D393</f>
        <v/>
      </c>
      <c r="I393">
        <f>IFS(G393=0,"Excluded (paid)",H393&lt;=0,"Current",H393&lt;=30,"1-30 days",H393&lt;=60,"31-60 days",H393&lt;=90,"61-90 days",TRUE,"90+ days")</f>
        <v/>
      </c>
    </row>
    <row r="394">
      <c r="A394" t="inlineStr">
        <is>
          <t>INV0010257</t>
        </is>
      </c>
      <c r="B394" t="inlineStr">
        <is>
          <t>MER00484</t>
        </is>
      </c>
      <c r="C394">
        <f>XLOOKUP(B394,Merchants!$A$4:$A$1000,Merchants!$B$4:$B$1000,"Not found")</f>
        <v/>
      </c>
      <c r="D394">
        <f>XLOOKUP(A394,tblInvoices[invoice_id],tblInvoices[due_date])</f>
        <v/>
      </c>
      <c r="E394">
        <f>XLOOKUP(A394,tblInvoices[invoice_id],tblInvoices[total_invoice_amount])</f>
        <v/>
      </c>
      <c r="F394">
        <f>SUMIFS(tblPayments[payment_amount],tblPayments[invoice_id],A394,tblPayments[payment_status],"Success")</f>
        <v/>
      </c>
      <c r="G394">
        <f>MAX(0,E394-F394)</f>
        <v/>
      </c>
      <c r="H394">
        <f>DATE(2026,8,13)-D394</f>
        <v/>
      </c>
      <c r="I394">
        <f>IFS(G394=0,"Excluded (paid)",H394&lt;=0,"Current",H394&lt;=30,"1-30 days",H394&lt;=60,"31-60 days",H394&lt;=90,"61-90 days",TRUE,"90+ days")</f>
        <v/>
      </c>
    </row>
    <row r="395">
      <c r="A395" t="inlineStr">
        <is>
          <t>INV0010258</t>
        </is>
      </c>
      <c r="B395" t="inlineStr">
        <is>
          <t>MER00484</t>
        </is>
      </c>
      <c r="C395">
        <f>XLOOKUP(B395,Merchants!$A$4:$A$1000,Merchants!$B$4:$B$1000,"Not found")</f>
        <v/>
      </c>
      <c r="D395">
        <f>XLOOKUP(A395,tblInvoices[invoice_id],tblInvoices[due_date])</f>
        <v/>
      </c>
      <c r="E395">
        <f>XLOOKUP(A395,tblInvoices[invoice_id],tblInvoices[total_invoice_amount])</f>
        <v/>
      </c>
      <c r="F395">
        <f>SUMIFS(tblPayments[payment_amount],tblPayments[invoice_id],A395,tblPayments[payment_status],"Success")</f>
        <v/>
      </c>
      <c r="G395">
        <f>MAX(0,E395-F395)</f>
        <v/>
      </c>
      <c r="H395">
        <f>DATE(2026,8,13)-D395</f>
        <v/>
      </c>
      <c r="I395">
        <f>IFS(G395=0,"Excluded (paid)",H395&lt;=0,"Current",H395&lt;=30,"1-30 days",H395&lt;=60,"31-60 days",H395&lt;=90,"61-90 days",TRUE,"90+ days")</f>
        <v/>
      </c>
    </row>
    <row r="396">
      <c r="A396" t="inlineStr">
        <is>
          <t>INV0010259</t>
        </is>
      </c>
      <c r="B396" t="inlineStr">
        <is>
          <t>MER00484</t>
        </is>
      </c>
      <c r="C396">
        <f>XLOOKUP(B396,Merchants!$A$4:$A$1000,Merchants!$B$4:$B$1000,"Not found")</f>
        <v/>
      </c>
      <c r="D396">
        <f>XLOOKUP(A396,tblInvoices[invoice_id],tblInvoices[due_date])</f>
        <v/>
      </c>
      <c r="E396">
        <f>XLOOKUP(A396,tblInvoices[invoice_id],tblInvoices[total_invoice_amount])</f>
        <v/>
      </c>
      <c r="F396">
        <f>SUMIFS(tblPayments[payment_amount],tblPayments[invoice_id],A396,tblPayments[payment_status],"Success")</f>
        <v/>
      </c>
      <c r="G396">
        <f>MAX(0,E396-F396)</f>
        <v/>
      </c>
      <c r="H396">
        <f>DATE(2026,8,13)-D396</f>
        <v/>
      </c>
      <c r="I396">
        <f>IFS(G396=0,"Excluded (paid)",H396&lt;=0,"Current",H396&lt;=30,"1-30 days",H396&lt;=60,"31-60 days",H396&lt;=90,"61-90 days",TRUE,"90+ days")</f>
        <v/>
      </c>
    </row>
    <row r="397">
      <c r="A397" t="inlineStr">
        <is>
          <t>INV0010260</t>
        </is>
      </c>
      <c r="B397" t="inlineStr">
        <is>
          <t>MER00484</t>
        </is>
      </c>
      <c r="C397">
        <f>XLOOKUP(B397,Merchants!$A$4:$A$1000,Merchants!$B$4:$B$1000,"Not found")</f>
        <v/>
      </c>
      <c r="D397">
        <f>XLOOKUP(A397,tblInvoices[invoice_id],tblInvoices[due_date])</f>
        <v/>
      </c>
      <c r="E397">
        <f>XLOOKUP(A397,tblInvoices[invoice_id],tblInvoices[total_invoice_amount])</f>
        <v/>
      </c>
      <c r="F397">
        <f>SUMIFS(tblPayments[payment_amount],tblPayments[invoice_id],A397,tblPayments[payment_status],"Success")</f>
        <v/>
      </c>
      <c r="G397">
        <f>MAX(0,E397-F397)</f>
        <v/>
      </c>
      <c r="H397">
        <f>DATE(2026,8,13)-D397</f>
        <v/>
      </c>
      <c r="I397">
        <f>IFS(G397=0,"Excluded (paid)",H397&lt;=0,"Current",H397&lt;=30,"1-30 days",H397&lt;=60,"31-60 days",H397&lt;=90,"61-90 days",TRUE,"90+ days")</f>
        <v/>
      </c>
    </row>
    <row r="398">
      <c r="A398" t="inlineStr">
        <is>
          <t>INV0010261</t>
        </is>
      </c>
      <c r="B398" t="inlineStr">
        <is>
          <t>MER00484</t>
        </is>
      </c>
      <c r="C398">
        <f>XLOOKUP(B398,Merchants!$A$4:$A$1000,Merchants!$B$4:$B$1000,"Not found")</f>
        <v/>
      </c>
      <c r="D398">
        <f>XLOOKUP(A398,tblInvoices[invoice_id],tblInvoices[due_date])</f>
        <v/>
      </c>
      <c r="E398">
        <f>XLOOKUP(A398,tblInvoices[invoice_id],tblInvoices[total_invoice_amount])</f>
        <v/>
      </c>
      <c r="F398">
        <f>SUMIFS(tblPayments[payment_amount],tblPayments[invoice_id],A398,tblPayments[payment_status],"Success")</f>
        <v/>
      </c>
      <c r="G398">
        <f>MAX(0,E398-F398)</f>
        <v/>
      </c>
      <c r="H398">
        <f>DATE(2026,8,13)-D398</f>
        <v/>
      </c>
      <c r="I398">
        <f>IFS(G398=0,"Excluded (paid)",H398&lt;=0,"Current",H398&lt;=30,"1-30 days",H398&lt;=60,"31-60 days",H398&lt;=90,"61-90 days",TRUE,"90+ days")</f>
        <v/>
      </c>
    </row>
    <row r="399">
      <c r="A399" t="inlineStr">
        <is>
          <t>INV0010262</t>
        </is>
      </c>
      <c r="B399" t="inlineStr">
        <is>
          <t>MER00484</t>
        </is>
      </c>
      <c r="C399">
        <f>XLOOKUP(B399,Merchants!$A$4:$A$1000,Merchants!$B$4:$B$1000,"Not found")</f>
        <v/>
      </c>
      <c r="D399">
        <f>XLOOKUP(A399,tblInvoices[invoice_id],tblInvoices[due_date])</f>
        <v/>
      </c>
      <c r="E399">
        <f>XLOOKUP(A399,tblInvoices[invoice_id],tblInvoices[total_invoice_amount])</f>
        <v/>
      </c>
      <c r="F399">
        <f>SUMIFS(tblPayments[payment_amount],tblPayments[invoice_id],A399,tblPayments[payment_status],"Success")</f>
        <v/>
      </c>
      <c r="G399">
        <f>MAX(0,E399-F399)</f>
        <v/>
      </c>
      <c r="H399">
        <f>DATE(2026,8,13)-D399</f>
        <v/>
      </c>
      <c r="I399">
        <f>IFS(G399=0,"Excluded (paid)",H399&lt;=0,"Current",H399&lt;=30,"1-30 days",H399&lt;=60,"31-60 days",H399&lt;=90,"61-90 days",TRUE,"90+ days")</f>
        <v/>
      </c>
    </row>
    <row r="400">
      <c r="A400" t="inlineStr">
        <is>
          <t>INV0010263</t>
        </is>
      </c>
      <c r="B400" t="inlineStr">
        <is>
          <t>MER00484</t>
        </is>
      </c>
      <c r="C400">
        <f>XLOOKUP(B400,Merchants!$A$4:$A$1000,Merchants!$B$4:$B$1000,"Not found")</f>
        <v/>
      </c>
      <c r="D400">
        <f>XLOOKUP(A400,tblInvoices[invoice_id],tblInvoices[due_date])</f>
        <v/>
      </c>
      <c r="E400">
        <f>XLOOKUP(A400,tblInvoices[invoice_id],tblInvoices[total_invoice_amount])</f>
        <v/>
      </c>
      <c r="F400">
        <f>SUMIFS(tblPayments[payment_amount],tblPayments[invoice_id],A400,tblPayments[payment_status],"Success")</f>
        <v/>
      </c>
      <c r="G400">
        <f>MAX(0,E400-F400)</f>
        <v/>
      </c>
      <c r="H400">
        <f>DATE(2026,8,13)-D400</f>
        <v/>
      </c>
      <c r="I400">
        <f>IFS(G400=0,"Excluded (paid)",H400&lt;=0,"Current",H400&lt;=30,"1-30 days",H400&lt;=60,"31-60 days",H400&lt;=90,"61-90 days",TRUE,"90+ days")</f>
        <v/>
      </c>
    </row>
    <row r="401">
      <c r="A401" t="inlineStr">
        <is>
          <t>INV0010264</t>
        </is>
      </c>
      <c r="B401" t="inlineStr">
        <is>
          <t>MER00484</t>
        </is>
      </c>
      <c r="C401">
        <f>XLOOKUP(B401,Merchants!$A$4:$A$1000,Merchants!$B$4:$B$1000,"Not found")</f>
        <v/>
      </c>
      <c r="D401">
        <f>XLOOKUP(A401,tblInvoices[invoice_id],tblInvoices[due_date])</f>
        <v/>
      </c>
      <c r="E401">
        <f>XLOOKUP(A401,tblInvoices[invoice_id],tblInvoices[total_invoice_amount])</f>
        <v/>
      </c>
      <c r="F401">
        <f>SUMIFS(tblPayments[payment_amount],tblPayments[invoice_id],A401,tblPayments[payment_status],"Success")</f>
        <v/>
      </c>
      <c r="G401">
        <f>MAX(0,E401-F401)</f>
        <v/>
      </c>
      <c r="H401">
        <f>DATE(2026,8,13)-D401</f>
        <v/>
      </c>
      <c r="I401">
        <f>IFS(G401=0,"Excluded (paid)",H401&lt;=0,"Current",H401&lt;=30,"1-30 days",H401&lt;=60,"31-60 days",H401&lt;=90,"61-90 days",TRUE,"90+ days")</f>
        <v/>
      </c>
    </row>
    <row r="402">
      <c r="A402" t="inlineStr">
        <is>
          <t>INV0010265</t>
        </is>
      </c>
      <c r="B402" t="inlineStr">
        <is>
          <t>MER00484</t>
        </is>
      </c>
      <c r="C402">
        <f>XLOOKUP(B402,Merchants!$A$4:$A$1000,Merchants!$B$4:$B$1000,"Not found")</f>
        <v/>
      </c>
      <c r="D402">
        <f>XLOOKUP(A402,tblInvoices[invoice_id],tblInvoices[due_date])</f>
        <v/>
      </c>
      <c r="E402">
        <f>XLOOKUP(A402,tblInvoices[invoice_id],tblInvoices[total_invoice_amount])</f>
        <v/>
      </c>
      <c r="F402">
        <f>SUMIFS(tblPayments[payment_amount],tblPayments[invoice_id],A402,tblPayments[payment_status],"Success")</f>
        <v/>
      </c>
      <c r="G402">
        <f>MAX(0,E402-F402)</f>
        <v/>
      </c>
      <c r="H402">
        <f>DATE(2026,8,13)-D402</f>
        <v/>
      </c>
      <c r="I402">
        <f>IFS(G402=0,"Excluded (paid)",H402&lt;=0,"Current",H402&lt;=30,"1-30 days",H402&lt;=60,"31-60 days",H402&lt;=90,"61-90 days",TRUE,"90+ days")</f>
        <v/>
      </c>
    </row>
    <row r="403">
      <c r="A403" t="inlineStr">
        <is>
          <t>INV0010266</t>
        </is>
      </c>
      <c r="B403" t="inlineStr">
        <is>
          <t>MER00484</t>
        </is>
      </c>
      <c r="C403">
        <f>XLOOKUP(B403,Merchants!$A$4:$A$1000,Merchants!$B$4:$B$1000,"Not found")</f>
        <v/>
      </c>
      <c r="D403">
        <f>XLOOKUP(A403,tblInvoices[invoice_id],tblInvoices[due_date])</f>
        <v/>
      </c>
      <c r="E403">
        <f>XLOOKUP(A403,tblInvoices[invoice_id],tblInvoices[total_invoice_amount])</f>
        <v/>
      </c>
      <c r="F403">
        <f>SUMIFS(tblPayments[payment_amount],tblPayments[invoice_id],A403,tblPayments[payment_status],"Success")</f>
        <v/>
      </c>
      <c r="G403">
        <f>MAX(0,E403-F403)</f>
        <v/>
      </c>
      <c r="H403">
        <f>DATE(2026,8,13)-D403</f>
        <v/>
      </c>
      <c r="I403">
        <f>IFS(G403=0,"Excluded (paid)",H403&lt;=0,"Current",H403&lt;=30,"1-30 days",H403&lt;=60,"31-60 days",H403&lt;=90,"61-90 days",TRUE,"90+ days")</f>
        <v/>
      </c>
    </row>
    <row r="404">
      <c r="A404" t="inlineStr">
        <is>
          <t>INV0010267</t>
        </is>
      </c>
      <c r="B404" t="inlineStr">
        <is>
          <t>MER00484</t>
        </is>
      </c>
      <c r="C404">
        <f>XLOOKUP(B404,Merchants!$A$4:$A$1000,Merchants!$B$4:$B$1000,"Not found")</f>
        <v/>
      </c>
      <c r="D404">
        <f>XLOOKUP(A404,tblInvoices[invoice_id],tblInvoices[due_date])</f>
        <v/>
      </c>
      <c r="E404">
        <f>XLOOKUP(A404,tblInvoices[invoice_id],tblInvoices[total_invoice_amount])</f>
        <v/>
      </c>
      <c r="F404">
        <f>SUMIFS(tblPayments[payment_amount],tblPayments[invoice_id],A404,tblPayments[payment_status],"Success")</f>
        <v/>
      </c>
      <c r="G404">
        <f>MAX(0,E404-F404)</f>
        <v/>
      </c>
      <c r="H404">
        <f>DATE(2026,8,13)-D404</f>
        <v/>
      </c>
      <c r="I404">
        <f>IFS(G404=0,"Excluded (paid)",H404&lt;=0,"Current",H404&lt;=30,"1-30 days",H404&lt;=60,"31-60 days",H404&lt;=90,"61-90 days",TRUE,"90+ days")</f>
        <v/>
      </c>
    </row>
    <row r="405">
      <c r="A405" t="inlineStr">
        <is>
          <t>INV0010268</t>
        </is>
      </c>
      <c r="B405" t="inlineStr">
        <is>
          <t>MER00484</t>
        </is>
      </c>
      <c r="C405">
        <f>XLOOKUP(B405,Merchants!$A$4:$A$1000,Merchants!$B$4:$B$1000,"Not found")</f>
        <v/>
      </c>
      <c r="D405">
        <f>XLOOKUP(A405,tblInvoices[invoice_id],tblInvoices[due_date])</f>
        <v/>
      </c>
      <c r="E405">
        <f>XLOOKUP(A405,tblInvoices[invoice_id],tblInvoices[total_invoice_amount])</f>
        <v/>
      </c>
      <c r="F405">
        <f>SUMIFS(tblPayments[payment_amount],tblPayments[invoice_id],A405,tblPayments[payment_status],"Success")</f>
        <v/>
      </c>
      <c r="G405">
        <f>MAX(0,E405-F405)</f>
        <v/>
      </c>
      <c r="H405">
        <f>DATE(2026,8,13)-D405</f>
        <v/>
      </c>
      <c r="I405">
        <f>IFS(G405=0,"Excluded (paid)",H405&lt;=0,"Current",H405&lt;=30,"1-30 days",H405&lt;=60,"31-60 days",H405&lt;=90,"61-90 days",TRUE,"90+ days")</f>
        <v/>
      </c>
    </row>
    <row r="406">
      <c r="A406" t="inlineStr">
        <is>
          <t>INV0010269</t>
        </is>
      </c>
      <c r="B406" t="inlineStr">
        <is>
          <t>MER00484</t>
        </is>
      </c>
      <c r="C406">
        <f>XLOOKUP(B406,Merchants!$A$4:$A$1000,Merchants!$B$4:$B$1000,"Not found")</f>
        <v/>
      </c>
      <c r="D406">
        <f>XLOOKUP(A406,tblInvoices[invoice_id],tblInvoices[due_date])</f>
        <v/>
      </c>
      <c r="E406">
        <f>XLOOKUP(A406,tblInvoices[invoice_id],tblInvoices[total_invoice_amount])</f>
        <v/>
      </c>
      <c r="F406">
        <f>SUMIFS(tblPayments[payment_amount],tblPayments[invoice_id],A406,tblPayments[payment_status],"Success")</f>
        <v/>
      </c>
      <c r="G406">
        <f>MAX(0,E406-F406)</f>
        <v/>
      </c>
      <c r="H406">
        <f>DATE(2026,8,13)-D406</f>
        <v/>
      </c>
      <c r="I406">
        <f>IFS(G406=0,"Excluded (paid)",H406&lt;=0,"Current",H406&lt;=30,"1-30 days",H406&lt;=60,"31-60 days",H406&lt;=90,"61-90 days",TRUE,"90+ days")</f>
        <v/>
      </c>
    </row>
    <row r="407">
      <c r="A407" t="inlineStr">
        <is>
          <t>INV0010618</t>
        </is>
      </c>
      <c r="B407" t="inlineStr">
        <is>
          <t>MER00502</t>
        </is>
      </c>
      <c r="C407">
        <f>XLOOKUP(B407,Merchants!$A$4:$A$1000,Merchants!$B$4:$B$1000,"Not found")</f>
        <v/>
      </c>
      <c r="D407">
        <f>XLOOKUP(A407,tblInvoices[invoice_id],tblInvoices[due_date])</f>
        <v/>
      </c>
      <c r="E407">
        <f>XLOOKUP(A407,tblInvoices[invoice_id],tblInvoices[total_invoice_amount])</f>
        <v/>
      </c>
      <c r="F407">
        <f>SUMIFS(tblPayments[payment_amount],tblPayments[invoice_id],A407,tblPayments[payment_status],"Success")</f>
        <v/>
      </c>
      <c r="G407">
        <f>MAX(0,E407-F407)</f>
        <v/>
      </c>
      <c r="H407">
        <f>DATE(2026,8,13)-D407</f>
        <v/>
      </c>
      <c r="I407">
        <f>IFS(G407=0,"Excluded (paid)",H407&lt;=0,"Current",H407&lt;=30,"1-30 days",H407&lt;=60,"31-60 days",H407&lt;=90,"61-90 days",TRUE,"90+ days")</f>
        <v/>
      </c>
    </row>
    <row r="408">
      <c r="A408" t="inlineStr">
        <is>
          <t>INV0010619</t>
        </is>
      </c>
      <c r="B408" t="inlineStr">
        <is>
          <t>MER00502</t>
        </is>
      </c>
      <c r="C408">
        <f>XLOOKUP(B408,Merchants!$A$4:$A$1000,Merchants!$B$4:$B$1000,"Not found")</f>
        <v/>
      </c>
      <c r="D408">
        <f>XLOOKUP(A408,tblInvoices[invoice_id],tblInvoices[due_date])</f>
        <v/>
      </c>
      <c r="E408">
        <f>XLOOKUP(A408,tblInvoices[invoice_id],tblInvoices[total_invoice_amount])</f>
        <v/>
      </c>
      <c r="F408">
        <f>SUMIFS(tblPayments[payment_amount],tblPayments[invoice_id],A408,tblPayments[payment_status],"Success")</f>
        <v/>
      </c>
      <c r="G408">
        <f>MAX(0,E408-F408)</f>
        <v/>
      </c>
      <c r="H408">
        <f>DATE(2026,8,13)-D408</f>
        <v/>
      </c>
      <c r="I408">
        <f>IFS(G408=0,"Excluded (paid)",H408&lt;=0,"Current",H408&lt;=30,"1-30 days",H408&lt;=60,"31-60 days",H408&lt;=90,"61-90 days",TRUE,"90+ days")</f>
        <v/>
      </c>
    </row>
    <row r="409">
      <c r="A409" t="inlineStr">
        <is>
          <t>INV0010620</t>
        </is>
      </c>
      <c r="B409" t="inlineStr">
        <is>
          <t>MER00502</t>
        </is>
      </c>
      <c r="C409">
        <f>XLOOKUP(B409,Merchants!$A$4:$A$1000,Merchants!$B$4:$B$1000,"Not found")</f>
        <v/>
      </c>
      <c r="D409">
        <f>XLOOKUP(A409,tblInvoices[invoice_id],tblInvoices[due_date])</f>
        <v/>
      </c>
      <c r="E409">
        <f>XLOOKUP(A409,tblInvoices[invoice_id],tblInvoices[total_invoice_amount])</f>
        <v/>
      </c>
      <c r="F409">
        <f>SUMIFS(tblPayments[payment_amount],tblPayments[invoice_id],A409,tblPayments[payment_status],"Success")</f>
        <v/>
      </c>
      <c r="G409">
        <f>MAX(0,E409-F409)</f>
        <v/>
      </c>
      <c r="H409">
        <f>DATE(2026,8,13)-D409</f>
        <v/>
      </c>
      <c r="I409">
        <f>IFS(G409=0,"Excluded (paid)",H409&lt;=0,"Current",H409&lt;=30,"1-30 days",H409&lt;=60,"31-60 days",H409&lt;=90,"61-90 days",TRUE,"90+ days")</f>
        <v/>
      </c>
    </row>
    <row r="410">
      <c r="A410" t="inlineStr">
        <is>
          <t>INV0010621</t>
        </is>
      </c>
      <c r="B410" t="inlineStr">
        <is>
          <t>MER00502</t>
        </is>
      </c>
      <c r="C410">
        <f>XLOOKUP(B410,Merchants!$A$4:$A$1000,Merchants!$B$4:$B$1000,"Not found")</f>
        <v/>
      </c>
      <c r="D410">
        <f>XLOOKUP(A410,tblInvoices[invoice_id],tblInvoices[due_date])</f>
        <v/>
      </c>
      <c r="E410">
        <f>XLOOKUP(A410,tblInvoices[invoice_id],tblInvoices[total_invoice_amount])</f>
        <v/>
      </c>
      <c r="F410">
        <f>SUMIFS(tblPayments[payment_amount],tblPayments[invoice_id],A410,tblPayments[payment_status],"Success")</f>
        <v/>
      </c>
      <c r="G410">
        <f>MAX(0,E410-F410)</f>
        <v/>
      </c>
      <c r="H410">
        <f>DATE(2026,8,13)-D410</f>
        <v/>
      </c>
      <c r="I410">
        <f>IFS(G410=0,"Excluded (paid)",H410&lt;=0,"Current",H410&lt;=30,"1-30 days",H410&lt;=60,"31-60 days",H410&lt;=90,"61-90 days",TRUE,"90+ days")</f>
        <v/>
      </c>
    </row>
    <row r="411">
      <c r="A411" t="inlineStr">
        <is>
          <t>INV0010622</t>
        </is>
      </c>
      <c r="B411" t="inlineStr">
        <is>
          <t>MER00502</t>
        </is>
      </c>
      <c r="C411">
        <f>XLOOKUP(B411,Merchants!$A$4:$A$1000,Merchants!$B$4:$B$1000,"Not found")</f>
        <v/>
      </c>
      <c r="D411">
        <f>XLOOKUP(A411,tblInvoices[invoice_id],tblInvoices[due_date])</f>
        <v/>
      </c>
      <c r="E411">
        <f>XLOOKUP(A411,tblInvoices[invoice_id],tblInvoices[total_invoice_amount])</f>
        <v/>
      </c>
      <c r="F411">
        <f>SUMIFS(tblPayments[payment_amount],tblPayments[invoice_id],A411,tblPayments[payment_status],"Success")</f>
        <v/>
      </c>
      <c r="G411">
        <f>MAX(0,E411-F411)</f>
        <v/>
      </c>
      <c r="H411">
        <f>DATE(2026,8,13)-D411</f>
        <v/>
      </c>
      <c r="I411">
        <f>IFS(G411=0,"Excluded (paid)",H411&lt;=0,"Current",H411&lt;=30,"1-30 days",H411&lt;=60,"31-60 days",H411&lt;=90,"61-90 days",TRUE,"90+ days")</f>
        <v/>
      </c>
    </row>
    <row r="412">
      <c r="A412" t="inlineStr">
        <is>
          <t>INV0010623</t>
        </is>
      </c>
      <c r="B412" t="inlineStr">
        <is>
          <t>MER00502</t>
        </is>
      </c>
      <c r="C412">
        <f>XLOOKUP(B412,Merchants!$A$4:$A$1000,Merchants!$B$4:$B$1000,"Not found")</f>
        <v/>
      </c>
      <c r="D412">
        <f>XLOOKUP(A412,tblInvoices[invoice_id],tblInvoices[due_date])</f>
        <v/>
      </c>
      <c r="E412">
        <f>XLOOKUP(A412,tblInvoices[invoice_id],tblInvoices[total_invoice_amount])</f>
        <v/>
      </c>
      <c r="F412">
        <f>SUMIFS(tblPayments[payment_amount],tblPayments[invoice_id],A412,tblPayments[payment_status],"Success")</f>
        <v/>
      </c>
      <c r="G412">
        <f>MAX(0,E412-F412)</f>
        <v/>
      </c>
      <c r="H412">
        <f>DATE(2026,8,13)-D412</f>
        <v/>
      </c>
      <c r="I412">
        <f>IFS(G412=0,"Excluded (paid)",H412&lt;=0,"Current",H412&lt;=30,"1-30 days",H412&lt;=60,"31-60 days",H412&lt;=90,"61-90 days",TRUE,"90+ days")</f>
        <v/>
      </c>
    </row>
    <row r="413">
      <c r="A413" t="inlineStr">
        <is>
          <t>INV0010624</t>
        </is>
      </c>
      <c r="B413" t="inlineStr">
        <is>
          <t>MER00502</t>
        </is>
      </c>
      <c r="C413">
        <f>XLOOKUP(B413,Merchants!$A$4:$A$1000,Merchants!$B$4:$B$1000,"Not found")</f>
        <v/>
      </c>
      <c r="D413">
        <f>XLOOKUP(A413,tblInvoices[invoice_id],tblInvoices[due_date])</f>
        <v/>
      </c>
      <c r="E413">
        <f>XLOOKUP(A413,tblInvoices[invoice_id],tblInvoices[total_invoice_amount])</f>
        <v/>
      </c>
      <c r="F413">
        <f>SUMIFS(tblPayments[payment_amount],tblPayments[invoice_id],A413,tblPayments[payment_status],"Success")</f>
        <v/>
      </c>
      <c r="G413">
        <f>MAX(0,E413-F413)</f>
        <v/>
      </c>
      <c r="H413">
        <f>DATE(2026,8,13)-D413</f>
        <v/>
      </c>
      <c r="I413">
        <f>IFS(G413=0,"Excluded (paid)",H413&lt;=0,"Current",H413&lt;=30,"1-30 days",H413&lt;=60,"31-60 days",H413&lt;=90,"61-90 days",TRUE,"90+ days")</f>
        <v/>
      </c>
    </row>
    <row r="414">
      <c r="A414" t="inlineStr">
        <is>
          <t>INV0010625</t>
        </is>
      </c>
      <c r="B414" t="inlineStr">
        <is>
          <t>MER00502</t>
        </is>
      </c>
      <c r="C414">
        <f>XLOOKUP(B414,Merchants!$A$4:$A$1000,Merchants!$B$4:$B$1000,"Not found")</f>
        <v/>
      </c>
      <c r="D414">
        <f>XLOOKUP(A414,tblInvoices[invoice_id],tblInvoices[due_date])</f>
        <v/>
      </c>
      <c r="E414">
        <f>XLOOKUP(A414,tblInvoices[invoice_id],tblInvoices[total_invoice_amount])</f>
        <v/>
      </c>
      <c r="F414">
        <f>SUMIFS(tblPayments[payment_amount],tblPayments[invoice_id],A414,tblPayments[payment_status],"Success")</f>
        <v/>
      </c>
      <c r="G414">
        <f>MAX(0,E414-F414)</f>
        <v/>
      </c>
      <c r="H414">
        <f>DATE(2026,8,13)-D414</f>
        <v/>
      </c>
      <c r="I414">
        <f>IFS(G414=0,"Excluded (paid)",H414&lt;=0,"Current",H414&lt;=30,"1-30 days",H414&lt;=60,"31-60 days",H414&lt;=90,"61-90 days",TRUE,"90+ days")</f>
        <v/>
      </c>
    </row>
    <row r="415">
      <c r="A415" t="inlineStr">
        <is>
          <t>INV0010626</t>
        </is>
      </c>
      <c r="B415" t="inlineStr">
        <is>
          <t>MER00502</t>
        </is>
      </c>
      <c r="C415">
        <f>XLOOKUP(B415,Merchants!$A$4:$A$1000,Merchants!$B$4:$B$1000,"Not found")</f>
        <v/>
      </c>
      <c r="D415">
        <f>XLOOKUP(A415,tblInvoices[invoice_id],tblInvoices[due_date])</f>
        <v/>
      </c>
      <c r="E415">
        <f>XLOOKUP(A415,tblInvoices[invoice_id],tblInvoices[total_invoice_amount])</f>
        <v/>
      </c>
      <c r="F415">
        <f>SUMIFS(tblPayments[payment_amount],tblPayments[invoice_id],A415,tblPayments[payment_status],"Success")</f>
        <v/>
      </c>
      <c r="G415">
        <f>MAX(0,E415-F415)</f>
        <v/>
      </c>
      <c r="H415">
        <f>DATE(2026,8,13)-D415</f>
        <v/>
      </c>
      <c r="I415">
        <f>IFS(G415=0,"Excluded (paid)",H415&lt;=0,"Current",H415&lt;=30,"1-30 days",H415&lt;=60,"31-60 days",H415&lt;=90,"61-90 days",TRUE,"90+ days")</f>
        <v/>
      </c>
    </row>
    <row r="416">
      <c r="A416" t="inlineStr">
        <is>
          <t>INV0010627</t>
        </is>
      </c>
      <c r="B416" t="inlineStr">
        <is>
          <t>MER00502</t>
        </is>
      </c>
      <c r="C416">
        <f>XLOOKUP(B416,Merchants!$A$4:$A$1000,Merchants!$B$4:$B$1000,"Not found")</f>
        <v/>
      </c>
      <c r="D416">
        <f>XLOOKUP(A416,tblInvoices[invoice_id],tblInvoices[due_date])</f>
        <v/>
      </c>
      <c r="E416">
        <f>XLOOKUP(A416,tblInvoices[invoice_id],tblInvoices[total_invoice_amount])</f>
        <v/>
      </c>
      <c r="F416">
        <f>SUMIFS(tblPayments[payment_amount],tblPayments[invoice_id],A416,tblPayments[payment_status],"Success")</f>
        <v/>
      </c>
      <c r="G416">
        <f>MAX(0,E416-F416)</f>
        <v/>
      </c>
      <c r="H416">
        <f>DATE(2026,8,13)-D416</f>
        <v/>
      </c>
      <c r="I416">
        <f>IFS(G416=0,"Excluded (paid)",H416&lt;=0,"Current",H416&lt;=30,"1-30 days",H416&lt;=60,"31-60 days",H416&lt;=90,"61-90 days",TRUE,"90+ days")</f>
        <v/>
      </c>
    </row>
    <row r="417">
      <c r="A417" t="inlineStr">
        <is>
          <t>INV0010628</t>
        </is>
      </c>
      <c r="B417" t="inlineStr">
        <is>
          <t>MER00502</t>
        </is>
      </c>
      <c r="C417">
        <f>XLOOKUP(B417,Merchants!$A$4:$A$1000,Merchants!$B$4:$B$1000,"Not found")</f>
        <v/>
      </c>
      <c r="D417">
        <f>XLOOKUP(A417,tblInvoices[invoice_id],tblInvoices[due_date])</f>
        <v/>
      </c>
      <c r="E417">
        <f>XLOOKUP(A417,tblInvoices[invoice_id],tblInvoices[total_invoice_amount])</f>
        <v/>
      </c>
      <c r="F417">
        <f>SUMIFS(tblPayments[payment_amount],tblPayments[invoice_id],A417,tblPayments[payment_status],"Success")</f>
        <v/>
      </c>
      <c r="G417">
        <f>MAX(0,E417-F417)</f>
        <v/>
      </c>
      <c r="H417">
        <f>DATE(2026,8,13)-D417</f>
        <v/>
      </c>
      <c r="I417">
        <f>IFS(G417=0,"Excluded (paid)",H417&lt;=0,"Current",H417&lt;=30,"1-30 days",H417&lt;=60,"31-60 days",H417&lt;=90,"61-90 days",TRUE,"90+ days")</f>
        <v/>
      </c>
    </row>
    <row r="418">
      <c r="A418" t="inlineStr">
        <is>
          <t>INV0010629</t>
        </is>
      </c>
      <c r="B418" t="inlineStr">
        <is>
          <t>MER00502</t>
        </is>
      </c>
      <c r="C418">
        <f>XLOOKUP(B418,Merchants!$A$4:$A$1000,Merchants!$B$4:$B$1000,"Not found")</f>
        <v/>
      </c>
      <c r="D418">
        <f>XLOOKUP(A418,tblInvoices[invoice_id],tblInvoices[due_date])</f>
        <v/>
      </c>
      <c r="E418">
        <f>XLOOKUP(A418,tblInvoices[invoice_id],tblInvoices[total_invoice_amount])</f>
        <v/>
      </c>
      <c r="F418">
        <f>SUMIFS(tblPayments[payment_amount],tblPayments[invoice_id],A418,tblPayments[payment_status],"Success")</f>
        <v/>
      </c>
      <c r="G418">
        <f>MAX(0,E418-F418)</f>
        <v/>
      </c>
      <c r="H418">
        <f>DATE(2026,8,13)-D418</f>
        <v/>
      </c>
      <c r="I418">
        <f>IFS(G418=0,"Excluded (paid)",H418&lt;=0,"Current",H418&lt;=30,"1-30 days",H418&lt;=60,"31-60 days",H418&lt;=90,"61-90 days",TRUE,"90+ days")</f>
        <v/>
      </c>
    </row>
    <row r="419">
      <c r="A419" t="inlineStr">
        <is>
          <t>INV0010630</t>
        </is>
      </c>
      <c r="B419" t="inlineStr">
        <is>
          <t>MER00502</t>
        </is>
      </c>
      <c r="C419">
        <f>XLOOKUP(B419,Merchants!$A$4:$A$1000,Merchants!$B$4:$B$1000,"Not found")</f>
        <v/>
      </c>
      <c r="D419">
        <f>XLOOKUP(A419,tblInvoices[invoice_id],tblInvoices[due_date])</f>
        <v/>
      </c>
      <c r="E419">
        <f>XLOOKUP(A419,tblInvoices[invoice_id],tblInvoices[total_invoice_amount])</f>
        <v/>
      </c>
      <c r="F419">
        <f>SUMIFS(tblPayments[payment_amount],tblPayments[invoice_id],A419,tblPayments[payment_status],"Success")</f>
        <v/>
      </c>
      <c r="G419">
        <f>MAX(0,E419-F419)</f>
        <v/>
      </c>
      <c r="H419">
        <f>DATE(2026,8,13)-D419</f>
        <v/>
      </c>
      <c r="I419">
        <f>IFS(G419=0,"Excluded (paid)",H419&lt;=0,"Current",H419&lt;=30,"1-30 days",H419&lt;=60,"31-60 days",H419&lt;=90,"61-90 days",TRUE,"90+ days")</f>
        <v/>
      </c>
    </row>
    <row r="420">
      <c r="A420" t="inlineStr">
        <is>
          <t>INV0010631</t>
        </is>
      </c>
      <c r="B420" t="inlineStr">
        <is>
          <t>MER00502</t>
        </is>
      </c>
      <c r="C420">
        <f>XLOOKUP(B420,Merchants!$A$4:$A$1000,Merchants!$B$4:$B$1000,"Not found")</f>
        <v/>
      </c>
      <c r="D420">
        <f>XLOOKUP(A420,tblInvoices[invoice_id],tblInvoices[due_date])</f>
        <v/>
      </c>
      <c r="E420">
        <f>XLOOKUP(A420,tblInvoices[invoice_id],tblInvoices[total_invoice_amount])</f>
        <v/>
      </c>
      <c r="F420">
        <f>SUMIFS(tblPayments[payment_amount],tblPayments[invoice_id],A420,tblPayments[payment_status],"Success")</f>
        <v/>
      </c>
      <c r="G420">
        <f>MAX(0,E420-F420)</f>
        <v/>
      </c>
      <c r="H420">
        <f>DATE(2026,8,13)-D420</f>
        <v/>
      </c>
      <c r="I420">
        <f>IFS(G420=0,"Excluded (paid)",H420&lt;=0,"Current",H420&lt;=30,"1-30 days",H420&lt;=60,"31-60 days",H420&lt;=90,"61-90 days",TRUE,"90+ days")</f>
        <v/>
      </c>
    </row>
    <row r="421">
      <c r="A421" t="inlineStr">
        <is>
          <t>INV0010632</t>
        </is>
      </c>
      <c r="B421" t="inlineStr">
        <is>
          <t>MER00502</t>
        </is>
      </c>
      <c r="C421">
        <f>XLOOKUP(B421,Merchants!$A$4:$A$1000,Merchants!$B$4:$B$1000,"Not found")</f>
        <v/>
      </c>
      <c r="D421">
        <f>XLOOKUP(A421,tblInvoices[invoice_id],tblInvoices[due_date])</f>
        <v/>
      </c>
      <c r="E421">
        <f>XLOOKUP(A421,tblInvoices[invoice_id],tblInvoices[total_invoice_amount])</f>
        <v/>
      </c>
      <c r="F421">
        <f>SUMIFS(tblPayments[payment_amount],tblPayments[invoice_id],A421,tblPayments[payment_status],"Success")</f>
        <v/>
      </c>
      <c r="G421">
        <f>MAX(0,E421-F421)</f>
        <v/>
      </c>
      <c r="H421">
        <f>DATE(2026,8,13)-D421</f>
        <v/>
      </c>
      <c r="I421">
        <f>IFS(G421=0,"Excluded (paid)",H421&lt;=0,"Current",H421&lt;=30,"1-30 days",H421&lt;=60,"31-60 days",H421&lt;=90,"61-90 days",TRUE,"90+ days")</f>
        <v/>
      </c>
    </row>
    <row r="422">
      <c r="A422" t="inlineStr">
        <is>
          <t>INV0010633</t>
        </is>
      </c>
      <c r="B422" t="inlineStr">
        <is>
          <t>MER00502</t>
        </is>
      </c>
      <c r="C422">
        <f>XLOOKUP(B422,Merchants!$A$4:$A$1000,Merchants!$B$4:$B$1000,"Not found")</f>
        <v/>
      </c>
      <c r="D422">
        <f>XLOOKUP(A422,tblInvoices[invoice_id],tblInvoices[due_date])</f>
        <v/>
      </c>
      <c r="E422">
        <f>XLOOKUP(A422,tblInvoices[invoice_id],tblInvoices[total_invoice_amount])</f>
        <v/>
      </c>
      <c r="F422">
        <f>SUMIFS(tblPayments[payment_amount],tblPayments[invoice_id],A422,tblPayments[payment_status],"Success")</f>
        <v/>
      </c>
      <c r="G422">
        <f>MAX(0,E422-F422)</f>
        <v/>
      </c>
      <c r="H422">
        <f>DATE(2026,8,13)-D422</f>
        <v/>
      </c>
      <c r="I422">
        <f>IFS(G422=0,"Excluded (paid)",H422&lt;=0,"Current",H422&lt;=30,"1-30 days",H422&lt;=60,"31-60 days",H422&lt;=90,"61-90 days",TRUE,"90+ days")</f>
        <v/>
      </c>
    </row>
    <row r="423">
      <c r="A423" t="inlineStr">
        <is>
          <t>INV0010634</t>
        </is>
      </c>
      <c r="B423" t="inlineStr">
        <is>
          <t>MER00502</t>
        </is>
      </c>
      <c r="C423">
        <f>XLOOKUP(B423,Merchants!$A$4:$A$1000,Merchants!$B$4:$B$1000,"Not found")</f>
        <v/>
      </c>
      <c r="D423">
        <f>XLOOKUP(A423,tblInvoices[invoice_id],tblInvoices[due_date])</f>
        <v/>
      </c>
      <c r="E423">
        <f>XLOOKUP(A423,tblInvoices[invoice_id],tblInvoices[total_invoice_amount])</f>
        <v/>
      </c>
      <c r="F423">
        <f>SUMIFS(tblPayments[payment_amount],tblPayments[invoice_id],A423,tblPayments[payment_status],"Success")</f>
        <v/>
      </c>
      <c r="G423">
        <f>MAX(0,E423-F423)</f>
        <v/>
      </c>
      <c r="H423">
        <f>DATE(2026,8,13)-D423</f>
        <v/>
      </c>
      <c r="I423">
        <f>IFS(G423=0,"Excluded (paid)",H423&lt;=0,"Current",H423&lt;=30,"1-30 days",H423&lt;=60,"31-60 days",H423&lt;=90,"61-90 days",TRUE,"90+ days")</f>
        <v/>
      </c>
    </row>
    <row r="424">
      <c r="A424" t="inlineStr">
        <is>
          <t>INV0010635</t>
        </is>
      </c>
      <c r="B424" t="inlineStr">
        <is>
          <t>MER00502</t>
        </is>
      </c>
      <c r="C424">
        <f>XLOOKUP(B424,Merchants!$A$4:$A$1000,Merchants!$B$4:$B$1000,"Not found")</f>
        <v/>
      </c>
      <c r="D424">
        <f>XLOOKUP(A424,tblInvoices[invoice_id],tblInvoices[due_date])</f>
        <v/>
      </c>
      <c r="E424">
        <f>XLOOKUP(A424,tblInvoices[invoice_id],tblInvoices[total_invoice_amount])</f>
        <v/>
      </c>
      <c r="F424">
        <f>SUMIFS(tblPayments[payment_amount],tblPayments[invoice_id],A424,tblPayments[payment_status],"Success")</f>
        <v/>
      </c>
      <c r="G424">
        <f>MAX(0,E424-F424)</f>
        <v/>
      </c>
      <c r="H424">
        <f>DATE(2026,8,13)-D424</f>
        <v/>
      </c>
      <c r="I424">
        <f>IFS(G424=0,"Excluded (paid)",H424&lt;=0,"Current",H424&lt;=30,"1-30 days",H424&lt;=60,"31-60 days",H424&lt;=90,"61-90 days",TRUE,"90+ days")</f>
        <v/>
      </c>
    </row>
    <row r="425">
      <c r="A425" t="inlineStr">
        <is>
          <t>INV0010636</t>
        </is>
      </c>
      <c r="B425" t="inlineStr">
        <is>
          <t>MER00502</t>
        </is>
      </c>
      <c r="C425">
        <f>XLOOKUP(B425,Merchants!$A$4:$A$1000,Merchants!$B$4:$B$1000,"Not found")</f>
        <v/>
      </c>
      <c r="D425">
        <f>XLOOKUP(A425,tblInvoices[invoice_id],tblInvoices[due_date])</f>
        <v/>
      </c>
      <c r="E425">
        <f>XLOOKUP(A425,tblInvoices[invoice_id],tblInvoices[total_invoice_amount])</f>
        <v/>
      </c>
      <c r="F425">
        <f>SUMIFS(tblPayments[payment_amount],tblPayments[invoice_id],A425,tblPayments[payment_status],"Success")</f>
        <v/>
      </c>
      <c r="G425">
        <f>MAX(0,E425-F425)</f>
        <v/>
      </c>
      <c r="H425">
        <f>DATE(2026,8,13)-D425</f>
        <v/>
      </c>
      <c r="I425">
        <f>IFS(G425=0,"Excluded (paid)",H425&lt;=0,"Current",H425&lt;=30,"1-30 days",H425&lt;=60,"31-60 days",H425&lt;=90,"61-90 days",TRUE,"90+ days")</f>
        <v/>
      </c>
    </row>
    <row r="426">
      <c r="A426" t="inlineStr">
        <is>
          <t>INV0010637</t>
        </is>
      </c>
      <c r="B426" t="inlineStr">
        <is>
          <t>MER00502</t>
        </is>
      </c>
      <c r="C426">
        <f>XLOOKUP(B426,Merchants!$A$4:$A$1000,Merchants!$B$4:$B$1000,"Not found")</f>
        <v/>
      </c>
      <c r="D426">
        <f>XLOOKUP(A426,tblInvoices[invoice_id],tblInvoices[due_date])</f>
        <v/>
      </c>
      <c r="E426">
        <f>XLOOKUP(A426,tblInvoices[invoice_id],tblInvoices[total_invoice_amount])</f>
        <v/>
      </c>
      <c r="F426">
        <f>SUMIFS(tblPayments[payment_amount],tblPayments[invoice_id],A426,tblPayments[payment_status],"Success")</f>
        <v/>
      </c>
      <c r="G426">
        <f>MAX(0,E426-F426)</f>
        <v/>
      </c>
      <c r="H426">
        <f>DATE(2026,8,13)-D426</f>
        <v/>
      </c>
      <c r="I426">
        <f>IFS(G426=0,"Excluded (paid)",H426&lt;=0,"Current",H426&lt;=30,"1-30 days",H426&lt;=60,"31-60 days",H426&lt;=90,"61-90 days",TRUE,"90+ days")</f>
        <v/>
      </c>
    </row>
    <row r="427">
      <c r="A427" t="inlineStr">
        <is>
          <t>INV0010638</t>
        </is>
      </c>
      <c r="B427" t="inlineStr">
        <is>
          <t>MER00502</t>
        </is>
      </c>
      <c r="C427">
        <f>XLOOKUP(B427,Merchants!$A$4:$A$1000,Merchants!$B$4:$B$1000,"Not found")</f>
        <v/>
      </c>
      <c r="D427">
        <f>XLOOKUP(A427,tblInvoices[invoice_id],tblInvoices[due_date])</f>
        <v/>
      </c>
      <c r="E427">
        <f>XLOOKUP(A427,tblInvoices[invoice_id],tblInvoices[total_invoice_amount])</f>
        <v/>
      </c>
      <c r="F427">
        <f>SUMIFS(tblPayments[payment_amount],tblPayments[invoice_id],A427,tblPayments[payment_status],"Success")</f>
        <v/>
      </c>
      <c r="G427">
        <f>MAX(0,E427-F427)</f>
        <v/>
      </c>
      <c r="H427">
        <f>DATE(2026,8,13)-D427</f>
        <v/>
      </c>
      <c r="I427">
        <f>IFS(G427=0,"Excluded (paid)",H427&lt;=0,"Current",H427&lt;=30,"1-30 days",H427&lt;=60,"31-60 days",H427&lt;=90,"61-90 days",TRUE,"90+ days")</f>
        <v/>
      </c>
    </row>
    <row r="428">
      <c r="A428" t="inlineStr">
        <is>
          <t>INV0010639</t>
        </is>
      </c>
      <c r="B428" t="inlineStr">
        <is>
          <t>MER00502</t>
        </is>
      </c>
      <c r="C428">
        <f>XLOOKUP(B428,Merchants!$A$4:$A$1000,Merchants!$B$4:$B$1000,"Not found")</f>
        <v/>
      </c>
      <c r="D428">
        <f>XLOOKUP(A428,tblInvoices[invoice_id],tblInvoices[due_date])</f>
        <v/>
      </c>
      <c r="E428">
        <f>XLOOKUP(A428,tblInvoices[invoice_id],tblInvoices[total_invoice_amount])</f>
        <v/>
      </c>
      <c r="F428">
        <f>SUMIFS(tblPayments[payment_amount],tblPayments[invoice_id],A428,tblPayments[payment_status],"Success")</f>
        <v/>
      </c>
      <c r="G428">
        <f>MAX(0,E428-F428)</f>
        <v/>
      </c>
      <c r="H428">
        <f>DATE(2026,8,13)-D428</f>
        <v/>
      </c>
      <c r="I428">
        <f>IFS(G428=0,"Excluded (paid)",H428&lt;=0,"Current",H428&lt;=30,"1-30 days",H428&lt;=60,"31-60 days",H428&lt;=90,"61-90 days",TRUE,"90+ days")</f>
        <v/>
      </c>
    </row>
    <row r="429">
      <c r="A429" t="inlineStr">
        <is>
          <t>INV0010640</t>
        </is>
      </c>
      <c r="B429" t="inlineStr">
        <is>
          <t>MER00502</t>
        </is>
      </c>
      <c r="C429">
        <f>XLOOKUP(B429,Merchants!$A$4:$A$1000,Merchants!$B$4:$B$1000,"Not found")</f>
        <v/>
      </c>
      <c r="D429">
        <f>XLOOKUP(A429,tblInvoices[invoice_id],tblInvoices[due_date])</f>
        <v/>
      </c>
      <c r="E429">
        <f>XLOOKUP(A429,tblInvoices[invoice_id],tblInvoices[total_invoice_amount])</f>
        <v/>
      </c>
      <c r="F429">
        <f>SUMIFS(tblPayments[payment_amount],tblPayments[invoice_id],A429,tblPayments[payment_status],"Success")</f>
        <v/>
      </c>
      <c r="G429">
        <f>MAX(0,E429-F429)</f>
        <v/>
      </c>
      <c r="H429">
        <f>DATE(2026,8,13)-D429</f>
        <v/>
      </c>
      <c r="I429">
        <f>IFS(G429=0,"Excluded (paid)",H429&lt;=0,"Current",H429&lt;=30,"1-30 days",H429&lt;=60,"31-60 days",H429&lt;=90,"61-90 days",TRUE,"90+ days")</f>
        <v/>
      </c>
    </row>
    <row r="430">
      <c r="A430" t="inlineStr">
        <is>
          <t>INV0011058</t>
        </is>
      </c>
      <c r="B430" t="inlineStr">
        <is>
          <t>MER00523</t>
        </is>
      </c>
      <c r="C430">
        <f>XLOOKUP(B430,Merchants!$A$4:$A$1000,Merchants!$B$4:$B$1000,"Not found")</f>
        <v/>
      </c>
      <c r="D430">
        <f>XLOOKUP(A430,tblInvoices[invoice_id],tblInvoices[due_date])</f>
        <v/>
      </c>
      <c r="E430">
        <f>XLOOKUP(A430,tblInvoices[invoice_id],tblInvoices[total_invoice_amount])</f>
        <v/>
      </c>
      <c r="F430">
        <f>SUMIFS(tblPayments[payment_amount],tblPayments[invoice_id],A430,tblPayments[payment_status],"Success")</f>
        <v/>
      </c>
      <c r="G430">
        <f>MAX(0,E430-F430)</f>
        <v/>
      </c>
      <c r="H430">
        <f>DATE(2026,8,13)-D430</f>
        <v/>
      </c>
      <c r="I430">
        <f>IFS(G430=0,"Excluded (paid)",H430&lt;=0,"Current",H430&lt;=30,"1-30 days",H430&lt;=60,"31-60 days",H430&lt;=90,"61-90 days",TRUE,"90+ days")</f>
        <v/>
      </c>
    </row>
    <row r="431">
      <c r="A431" t="inlineStr">
        <is>
          <t>INV0011059</t>
        </is>
      </c>
      <c r="B431" t="inlineStr">
        <is>
          <t>MER00523</t>
        </is>
      </c>
      <c r="C431">
        <f>XLOOKUP(B431,Merchants!$A$4:$A$1000,Merchants!$B$4:$B$1000,"Not found")</f>
        <v/>
      </c>
      <c r="D431">
        <f>XLOOKUP(A431,tblInvoices[invoice_id],tblInvoices[due_date])</f>
        <v/>
      </c>
      <c r="E431">
        <f>XLOOKUP(A431,tblInvoices[invoice_id],tblInvoices[total_invoice_amount])</f>
        <v/>
      </c>
      <c r="F431">
        <f>SUMIFS(tblPayments[payment_amount],tblPayments[invoice_id],A431,tblPayments[payment_status],"Success")</f>
        <v/>
      </c>
      <c r="G431">
        <f>MAX(0,E431-F431)</f>
        <v/>
      </c>
      <c r="H431">
        <f>DATE(2026,8,13)-D431</f>
        <v/>
      </c>
      <c r="I431">
        <f>IFS(G431=0,"Excluded (paid)",H431&lt;=0,"Current",H431&lt;=30,"1-30 days",H431&lt;=60,"31-60 days",H431&lt;=90,"61-90 days",TRUE,"90+ days")</f>
        <v/>
      </c>
    </row>
    <row r="432">
      <c r="A432" t="inlineStr">
        <is>
          <t>INV0011060</t>
        </is>
      </c>
      <c r="B432" t="inlineStr">
        <is>
          <t>MER00523</t>
        </is>
      </c>
      <c r="C432">
        <f>XLOOKUP(B432,Merchants!$A$4:$A$1000,Merchants!$B$4:$B$1000,"Not found")</f>
        <v/>
      </c>
      <c r="D432">
        <f>XLOOKUP(A432,tblInvoices[invoice_id],tblInvoices[due_date])</f>
        <v/>
      </c>
      <c r="E432">
        <f>XLOOKUP(A432,tblInvoices[invoice_id],tblInvoices[total_invoice_amount])</f>
        <v/>
      </c>
      <c r="F432">
        <f>SUMIFS(tblPayments[payment_amount],tblPayments[invoice_id],A432,tblPayments[payment_status],"Success")</f>
        <v/>
      </c>
      <c r="G432">
        <f>MAX(0,E432-F432)</f>
        <v/>
      </c>
      <c r="H432">
        <f>DATE(2026,8,13)-D432</f>
        <v/>
      </c>
      <c r="I432">
        <f>IFS(G432=0,"Excluded (paid)",H432&lt;=0,"Current",H432&lt;=30,"1-30 days",H432&lt;=60,"31-60 days",H432&lt;=90,"61-90 days",TRUE,"90+ days")</f>
        <v/>
      </c>
    </row>
    <row r="433">
      <c r="A433" t="inlineStr">
        <is>
          <t>INV0011061</t>
        </is>
      </c>
      <c r="B433" t="inlineStr">
        <is>
          <t>MER00523</t>
        </is>
      </c>
      <c r="C433">
        <f>XLOOKUP(B433,Merchants!$A$4:$A$1000,Merchants!$B$4:$B$1000,"Not found")</f>
        <v/>
      </c>
      <c r="D433">
        <f>XLOOKUP(A433,tblInvoices[invoice_id],tblInvoices[due_date])</f>
        <v/>
      </c>
      <c r="E433">
        <f>XLOOKUP(A433,tblInvoices[invoice_id],tblInvoices[total_invoice_amount])</f>
        <v/>
      </c>
      <c r="F433">
        <f>SUMIFS(tblPayments[payment_amount],tblPayments[invoice_id],A433,tblPayments[payment_status],"Success")</f>
        <v/>
      </c>
      <c r="G433">
        <f>MAX(0,E433-F433)</f>
        <v/>
      </c>
      <c r="H433">
        <f>DATE(2026,8,13)-D433</f>
        <v/>
      </c>
      <c r="I433">
        <f>IFS(G433=0,"Excluded (paid)",H433&lt;=0,"Current",H433&lt;=30,"1-30 days",H433&lt;=60,"31-60 days",H433&lt;=90,"61-90 days",TRUE,"90+ days")</f>
        <v/>
      </c>
    </row>
    <row r="434">
      <c r="A434" t="inlineStr">
        <is>
          <t>INV0011062</t>
        </is>
      </c>
      <c r="B434" t="inlineStr">
        <is>
          <t>MER00523</t>
        </is>
      </c>
      <c r="C434">
        <f>XLOOKUP(B434,Merchants!$A$4:$A$1000,Merchants!$B$4:$B$1000,"Not found")</f>
        <v/>
      </c>
      <c r="D434">
        <f>XLOOKUP(A434,tblInvoices[invoice_id],tblInvoices[due_date])</f>
        <v/>
      </c>
      <c r="E434">
        <f>XLOOKUP(A434,tblInvoices[invoice_id],tblInvoices[total_invoice_amount])</f>
        <v/>
      </c>
      <c r="F434">
        <f>SUMIFS(tblPayments[payment_amount],tblPayments[invoice_id],A434,tblPayments[payment_status],"Success")</f>
        <v/>
      </c>
      <c r="G434">
        <f>MAX(0,E434-F434)</f>
        <v/>
      </c>
      <c r="H434">
        <f>DATE(2026,8,13)-D434</f>
        <v/>
      </c>
      <c r="I434">
        <f>IFS(G434=0,"Excluded (paid)",H434&lt;=0,"Current",H434&lt;=30,"1-30 days",H434&lt;=60,"31-60 days",H434&lt;=90,"61-90 days",TRUE,"90+ days")</f>
        <v/>
      </c>
    </row>
    <row r="435">
      <c r="A435" t="inlineStr">
        <is>
          <t>INV0011063</t>
        </is>
      </c>
      <c r="B435" t="inlineStr">
        <is>
          <t>MER00523</t>
        </is>
      </c>
      <c r="C435">
        <f>XLOOKUP(B435,Merchants!$A$4:$A$1000,Merchants!$B$4:$B$1000,"Not found")</f>
        <v/>
      </c>
      <c r="D435">
        <f>XLOOKUP(A435,tblInvoices[invoice_id],tblInvoices[due_date])</f>
        <v/>
      </c>
      <c r="E435">
        <f>XLOOKUP(A435,tblInvoices[invoice_id],tblInvoices[total_invoice_amount])</f>
        <v/>
      </c>
      <c r="F435">
        <f>SUMIFS(tblPayments[payment_amount],tblPayments[invoice_id],A435,tblPayments[payment_status],"Success")</f>
        <v/>
      </c>
      <c r="G435">
        <f>MAX(0,E435-F435)</f>
        <v/>
      </c>
      <c r="H435">
        <f>DATE(2026,8,13)-D435</f>
        <v/>
      </c>
      <c r="I435">
        <f>IFS(G435=0,"Excluded (paid)",H435&lt;=0,"Current",H435&lt;=30,"1-30 days",H435&lt;=60,"31-60 days",H435&lt;=90,"61-90 days",TRUE,"90+ days")</f>
        <v/>
      </c>
    </row>
    <row r="436">
      <c r="A436" t="inlineStr">
        <is>
          <t>INV0011064</t>
        </is>
      </c>
      <c r="B436" t="inlineStr">
        <is>
          <t>MER00523</t>
        </is>
      </c>
      <c r="C436">
        <f>XLOOKUP(B436,Merchants!$A$4:$A$1000,Merchants!$B$4:$B$1000,"Not found")</f>
        <v/>
      </c>
      <c r="D436">
        <f>XLOOKUP(A436,tblInvoices[invoice_id],tblInvoices[due_date])</f>
        <v/>
      </c>
      <c r="E436">
        <f>XLOOKUP(A436,tblInvoices[invoice_id],tblInvoices[total_invoice_amount])</f>
        <v/>
      </c>
      <c r="F436">
        <f>SUMIFS(tblPayments[payment_amount],tblPayments[invoice_id],A436,tblPayments[payment_status],"Success")</f>
        <v/>
      </c>
      <c r="G436">
        <f>MAX(0,E436-F436)</f>
        <v/>
      </c>
      <c r="H436">
        <f>DATE(2026,8,13)-D436</f>
        <v/>
      </c>
      <c r="I436">
        <f>IFS(G436=0,"Excluded (paid)",H436&lt;=0,"Current",H436&lt;=30,"1-30 days",H436&lt;=60,"31-60 days",H436&lt;=90,"61-90 days",TRUE,"90+ days")</f>
        <v/>
      </c>
    </row>
    <row r="437">
      <c r="A437" t="inlineStr">
        <is>
          <t>INV0011065</t>
        </is>
      </c>
      <c r="B437" t="inlineStr">
        <is>
          <t>MER00523</t>
        </is>
      </c>
      <c r="C437">
        <f>XLOOKUP(B437,Merchants!$A$4:$A$1000,Merchants!$B$4:$B$1000,"Not found")</f>
        <v/>
      </c>
      <c r="D437">
        <f>XLOOKUP(A437,tblInvoices[invoice_id],tblInvoices[due_date])</f>
        <v/>
      </c>
      <c r="E437">
        <f>XLOOKUP(A437,tblInvoices[invoice_id],tblInvoices[total_invoice_amount])</f>
        <v/>
      </c>
      <c r="F437">
        <f>SUMIFS(tblPayments[payment_amount],tblPayments[invoice_id],A437,tblPayments[payment_status],"Success")</f>
        <v/>
      </c>
      <c r="G437">
        <f>MAX(0,E437-F437)</f>
        <v/>
      </c>
      <c r="H437">
        <f>DATE(2026,8,13)-D437</f>
        <v/>
      </c>
      <c r="I437">
        <f>IFS(G437=0,"Excluded (paid)",H437&lt;=0,"Current",H437&lt;=30,"1-30 days",H437&lt;=60,"31-60 days",H437&lt;=90,"61-90 days",TRUE,"90+ days")</f>
        <v/>
      </c>
    </row>
    <row r="438">
      <c r="A438" t="inlineStr">
        <is>
          <t>INV0011066</t>
        </is>
      </c>
      <c r="B438" t="inlineStr">
        <is>
          <t>MER00523</t>
        </is>
      </c>
      <c r="C438">
        <f>XLOOKUP(B438,Merchants!$A$4:$A$1000,Merchants!$B$4:$B$1000,"Not found")</f>
        <v/>
      </c>
      <c r="D438">
        <f>XLOOKUP(A438,tblInvoices[invoice_id],tblInvoices[due_date])</f>
        <v/>
      </c>
      <c r="E438">
        <f>XLOOKUP(A438,tblInvoices[invoice_id],tblInvoices[total_invoice_amount])</f>
        <v/>
      </c>
      <c r="F438">
        <f>SUMIFS(tblPayments[payment_amount],tblPayments[invoice_id],A438,tblPayments[payment_status],"Success")</f>
        <v/>
      </c>
      <c r="G438">
        <f>MAX(0,E438-F438)</f>
        <v/>
      </c>
      <c r="H438">
        <f>DATE(2026,8,13)-D438</f>
        <v/>
      </c>
      <c r="I438">
        <f>IFS(G438=0,"Excluded (paid)",H438&lt;=0,"Current",H438&lt;=30,"1-30 days",H438&lt;=60,"31-60 days",H438&lt;=90,"61-90 days",TRUE,"90+ days")</f>
        <v/>
      </c>
    </row>
    <row r="439">
      <c r="A439" t="inlineStr">
        <is>
          <t>INV0011067</t>
        </is>
      </c>
      <c r="B439" t="inlineStr">
        <is>
          <t>MER00523</t>
        </is>
      </c>
      <c r="C439">
        <f>XLOOKUP(B439,Merchants!$A$4:$A$1000,Merchants!$B$4:$B$1000,"Not found")</f>
        <v/>
      </c>
      <c r="D439">
        <f>XLOOKUP(A439,tblInvoices[invoice_id],tblInvoices[due_date])</f>
        <v/>
      </c>
      <c r="E439">
        <f>XLOOKUP(A439,tblInvoices[invoice_id],tblInvoices[total_invoice_amount])</f>
        <v/>
      </c>
      <c r="F439">
        <f>SUMIFS(tblPayments[payment_amount],tblPayments[invoice_id],A439,tblPayments[payment_status],"Success")</f>
        <v/>
      </c>
      <c r="G439">
        <f>MAX(0,E439-F439)</f>
        <v/>
      </c>
      <c r="H439">
        <f>DATE(2026,8,13)-D439</f>
        <v/>
      </c>
      <c r="I439">
        <f>IFS(G439=0,"Excluded (paid)",H439&lt;=0,"Current",H439&lt;=30,"1-30 days",H439&lt;=60,"31-60 days",H439&lt;=90,"61-90 days",TRUE,"90+ days")</f>
        <v/>
      </c>
    </row>
    <row r="440">
      <c r="A440" t="inlineStr">
        <is>
          <t>INV0011068</t>
        </is>
      </c>
      <c r="B440" t="inlineStr">
        <is>
          <t>MER00523</t>
        </is>
      </c>
      <c r="C440">
        <f>XLOOKUP(B440,Merchants!$A$4:$A$1000,Merchants!$B$4:$B$1000,"Not found")</f>
        <v/>
      </c>
      <c r="D440">
        <f>XLOOKUP(A440,tblInvoices[invoice_id],tblInvoices[due_date])</f>
        <v/>
      </c>
      <c r="E440">
        <f>XLOOKUP(A440,tblInvoices[invoice_id],tblInvoices[total_invoice_amount])</f>
        <v/>
      </c>
      <c r="F440">
        <f>SUMIFS(tblPayments[payment_amount],tblPayments[invoice_id],A440,tblPayments[payment_status],"Success")</f>
        <v/>
      </c>
      <c r="G440">
        <f>MAX(0,E440-F440)</f>
        <v/>
      </c>
      <c r="H440">
        <f>DATE(2026,8,13)-D440</f>
        <v/>
      </c>
      <c r="I440">
        <f>IFS(G440=0,"Excluded (paid)",H440&lt;=0,"Current",H440&lt;=30,"1-30 days",H440&lt;=60,"31-60 days",H440&lt;=90,"61-90 days",TRUE,"90+ days")</f>
        <v/>
      </c>
    </row>
    <row r="441">
      <c r="A441" t="inlineStr">
        <is>
          <t>INV0011069</t>
        </is>
      </c>
      <c r="B441" t="inlineStr">
        <is>
          <t>MER00523</t>
        </is>
      </c>
      <c r="C441">
        <f>XLOOKUP(B441,Merchants!$A$4:$A$1000,Merchants!$B$4:$B$1000,"Not found")</f>
        <v/>
      </c>
      <c r="D441">
        <f>XLOOKUP(A441,tblInvoices[invoice_id],tblInvoices[due_date])</f>
        <v/>
      </c>
      <c r="E441">
        <f>XLOOKUP(A441,tblInvoices[invoice_id],tblInvoices[total_invoice_amount])</f>
        <v/>
      </c>
      <c r="F441">
        <f>SUMIFS(tblPayments[payment_amount],tblPayments[invoice_id],A441,tblPayments[payment_status],"Success")</f>
        <v/>
      </c>
      <c r="G441">
        <f>MAX(0,E441-F441)</f>
        <v/>
      </c>
      <c r="H441">
        <f>DATE(2026,8,13)-D441</f>
        <v/>
      </c>
      <c r="I441">
        <f>IFS(G441=0,"Excluded (paid)",H441&lt;=0,"Current",H441&lt;=30,"1-30 days",H441&lt;=60,"31-60 days",H441&lt;=90,"61-90 days",TRUE,"90+ days")</f>
        <v/>
      </c>
    </row>
    <row r="442">
      <c r="A442" t="inlineStr">
        <is>
          <t>INV0011070</t>
        </is>
      </c>
      <c r="B442" t="inlineStr">
        <is>
          <t>MER00523</t>
        </is>
      </c>
      <c r="C442">
        <f>XLOOKUP(B442,Merchants!$A$4:$A$1000,Merchants!$B$4:$B$1000,"Not found")</f>
        <v/>
      </c>
      <c r="D442">
        <f>XLOOKUP(A442,tblInvoices[invoice_id],tblInvoices[due_date])</f>
        <v/>
      </c>
      <c r="E442">
        <f>XLOOKUP(A442,tblInvoices[invoice_id],tblInvoices[total_invoice_amount])</f>
        <v/>
      </c>
      <c r="F442">
        <f>SUMIFS(tblPayments[payment_amount],tblPayments[invoice_id],A442,tblPayments[payment_status],"Success")</f>
        <v/>
      </c>
      <c r="G442">
        <f>MAX(0,E442-F442)</f>
        <v/>
      </c>
      <c r="H442">
        <f>DATE(2026,8,13)-D442</f>
        <v/>
      </c>
      <c r="I442">
        <f>IFS(G442=0,"Excluded (paid)",H442&lt;=0,"Current",H442&lt;=30,"1-30 days",H442&lt;=60,"31-60 days",H442&lt;=90,"61-90 days",TRUE,"90+ days")</f>
        <v/>
      </c>
    </row>
    <row r="443">
      <c r="A443" t="inlineStr">
        <is>
          <t>INV0011071</t>
        </is>
      </c>
      <c r="B443" t="inlineStr">
        <is>
          <t>MER00523</t>
        </is>
      </c>
      <c r="C443">
        <f>XLOOKUP(B443,Merchants!$A$4:$A$1000,Merchants!$B$4:$B$1000,"Not found")</f>
        <v/>
      </c>
      <c r="D443">
        <f>XLOOKUP(A443,tblInvoices[invoice_id],tblInvoices[due_date])</f>
        <v/>
      </c>
      <c r="E443">
        <f>XLOOKUP(A443,tblInvoices[invoice_id],tblInvoices[total_invoice_amount])</f>
        <v/>
      </c>
      <c r="F443">
        <f>SUMIFS(tblPayments[payment_amount],tblPayments[invoice_id],A443,tblPayments[payment_status],"Success")</f>
        <v/>
      </c>
      <c r="G443">
        <f>MAX(0,E443-F443)</f>
        <v/>
      </c>
      <c r="H443">
        <f>DATE(2026,8,13)-D443</f>
        <v/>
      </c>
      <c r="I443">
        <f>IFS(G443=0,"Excluded (paid)",H443&lt;=0,"Current",H443&lt;=30,"1-30 days",H443&lt;=60,"31-60 days",H443&lt;=90,"61-90 days",TRUE,"90+ days")</f>
        <v/>
      </c>
    </row>
    <row r="444">
      <c r="A444" t="inlineStr">
        <is>
          <t>INV0011072</t>
        </is>
      </c>
      <c r="B444" t="inlineStr">
        <is>
          <t>MER00523</t>
        </is>
      </c>
      <c r="C444">
        <f>XLOOKUP(B444,Merchants!$A$4:$A$1000,Merchants!$B$4:$B$1000,"Not found")</f>
        <v/>
      </c>
      <c r="D444">
        <f>XLOOKUP(A444,tblInvoices[invoice_id],tblInvoices[due_date])</f>
        <v/>
      </c>
      <c r="E444">
        <f>XLOOKUP(A444,tblInvoices[invoice_id],tblInvoices[total_invoice_amount])</f>
        <v/>
      </c>
      <c r="F444">
        <f>SUMIFS(tblPayments[payment_amount],tblPayments[invoice_id],A444,tblPayments[payment_status],"Success")</f>
        <v/>
      </c>
      <c r="G444">
        <f>MAX(0,E444-F444)</f>
        <v/>
      </c>
      <c r="H444">
        <f>DATE(2026,8,13)-D444</f>
        <v/>
      </c>
      <c r="I444">
        <f>IFS(G444=0,"Excluded (paid)",H444&lt;=0,"Current",H444&lt;=30,"1-30 days",H444&lt;=60,"31-60 days",H444&lt;=90,"61-90 days",TRUE,"90+ days")</f>
        <v/>
      </c>
    </row>
    <row r="445">
      <c r="A445" t="inlineStr">
        <is>
          <t>INV0011073</t>
        </is>
      </c>
      <c r="B445" t="inlineStr">
        <is>
          <t>MER00523</t>
        </is>
      </c>
      <c r="C445">
        <f>XLOOKUP(B445,Merchants!$A$4:$A$1000,Merchants!$B$4:$B$1000,"Not found")</f>
        <v/>
      </c>
      <c r="D445">
        <f>XLOOKUP(A445,tblInvoices[invoice_id],tblInvoices[due_date])</f>
        <v/>
      </c>
      <c r="E445">
        <f>XLOOKUP(A445,tblInvoices[invoice_id],tblInvoices[total_invoice_amount])</f>
        <v/>
      </c>
      <c r="F445">
        <f>SUMIFS(tblPayments[payment_amount],tblPayments[invoice_id],A445,tblPayments[payment_status],"Success")</f>
        <v/>
      </c>
      <c r="G445">
        <f>MAX(0,E445-F445)</f>
        <v/>
      </c>
      <c r="H445">
        <f>DATE(2026,8,13)-D445</f>
        <v/>
      </c>
      <c r="I445">
        <f>IFS(G445=0,"Excluded (paid)",H445&lt;=0,"Current",H445&lt;=30,"1-30 days",H445&lt;=60,"31-60 days",H445&lt;=90,"61-90 days",TRUE,"90+ days")</f>
        <v/>
      </c>
    </row>
    <row r="446">
      <c r="A446" t="inlineStr">
        <is>
          <t>INV0011074</t>
        </is>
      </c>
      <c r="B446" t="inlineStr">
        <is>
          <t>MER00523</t>
        </is>
      </c>
      <c r="C446">
        <f>XLOOKUP(B446,Merchants!$A$4:$A$1000,Merchants!$B$4:$B$1000,"Not found")</f>
        <v/>
      </c>
      <c r="D446">
        <f>XLOOKUP(A446,tblInvoices[invoice_id],tblInvoices[due_date])</f>
        <v/>
      </c>
      <c r="E446">
        <f>XLOOKUP(A446,tblInvoices[invoice_id],tblInvoices[total_invoice_amount])</f>
        <v/>
      </c>
      <c r="F446">
        <f>SUMIFS(tblPayments[payment_amount],tblPayments[invoice_id],A446,tblPayments[payment_status],"Success")</f>
        <v/>
      </c>
      <c r="G446">
        <f>MAX(0,E446-F446)</f>
        <v/>
      </c>
      <c r="H446">
        <f>DATE(2026,8,13)-D446</f>
        <v/>
      </c>
      <c r="I446">
        <f>IFS(G446=0,"Excluded (paid)",H446&lt;=0,"Current",H446&lt;=30,"1-30 days",H446&lt;=60,"31-60 days",H446&lt;=90,"61-90 days",TRUE,"90+ days")</f>
        <v/>
      </c>
    </row>
    <row r="447">
      <c r="A447" t="inlineStr">
        <is>
          <t>INV0011075</t>
        </is>
      </c>
      <c r="B447" t="inlineStr">
        <is>
          <t>MER00523</t>
        </is>
      </c>
      <c r="C447">
        <f>XLOOKUP(B447,Merchants!$A$4:$A$1000,Merchants!$B$4:$B$1000,"Not found")</f>
        <v/>
      </c>
      <c r="D447">
        <f>XLOOKUP(A447,tblInvoices[invoice_id],tblInvoices[due_date])</f>
        <v/>
      </c>
      <c r="E447">
        <f>XLOOKUP(A447,tblInvoices[invoice_id],tblInvoices[total_invoice_amount])</f>
        <v/>
      </c>
      <c r="F447">
        <f>SUMIFS(tblPayments[payment_amount],tblPayments[invoice_id],A447,tblPayments[payment_status],"Success")</f>
        <v/>
      </c>
      <c r="G447">
        <f>MAX(0,E447-F447)</f>
        <v/>
      </c>
      <c r="H447">
        <f>DATE(2026,8,13)-D447</f>
        <v/>
      </c>
      <c r="I447">
        <f>IFS(G447=0,"Excluded (paid)",H447&lt;=0,"Current",H447&lt;=30,"1-30 days",H447&lt;=60,"31-60 days",H447&lt;=90,"61-90 days",TRUE,"90+ days")</f>
        <v/>
      </c>
    </row>
    <row r="448">
      <c r="A448" t="inlineStr">
        <is>
          <t>INV0011076</t>
        </is>
      </c>
      <c r="B448" t="inlineStr">
        <is>
          <t>MER00523</t>
        </is>
      </c>
      <c r="C448">
        <f>XLOOKUP(B448,Merchants!$A$4:$A$1000,Merchants!$B$4:$B$1000,"Not found")</f>
        <v/>
      </c>
      <c r="D448">
        <f>XLOOKUP(A448,tblInvoices[invoice_id],tblInvoices[due_date])</f>
        <v/>
      </c>
      <c r="E448">
        <f>XLOOKUP(A448,tblInvoices[invoice_id],tblInvoices[total_invoice_amount])</f>
        <v/>
      </c>
      <c r="F448">
        <f>SUMIFS(tblPayments[payment_amount],tblPayments[invoice_id],A448,tblPayments[payment_status],"Success")</f>
        <v/>
      </c>
      <c r="G448">
        <f>MAX(0,E448-F448)</f>
        <v/>
      </c>
      <c r="H448">
        <f>DATE(2026,8,13)-D448</f>
        <v/>
      </c>
      <c r="I448">
        <f>IFS(G448=0,"Excluded (paid)",H448&lt;=0,"Current",H448&lt;=30,"1-30 days",H448&lt;=60,"31-60 days",H448&lt;=90,"61-90 days",TRUE,"90+ days")</f>
        <v/>
      </c>
    </row>
    <row r="449">
      <c r="A449" t="inlineStr">
        <is>
          <t>INV0011077</t>
        </is>
      </c>
      <c r="B449" t="inlineStr">
        <is>
          <t>MER00523</t>
        </is>
      </c>
      <c r="C449">
        <f>XLOOKUP(B449,Merchants!$A$4:$A$1000,Merchants!$B$4:$B$1000,"Not found")</f>
        <v/>
      </c>
      <c r="D449">
        <f>XLOOKUP(A449,tblInvoices[invoice_id],tblInvoices[due_date])</f>
        <v/>
      </c>
      <c r="E449">
        <f>XLOOKUP(A449,tblInvoices[invoice_id],tblInvoices[total_invoice_amount])</f>
        <v/>
      </c>
      <c r="F449">
        <f>SUMIFS(tblPayments[payment_amount],tblPayments[invoice_id],A449,tblPayments[payment_status],"Success")</f>
        <v/>
      </c>
      <c r="G449">
        <f>MAX(0,E449-F449)</f>
        <v/>
      </c>
      <c r="H449">
        <f>DATE(2026,8,13)-D449</f>
        <v/>
      </c>
      <c r="I449">
        <f>IFS(G449=0,"Excluded (paid)",H449&lt;=0,"Current",H449&lt;=30,"1-30 days",H449&lt;=60,"31-60 days",H449&lt;=90,"61-90 days",TRUE,"90+ days")</f>
        <v/>
      </c>
    </row>
    <row r="450">
      <c r="A450" t="inlineStr">
        <is>
          <t>INV0011078</t>
        </is>
      </c>
      <c r="B450" t="inlineStr">
        <is>
          <t>MER00523</t>
        </is>
      </c>
      <c r="C450">
        <f>XLOOKUP(B450,Merchants!$A$4:$A$1000,Merchants!$B$4:$B$1000,"Not found")</f>
        <v/>
      </c>
      <c r="D450">
        <f>XLOOKUP(A450,tblInvoices[invoice_id],tblInvoices[due_date])</f>
        <v/>
      </c>
      <c r="E450">
        <f>XLOOKUP(A450,tblInvoices[invoice_id],tblInvoices[total_invoice_amount])</f>
        <v/>
      </c>
      <c r="F450">
        <f>SUMIFS(tblPayments[payment_amount],tblPayments[invoice_id],A450,tblPayments[payment_status],"Success")</f>
        <v/>
      </c>
      <c r="G450">
        <f>MAX(0,E450-F450)</f>
        <v/>
      </c>
      <c r="H450">
        <f>DATE(2026,8,13)-D450</f>
        <v/>
      </c>
      <c r="I450">
        <f>IFS(G450=0,"Excluded (paid)",H450&lt;=0,"Current",H450&lt;=30,"1-30 days",H450&lt;=60,"31-60 days",H450&lt;=90,"61-90 days",TRUE,"90+ days")</f>
        <v/>
      </c>
    </row>
    <row r="451">
      <c r="A451" t="inlineStr">
        <is>
          <t>INV0011079</t>
        </is>
      </c>
      <c r="B451" t="inlineStr">
        <is>
          <t>MER00523</t>
        </is>
      </c>
      <c r="C451">
        <f>XLOOKUP(B451,Merchants!$A$4:$A$1000,Merchants!$B$4:$B$1000,"Not found")</f>
        <v/>
      </c>
      <c r="D451">
        <f>XLOOKUP(A451,tblInvoices[invoice_id],tblInvoices[due_date])</f>
        <v/>
      </c>
      <c r="E451">
        <f>XLOOKUP(A451,tblInvoices[invoice_id],tblInvoices[total_invoice_amount])</f>
        <v/>
      </c>
      <c r="F451">
        <f>SUMIFS(tblPayments[payment_amount],tblPayments[invoice_id],A451,tblPayments[payment_status],"Success")</f>
        <v/>
      </c>
      <c r="G451">
        <f>MAX(0,E451-F451)</f>
        <v/>
      </c>
      <c r="H451">
        <f>DATE(2026,8,13)-D451</f>
        <v/>
      </c>
      <c r="I451">
        <f>IFS(G451=0,"Excluded (paid)",H451&lt;=0,"Current",H451&lt;=30,"1-30 days",H451&lt;=60,"31-60 days",H451&lt;=90,"61-90 days",TRUE,"90+ days")</f>
        <v/>
      </c>
    </row>
    <row r="452">
      <c r="A452" t="inlineStr">
        <is>
          <t>INV0011080</t>
        </is>
      </c>
      <c r="B452" t="inlineStr">
        <is>
          <t>MER00523</t>
        </is>
      </c>
      <c r="C452">
        <f>XLOOKUP(B452,Merchants!$A$4:$A$1000,Merchants!$B$4:$B$1000,"Not found")</f>
        <v/>
      </c>
      <c r="D452">
        <f>XLOOKUP(A452,tblInvoices[invoice_id],tblInvoices[due_date])</f>
        <v/>
      </c>
      <c r="E452">
        <f>XLOOKUP(A452,tblInvoices[invoice_id],tblInvoices[total_invoice_amount])</f>
        <v/>
      </c>
      <c r="F452">
        <f>SUMIFS(tblPayments[payment_amount],tblPayments[invoice_id],A452,tblPayments[payment_status],"Success")</f>
        <v/>
      </c>
      <c r="G452">
        <f>MAX(0,E452-F452)</f>
        <v/>
      </c>
      <c r="H452">
        <f>DATE(2026,8,13)-D452</f>
        <v/>
      </c>
      <c r="I452">
        <f>IFS(G452=0,"Excluded (paid)",H452&lt;=0,"Current",H452&lt;=30,"1-30 days",H452&lt;=60,"31-60 days",H452&lt;=90,"61-90 days",TRUE,"90+ days")</f>
        <v/>
      </c>
    </row>
    <row r="453">
      <c r="A453" t="inlineStr">
        <is>
          <t>INV0011081</t>
        </is>
      </c>
      <c r="B453" t="inlineStr">
        <is>
          <t>MER00523</t>
        </is>
      </c>
      <c r="C453">
        <f>XLOOKUP(B453,Merchants!$A$4:$A$1000,Merchants!$B$4:$B$1000,"Not found")</f>
        <v/>
      </c>
      <c r="D453">
        <f>XLOOKUP(A453,tblInvoices[invoice_id],tblInvoices[due_date])</f>
        <v/>
      </c>
      <c r="E453">
        <f>XLOOKUP(A453,tblInvoices[invoice_id],tblInvoices[total_invoice_amount])</f>
        <v/>
      </c>
      <c r="F453">
        <f>SUMIFS(tblPayments[payment_amount],tblPayments[invoice_id],A453,tblPayments[payment_status],"Success")</f>
        <v/>
      </c>
      <c r="G453">
        <f>MAX(0,E453-F453)</f>
        <v/>
      </c>
      <c r="H453">
        <f>DATE(2026,8,13)-D453</f>
        <v/>
      </c>
      <c r="I453">
        <f>IFS(G453=0,"Excluded (paid)",H453&lt;=0,"Current",H453&lt;=30,"1-30 days",H453&lt;=60,"31-60 days",H453&lt;=90,"61-90 days",TRUE,"90+ days")</f>
        <v/>
      </c>
    </row>
    <row r="454">
      <c r="A454" t="inlineStr">
        <is>
          <t>INV0011206</t>
        </is>
      </c>
      <c r="B454" t="inlineStr">
        <is>
          <t>MER00530</t>
        </is>
      </c>
      <c r="C454">
        <f>XLOOKUP(B454,Merchants!$A$4:$A$1000,Merchants!$B$4:$B$1000,"Not found")</f>
        <v/>
      </c>
      <c r="D454">
        <f>XLOOKUP(A454,tblInvoices[invoice_id],tblInvoices[due_date])</f>
        <v/>
      </c>
      <c r="E454">
        <f>XLOOKUP(A454,tblInvoices[invoice_id],tblInvoices[total_invoice_amount])</f>
        <v/>
      </c>
      <c r="F454">
        <f>SUMIFS(tblPayments[payment_amount],tblPayments[invoice_id],A454,tblPayments[payment_status],"Success")</f>
        <v/>
      </c>
      <c r="G454">
        <f>MAX(0,E454-F454)</f>
        <v/>
      </c>
      <c r="H454">
        <f>DATE(2026,8,13)-D454</f>
        <v/>
      </c>
      <c r="I454">
        <f>IFS(G454=0,"Excluded (paid)",H454&lt;=0,"Current",H454&lt;=30,"1-30 days",H454&lt;=60,"31-60 days",H454&lt;=90,"61-90 days",TRUE,"90+ days")</f>
        <v/>
      </c>
    </row>
    <row r="455">
      <c r="A455" t="inlineStr">
        <is>
          <t>INV0011207</t>
        </is>
      </c>
      <c r="B455" t="inlineStr">
        <is>
          <t>MER00530</t>
        </is>
      </c>
      <c r="C455">
        <f>XLOOKUP(B455,Merchants!$A$4:$A$1000,Merchants!$B$4:$B$1000,"Not found")</f>
        <v/>
      </c>
      <c r="D455">
        <f>XLOOKUP(A455,tblInvoices[invoice_id],tblInvoices[due_date])</f>
        <v/>
      </c>
      <c r="E455">
        <f>XLOOKUP(A455,tblInvoices[invoice_id],tblInvoices[total_invoice_amount])</f>
        <v/>
      </c>
      <c r="F455">
        <f>SUMIFS(tblPayments[payment_amount],tblPayments[invoice_id],A455,tblPayments[payment_status],"Success")</f>
        <v/>
      </c>
      <c r="G455">
        <f>MAX(0,E455-F455)</f>
        <v/>
      </c>
      <c r="H455">
        <f>DATE(2026,8,13)-D455</f>
        <v/>
      </c>
      <c r="I455">
        <f>IFS(G455=0,"Excluded (paid)",H455&lt;=0,"Current",H455&lt;=30,"1-30 days",H455&lt;=60,"31-60 days",H455&lt;=90,"61-90 days",TRUE,"90+ days")</f>
        <v/>
      </c>
    </row>
    <row r="456">
      <c r="A456" t="inlineStr">
        <is>
          <t>INV0011208</t>
        </is>
      </c>
      <c r="B456" t="inlineStr">
        <is>
          <t>MER00530</t>
        </is>
      </c>
      <c r="C456">
        <f>XLOOKUP(B456,Merchants!$A$4:$A$1000,Merchants!$B$4:$B$1000,"Not found")</f>
        <v/>
      </c>
      <c r="D456">
        <f>XLOOKUP(A456,tblInvoices[invoice_id],tblInvoices[due_date])</f>
        <v/>
      </c>
      <c r="E456">
        <f>XLOOKUP(A456,tblInvoices[invoice_id],tblInvoices[total_invoice_amount])</f>
        <v/>
      </c>
      <c r="F456">
        <f>SUMIFS(tblPayments[payment_amount],tblPayments[invoice_id],A456,tblPayments[payment_status],"Success")</f>
        <v/>
      </c>
      <c r="G456">
        <f>MAX(0,E456-F456)</f>
        <v/>
      </c>
      <c r="H456">
        <f>DATE(2026,8,13)-D456</f>
        <v/>
      </c>
      <c r="I456">
        <f>IFS(G456=0,"Excluded (paid)",H456&lt;=0,"Current",H456&lt;=30,"1-30 days",H456&lt;=60,"31-60 days",H456&lt;=90,"61-90 days",TRUE,"90+ days")</f>
        <v/>
      </c>
    </row>
    <row r="457">
      <c r="A457" t="inlineStr">
        <is>
          <t>INV0011209</t>
        </is>
      </c>
      <c r="B457" t="inlineStr">
        <is>
          <t>MER00530</t>
        </is>
      </c>
      <c r="C457">
        <f>XLOOKUP(B457,Merchants!$A$4:$A$1000,Merchants!$B$4:$B$1000,"Not found")</f>
        <v/>
      </c>
      <c r="D457">
        <f>XLOOKUP(A457,tblInvoices[invoice_id],tblInvoices[due_date])</f>
        <v/>
      </c>
      <c r="E457">
        <f>XLOOKUP(A457,tblInvoices[invoice_id],tblInvoices[total_invoice_amount])</f>
        <v/>
      </c>
      <c r="F457">
        <f>SUMIFS(tblPayments[payment_amount],tblPayments[invoice_id],A457,tblPayments[payment_status],"Success")</f>
        <v/>
      </c>
      <c r="G457">
        <f>MAX(0,E457-F457)</f>
        <v/>
      </c>
      <c r="H457">
        <f>DATE(2026,8,13)-D457</f>
        <v/>
      </c>
      <c r="I457">
        <f>IFS(G457=0,"Excluded (paid)",H457&lt;=0,"Current",H457&lt;=30,"1-30 days",H457&lt;=60,"31-60 days",H457&lt;=90,"61-90 days",TRUE,"90+ days")</f>
        <v/>
      </c>
    </row>
    <row r="458">
      <c r="A458" t="inlineStr">
        <is>
          <t>INV0011210</t>
        </is>
      </c>
      <c r="B458" t="inlineStr">
        <is>
          <t>MER00530</t>
        </is>
      </c>
      <c r="C458">
        <f>XLOOKUP(B458,Merchants!$A$4:$A$1000,Merchants!$B$4:$B$1000,"Not found")</f>
        <v/>
      </c>
      <c r="D458">
        <f>XLOOKUP(A458,tblInvoices[invoice_id],tblInvoices[due_date])</f>
        <v/>
      </c>
      <c r="E458">
        <f>XLOOKUP(A458,tblInvoices[invoice_id],tblInvoices[total_invoice_amount])</f>
        <v/>
      </c>
      <c r="F458">
        <f>SUMIFS(tblPayments[payment_amount],tblPayments[invoice_id],A458,tblPayments[payment_status],"Success")</f>
        <v/>
      </c>
      <c r="G458">
        <f>MAX(0,E458-F458)</f>
        <v/>
      </c>
      <c r="H458">
        <f>DATE(2026,8,13)-D458</f>
        <v/>
      </c>
      <c r="I458">
        <f>IFS(G458=0,"Excluded (paid)",H458&lt;=0,"Current",H458&lt;=30,"1-30 days",H458&lt;=60,"31-60 days",H458&lt;=90,"61-90 days",TRUE,"90+ days")</f>
        <v/>
      </c>
    </row>
    <row r="459">
      <c r="A459" t="inlineStr">
        <is>
          <t>INV0011211</t>
        </is>
      </c>
      <c r="B459" t="inlineStr">
        <is>
          <t>MER00530</t>
        </is>
      </c>
      <c r="C459">
        <f>XLOOKUP(B459,Merchants!$A$4:$A$1000,Merchants!$B$4:$B$1000,"Not found")</f>
        <v/>
      </c>
      <c r="D459">
        <f>XLOOKUP(A459,tblInvoices[invoice_id],tblInvoices[due_date])</f>
        <v/>
      </c>
      <c r="E459">
        <f>XLOOKUP(A459,tblInvoices[invoice_id],tblInvoices[total_invoice_amount])</f>
        <v/>
      </c>
      <c r="F459">
        <f>SUMIFS(tblPayments[payment_amount],tblPayments[invoice_id],A459,tblPayments[payment_status],"Success")</f>
        <v/>
      </c>
      <c r="G459">
        <f>MAX(0,E459-F459)</f>
        <v/>
      </c>
      <c r="H459">
        <f>DATE(2026,8,13)-D459</f>
        <v/>
      </c>
      <c r="I459">
        <f>IFS(G459=0,"Excluded (paid)",H459&lt;=0,"Current",H459&lt;=30,"1-30 days",H459&lt;=60,"31-60 days",H459&lt;=90,"61-90 days",TRUE,"90+ days")</f>
        <v/>
      </c>
    </row>
    <row r="460">
      <c r="A460" t="inlineStr">
        <is>
          <t>INV0011212</t>
        </is>
      </c>
      <c r="B460" t="inlineStr">
        <is>
          <t>MER00530</t>
        </is>
      </c>
      <c r="C460">
        <f>XLOOKUP(B460,Merchants!$A$4:$A$1000,Merchants!$B$4:$B$1000,"Not found")</f>
        <v/>
      </c>
      <c r="D460">
        <f>XLOOKUP(A460,tblInvoices[invoice_id],tblInvoices[due_date])</f>
        <v/>
      </c>
      <c r="E460">
        <f>XLOOKUP(A460,tblInvoices[invoice_id],tblInvoices[total_invoice_amount])</f>
        <v/>
      </c>
      <c r="F460">
        <f>SUMIFS(tblPayments[payment_amount],tblPayments[invoice_id],A460,tblPayments[payment_status],"Success")</f>
        <v/>
      </c>
      <c r="G460">
        <f>MAX(0,E460-F460)</f>
        <v/>
      </c>
      <c r="H460">
        <f>DATE(2026,8,13)-D460</f>
        <v/>
      </c>
      <c r="I460">
        <f>IFS(G460=0,"Excluded (paid)",H460&lt;=0,"Current",H460&lt;=30,"1-30 days",H460&lt;=60,"31-60 days",H460&lt;=90,"61-90 days",TRUE,"90+ days")</f>
        <v/>
      </c>
    </row>
    <row r="461">
      <c r="A461" t="inlineStr">
        <is>
          <t>INV0011213</t>
        </is>
      </c>
      <c r="B461" t="inlineStr">
        <is>
          <t>MER00530</t>
        </is>
      </c>
      <c r="C461">
        <f>XLOOKUP(B461,Merchants!$A$4:$A$1000,Merchants!$B$4:$B$1000,"Not found")</f>
        <v/>
      </c>
      <c r="D461">
        <f>XLOOKUP(A461,tblInvoices[invoice_id],tblInvoices[due_date])</f>
        <v/>
      </c>
      <c r="E461">
        <f>XLOOKUP(A461,tblInvoices[invoice_id],tblInvoices[total_invoice_amount])</f>
        <v/>
      </c>
      <c r="F461">
        <f>SUMIFS(tblPayments[payment_amount],tblPayments[invoice_id],A461,tblPayments[payment_status],"Success")</f>
        <v/>
      </c>
      <c r="G461">
        <f>MAX(0,E461-F461)</f>
        <v/>
      </c>
      <c r="H461">
        <f>DATE(2026,8,13)-D461</f>
        <v/>
      </c>
      <c r="I461">
        <f>IFS(G461=0,"Excluded (paid)",H461&lt;=0,"Current",H461&lt;=30,"1-30 days",H461&lt;=60,"31-60 days",H461&lt;=90,"61-90 days",TRUE,"90+ days")</f>
        <v/>
      </c>
    </row>
    <row r="462">
      <c r="A462" t="inlineStr">
        <is>
          <t>INV0011214</t>
        </is>
      </c>
      <c r="B462" t="inlineStr">
        <is>
          <t>MER00530</t>
        </is>
      </c>
      <c r="C462">
        <f>XLOOKUP(B462,Merchants!$A$4:$A$1000,Merchants!$B$4:$B$1000,"Not found")</f>
        <v/>
      </c>
      <c r="D462">
        <f>XLOOKUP(A462,tblInvoices[invoice_id],tblInvoices[due_date])</f>
        <v/>
      </c>
      <c r="E462">
        <f>XLOOKUP(A462,tblInvoices[invoice_id],tblInvoices[total_invoice_amount])</f>
        <v/>
      </c>
      <c r="F462">
        <f>SUMIFS(tblPayments[payment_amount],tblPayments[invoice_id],A462,tblPayments[payment_status],"Success")</f>
        <v/>
      </c>
      <c r="G462">
        <f>MAX(0,E462-F462)</f>
        <v/>
      </c>
      <c r="H462">
        <f>DATE(2026,8,13)-D462</f>
        <v/>
      </c>
      <c r="I462">
        <f>IFS(G462=0,"Excluded (paid)",H462&lt;=0,"Current",H462&lt;=30,"1-30 days",H462&lt;=60,"31-60 days",H462&lt;=90,"61-90 days",TRUE,"90+ days")</f>
        <v/>
      </c>
    </row>
    <row r="463">
      <c r="A463" t="inlineStr">
        <is>
          <t>INV0011215</t>
        </is>
      </c>
      <c r="B463" t="inlineStr">
        <is>
          <t>MER00530</t>
        </is>
      </c>
      <c r="C463">
        <f>XLOOKUP(B463,Merchants!$A$4:$A$1000,Merchants!$B$4:$B$1000,"Not found")</f>
        <v/>
      </c>
      <c r="D463">
        <f>XLOOKUP(A463,tblInvoices[invoice_id],tblInvoices[due_date])</f>
        <v/>
      </c>
      <c r="E463">
        <f>XLOOKUP(A463,tblInvoices[invoice_id],tblInvoices[total_invoice_amount])</f>
        <v/>
      </c>
      <c r="F463">
        <f>SUMIFS(tblPayments[payment_amount],tblPayments[invoice_id],A463,tblPayments[payment_status],"Success")</f>
        <v/>
      </c>
      <c r="G463">
        <f>MAX(0,E463-F463)</f>
        <v/>
      </c>
      <c r="H463">
        <f>DATE(2026,8,13)-D463</f>
        <v/>
      </c>
      <c r="I463">
        <f>IFS(G463=0,"Excluded (paid)",H463&lt;=0,"Current",H463&lt;=30,"1-30 days",H463&lt;=60,"31-60 days",H463&lt;=90,"61-90 days",TRUE,"90+ days")</f>
        <v/>
      </c>
    </row>
    <row r="464">
      <c r="A464" t="inlineStr">
        <is>
          <t>INV0011216</t>
        </is>
      </c>
      <c r="B464" t="inlineStr">
        <is>
          <t>MER00530</t>
        </is>
      </c>
      <c r="C464">
        <f>XLOOKUP(B464,Merchants!$A$4:$A$1000,Merchants!$B$4:$B$1000,"Not found")</f>
        <v/>
      </c>
      <c r="D464">
        <f>XLOOKUP(A464,tblInvoices[invoice_id],tblInvoices[due_date])</f>
        <v/>
      </c>
      <c r="E464">
        <f>XLOOKUP(A464,tblInvoices[invoice_id],tblInvoices[total_invoice_amount])</f>
        <v/>
      </c>
      <c r="F464">
        <f>SUMIFS(tblPayments[payment_amount],tblPayments[invoice_id],A464,tblPayments[payment_status],"Success")</f>
        <v/>
      </c>
      <c r="G464">
        <f>MAX(0,E464-F464)</f>
        <v/>
      </c>
      <c r="H464">
        <f>DATE(2026,8,13)-D464</f>
        <v/>
      </c>
      <c r="I464">
        <f>IFS(G464=0,"Excluded (paid)",H464&lt;=0,"Current",H464&lt;=30,"1-30 days",H464&lt;=60,"31-60 days",H464&lt;=90,"61-90 days",TRUE,"90+ days")</f>
        <v/>
      </c>
    </row>
    <row r="465">
      <c r="A465" t="inlineStr">
        <is>
          <t>INV0011217</t>
        </is>
      </c>
      <c r="B465" t="inlineStr">
        <is>
          <t>MER00530</t>
        </is>
      </c>
      <c r="C465">
        <f>XLOOKUP(B465,Merchants!$A$4:$A$1000,Merchants!$B$4:$B$1000,"Not found")</f>
        <v/>
      </c>
      <c r="D465">
        <f>XLOOKUP(A465,tblInvoices[invoice_id],tblInvoices[due_date])</f>
        <v/>
      </c>
      <c r="E465">
        <f>XLOOKUP(A465,tblInvoices[invoice_id],tblInvoices[total_invoice_amount])</f>
        <v/>
      </c>
      <c r="F465">
        <f>SUMIFS(tblPayments[payment_amount],tblPayments[invoice_id],A465,tblPayments[payment_status],"Success")</f>
        <v/>
      </c>
      <c r="G465">
        <f>MAX(0,E465-F465)</f>
        <v/>
      </c>
      <c r="H465">
        <f>DATE(2026,8,13)-D465</f>
        <v/>
      </c>
      <c r="I465">
        <f>IFS(G465=0,"Excluded (paid)",H465&lt;=0,"Current",H465&lt;=30,"1-30 days",H465&lt;=60,"31-60 days",H465&lt;=90,"61-90 days",TRUE,"90+ days")</f>
        <v/>
      </c>
    </row>
    <row r="466">
      <c r="A466" t="inlineStr">
        <is>
          <t>INV0011218</t>
        </is>
      </c>
      <c r="B466" t="inlineStr">
        <is>
          <t>MER00530</t>
        </is>
      </c>
      <c r="C466">
        <f>XLOOKUP(B466,Merchants!$A$4:$A$1000,Merchants!$B$4:$B$1000,"Not found")</f>
        <v/>
      </c>
      <c r="D466">
        <f>XLOOKUP(A466,tblInvoices[invoice_id],tblInvoices[due_date])</f>
        <v/>
      </c>
      <c r="E466">
        <f>XLOOKUP(A466,tblInvoices[invoice_id],tblInvoices[total_invoice_amount])</f>
        <v/>
      </c>
      <c r="F466">
        <f>SUMIFS(tblPayments[payment_amount],tblPayments[invoice_id],A466,tblPayments[payment_status],"Success")</f>
        <v/>
      </c>
      <c r="G466">
        <f>MAX(0,E466-F466)</f>
        <v/>
      </c>
      <c r="H466">
        <f>DATE(2026,8,13)-D466</f>
        <v/>
      </c>
      <c r="I466">
        <f>IFS(G466=0,"Excluded (paid)",H466&lt;=0,"Current",H466&lt;=30,"1-30 days",H466&lt;=60,"31-60 days",H466&lt;=90,"61-90 days",TRUE,"90+ days")</f>
        <v/>
      </c>
    </row>
    <row r="467">
      <c r="A467" t="inlineStr">
        <is>
          <t>INV0011219</t>
        </is>
      </c>
      <c r="B467" t="inlineStr">
        <is>
          <t>MER00530</t>
        </is>
      </c>
      <c r="C467">
        <f>XLOOKUP(B467,Merchants!$A$4:$A$1000,Merchants!$B$4:$B$1000,"Not found")</f>
        <v/>
      </c>
      <c r="D467">
        <f>XLOOKUP(A467,tblInvoices[invoice_id],tblInvoices[due_date])</f>
        <v/>
      </c>
      <c r="E467">
        <f>XLOOKUP(A467,tblInvoices[invoice_id],tblInvoices[total_invoice_amount])</f>
        <v/>
      </c>
      <c r="F467">
        <f>SUMIFS(tblPayments[payment_amount],tblPayments[invoice_id],A467,tblPayments[payment_status],"Success")</f>
        <v/>
      </c>
      <c r="G467">
        <f>MAX(0,E467-F467)</f>
        <v/>
      </c>
      <c r="H467">
        <f>DATE(2026,8,13)-D467</f>
        <v/>
      </c>
      <c r="I467">
        <f>IFS(G467=0,"Excluded (paid)",H467&lt;=0,"Current",H467&lt;=30,"1-30 days",H467&lt;=60,"31-60 days",H467&lt;=90,"61-90 days",TRUE,"90+ days")</f>
        <v/>
      </c>
    </row>
    <row r="468">
      <c r="A468" t="inlineStr">
        <is>
          <t>INV0011220</t>
        </is>
      </c>
      <c r="B468" t="inlineStr">
        <is>
          <t>MER00530</t>
        </is>
      </c>
      <c r="C468">
        <f>XLOOKUP(B468,Merchants!$A$4:$A$1000,Merchants!$B$4:$B$1000,"Not found")</f>
        <v/>
      </c>
      <c r="D468">
        <f>XLOOKUP(A468,tblInvoices[invoice_id],tblInvoices[due_date])</f>
        <v/>
      </c>
      <c r="E468">
        <f>XLOOKUP(A468,tblInvoices[invoice_id],tblInvoices[total_invoice_amount])</f>
        <v/>
      </c>
      <c r="F468">
        <f>SUMIFS(tblPayments[payment_amount],tblPayments[invoice_id],A468,tblPayments[payment_status],"Success")</f>
        <v/>
      </c>
      <c r="G468">
        <f>MAX(0,E468-F468)</f>
        <v/>
      </c>
      <c r="H468">
        <f>DATE(2026,8,13)-D468</f>
        <v/>
      </c>
      <c r="I468">
        <f>IFS(G468=0,"Excluded (paid)",H468&lt;=0,"Current",H468&lt;=30,"1-30 days",H468&lt;=60,"31-60 days",H468&lt;=90,"61-90 days",TRUE,"90+ days")</f>
        <v/>
      </c>
    </row>
    <row r="469">
      <c r="A469" t="inlineStr">
        <is>
          <t>INV0011221</t>
        </is>
      </c>
      <c r="B469" t="inlineStr">
        <is>
          <t>MER00530</t>
        </is>
      </c>
      <c r="C469">
        <f>XLOOKUP(B469,Merchants!$A$4:$A$1000,Merchants!$B$4:$B$1000,"Not found")</f>
        <v/>
      </c>
      <c r="D469">
        <f>XLOOKUP(A469,tblInvoices[invoice_id],tblInvoices[due_date])</f>
        <v/>
      </c>
      <c r="E469">
        <f>XLOOKUP(A469,tblInvoices[invoice_id],tblInvoices[total_invoice_amount])</f>
        <v/>
      </c>
      <c r="F469">
        <f>SUMIFS(tblPayments[payment_amount],tblPayments[invoice_id],A469,tblPayments[payment_status],"Success")</f>
        <v/>
      </c>
      <c r="G469">
        <f>MAX(0,E469-F469)</f>
        <v/>
      </c>
      <c r="H469">
        <f>DATE(2026,8,13)-D469</f>
        <v/>
      </c>
      <c r="I469">
        <f>IFS(G469=0,"Excluded (paid)",H469&lt;=0,"Current",H469&lt;=30,"1-30 days",H469&lt;=60,"31-60 days",H469&lt;=90,"61-90 days",TRUE,"90+ days")</f>
        <v/>
      </c>
    </row>
    <row r="470">
      <c r="A470" t="inlineStr">
        <is>
          <t>INV0011222</t>
        </is>
      </c>
      <c r="B470" t="inlineStr">
        <is>
          <t>MER00530</t>
        </is>
      </c>
      <c r="C470">
        <f>XLOOKUP(B470,Merchants!$A$4:$A$1000,Merchants!$B$4:$B$1000,"Not found")</f>
        <v/>
      </c>
      <c r="D470">
        <f>XLOOKUP(A470,tblInvoices[invoice_id],tblInvoices[due_date])</f>
        <v/>
      </c>
      <c r="E470">
        <f>XLOOKUP(A470,tblInvoices[invoice_id],tblInvoices[total_invoice_amount])</f>
        <v/>
      </c>
      <c r="F470">
        <f>SUMIFS(tblPayments[payment_amount],tblPayments[invoice_id],A470,tblPayments[payment_status],"Success")</f>
        <v/>
      </c>
      <c r="G470">
        <f>MAX(0,E470-F470)</f>
        <v/>
      </c>
      <c r="H470">
        <f>DATE(2026,8,13)-D470</f>
        <v/>
      </c>
      <c r="I470">
        <f>IFS(G470=0,"Excluded (paid)",H470&lt;=0,"Current",H470&lt;=30,"1-30 days",H470&lt;=60,"31-60 days",H470&lt;=90,"61-90 days",TRUE,"90+ days")</f>
        <v/>
      </c>
    </row>
    <row r="471">
      <c r="A471" t="inlineStr">
        <is>
          <t>INV0011223</t>
        </is>
      </c>
      <c r="B471" t="inlineStr">
        <is>
          <t>MER00530</t>
        </is>
      </c>
      <c r="C471">
        <f>XLOOKUP(B471,Merchants!$A$4:$A$1000,Merchants!$B$4:$B$1000,"Not found")</f>
        <v/>
      </c>
      <c r="D471">
        <f>XLOOKUP(A471,tblInvoices[invoice_id],tblInvoices[due_date])</f>
        <v/>
      </c>
      <c r="E471">
        <f>XLOOKUP(A471,tblInvoices[invoice_id],tblInvoices[total_invoice_amount])</f>
        <v/>
      </c>
      <c r="F471">
        <f>SUMIFS(tblPayments[payment_amount],tblPayments[invoice_id],A471,tblPayments[payment_status],"Success")</f>
        <v/>
      </c>
      <c r="G471">
        <f>MAX(0,E471-F471)</f>
        <v/>
      </c>
      <c r="H471">
        <f>DATE(2026,8,13)-D471</f>
        <v/>
      </c>
      <c r="I471">
        <f>IFS(G471=0,"Excluded (paid)",H471&lt;=0,"Current",H471&lt;=30,"1-30 days",H471&lt;=60,"31-60 days",H471&lt;=90,"61-90 days",TRUE,"90+ days")</f>
        <v/>
      </c>
    </row>
    <row r="472">
      <c r="A472" t="inlineStr">
        <is>
          <t>INV0011224</t>
        </is>
      </c>
      <c r="B472" t="inlineStr">
        <is>
          <t>MER00530</t>
        </is>
      </c>
      <c r="C472">
        <f>XLOOKUP(B472,Merchants!$A$4:$A$1000,Merchants!$B$4:$B$1000,"Not found")</f>
        <v/>
      </c>
      <c r="D472">
        <f>XLOOKUP(A472,tblInvoices[invoice_id],tblInvoices[due_date])</f>
        <v/>
      </c>
      <c r="E472">
        <f>XLOOKUP(A472,tblInvoices[invoice_id],tblInvoices[total_invoice_amount])</f>
        <v/>
      </c>
      <c r="F472">
        <f>SUMIFS(tblPayments[payment_amount],tblPayments[invoice_id],A472,tblPayments[payment_status],"Success")</f>
        <v/>
      </c>
      <c r="G472">
        <f>MAX(0,E472-F472)</f>
        <v/>
      </c>
      <c r="H472">
        <f>DATE(2026,8,13)-D472</f>
        <v/>
      </c>
      <c r="I472">
        <f>IFS(G472=0,"Excluded (paid)",H472&lt;=0,"Current",H472&lt;=30,"1-30 days",H472&lt;=60,"31-60 days",H472&lt;=90,"61-90 days",TRUE,"90+ days")</f>
        <v/>
      </c>
    </row>
    <row r="473">
      <c r="A473" t="inlineStr">
        <is>
          <t>INV0011225</t>
        </is>
      </c>
      <c r="B473" t="inlineStr">
        <is>
          <t>MER00530</t>
        </is>
      </c>
      <c r="C473">
        <f>XLOOKUP(B473,Merchants!$A$4:$A$1000,Merchants!$B$4:$B$1000,"Not found")</f>
        <v/>
      </c>
      <c r="D473">
        <f>XLOOKUP(A473,tblInvoices[invoice_id],tblInvoices[due_date])</f>
        <v/>
      </c>
      <c r="E473">
        <f>XLOOKUP(A473,tblInvoices[invoice_id],tblInvoices[total_invoice_amount])</f>
        <v/>
      </c>
      <c r="F473">
        <f>SUMIFS(tblPayments[payment_amount],tblPayments[invoice_id],A473,tblPayments[payment_status],"Success")</f>
        <v/>
      </c>
      <c r="G473">
        <f>MAX(0,E473-F473)</f>
        <v/>
      </c>
      <c r="H473">
        <f>DATE(2026,8,13)-D473</f>
        <v/>
      </c>
      <c r="I473">
        <f>IFS(G473=0,"Excluded (paid)",H473&lt;=0,"Current",H473&lt;=30,"1-30 days",H473&lt;=60,"31-60 days",H473&lt;=90,"61-90 days",TRUE,"90+ days")</f>
        <v/>
      </c>
    </row>
    <row r="474">
      <c r="A474" t="inlineStr">
        <is>
          <t>INV0011226</t>
        </is>
      </c>
      <c r="B474" t="inlineStr">
        <is>
          <t>MER00530</t>
        </is>
      </c>
      <c r="C474">
        <f>XLOOKUP(B474,Merchants!$A$4:$A$1000,Merchants!$B$4:$B$1000,"Not found")</f>
        <v/>
      </c>
      <c r="D474">
        <f>XLOOKUP(A474,tblInvoices[invoice_id],tblInvoices[due_date])</f>
        <v/>
      </c>
      <c r="E474">
        <f>XLOOKUP(A474,tblInvoices[invoice_id],tblInvoices[total_invoice_amount])</f>
        <v/>
      </c>
      <c r="F474">
        <f>SUMIFS(tblPayments[payment_amount],tblPayments[invoice_id],A474,tblPayments[payment_status],"Success")</f>
        <v/>
      </c>
      <c r="G474">
        <f>MAX(0,E474-F474)</f>
        <v/>
      </c>
      <c r="H474">
        <f>DATE(2026,8,13)-D474</f>
        <v/>
      </c>
      <c r="I474">
        <f>IFS(G474=0,"Excluded (paid)",H474&lt;=0,"Current",H474&lt;=30,"1-30 days",H474&lt;=60,"31-60 days",H474&lt;=90,"61-90 days",TRUE,"90+ days")</f>
        <v/>
      </c>
    </row>
    <row r="475">
      <c r="A475" t="inlineStr">
        <is>
          <t>INV0011227</t>
        </is>
      </c>
      <c r="B475" t="inlineStr">
        <is>
          <t>MER00530</t>
        </is>
      </c>
      <c r="C475">
        <f>XLOOKUP(B475,Merchants!$A$4:$A$1000,Merchants!$B$4:$B$1000,"Not found")</f>
        <v/>
      </c>
      <c r="D475">
        <f>XLOOKUP(A475,tblInvoices[invoice_id],tblInvoices[due_date])</f>
        <v/>
      </c>
      <c r="E475">
        <f>XLOOKUP(A475,tblInvoices[invoice_id],tblInvoices[total_invoice_amount])</f>
        <v/>
      </c>
      <c r="F475">
        <f>SUMIFS(tblPayments[payment_amount],tblPayments[invoice_id],A475,tblPayments[payment_status],"Success")</f>
        <v/>
      </c>
      <c r="G475">
        <f>MAX(0,E475-F475)</f>
        <v/>
      </c>
      <c r="H475">
        <f>DATE(2026,8,13)-D475</f>
        <v/>
      </c>
      <c r="I475">
        <f>IFS(G475=0,"Excluded (paid)",H475&lt;=0,"Current",H475&lt;=30,"1-30 days",H475&lt;=60,"31-60 days",H475&lt;=90,"61-90 days",TRUE,"90+ days")</f>
        <v/>
      </c>
    </row>
    <row r="476">
      <c r="A476" t="inlineStr">
        <is>
          <t>INV0011228</t>
        </is>
      </c>
      <c r="B476" t="inlineStr">
        <is>
          <t>MER00530</t>
        </is>
      </c>
      <c r="C476">
        <f>XLOOKUP(B476,Merchants!$A$4:$A$1000,Merchants!$B$4:$B$1000,"Not found")</f>
        <v/>
      </c>
      <c r="D476">
        <f>XLOOKUP(A476,tblInvoices[invoice_id],tblInvoices[due_date])</f>
        <v/>
      </c>
      <c r="E476">
        <f>XLOOKUP(A476,tblInvoices[invoice_id],tblInvoices[total_invoice_amount])</f>
        <v/>
      </c>
      <c r="F476">
        <f>SUMIFS(tblPayments[payment_amount],tblPayments[invoice_id],A476,tblPayments[payment_status],"Success")</f>
        <v/>
      </c>
      <c r="G476">
        <f>MAX(0,E476-F476)</f>
        <v/>
      </c>
      <c r="H476">
        <f>DATE(2026,8,13)-D476</f>
        <v/>
      </c>
      <c r="I476">
        <f>IFS(G476=0,"Excluded (paid)",H476&lt;=0,"Current",H476&lt;=30,"1-30 days",H476&lt;=60,"31-60 days",H476&lt;=90,"61-90 days",TRUE,"90+ days")</f>
        <v/>
      </c>
    </row>
    <row r="477">
      <c r="A477" t="inlineStr">
        <is>
          <t>INV0011229</t>
        </is>
      </c>
      <c r="B477" t="inlineStr">
        <is>
          <t>MER00530</t>
        </is>
      </c>
      <c r="C477">
        <f>XLOOKUP(B477,Merchants!$A$4:$A$1000,Merchants!$B$4:$B$1000,"Not found")</f>
        <v/>
      </c>
      <c r="D477">
        <f>XLOOKUP(A477,tblInvoices[invoice_id],tblInvoices[due_date])</f>
        <v/>
      </c>
      <c r="E477">
        <f>XLOOKUP(A477,tblInvoices[invoice_id],tblInvoices[total_invoice_amount])</f>
        <v/>
      </c>
      <c r="F477">
        <f>SUMIFS(tblPayments[payment_amount],tblPayments[invoice_id],A477,tblPayments[payment_status],"Success")</f>
        <v/>
      </c>
      <c r="G477">
        <f>MAX(0,E477-F477)</f>
        <v/>
      </c>
      <c r="H477">
        <f>DATE(2026,8,13)-D477</f>
        <v/>
      </c>
      <c r="I477">
        <f>IFS(G477=0,"Excluded (paid)",H477&lt;=0,"Current",H477&lt;=30,"1-30 days",H477&lt;=60,"31-60 days",H477&lt;=90,"61-90 days",TRUE,"90+ days")</f>
        <v/>
      </c>
    </row>
    <row r="478">
      <c r="A478" t="inlineStr">
        <is>
          <t>INV0011615</t>
        </is>
      </c>
      <c r="B478" t="inlineStr">
        <is>
          <t>MER00549</t>
        </is>
      </c>
      <c r="C478">
        <f>XLOOKUP(B478,Merchants!$A$4:$A$1000,Merchants!$B$4:$B$1000,"Not found")</f>
        <v/>
      </c>
      <c r="D478">
        <f>XLOOKUP(A478,tblInvoices[invoice_id],tblInvoices[due_date])</f>
        <v/>
      </c>
      <c r="E478">
        <f>XLOOKUP(A478,tblInvoices[invoice_id],tblInvoices[total_invoice_amount])</f>
        <v/>
      </c>
      <c r="F478">
        <f>SUMIFS(tblPayments[payment_amount],tblPayments[invoice_id],A478,tblPayments[payment_status],"Success")</f>
        <v/>
      </c>
      <c r="G478">
        <f>MAX(0,E478-F478)</f>
        <v/>
      </c>
      <c r="H478">
        <f>DATE(2026,8,13)-D478</f>
        <v/>
      </c>
      <c r="I478">
        <f>IFS(G478=0,"Excluded (paid)",H478&lt;=0,"Current",H478&lt;=30,"1-30 days",H478&lt;=60,"31-60 days",H478&lt;=90,"61-90 days",TRUE,"90+ days")</f>
        <v/>
      </c>
    </row>
    <row r="479">
      <c r="A479" t="inlineStr">
        <is>
          <t>INV0011616</t>
        </is>
      </c>
      <c r="B479" t="inlineStr">
        <is>
          <t>MER00549</t>
        </is>
      </c>
      <c r="C479">
        <f>XLOOKUP(B479,Merchants!$A$4:$A$1000,Merchants!$B$4:$B$1000,"Not found")</f>
        <v/>
      </c>
      <c r="D479">
        <f>XLOOKUP(A479,tblInvoices[invoice_id],tblInvoices[due_date])</f>
        <v/>
      </c>
      <c r="E479">
        <f>XLOOKUP(A479,tblInvoices[invoice_id],tblInvoices[total_invoice_amount])</f>
        <v/>
      </c>
      <c r="F479">
        <f>SUMIFS(tblPayments[payment_amount],tblPayments[invoice_id],A479,tblPayments[payment_status],"Success")</f>
        <v/>
      </c>
      <c r="G479">
        <f>MAX(0,E479-F479)</f>
        <v/>
      </c>
      <c r="H479">
        <f>DATE(2026,8,13)-D479</f>
        <v/>
      </c>
      <c r="I479">
        <f>IFS(G479=0,"Excluded (paid)",H479&lt;=0,"Current",H479&lt;=30,"1-30 days",H479&lt;=60,"31-60 days",H479&lt;=90,"61-90 days",TRUE,"90+ days")</f>
        <v/>
      </c>
    </row>
    <row r="480">
      <c r="A480" t="inlineStr">
        <is>
          <t>INV0011617</t>
        </is>
      </c>
      <c r="B480" t="inlineStr">
        <is>
          <t>MER00549</t>
        </is>
      </c>
      <c r="C480">
        <f>XLOOKUP(B480,Merchants!$A$4:$A$1000,Merchants!$B$4:$B$1000,"Not found")</f>
        <v/>
      </c>
      <c r="D480">
        <f>XLOOKUP(A480,tblInvoices[invoice_id],tblInvoices[due_date])</f>
        <v/>
      </c>
      <c r="E480">
        <f>XLOOKUP(A480,tblInvoices[invoice_id],tblInvoices[total_invoice_amount])</f>
        <v/>
      </c>
      <c r="F480">
        <f>SUMIFS(tblPayments[payment_amount],tblPayments[invoice_id],A480,tblPayments[payment_status],"Success")</f>
        <v/>
      </c>
      <c r="G480">
        <f>MAX(0,E480-F480)</f>
        <v/>
      </c>
      <c r="H480">
        <f>DATE(2026,8,13)-D480</f>
        <v/>
      </c>
      <c r="I480">
        <f>IFS(G480=0,"Excluded (paid)",H480&lt;=0,"Current",H480&lt;=30,"1-30 days",H480&lt;=60,"31-60 days",H480&lt;=90,"61-90 days",TRUE,"90+ days")</f>
        <v/>
      </c>
    </row>
    <row r="481">
      <c r="A481" t="inlineStr">
        <is>
          <t>INV0011618</t>
        </is>
      </c>
      <c r="B481" t="inlineStr">
        <is>
          <t>MER00549</t>
        </is>
      </c>
      <c r="C481">
        <f>XLOOKUP(B481,Merchants!$A$4:$A$1000,Merchants!$B$4:$B$1000,"Not found")</f>
        <v/>
      </c>
      <c r="D481">
        <f>XLOOKUP(A481,tblInvoices[invoice_id],tblInvoices[due_date])</f>
        <v/>
      </c>
      <c r="E481">
        <f>XLOOKUP(A481,tblInvoices[invoice_id],tblInvoices[total_invoice_amount])</f>
        <v/>
      </c>
      <c r="F481">
        <f>SUMIFS(tblPayments[payment_amount],tblPayments[invoice_id],A481,tblPayments[payment_status],"Success")</f>
        <v/>
      </c>
      <c r="G481">
        <f>MAX(0,E481-F481)</f>
        <v/>
      </c>
      <c r="H481">
        <f>DATE(2026,8,13)-D481</f>
        <v/>
      </c>
      <c r="I481">
        <f>IFS(G481=0,"Excluded (paid)",H481&lt;=0,"Current",H481&lt;=30,"1-30 days",H481&lt;=60,"31-60 days",H481&lt;=90,"61-90 days",TRUE,"90+ days")</f>
        <v/>
      </c>
    </row>
    <row r="482">
      <c r="A482" t="inlineStr">
        <is>
          <t>INV0011619</t>
        </is>
      </c>
      <c r="B482" t="inlineStr">
        <is>
          <t>MER00549</t>
        </is>
      </c>
      <c r="C482">
        <f>XLOOKUP(B482,Merchants!$A$4:$A$1000,Merchants!$B$4:$B$1000,"Not found")</f>
        <v/>
      </c>
      <c r="D482">
        <f>XLOOKUP(A482,tblInvoices[invoice_id],tblInvoices[due_date])</f>
        <v/>
      </c>
      <c r="E482">
        <f>XLOOKUP(A482,tblInvoices[invoice_id],tblInvoices[total_invoice_amount])</f>
        <v/>
      </c>
      <c r="F482">
        <f>SUMIFS(tblPayments[payment_amount],tblPayments[invoice_id],A482,tblPayments[payment_status],"Success")</f>
        <v/>
      </c>
      <c r="G482">
        <f>MAX(0,E482-F482)</f>
        <v/>
      </c>
      <c r="H482">
        <f>DATE(2026,8,13)-D482</f>
        <v/>
      </c>
      <c r="I482">
        <f>IFS(G482=0,"Excluded (paid)",H482&lt;=0,"Current",H482&lt;=30,"1-30 days",H482&lt;=60,"31-60 days",H482&lt;=90,"61-90 days",TRUE,"90+ days")</f>
        <v/>
      </c>
    </row>
    <row r="483">
      <c r="A483" t="inlineStr">
        <is>
          <t>INV0011620</t>
        </is>
      </c>
      <c r="B483" t="inlineStr">
        <is>
          <t>MER00549</t>
        </is>
      </c>
      <c r="C483">
        <f>XLOOKUP(B483,Merchants!$A$4:$A$1000,Merchants!$B$4:$B$1000,"Not found")</f>
        <v/>
      </c>
      <c r="D483">
        <f>XLOOKUP(A483,tblInvoices[invoice_id],tblInvoices[due_date])</f>
        <v/>
      </c>
      <c r="E483">
        <f>XLOOKUP(A483,tblInvoices[invoice_id],tblInvoices[total_invoice_amount])</f>
        <v/>
      </c>
      <c r="F483">
        <f>SUMIFS(tblPayments[payment_amount],tblPayments[invoice_id],A483,tblPayments[payment_status],"Success")</f>
        <v/>
      </c>
      <c r="G483">
        <f>MAX(0,E483-F483)</f>
        <v/>
      </c>
      <c r="H483">
        <f>DATE(2026,8,13)-D483</f>
        <v/>
      </c>
      <c r="I483">
        <f>IFS(G483=0,"Excluded (paid)",H483&lt;=0,"Current",H483&lt;=30,"1-30 days",H483&lt;=60,"31-60 days",H483&lt;=90,"61-90 days",TRUE,"90+ days")</f>
        <v/>
      </c>
    </row>
    <row r="484">
      <c r="A484" t="inlineStr">
        <is>
          <t>INV0011621</t>
        </is>
      </c>
      <c r="B484" t="inlineStr">
        <is>
          <t>MER00549</t>
        </is>
      </c>
      <c r="C484">
        <f>XLOOKUP(B484,Merchants!$A$4:$A$1000,Merchants!$B$4:$B$1000,"Not found")</f>
        <v/>
      </c>
      <c r="D484">
        <f>XLOOKUP(A484,tblInvoices[invoice_id],tblInvoices[due_date])</f>
        <v/>
      </c>
      <c r="E484">
        <f>XLOOKUP(A484,tblInvoices[invoice_id],tblInvoices[total_invoice_amount])</f>
        <v/>
      </c>
      <c r="F484">
        <f>SUMIFS(tblPayments[payment_amount],tblPayments[invoice_id],A484,tblPayments[payment_status],"Success")</f>
        <v/>
      </c>
      <c r="G484">
        <f>MAX(0,E484-F484)</f>
        <v/>
      </c>
      <c r="H484">
        <f>DATE(2026,8,13)-D484</f>
        <v/>
      </c>
      <c r="I484">
        <f>IFS(G484=0,"Excluded (paid)",H484&lt;=0,"Current",H484&lt;=30,"1-30 days",H484&lt;=60,"31-60 days",H484&lt;=90,"61-90 days",TRUE,"90+ days")</f>
        <v/>
      </c>
    </row>
    <row r="485">
      <c r="A485" t="inlineStr">
        <is>
          <t>INV0011622</t>
        </is>
      </c>
      <c r="B485" t="inlineStr">
        <is>
          <t>MER00549</t>
        </is>
      </c>
      <c r="C485">
        <f>XLOOKUP(B485,Merchants!$A$4:$A$1000,Merchants!$B$4:$B$1000,"Not found")</f>
        <v/>
      </c>
      <c r="D485">
        <f>XLOOKUP(A485,tblInvoices[invoice_id],tblInvoices[due_date])</f>
        <v/>
      </c>
      <c r="E485">
        <f>XLOOKUP(A485,tblInvoices[invoice_id],tblInvoices[total_invoice_amount])</f>
        <v/>
      </c>
      <c r="F485">
        <f>SUMIFS(tblPayments[payment_amount],tblPayments[invoice_id],A485,tblPayments[payment_status],"Success")</f>
        <v/>
      </c>
      <c r="G485">
        <f>MAX(0,E485-F485)</f>
        <v/>
      </c>
      <c r="H485">
        <f>DATE(2026,8,13)-D485</f>
        <v/>
      </c>
      <c r="I485">
        <f>IFS(G485=0,"Excluded (paid)",H485&lt;=0,"Current",H485&lt;=30,"1-30 days",H485&lt;=60,"31-60 days",H485&lt;=90,"61-90 days",TRUE,"90+ days")</f>
        <v/>
      </c>
    </row>
    <row r="486">
      <c r="A486" t="inlineStr">
        <is>
          <t>INV0011623</t>
        </is>
      </c>
      <c r="B486" t="inlineStr">
        <is>
          <t>MER00549</t>
        </is>
      </c>
      <c r="C486">
        <f>XLOOKUP(B486,Merchants!$A$4:$A$1000,Merchants!$B$4:$B$1000,"Not found")</f>
        <v/>
      </c>
      <c r="D486">
        <f>XLOOKUP(A486,tblInvoices[invoice_id],tblInvoices[due_date])</f>
        <v/>
      </c>
      <c r="E486">
        <f>XLOOKUP(A486,tblInvoices[invoice_id],tblInvoices[total_invoice_amount])</f>
        <v/>
      </c>
      <c r="F486">
        <f>SUMIFS(tblPayments[payment_amount],tblPayments[invoice_id],A486,tblPayments[payment_status],"Success")</f>
        <v/>
      </c>
      <c r="G486">
        <f>MAX(0,E486-F486)</f>
        <v/>
      </c>
      <c r="H486">
        <f>DATE(2026,8,13)-D486</f>
        <v/>
      </c>
      <c r="I486">
        <f>IFS(G486=0,"Excluded (paid)",H486&lt;=0,"Current",H486&lt;=30,"1-30 days",H486&lt;=60,"31-60 days",H486&lt;=90,"61-90 days",TRUE,"90+ days")</f>
        <v/>
      </c>
    </row>
    <row r="487">
      <c r="A487" t="inlineStr">
        <is>
          <t>INV0011624</t>
        </is>
      </c>
      <c r="B487" t="inlineStr">
        <is>
          <t>MER00549</t>
        </is>
      </c>
      <c r="C487">
        <f>XLOOKUP(B487,Merchants!$A$4:$A$1000,Merchants!$B$4:$B$1000,"Not found")</f>
        <v/>
      </c>
      <c r="D487">
        <f>XLOOKUP(A487,tblInvoices[invoice_id],tblInvoices[due_date])</f>
        <v/>
      </c>
      <c r="E487">
        <f>XLOOKUP(A487,tblInvoices[invoice_id],tblInvoices[total_invoice_amount])</f>
        <v/>
      </c>
      <c r="F487">
        <f>SUMIFS(tblPayments[payment_amount],tblPayments[invoice_id],A487,tblPayments[payment_status],"Success")</f>
        <v/>
      </c>
      <c r="G487">
        <f>MAX(0,E487-F487)</f>
        <v/>
      </c>
      <c r="H487">
        <f>DATE(2026,8,13)-D487</f>
        <v/>
      </c>
      <c r="I487">
        <f>IFS(G487=0,"Excluded (paid)",H487&lt;=0,"Current",H487&lt;=30,"1-30 days",H487&lt;=60,"31-60 days",H487&lt;=90,"61-90 days",TRUE,"90+ days")</f>
        <v/>
      </c>
    </row>
    <row r="488">
      <c r="A488" t="inlineStr">
        <is>
          <t>INV0011625</t>
        </is>
      </c>
      <c r="B488" t="inlineStr">
        <is>
          <t>MER00549</t>
        </is>
      </c>
      <c r="C488">
        <f>XLOOKUP(B488,Merchants!$A$4:$A$1000,Merchants!$B$4:$B$1000,"Not found")</f>
        <v/>
      </c>
      <c r="D488">
        <f>XLOOKUP(A488,tblInvoices[invoice_id],tblInvoices[due_date])</f>
        <v/>
      </c>
      <c r="E488">
        <f>XLOOKUP(A488,tblInvoices[invoice_id],tblInvoices[total_invoice_amount])</f>
        <v/>
      </c>
      <c r="F488">
        <f>SUMIFS(tblPayments[payment_amount],tblPayments[invoice_id],A488,tblPayments[payment_status],"Success")</f>
        <v/>
      </c>
      <c r="G488">
        <f>MAX(0,E488-F488)</f>
        <v/>
      </c>
      <c r="H488">
        <f>DATE(2026,8,13)-D488</f>
        <v/>
      </c>
      <c r="I488">
        <f>IFS(G488=0,"Excluded (paid)",H488&lt;=0,"Current",H488&lt;=30,"1-30 days",H488&lt;=60,"31-60 days",H488&lt;=90,"61-90 days",TRUE,"90+ days")</f>
        <v/>
      </c>
    </row>
    <row r="489">
      <c r="A489" t="inlineStr">
        <is>
          <t>INV0011626</t>
        </is>
      </c>
      <c r="B489" t="inlineStr">
        <is>
          <t>MER00549</t>
        </is>
      </c>
      <c r="C489">
        <f>XLOOKUP(B489,Merchants!$A$4:$A$1000,Merchants!$B$4:$B$1000,"Not found")</f>
        <v/>
      </c>
      <c r="D489">
        <f>XLOOKUP(A489,tblInvoices[invoice_id],tblInvoices[due_date])</f>
        <v/>
      </c>
      <c r="E489">
        <f>XLOOKUP(A489,tblInvoices[invoice_id],tblInvoices[total_invoice_amount])</f>
        <v/>
      </c>
      <c r="F489">
        <f>SUMIFS(tblPayments[payment_amount],tblPayments[invoice_id],A489,tblPayments[payment_status],"Success")</f>
        <v/>
      </c>
      <c r="G489">
        <f>MAX(0,E489-F489)</f>
        <v/>
      </c>
      <c r="H489">
        <f>DATE(2026,8,13)-D489</f>
        <v/>
      </c>
      <c r="I489">
        <f>IFS(G489=0,"Excluded (paid)",H489&lt;=0,"Current",H489&lt;=30,"1-30 days",H489&lt;=60,"31-60 days",H489&lt;=90,"61-90 days",TRUE,"90+ days")</f>
        <v/>
      </c>
    </row>
    <row r="490">
      <c r="A490" t="inlineStr">
        <is>
          <t>INV0011627</t>
        </is>
      </c>
      <c r="B490" t="inlineStr">
        <is>
          <t>MER00549</t>
        </is>
      </c>
      <c r="C490">
        <f>XLOOKUP(B490,Merchants!$A$4:$A$1000,Merchants!$B$4:$B$1000,"Not found")</f>
        <v/>
      </c>
      <c r="D490">
        <f>XLOOKUP(A490,tblInvoices[invoice_id],tblInvoices[due_date])</f>
        <v/>
      </c>
      <c r="E490">
        <f>XLOOKUP(A490,tblInvoices[invoice_id],tblInvoices[total_invoice_amount])</f>
        <v/>
      </c>
      <c r="F490">
        <f>SUMIFS(tblPayments[payment_amount],tblPayments[invoice_id],A490,tblPayments[payment_status],"Success")</f>
        <v/>
      </c>
      <c r="G490">
        <f>MAX(0,E490-F490)</f>
        <v/>
      </c>
      <c r="H490">
        <f>DATE(2026,8,13)-D490</f>
        <v/>
      </c>
      <c r="I490">
        <f>IFS(G490=0,"Excluded (paid)",H490&lt;=0,"Current",H490&lt;=30,"1-30 days",H490&lt;=60,"31-60 days",H490&lt;=90,"61-90 days",TRUE,"90+ days")</f>
        <v/>
      </c>
    </row>
    <row r="491">
      <c r="A491" t="inlineStr">
        <is>
          <t>INV0011628</t>
        </is>
      </c>
      <c r="B491" t="inlineStr">
        <is>
          <t>MER00549</t>
        </is>
      </c>
      <c r="C491">
        <f>XLOOKUP(B491,Merchants!$A$4:$A$1000,Merchants!$B$4:$B$1000,"Not found")</f>
        <v/>
      </c>
      <c r="D491">
        <f>XLOOKUP(A491,tblInvoices[invoice_id],tblInvoices[due_date])</f>
        <v/>
      </c>
      <c r="E491">
        <f>XLOOKUP(A491,tblInvoices[invoice_id],tblInvoices[total_invoice_amount])</f>
        <v/>
      </c>
      <c r="F491">
        <f>SUMIFS(tblPayments[payment_amount],tblPayments[invoice_id],A491,tblPayments[payment_status],"Success")</f>
        <v/>
      </c>
      <c r="G491">
        <f>MAX(0,E491-F491)</f>
        <v/>
      </c>
      <c r="H491">
        <f>DATE(2026,8,13)-D491</f>
        <v/>
      </c>
      <c r="I491">
        <f>IFS(G491=0,"Excluded (paid)",H491&lt;=0,"Current",H491&lt;=30,"1-30 days",H491&lt;=60,"31-60 days",H491&lt;=90,"61-90 days",TRUE,"90+ days")</f>
        <v/>
      </c>
    </row>
    <row r="492">
      <c r="A492" t="inlineStr">
        <is>
          <t>INV0011629</t>
        </is>
      </c>
      <c r="B492" t="inlineStr">
        <is>
          <t>MER00549</t>
        </is>
      </c>
      <c r="C492">
        <f>XLOOKUP(B492,Merchants!$A$4:$A$1000,Merchants!$B$4:$B$1000,"Not found")</f>
        <v/>
      </c>
      <c r="D492">
        <f>XLOOKUP(A492,tblInvoices[invoice_id],tblInvoices[due_date])</f>
        <v/>
      </c>
      <c r="E492">
        <f>XLOOKUP(A492,tblInvoices[invoice_id],tblInvoices[total_invoice_amount])</f>
        <v/>
      </c>
      <c r="F492">
        <f>SUMIFS(tblPayments[payment_amount],tblPayments[invoice_id],A492,tblPayments[payment_status],"Success")</f>
        <v/>
      </c>
      <c r="G492">
        <f>MAX(0,E492-F492)</f>
        <v/>
      </c>
      <c r="H492">
        <f>DATE(2026,8,13)-D492</f>
        <v/>
      </c>
      <c r="I492">
        <f>IFS(G492=0,"Excluded (paid)",H492&lt;=0,"Current",H492&lt;=30,"1-30 days",H492&lt;=60,"31-60 days",H492&lt;=90,"61-90 days",TRUE,"90+ days")</f>
        <v/>
      </c>
    </row>
    <row r="493">
      <c r="A493" t="inlineStr">
        <is>
          <t>INV0011630</t>
        </is>
      </c>
      <c r="B493" t="inlineStr">
        <is>
          <t>MER00549</t>
        </is>
      </c>
      <c r="C493">
        <f>XLOOKUP(B493,Merchants!$A$4:$A$1000,Merchants!$B$4:$B$1000,"Not found")</f>
        <v/>
      </c>
      <c r="D493">
        <f>XLOOKUP(A493,tblInvoices[invoice_id],tblInvoices[due_date])</f>
        <v/>
      </c>
      <c r="E493">
        <f>XLOOKUP(A493,tblInvoices[invoice_id],tblInvoices[total_invoice_amount])</f>
        <v/>
      </c>
      <c r="F493">
        <f>SUMIFS(tblPayments[payment_amount],tblPayments[invoice_id],A493,tblPayments[payment_status],"Success")</f>
        <v/>
      </c>
      <c r="G493">
        <f>MAX(0,E493-F493)</f>
        <v/>
      </c>
      <c r="H493">
        <f>DATE(2026,8,13)-D493</f>
        <v/>
      </c>
      <c r="I493">
        <f>IFS(G493=0,"Excluded (paid)",H493&lt;=0,"Current",H493&lt;=30,"1-30 days",H493&lt;=60,"31-60 days",H493&lt;=90,"61-90 days",TRUE,"90+ days")</f>
        <v/>
      </c>
    </row>
    <row r="494">
      <c r="A494" t="inlineStr">
        <is>
          <t>INV0011631</t>
        </is>
      </c>
      <c r="B494" t="inlineStr">
        <is>
          <t>MER00549</t>
        </is>
      </c>
      <c r="C494">
        <f>XLOOKUP(B494,Merchants!$A$4:$A$1000,Merchants!$B$4:$B$1000,"Not found")</f>
        <v/>
      </c>
      <c r="D494">
        <f>XLOOKUP(A494,tblInvoices[invoice_id],tblInvoices[due_date])</f>
        <v/>
      </c>
      <c r="E494">
        <f>XLOOKUP(A494,tblInvoices[invoice_id],tblInvoices[total_invoice_amount])</f>
        <v/>
      </c>
      <c r="F494">
        <f>SUMIFS(tblPayments[payment_amount],tblPayments[invoice_id],A494,tblPayments[payment_status],"Success")</f>
        <v/>
      </c>
      <c r="G494">
        <f>MAX(0,E494-F494)</f>
        <v/>
      </c>
      <c r="H494">
        <f>DATE(2026,8,13)-D494</f>
        <v/>
      </c>
      <c r="I494">
        <f>IFS(G494=0,"Excluded (paid)",H494&lt;=0,"Current",H494&lt;=30,"1-30 days",H494&lt;=60,"31-60 days",H494&lt;=90,"61-90 days",TRUE,"90+ days")</f>
        <v/>
      </c>
    </row>
    <row r="495">
      <c r="A495" t="inlineStr">
        <is>
          <t>INV0011632</t>
        </is>
      </c>
      <c r="B495" t="inlineStr">
        <is>
          <t>MER00549</t>
        </is>
      </c>
      <c r="C495">
        <f>XLOOKUP(B495,Merchants!$A$4:$A$1000,Merchants!$B$4:$B$1000,"Not found")</f>
        <v/>
      </c>
      <c r="D495">
        <f>XLOOKUP(A495,tblInvoices[invoice_id],tblInvoices[due_date])</f>
        <v/>
      </c>
      <c r="E495">
        <f>XLOOKUP(A495,tblInvoices[invoice_id],tblInvoices[total_invoice_amount])</f>
        <v/>
      </c>
      <c r="F495">
        <f>SUMIFS(tblPayments[payment_amount],tblPayments[invoice_id],A495,tblPayments[payment_status],"Success")</f>
        <v/>
      </c>
      <c r="G495">
        <f>MAX(0,E495-F495)</f>
        <v/>
      </c>
      <c r="H495">
        <f>DATE(2026,8,13)-D495</f>
        <v/>
      </c>
      <c r="I495">
        <f>IFS(G495=0,"Excluded (paid)",H495&lt;=0,"Current",H495&lt;=30,"1-30 days",H495&lt;=60,"31-60 days",H495&lt;=90,"61-90 days",TRUE,"90+ days")</f>
        <v/>
      </c>
    </row>
    <row r="496">
      <c r="A496" t="inlineStr">
        <is>
          <t>INV0011633</t>
        </is>
      </c>
      <c r="B496" t="inlineStr">
        <is>
          <t>MER00549</t>
        </is>
      </c>
      <c r="C496">
        <f>XLOOKUP(B496,Merchants!$A$4:$A$1000,Merchants!$B$4:$B$1000,"Not found")</f>
        <v/>
      </c>
      <c r="D496">
        <f>XLOOKUP(A496,tblInvoices[invoice_id],tblInvoices[due_date])</f>
        <v/>
      </c>
      <c r="E496">
        <f>XLOOKUP(A496,tblInvoices[invoice_id],tblInvoices[total_invoice_amount])</f>
        <v/>
      </c>
      <c r="F496">
        <f>SUMIFS(tblPayments[payment_amount],tblPayments[invoice_id],A496,tblPayments[payment_status],"Success")</f>
        <v/>
      </c>
      <c r="G496">
        <f>MAX(0,E496-F496)</f>
        <v/>
      </c>
      <c r="H496">
        <f>DATE(2026,8,13)-D496</f>
        <v/>
      </c>
      <c r="I496">
        <f>IFS(G496=0,"Excluded (paid)",H496&lt;=0,"Current",H496&lt;=30,"1-30 days",H496&lt;=60,"31-60 days",H496&lt;=90,"61-90 days",TRUE,"90+ days")</f>
        <v/>
      </c>
    </row>
    <row r="497">
      <c r="A497" t="inlineStr">
        <is>
          <t>INV0011634</t>
        </is>
      </c>
      <c r="B497" t="inlineStr">
        <is>
          <t>MER00549</t>
        </is>
      </c>
      <c r="C497">
        <f>XLOOKUP(B497,Merchants!$A$4:$A$1000,Merchants!$B$4:$B$1000,"Not found")</f>
        <v/>
      </c>
      <c r="D497">
        <f>XLOOKUP(A497,tblInvoices[invoice_id],tblInvoices[due_date])</f>
        <v/>
      </c>
      <c r="E497">
        <f>XLOOKUP(A497,tblInvoices[invoice_id],tblInvoices[total_invoice_amount])</f>
        <v/>
      </c>
      <c r="F497">
        <f>SUMIFS(tblPayments[payment_amount],tblPayments[invoice_id],A497,tblPayments[payment_status],"Success")</f>
        <v/>
      </c>
      <c r="G497">
        <f>MAX(0,E497-F497)</f>
        <v/>
      </c>
      <c r="H497">
        <f>DATE(2026,8,13)-D497</f>
        <v/>
      </c>
      <c r="I497">
        <f>IFS(G497=0,"Excluded (paid)",H497&lt;=0,"Current",H497&lt;=30,"1-30 days",H497&lt;=60,"31-60 days",H497&lt;=90,"61-90 days",TRUE,"90+ days")</f>
        <v/>
      </c>
    </row>
    <row r="498">
      <c r="A498" t="inlineStr">
        <is>
          <t>INV0011635</t>
        </is>
      </c>
      <c r="B498" t="inlineStr">
        <is>
          <t>MER00549</t>
        </is>
      </c>
      <c r="C498">
        <f>XLOOKUP(B498,Merchants!$A$4:$A$1000,Merchants!$B$4:$B$1000,"Not found")</f>
        <v/>
      </c>
      <c r="D498">
        <f>XLOOKUP(A498,tblInvoices[invoice_id],tblInvoices[due_date])</f>
        <v/>
      </c>
      <c r="E498">
        <f>XLOOKUP(A498,tblInvoices[invoice_id],tblInvoices[total_invoice_amount])</f>
        <v/>
      </c>
      <c r="F498">
        <f>SUMIFS(tblPayments[payment_amount],tblPayments[invoice_id],A498,tblPayments[payment_status],"Success")</f>
        <v/>
      </c>
      <c r="G498">
        <f>MAX(0,E498-F498)</f>
        <v/>
      </c>
      <c r="H498">
        <f>DATE(2026,8,13)-D498</f>
        <v/>
      </c>
      <c r="I498">
        <f>IFS(G498=0,"Excluded (paid)",H498&lt;=0,"Current",H498&lt;=30,"1-30 days",H498&lt;=60,"31-60 days",H498&lt;=90,"61-90 days",TRUE,"90+ days")</f>
        <v/>
      </c>
    </row>
    <row r="499">
      <c r="A499" t="inlineStr">
        <is>
          <t>INV0011636</t>
        </is>
      </c>
      <c r="B499" t="inlineStr">
        <is>
          <t>MER00549</t>
        </is>
      </c>
      <c r="C499">
        <f>XLOOKUP(B499,Merchants!$A$4:$A$1000,Merchants!$B$4:$B$1000,"Not found")</f>
        <v/>
      </c>
      <c r="D499">
        <f>XLOOKUP(A499,tblInvoices[invoice_id],tblInvoices[due_date])</f>
        <v/>
      </c>
      <c r="E499">
        <f>XLOOKUP(A499,tblInvoices[invoice_id],tblInvoices[total_invoice_amount])</f>
        <v/>
      </c>
      <c r="F499">
        <f>SUMIFS(tblPayments[payment_amount],tblPayments[invoice_id],A499,tblPayments[payment_status],"Success")</f>
        <v/>
      </c>
      <c r="G499">
        <f>MAX(0,E499-F499)</f>
        <v/>
      </c>
      <c r="H499">
        <f>DATE(2026,8,13)-D499</f>
        <v/>
      </c>
      <c r="I499">
        <f>IFS(G499=0,"Excluded (paid)",H499&lt;=0,"Current",H499&lt;=30,"1-30 days",H499&lt;=60,"31-60 days",H499&lt;=90,"61-90 days",TRUE,"90+ days")</f>
        <v/>
      </c>
    </row>
    <row r="500">
      <c r="A500" t="inlineStr">
        <is>
          <t>INV0011637</t>
        </is>
      </c>
      <c r="B500" t="inlineStr">
        <is>
          <t>MER00549</t>
        </is>
      </c>
      <c r="C500">
        <f>XLOOKUP(B500,Merchants!$A$4:$A$1000,Merchants!$B$4:$B$1000,"Not found")</f>
        <v/>
      </c>
      <c r="D500">
        <f>XLOOKUP(A500,tblInvoices[invoice_id],tblInvoices[due_date])</f>
        <v/>
      </c>
      <c r="E500">
        <f>XLOOKUP(A500,tblInvoices[invoice_id],tblInvoices[total_invoice_amount])</f>
        <v/>
      </c>
      <c r="F500">
        <f>SUMIFS(tblPayments[payment_amount],tblPayments[invoice_id],A500,tblPayments[payment_status],"Success")</f>
        <v/>
      </c>
      <c r="G500">
        <f>MAX(0,E500-F500)</f>
        <v/>
      </c>
      <c r="H500">
        <f>DATE(2026,8,13)-D500</f>
        <v/>
      </c>
      <c r="I500">
        <f>IFS(G500=0,"Excluded (paid)",H500&lt;=0,"Current",H500&lt;=30,"1-30 days",H500&lt;=60,"31-60 days",H500&lt;=90,"61-90 days",TRUE,"90+ days")</f>
        <v/>
      </c>
    </row>
    <row r="501">
      <c r="A501" t="inlineStr">
        <is>
          <t>INV0012092</t>
        </is>
      </c>
      <c r="B501" t="inlineStr">
        <is>
          <t>MER00572</t>
        </is>
      </c>
      <c r="C501">
        <f>XLOOKUP(B501,Merchants!$A$4:$A$1000,Merchants!$B$4:$B$1000,"Not found")</f>
        <v/>
      </c>
      <c r="D501">
        <f>XLOOKUP(A501,tblInvoices[invoice_id],tblInvoices[due_date])</f>
        <v/>
      </c>
      <c r="E501">
        <f>XLOOKUP(A501,tblInvoices[invoice_id],tblInvoices[total_invoice_amount])</f>
        <v/>
      </c>
      <c r="F501">
        <f>SUMIFS(tblPayments[payment_amount],tblPayments[invoice_id],A501,tblPayments[payment_status],"Success")</f>
        <v/>
      </c>
      <c r="G501">
        <f>MAX(0,E501-F501)</f>
        <v/>
      </c>
      <c r="H501">
        <f>DATE(2026,8,13)-D501</f>
        <v/>
      </c>
      <c r="I501">
        <f>IFS(G501=0,"Excluded (paid)",H501&lt;=0,"Current",H501&lt;=30,"1-30 days",H501&lt;=60,"31-60 days",H501&lt;=90,"61-90 days",TRUE,"90+ days")</f>
        <v/>
      </c>
    </row>
    <row r="502">
      <c r="A502" t="inlineStr">
        <is>
          <t>INV0012093</t>
        </is>
      </c>
      <c r="B502" t="inlineStr">
        <is>
          <t>MER00572</t>
        </is>
      </c>
      <c r="C502">
        <f>XLOOKUP(B502,Merchants!$A$4:$A$1000,Merchants!$B$4:$B$1000,"Not found")</f>
        <v/>
      </c>
      <c r="D502">
        <f>XLOOKUP(A502,tblInvoices[invoice_id],tblInvoices[due_date])</f>
        <v/>
      </c>
      <c r="E502">
        <f>XLOOKUP(A502,tblInvoices[invoice_id],tblInvoices[total_invoice_amount])</f>
        <v/>
      </c>
      <c r="F502">
        <f>SUMIFS(tblPayments[payment_amount],tblPayments[invoice_id],A502,tblPayments[payment_status],"Success")</f>
        <v/>
      </c>
      <c r="G502">
        <f>MAX(0,E502-F502)</f>
        <v/>
      </c>
      <c r="H502">
        <f>DATE(2026,8,13)-D502</f>
        <v/>
      </c>
      <c r="I502">
        <f>IFS(G502=0,"Excluded (paid)",H502&lt;=0,"Current",H502&lt;=30,"1-30 days",H502&lt;=60,"31-60 days",H502&lt;=90,"61-90 days",TRUE,"90+ days")</f>
        <v/>
      </c>
    </row>
    <row r="503">
      <c r="A503" t="inlineStr">
        <is>
          <t>INV0012094</t>
        </is>
      </c>
      <c r="B503" t="inlineStr">
        <is>
          <t>MER00572</t>
        </is>
      </c>
      <c r="C503">
        <f>XLOOKUP(B503,Merchants!$A$4:$A$1000,Merchants!$B$4:$B$1000,"Not found")</f>
        <v/>
      </c>
      <c r="D503">
        <f>XLOOKUP(A503,tblInvoices[invoice_id],tblInvoices[due_date])</f>
        <v/>
      </c>
      <c r="E503">
        <f>XLOOKUP(A503,tblInvoices[invoice_id],tblInvoices[total_invoice_amount])</f>
        <v/>
      </c>
      <c r="F503">
        <f>SUMIFS(tblPayments[payment_amount],tblPayments[invoice_id],A503,tblPayments[payment_status],"Success")</f>
        <v/>
      </c>
      <c r="G503">
        <f>MAX(0,E503-F503)</f>
        <v/>
      </c>
      <c r="H503">
        <f>DATE(2026,8,13)-D503</f>
        <v/>
      </c>
      <c r="I503">
        <f>IFS(G503=0,"Excluded (paid)",H503&lt;=0,"Current",H503&lt;=30,"1-30 days",H503&lt;=60,"31-60 days",H503&lt;=90,"61-90 days",TRUE,"90+ days")</f>
        <v/>
      </c>
    </row>
    <row r="504">
      <c r="A504" t="inlineStr">
        <is>
          <t>INV0012095</t>
        </is>
      </c>
      <c r="B504" t="inlineStr">
        <is>
          <t>MER00572</t>
        </is>
      </c>
      <c r="C504">
        <f>XLOOKUP(B504,Merchants!$A$4:$A$1000,Merchants!$B$4:$B$1000,"Not found")</f>
        <v/>
      </c>
      <c r="D504">
        <f>XLOOKUP(A504,tblInvoices[invoice_id],tblInvoices[due_date])</f>
        <v/>
      </c>
      <c r="E504">
        <f>XLOOKUP(A504,tblInvoices[invoice_id],tblInvoices[total_invoice_amount])</f>
        <v/>
      </c>
      <c r="F504">
        <f>SUMIFS(tblPayments[payment_amount],tblPayments[invoice_id],A504,tblPayments[payment_status],"Success")</f>
        <v/>
      </c>
      <c r="G504">
        <f>MAX(0,E504-F504)</f>
        <v/>
      </c>
      <c r="H504">
        <f>DATE(2026,8,13)-D504</f>
        <v/>
      </c>
      <c r="I504">
        <f>IFS(G504=0,"Excluded (paid)",H504&lt;=0,"Current",H504&lt;=30,"1-30 days",H504&lt;=60,"31-60 days",H504&lt;=90,"61-90 days",TRUE,"90+ days")</f>
        <v/>
      </c>
    </row>
    <row r="505">
      <c r="A505" t="inlineStr">
        <is>
          <t>INV0012096</t>
        </is>
      </c>
      <c r="B505" t="inlineStr">
        <is>
          <t>MER00572</t>
        </is>
      </c>
      <c r="C505">
        <f>XLOOKUP(B505,Merchants!$A$4:$A$1000,Merchants!$B$4:$B$1000,"Not found")</f>
        <v/>
      </c>
      <c r="D505">
        <f>XLOOKUP(A505,tblInvoices[invoice_id],tblInvoices[due_date])</f>
        <v/>
      </c>
      <c r="E505">
        <f>XLOOKUP(A505,tblInvoices[invoice_id],tblInvoices[total_invoice_amount])</f>
        <v/>
      </c>
      <c r="F505">
        <f>SUMIFS(tblPayments[payment_amount],tblPayments[invoice_id],A505,tblPayments[payment_status],"Success")</f>
        <v/>
      </c>
      <c r="G505">
        <f>MAX(0,E505-F505)</f>
        <v/>
      </c>
      <c r="H505">
        <f>DATE(2026,8,13)-D505</f>
        <v/>
      </c>
      <c r="I505">
        <f>IFS(G505=0,"Excluded (paid)",H505&lt;=0,"Current",H505&lt;=30,"1-30 days",H505&lt;=60,"31-60 days",H505&lt;=90,"61-90 days",TRUE,"90+ days")</f>
        <v/>
      </c>
    </row>
    <row r="506">
      <c r="A506" t="inlineStr">
        <is>
          <t>INV0012097</t>
        </is>
      </c>
      <c r="B506" t="inlineStr">
        <is>
          <t>MER00572</t>
        </is>
      </c>
      <c r="C506">
        <f>XLOOKUP(B506,Merchants!$A$4:$A$1000,Merchants!$B$4:$B$1000,"Not found")</f>
        <v/>
      </c>
      <c r="D506">
        <f>XLOOKUP(A506,tblInvoices[invoice_id],tblInvoices[due_date])</f>
        <v/>
      </c>
      <c r="E506">
        <f>XLOOKUP(A506,tblInvoices[invoice_id],tblInvoices[total_invoice_amount])</f>
        <v/>
      </c>
      <c r="F506">
        <f>SUMIFS(tblPayments[payment_amount],tblPayments[invoice_id],A506,tblPayments[payment_status],"Success")</f>
        <v/>
      </c>
      <c r="G506">
        <f>MAX(0,E506-F506)</f>
        <v/>
      </c>
      <c r="H506">
        <f>DATE(2026,8,13)-D506</f>
        <v/>
      </c>
      <c r="I506">
        <f>IFS(G506=0,"Excluded (paid)",H506&lt;=0,"Current",H506&lt;=30,"1-30 days",H506&lt;=60,"31-60 days",H506&lt;=90,"61-90 days",TRUE,"90+ days")</f>
        <v/>
      </c>
    </row>
    <row r="507">
      <c r="A507" t="inlineStr">
        <is>
          <t>INV0012098</t>
        </is>
      </c>
      <c r="B507" t="inlineStr">
        <is>
          <t>MER00572</t>
        </is>
      </c>
      <c r="C507">
        <f>XLOOKUP(B507,Merchants!$A$4:$A$1000,Merchants!$B$4:$B$1000,"Not found")</f>
        <v/>
      </c>
      <c r="D507">
        <f>XLOOKUP(A507,tblInvoices[invoice_id],tblInvoices[due_date])</f>
        <v/>
      </c>
      <c r="E507">
        <f>XLOOKUP(A507,tblInvoices[invoice_id],tblInvoices[total_invoice_amount])</f>
        <v/>
      </c>
      <c r="F507">
        <f>SUMIFS(tblPayments[payment_amount],tblPayments[invoice_id],A507,tblPayments[payment_status],"Success")</f>
        <v/>
      </c>
      <c r="G507">
        <f>MAX(0,E507-F507)</f>
        <v/>
      </c>
      <c r="H507">
        <f>DATE(2026,8,13)-D507</f>
        <v/>
      </c>
      <c r="I507">
        <f>IFS(G507=0,"Excluded (paid)",H507&lt;=0,"Current",H507&lt;=30,"1-30 days",H507&lt;=60,"31-60 days",H507&lt;=90,"61-90 days",TRUE,"90+ days")</f>
        <v/>
      </c>
    </row>
    <row r="508">
      <c r="A508" t="inlineStr">
        <is>
          <t>INV0012099</t>
        </is>
      </c>
      <c r="B508" t="inlineStr">
        <is>
          <t>MER00572</t>
        </is>
      </c>
      <c r="C508">
        <f>XLOOKUP(B508,Merchants!$A$4:$A$1000,Merchants!$B$4:$B$1000,"Not found")</f>
        <v/>
      </c>
      <c r="D508">
        <f>XLOOKUP(A508,tblInvoices[invoice_id],tblInvoices[due_date])</f>
        <v/>
      </c>
      <c r="E508">
        <f>XLOOKUP(A508,tblInvoices[invoice_id],tblInvoices[total_invoice_amount])</f>
        <v/>
      </c>
      <c r="F508">
        <f>SUMIFS(tblPayments[payment_amount],tblPayments[invoice_id],A508,tblPayments[payment_status],"Success")</f>
        <v/>
      </c>
      <c r="G508">
        <f>MAX(0,E508-F508)</f>
        <v/>
      </c>
      <c r="H508">
        <f>DATE(2026,8,13)-D508</f>
        <v/>
      </c>
      <c r="I508">
        <f>IFS(G508=0,"Excluded (paid)",H508&lt;=0,"Current",H508&lt;=30,"1-30 days",H508&lt;=60,"31-60 days",H508&lt;=90,"61-90 days",TRUE,"90+ days")</f>
        <v/>
      </c>
    </row>
    <row r="509">
      <c r="A509" t="inlineStr">
        <is>
          <t>INV0012100</t>
        </is>
      </c>
      <c r="B509" t="inlineStr">
        <is>
          <t>MER00572</t>
        </is>
      </c>
      <c r="C509">
        <f>XLOOKUP(B509,Merchants!$A$4:$A$1000,Merchants!$B$4:$B$1000,"Not found")</f>
        <v/>
      </c>
      <c r="D509">
        <f>XLOOKUP(A509,tblInvoices[invoice_id],tblInvoices[due_date])</f>
        <v/>
      </c>
      <c r="E509">
        <f>XLOOKUP(A509,tblInvoices[invoice_id],tblInvoices[total_invoice_amount])</f>
        <v/>
      </c>
      <c r="F509">
        <f>SUMIFS(tblPayments[payment_amount],tblPayments[invoice_id],A509,tblPayments[payment_status],"Success")</f>
        <v/>
      </c>
      <c r="G509">
        <f>MAX(0,E509-F509)</f>
        <v/>
      </c>
      <c r="H509">
        <f>DATE(2026,8,13)-D509</f>
        <v/>
      </c>
      <c r="I509">
        <f>IFS(G509=0,"Excluded (paid)",H509&lt;=0,"Current",H509&lt;=30,"1-30 days",H509&lt;=60,"31-60 days",H509&lt;=90,"61-90 days",TRUE,"90+ days")</f>
        <v/>
      </c>
    </row>
    <row r="510">
      <c r="A510" t="inlineStr">
        <is>
          <t>INV0012101</t>
        </is>
      </c>
      <c r="B510" t="inlineStr">
        <is>
          <t>MER00572</t>
        </is>
      </c>
      <c r="C510">
        <f>XLOOKUP(B510,Merchants!$A$4:$A$1000,Merchants!$B$4:$B$1000,"Not found")</f>
        <v/>
      </c>
      <c r="D510">
        <f>XLOOKUP(A510,tblInvoices[invoice_id],tblInvoices[due_date])</f>
        <v/>
      </c>
      <c r="E510">
        <f>XLOOKUP(A510,tblInvoices[invoice_id],tblInvoices[total_invoice_amount])</f>
        <v/>
      </c>
      <c r="F510">
        <f>SUMIFS(tblPayments[payment_amount],tblPayments[invoice_id],A510,tblPayments[payment_status],"Success")</f>
        <v/>
      </c>
      <c r="G510">
        <f>MAX(0,E510-F510)</f>
        <v/>
      </c>
      <c r="H510">
        <f>DATE(2026,8,13)-D510</f>
        <v/>
      </c>
      <c r="I510">
        <f>IFS(G510=0,"Excluded (paid)",H510&lt;=0,"Current",H510&lt;=30,"1-30 days",H510&lt;=60,"31-60 days",H510&lt;=90,"61-90 days",TRUE,"90+ days")</f>
        <v/>
      </c>
    </row>
    <row r="511">
      <c r="A511" t="inlineStr">
        <is>
          <t>INV0012102</t>
        </is>
      </c>
      <c r="B511" t="inlineStr">
        <is>
          <t>MER00572</t>
        </is>
      </c>
      <c r="C511">
        <f>XLOOKUP(B511,Merchants!$A$4:$A$1000,Merchants!$B$4:$B$1000,"Not found")</f>
        <v/>
      </c>
      <c r="D511">
        <f>XLOOKUP(A511,tblInvoices[invoice_id],tblInvoices[due_date])</f>
        <v/>
      </c>
      <c r="E511">
        <f>XLOOKUP(A511,tblInvoices[invoice_id],tblInvoices[total_invoice_amount])</f>
        <v/>
      </c>
      <c r="F511">
        <f>SUMIFS(tblPayments[payment_amount],tblPayments[invoice_id],A511,tblPayments[payment_status],"Success")</f>
        <v/>
      </c>
      <c r="G511">
        <f>MAX(0,E511-F511)</f>
        <v/>
      </c>
      <c r="H511">
        <f>DATE(2026,8,13)-D511</f>
        <v/>
      </c>
      <c r="I511">
        <f>IFS(G511=0,"Excluded (paid)",H511&lt;=0,"Current",H511&lt;=30,"1-30 days",H511&lt;=60,"31-60 days",H511&lt;=90,"61-90 days",TRUE,"90+ days")</f>
        <v/>
      </c>
    </row>
    <row r="512">
      <c r="A512" t="inlineStr">
        <is>
          <t>INV0012103</t>
        </is>
      </c>
      <c r="B512" t="inlineStr">
        <is>
          <t>MER00572</t>
        </is>
      </c>
      <c r="C512">
        <f>XLOOKUP(B512,Merchants!$A$4:$A$1000,Merchants!$B$4:$B$1000,"Not found")</f>
        <v/>
      </c>
      <c r="D512">
        <f>XLOOKUP(A512,tblInvoices[invoice_id],tblInvoices[due_date])</f>
        <v/>
      </c>
      <c r="E512">
        <f>XLOOKUP(A512,tblInvoices[invoice_id],tblInvoices[total_invoice_amount])</f>
        <v/>
      </c>
      <c r="F512">
        <f>SUMIFS(tblPayments[payment_amount],tblPayments[invoice_id],A512,tblPayments[payment_status],"Success")</f>
        <v/>
      </c>
      <c r="G512">
        <f>MAX(0,E512-F512)</f>
        <v/>
      </c>
      <c r="H512">
        <f>DATE(2026,8,13)-D512</f>
        <v/>
      </c>
      <c r="I512">
        <f>IFS(G512=0,"Excluded (paid)",H512&lt;=0,"Current",H512&lt;=30,"1-30 days",H512&lt;=60,"31-60 days",H512&lt;=90,"61-90 days",TRUE,"90+ days")</f>
        <v/>
      </c>
    </row>
    <row r="513">
      <c r="A513" t="inlineStr">
        <is>
          <t>INV0012104</t>
        </is>
      </c>
      <c r="B513" t="inlineStr">
        <is>
          <t>MER00572</t>
        </is>
      </c>
      <c r="C513">
        <f>XLOOKUP(B513,Merchants!$A$4:$A$1000,Merchants!$B$4:$B$1000,"Not found")</f>
        <v/>
      </c>
      <c r="D513">
        <f>XLOOKUP(A513,tblInvoices[invoice_id],tblInvoices[due_date])</f>
        <v/>
      </c>
      <c r="E513">
        <f>XLOOKUP(A513,tblInvoices[invoice_id],tblInvoices[total_invoice_amount])</f>
        <v/>
      </c>
      <c r="F513">
        <f>SUMIFS(tblPayments[payment_amount],tblPayments[invoice_id],A513,tblPayments[payment_status],"Success")</f>
        <v/>
      </c>
      <c r="G513">
        <f>MAX(0,E513-F513)</f>
        <v/>
      </c>
      <c r="H513">
        <f>DATE(2026,8,13)-D513</f>
        <v/>
      </c>
      <c r="I513">
        <f>IFS(G513=0,"Excluded (paid)",H513&lt;=0,"Current",H513&lt;=30,"1-30 days",H513&lt;=60,"31-60 days",H513&lt;=90,"61-90 days",TRUE,"90+ days")</f>
        <v/>
      </c>
    </row>
    <row r="514">
      <c r="A514" t="inlineStr">
        <is>
          <t>INV0012105</t>
        </is>
      </c>
      <c r="B514" t="inlineStr">
        <is>
          <t>MER00572</t>
        </is>
      </c>
      <c r="C514">
        <f>XLOOKUP(B514,Merchants!$A$4:$A$1000,Merchants!$B$4:$B$1000,"Not found")</f>
        <v/>
      </c>
      <c r="D514">
        <f>XLOOKUP(A514,tblInvoices[invoice_id],tblInvoices[due_date])</f>
        <v/>
      </c>
      <c r="E514">
        <f>XLOOKUP(A514,tblInvoices[invoice_id],tblInvoices[total_invoice_amount])</f>
        <v/>
      </c>
      <c r="F514">
        <f>SUMIFS(tblPayments[payment_amount],tblPayments[invoice_id],A514,tblPayments[payment_status],"Success")</f>
        <v/>
      </c>
      <c r="G514">
        <f>MAX(0,E514-F514)</f>
        <v/>
      </c>
      <c r="H514">
        <f>DATE(2026,8,13)-D514</f>
        <v/>
      </c>
      <c r="I514">
        <f>IFS(G514=0,"Excluded (paid)",H514&lt;=0,"Current",H514&lt;=30,"1-30 days",H514&lt;=60,"31-60 days",H514&lt;=90,"61-90 days",TRUE,"90+ days")</f>
        <v/>
      </c>
    </row>
    <row r="515">
      <c r="A515" t="inlineStr">
        <is>
          <t>INV0012106</t>
        </is>
      </c>
      <c r="B515" t="inlineStr">
        <is>
          <t>MER00572</t>
        </is>
      </c>
      <c r="C515">
        <f>XLOOKUP(B515,Merchants!$A$4:$A$1000,Merchants!$B$4:$B$1000,"Not found")</f>
        <v/>
      </c>
      <c r="D515">
        <f>XLOOKUP(A515,tblInvoices[invoice_id],tblInvoices[due_date])</f>
        <v/>
      </c>
      <c r="E515">
        <f>XLOOKUP(A515,tblInvoices[invoice_id],tblInvoices[total_invoice_amount])</f>
        <v/>
      </c>
      <c r="F515">
        <f>SUMIFS(tblPayments[payment_amount],tblPayments[invoice_id],A515,tblPayments[payment_status],"Success")</f>
        <v/>
      </c>
      <c r="G515">
        <f>MAX(0,E515-F515)</f>
        <v/>
      </c>
      <c r="H515">
        <f>DATE(2026,8,13)-D515</f>
        <v/>
      </c>
      <c r="I515">
        <f>IFS(G515=0,"Excluded (paid)",H515&lt;=0,"Current",H515&lt;=30,"1-30 days",H515&lt;=60,"31-60 days",H515&lt;=90,"61-90 days",TRUE,"90+ days")</f>
        <v/>
      </c>
    </row>
    <row r="516">
      <c r="A516" t="inlineStr">
        <is>
          <t>INV0012107</t>
        </is>
      </c>
      <c r="B516" t="inlineStr">
        <is>
          <t>MER00572</t>
        </is>
      </c>
      <c r="C516">
        <f>XLOOKUP(B516,Merchants!$A$4:$A$1000,Merchants!$B$4:$B$1000,"Not found")</f>
        <v/>
      </c>
      <c r="D516">
        <f>XLOOKUP(A516,tblInvoices[invoice_id],tblInvoices[due_date])</f>
        <v/>
      </c>
      <c r="E516">
        <f>XLOOKUP(A516,tblInvoices[invoice_id],tblInvoices[total_invoice_amount])</f>
        <v/>
      </c>
      <c r="F516">
        <f>SUMIFS(tblPayments[payment_amount],tblPayments[invoice_id],A516,tblPayments[payment_status],"Success")</f>
        <v/>
      </c>
      <c r="G516">
        <f>MAX(0,E516-F516)</f>
        <v/>
      </c>
      <c r="H516">
        <f>DATE(2026,8,13)-D516</f>
        <v/>
      </c>
      <c r="I516">
        <f>IFS(G516=0,"Excluded (paid)",H516&lt;=0,"Current",H516&lt;=30,"1-30 days",H516&lt;=60,"31-60 days",H516&lt;=90,"61-90 days",TRUE,"90+ days")</f>
        <v/>
      </c>
    </row>
    <row r="517">
      <c r="A517" t="inlineStr">
        <is>
          <t>INV0012108</t>
        </is>
      </c>
      <c r="B517" t="inlineStr">
        <is>
          <t>MER00572</t>
        </is>
      </c>
      <c r="C517">
        <f>XLOOKUP(B517,Merchants!$A$4:$A$1000,Merchants!$B$4:$B$1000,"Not found")</f>
        <v/>
      </c>
      <c r="D517">
        <f>XLOOKUP(A517,tblInvoices[invoice_id],tblInvoices[due_date])</f>
        <v/>
      </c>
      <c r="E517">
        <f>XLOOKUP(A517,tblInvoices[invoice_id],tblInvoices[total_invoice_amount])</f>
        <v/>
      </c>
      <c r="F517">
        <f>SUMIFS(tblPayments[payment_amount],tblPayments[invoice_id],A517,tblPayments[payment_status],"Success")</f>
        <v/>
      </c>
      <c r="G517">
        <f>MAX(0,E517-F517)</f>
        <v/>
      </c>
      <c r="H517">
        <f>DATE(2026,8,13)-D517</f>
        <v/>
      </c>
      <c r="I517">
        <f>IFS(G517=0,"Excluded (paid)",H517&lt;=0,"Current",H517&lt;=30,"1-30 days",H517&lt;=60,"31-60 days",H517&lt;=90,"61-90 days",TRUE,"90+ days")</f>
        <v/>
      </c>
    </row>
    <row r="518">
      <c r="A518" t="inlineStr">
        <is>
          <t>INV0012109</t>
        </is>
      </c>
      <c r="B518" t="inlineStr">
        <is>
          <t>MER00572</t>
        </is>
      </c>
      <c r="C518">
        <f>XLOOKUP(B518,Merchants!$A$4:$A$1000,Merchants!$B$4:$B$1000,"Not found")</f>
        <v/>
      </c>
      <c r="D518">
        <f>XLOOKUP(A518,tblInvoices[invoice_id],tblInvoices[due_date])</f>
        <v/>
      </c>
      <c r="E518">
        <f>XLOOKUP(A518,tblInvoices[invoice_id],tblInvoices[total_invoice_amount])</f>
        <v/>
      </c>
      <c r="F518">
        <f>SUMIFS(tblPayments[payment_amount],tblPayments[invoice_id],A518,tblPayments[payment_status],"Success")</f>
        <v/>
      </c>
      <c r="G518">
        <f>MAX(0,E518-F518)</f>
        <v/>
      </c>
      <c r="H518">
        <f>DATE(2026,8,13)-D518</f>
        <v/>
      </c>
      <c r="I518">
        <f>IFS(G518=0,"Excluded (paid)",H518&lt;=0,"Current",H518&lt;=30,"1-30 days",H518&lt;=60,"31-60 days",H518&lt;=90,"61-90 days",TRUE,"90+ days")</f>
        <v/>
      </c>
    </row>
    <row r="519">
      <c r="A519" t="inlineStr">
        <is>
          <t>INV0012110</t>
        </is>
      </c>
      <c r="B519" t="inlineStr">
        <is>
          <t>MER00572</t>
        </is>
      </c>
      <c r="C519">
        <f>XLOOKUP(B519,Merchants!$A$4:$A$1000,Merchants!$B$4:$B$1000,"Not found")</f>
        <v/>
      </c>
      <c r="D519">
        <f>XLOOKUP(A519,tblInvoices[invoice_id],tblInvoices[due_date])</f>
        <v/>
      </c>
      <c r="E519">
        <f>XLOOKUP(A519,tblInvoices[invoice_id],tblInvoices[total_invoice_amount])</f>
        <v/>
      </c>
      <c r="F519">
        <f>SUMIFS(tblPayments[payment_amount],tblPayments[invoice_id],A519,tblPayments[payment_status],"Success")</f>
        <v/>
      </c>
      <c r="G519">
        <f>MAX(0,E519-F519)</f>
        <v/>
      </c>
      <c r="H519">
        <f>DATE(2026,8,13)-D519</f>
        <v/>
      </c>
      <c r="I519">
        <f>IFS(G519=0,"Excluded (paid)",H519&lt;=0,"Current",H519&lt;=30,"1-30 days",H519&lt;=60,"31-60 days",H519&lt;=90,"61-90 days",TRUE,"90+ days")</f>
        <v/>
      </c>
    </row>
    <row r="520">
      <c r="A520" t="inlineStr">
        <is>
          <t>INV0012111</t>
        </is>
      </c>
      <c r="B520" t="inlineStr">
        <is>
          <t>MER00572</t>
        </is>
      </c>
      <c r="C520">
        <f>XLOOKUP(B520,Merchants!$A$4:$A$1000,Merchants!$B$4:$B$1000,"Not found")</f>
        <v/>
      </c>
      <c r="D520">
        <f>XLOOKUP(A520,tblInvoices[invoice_id],tblInvoices[due_date])</f>
        <v/>
      </c>
      <c r="E520">
        <f>XLOOKUP(A520,tblInvoices[invoice_id],tblInvoices[total_invoice_amount])</f>
        <v/>
      </c>
      <c r="F520">
        <f>SUMIFS(tblPayments[payment_amount],tblPayments[invoice_id],A520,tblPayments[payment_status],"Success")</f>
        <v/>
      </c>
      <c r="G520">
        <f>MAX(0,E520-F520)</f>
        <v/>
      </c>
      <c r="H520">
        <f>DATE(2026,8,13)-D520</f>
        <v/>
      </c>
      <c r="I520">
        <f>IFS(G520=0,"Excluded (paid)",H520&lt;=0,"Current",H520&lt;=30,"1-30 days",H520&lt;=60,"31-60 days",H520&lt;=90,"61-90 days",TRUE,"90+ days")</f>
        <v/>
      </c>
    </row>
    <row r="521">
      <c r="A521" t="inlineStr">
        <is>
          <t>INV0012112</t>
        </is>
      </c>
      <c r="B521" t="inlineStr">
        <is>
          <t>MER00572</t>
        </is>
      </c>
      <c r="C521">
        <f>XLOOKUP(B521,Merchants!$A$4:$A$1000,Merchants!$B$4:$B$1000,"Not found")</f>
        <v/>
      </c>
      <c r="D521">
        <f>XLOOKUP(A521,tblInvoices[invoice_id],tblInvoices[due_date])</f>
        <v/>
      </c>
      <c r="E521">
        <f>XLOOKUP(A521,tblInvoices[invoice_id],tblInvoices[total_invoice_amount])</f>
        <v/>
      </c>
      <c r="F521">
        <f>SUMIFS(tblPayments[payment_amount],tblPayments[invoice_id],A521,tblPayments[payment_status],"Success")</f>
        <v/>
      </c>
      <c r="G521">
        <f>MAX(0,E521-F521)</f>
        <v/>
      </c>
      <c r="H521">
        <f>DATE(2026,8,13)-D521</f>
        <v/>
      </c>
      <c r="I521">
        <f>IFS(G521=0,"Excluded (paid)",H521&lt;=0,"Current",H521&lt;=30,"1-30 days",H521&lt;=60,"31-60 days",H521&lt;=90,"61-90 days",TRUE,"90+ days")</f>
        <v/>
      </c>
    </row>
    <row r="522">
      <c r="A522" t="inlineStr">
        <is>
          <t>INV0012113</t>
        </is>
      </c>
      <c r="B522" t="inlineStr">
        <is>
          <t>MER00572</t>
        </is>
      </c>
      <c r="C522">
        <f>XLOOKUP(B522,Merchants!$A$4:$A$1000,Merchants!$B$4:$B$1000,"Not found")</f>
        <v/>
      </c>
      <c r="D522">
        <f>XLOOKUP(A522,tblInvoices[invoice_id],tblInvoices[due_date])</f>
        <v/>
      </c>
      <c r="E522">
        <f>XLOOKUP(A522,tblInvoices[invoice_id],tblInvoices[total_invoice_amount])</f>
        <v/>
      </c>
      <c r="F522">
        <f>SUMIFS(tblPayments[payment_amount],tblPayments[invoice_id],A522,tblPayments[payment_status],"Success")</f>
        <v/>
      </c>
      <c r="G522">
        <f>MAX(0,E522-F522)</f>
        <v/>
      </c>
      <c r="H522">
        <f>DATE(2026,8,13)-D522</f>
        <v/>
      </c>
      <c r="I522">
        <f>IFS(G522=0,"Excluded (paid)",H522&lt;=0,"Current",H522&lt;=30,"1-30 days",H522&lt;=60,"31-60 days",H522&lt;=90,"61-90 days",TRUE,"90+ days")</f>
        <v/>
      </c>
    </row>
    <row r="523">
      <c r="A523" t="inlineStr">
        <is>
          <t>INV0012114</t>
        </is>
      </c>
      <c r="B523" t="inlineStr">
        <is>
          <t>MER00572</t>
        </is>
      </c>
      <c r="C523">
        <f>XLOOKUP(B523,Merchants!$A$4:$A$1000,Merchants!$B$4:$B$1000,"Not found")</f>
        <v/>
      </c>
      <c r="D523">
        <f>XLOOKUP(A523,tblInvoices[invoice_id],tblInvoices[due_date])</f>
        <v/>
      </c>
      <c r="E523">
        <f>XLOOKUP(A523,tblInvoices[invoice_id],tblInvoices[total_invoice_amount])</f>
        <v/>
      </c>
      <c r="F523">
        <f>SUMIFS(tblPayments[payment_amount],tblPayments[invoice_id],A523,tblPayments[payment_status],"Success")</f>
        <v/>
      </c>
      <c r="G523">
        <f>MAX(0,E523-F523)</f>
        <v/>
      </c>
      <c r="H523">
        <f>DATE(2026,8,13)-D523</f>
        <v/>
      </c>
      <c r="I523">
        <f>IFS(G523=0,"Excluded (paid)",H523&lt;=0,"Current",H523&lt;=30,"1-30 days",H523&lt;=60,"31-60 days",H523&lt;=90,"61-90 days",TRUE,"90+ days")</f>
        <v/>
      </c>
    </row>
    <row r="524">
      <c r="A524" t="inlineStr">
        <is>
          <t>INV0013743</t>
        </is>
      </c>
      <c r="B524" t="inlineStr">
        <is>
          <t>MER00649</t>
        </is>
      </c>
      <c r="C524">
        <f>XLOOKUP(B524,Merchants!$A$4:$A$1000,Merchants!$B$4:$B$1000,"Not found")</f>
        <v/>
      </c>
      <c r="D524">
        <f>XLOOKUP(A524,tblInvoices[invoice_id],tblInvoices[due_date])</f>
        <v/>
      </c>
      <c r="E524">
        <f>XLOOKUP(A524,tblInvoices[invoice_id],tblInvoices[total_invoice_amount])</f>
        <v/>
      </c>
      <c r="F524">
        <f>SUMIFS(tblPayments[payment_amount],tblPayments[invoice_id],A524,tblPayments[payment_status],"Success")</f>
        <v/>
      </c>
      <c r="G524">
        <f>MAX(0,E524-F524)</f>
        <v/>
      </c>
      <c r="H524">
        <f>DATE(2026,8,13)-D524</f>
        <v/>
      </c>
      <c r="I524">
        <f>IFS(G524=0,"Excluded (paid)",H524&lt;=0,"Current",H524&lt;=30,"1-30 days",H524&lt;=60,"31-60 days",H524&lt;=90,"61-90 days",TRUE,"90+ days")</f>
        <v/>
      </c>
    </row>
    <row r="525">
      <c r="A525" t="inlineStr">
        <is>
          <t>INV0013744</t>
        </is>
      </c>
      <c r="B525" t="inlineStr">
        <is>
          <t>MER00649</t>
        </is>
      </c>
      <c r="C525">
        <f>XLOOKUP(B525,Merchants!$A$4:$A$1000,Merchants!$B$4:$B$1000,"Not found")</f>
        <v/>
      </c>
      <c r="D525">
        <f>XLOOKUP(A525,tblInvoices[invoice_id],tblInvoices[due_date])</f>
        <v/>
      </c>
      <c r="E525">
        <f>XLOOKUP(A525,tblInvoices[invoice_id],tblInvoices[total_invoice_amount])</f>
        <v/>
      </c>
      <c r="F525">
        <f>SUMIFS(tblPayments[payment_amount],tblPayments[invoice_id],A525,tblPayments[payment_status],"Success")</f>
        <v/>
      </c>
      <c r="G525">
        <f>MAX(0,E525-F525)</f>
        <v/>
      </c>
      <c r="H525">
        <f>DATE(2026,8,13)-D525</f>
        <v/>
      </c>
      <c r="I525">
        <f>IFS(G525=0,"Excluded (paid)",H525&lt;=0,"Current",H525&lt;=30,"1-30 days",H525&lt;=60,"31-60 days",H525&lt;=90,"61-90 days",TRUE,"90+ days")</f>
        <v/>
      </c>
    </row>
    <row r="526">
      <c r="A526" t="inlineStr">
        <is>
          <t>INV0013745</t>
        </is>
      </c>
      <c r="B526" t="inlineStr">
        <is>
          <t>MER00649</t>
        </is>
      </c>
      <c r="C526">
        <f>XLOOKUP(B526,Merchants!$A$4:$A$1000,Merchants!$B$4:$B$1000,"Not found")</f>
        <v/>
      </c>
      <c r="D526">
        <f>XLOOKUP(A526,tblInvoices[invoice_id],tblInvoices[due_date])</f>
        <v/>
      </c>
      <c r="E526">
        <f>XLOOKUP(A526,tblInvoices[invoice_id],tblInvoices[total_invoice_amount])</f>
        <v/>
      </c>
      <c r="F526">
        <f>SUMIFS(tblPayments[payment_amount],tblPayments[invoice_id],A526,tblPayments[payment_status],"Success")</f>
        <v/>
      </c>
      <c r="G526">
        <f>MAX(0,E526-F526)</f>
        <v/>
      </c>
      <c r="H526">
        <f>DATE(2026,8,13)-D526</f>
        <v/>
      </c>
      <c r="I526">
        <f>IFS(G526=0,"Excluded (paid)",H526&lt;=0,"Current",H526&lt;=30,"1-30 days",H526&lt;=60,"31-60 days",H526&lt;=90,"61-90 days",TRUE,"90+ days")</f>
        <v/>
      </c>
    </row>
    <row r="527">
      <c r="A527" t="inlineStr">
        <is>
          <t>INV0013746</t>
        </is>
      </c>
      <c r="B527" t="inlineStr">
        <is>
          <t>MER00649</t>
        </is>
      </c>
      <c r="C527">
        <f>XLOOKUP(B527,Merchants!$A$4:$A$1000,Merchants!$B$4:$B$1000,"Not found")</f>
        <v/>
      </c>
      <c r="D527">
        <f>XLOOKUP(A527,tblInvoices[invoice_id],tblInvoices[due_date])</f>
        <v/>
      </c>
      <c r="E527">
        <f>XLOOKUP(A527,tblInvoices[invoice_id],tblInvoices[total_invoice_amount])</f>
        <v/>
      </c>
      <c r="F527">
        <f>SUMIFS(tblPayments[payment_amount],tblPayments[invoice_id],A527,tblPayments[payment_status],"Success")</f>
        <v/>
      </c>
      <c r="G527">
        <f>MAX(0,E527-F527)</f>
        <v/>
      </c>
      <c r="H527">
        <f>DATE(2026,8,13)-D527</f>
        <v/>
      </c>
      <c r="I527">
        <f>IFS(G527=0,"Excluded (paid)",H527&lt;=0,"Current",H527&lt;=30,"1-30 days",H527&lt;=60,"31-60 days",H527&lt;=90,"61-90 days",TRUE,"90+ days")</f>
        <v/>
      </c>
    </row>
    <row r="528">
      <c r="A528" t="inlineStr">
        <is>
          <t>INV0013747</t>
        </is>
      </c>
      <c r="B528" t="inlineStr">
        <is>
          <t>MER00649</t>
        </is>
      </c>
      <c r="C528">
        <f>XLOOKUP(B528,Merchants!$A$4:$A$1000,Merchants!$B$4:$B$1000,"Not found")</f>
        <v/>
      </c>
      <c r="D528">
        <f>XLOOKUP(A528,tblInvoices[invoice_id],tblInvoices[due_date])</f>
        <v/>
      </c>
      <c r="E528">
        <f>XLOOKUP(A528,tblInvoices[invoice_id],tblInvoices[total_invoice_amount])</f>
        <v/>
      </c>
      <c r="F528">
        <f>SUMIFS(tblPayments[payment_amount],tblPayments[invoice_id],A528,tblPayments[payment_status],"Success")</f>
        <v/>
      </c>
      <c r="G528">
        <f>MAX(0,E528-F528)</f>
        <v/>
      </c>
      <c r="H528">
        <f>DATE(2026,8,13)-D528</f>
        <v/>
      </c>
      <c r="I528">
        <f>IFS(G528=0,"Excluded (paid)",H528&lt;=0,"Current",H528&lt;=30,"1-30 days",H528&lt;=60,"31-60 days",H528&lt;=90,"61-90 days",TRUE,"90+ days")</f>
        <v/>
      </c>
    </row>
    <row r="529">
      <c r="A529" t="inlineStr">
        <is>
          <t>INV0013748</t>
        </is>
      </c>
      <c r="B529" t="inlineStr">
        <is>
          <t>MER00649</t>
        </is>
      </c>
      <c r="C529">
        <f>XLOOKUP(B529,Merchants!$A$4:$A$1000,Merchants!$B$4:$B$1000,"Not found")</f>
        <v/>
      </c>
      <c r="D529">
        <f>XLOOKUP(A529,tblInvoices[invoice_id],tblInvoices[due_date])</f>
        <v/>
      </c>
      <c r="E529">
        <f>XLOOKUP(A529,tblInvoices[invoice_id],tblInvoices[total_invoice_amount])</f>
        <v/>
      </c>
      <c r="F529">
        <f>SUMIFS(tblPayments[payment_amount],tblPayments[invoice_id],A529,tblPayments[payment_status],"Success")</f>
        <v/>
      </c>
      <c r="G529">
        <f>MAX(0,E529-F529)</f>
        <v/>
      </c>
      <c r="H529">
        <f>DATE(2026,8,13)-D529</f>
        <v/>
      </c>
      <c r="I529">
        <f>IFS(G529=0,"Excluded (paid)",H529&lt;=0,"Current",H529&lt;=30,"1-30 days",H529&lt;=60,"31-60 days",H529&lt;=90,"61-90 days",TRUE,"90+ days")</f>
        <v/>
      </c>
    </row>
    <row r="530">
      <c r="A530" t="inlineStr">
        <is>
          <t>INV0013749</t>
        </is>
      </c>
      <c r="B530" t="inlineStr">
        <is>
          <t>MER00649</t>
        </is>
      </c>
      <c r="C530">
        <f>XLOOKUP(B530,Merchants!$A$4:$A$1000,Merchants!$B$4:$B$1000,"Not found")</f>
        <v/>
      </c>
      <c r="D530">
        <f>XLOOKUP(A530,tblInvoices[invoice_id],tblInvoices[due_date])</f>
        <v/>
      </c>
      <c r="E530">
        <f>XLOOKUP(A530,tblInvoices[invoice_id],tblInvoices[total_invoice_amount])</f>
        <v/>
      </c>
      <c r="F530">
        <f>SUMIFS(tblPayments[payment_amount],tblPayments[invoice_id],A530,tblPayments[payment_status],"Success")</f>
        <v/>
      </c>
      <c r="G530">
        <f>MAX(0,E530-F530)</f>
        <v/>
      </c>
      <c r="H530">
        <f>DATE(2026,8,13)-D530</f>
        <v/>
      </c>
      <c r="I530">
        <f>IFS(G530=0,"Excluded (paid)",H530&lt;=0,"Current",H530&lt;=30,"1-30 days",H530&lt;=60,"31-60 days",H530&lt;=90,"61-90 days",TRUE,"90+ days")</f>
        <v/>
      </c>
    </row>
    <row r="531">
      <c r="A531" t="inlineStr">
        <is>
          <t>INV0013750</t>
        </is>
      </c>
      <c r="B531" t="inlineStr">
        <is>
          <t>MER00649</t>
        </is>
      </c>
      <c r="C531">
        <f>XLOOKUP(B531,Merchants!$A$4:$A$1000,Merchants!$B$4:$B$1000,"Not found")</f>
        <v/>
      </c>
      <c r="D531">
        <f>XLOOKUP(A531,tblInvoices[invoice_id],tblInvoices[due_date])</f>
        <v/>
      </c>
      <c r="E531">
        <f>XLOOKUP(A531,tblInvoices[invoice_id],tblInvoices[total_invoice_amount])</f>
        <v/>
      </c>
      <c r="F531">
        <f>SUMIFS(tblPayments[payment_amount],tblPayments[invoice_id],A531,tblPayments[payment_status],"Success")</f>
        <v/>
      </c>
      <c r="G531">
        <f>MAX(0,E531-F531)</f>
        <v/>
      </c>
      <c r="H531">
        <f>DATE(2026,8,13)-D531</f>
        <v/>
      </c>
      <c r="I531">
        <f>IFS(G531=0,"Excluded (paid)",H531&lt;=0,"Current",H531&lt;=30,"1-30 days",H531&lt;=60,"31-60 days",H531&lt;=90,"61-90 days",TRUE,"90+ days")</f>
        <v/>
      </c>
    </row>
    <row r="532">
      <c r="A532" t="inlineStr">
        <is>
          <t>INV0013751</t>
        </is>
      </c>
      <c r="B532" t="inlineStr">
        <is>
          <t>MER00649</t>
        </is>
      </c>
      <c r="C532">
        <f>XLOOKUP(B532,Merchants!$A$4:$A$1000,Merchants!$B$4:$B$1000,"Not found")</f>
        <v/>
      </c>
      <c r="D532">
        <f>XLOOKUP(A532,tblInvoices[invoice_id],tblInvoices[due_date])</f>
        <v/>
      </c>
      <c r="E532">
        <f>XLOOKUP(A532,tblInvoices[invoice_id],tblInvoices[total_invoice_amount])</f>
        <v/>
      </c>
      <c r="F532">
        <f>SUMIFS(tblPayments[payment_amount],tblPayments[invoice_id],A532,tblPayments[payment_status],"Success")</f>
        <v/>
      </c>
      <c r="G532">
        <f>MAX(0,E532-F532)</f>
        <v/>
      </c>
      <c r="H532">
        <f>DATE(2026,8,13)-D532</f>
        <v/>
      </c>
      <c r="I532">
        <f>IFS(G532=0,"Excluded (paid)",H532&lt;=0,"Current",H532&lt;=30,"1-30 days",H532&lt;=60,"31-60 days",H532&lt;=90,"61-90 days",TRUE,"90+ days")</f>
        <v/>
      </c>
    </row>
    <row r="533">
      <c r="A533" t="inlineStr">
        <is>
          <t>INV0013752</t>
        </is>
      </c>
      <c r="B533" t="inlineStr">
        <is>
          <t>MER00649</t>
        </is>
      </c>
      <c r="C533">
        <f>XLOOKUP(B533,Merchants!$A$4:$A$1000,Merchants!$B$4:$B$1000,"Not found")</f>
        <v/>
      </c>
      <c r="D533">
        <f>XLOOKUP(A533,tblInvoices[invoice_id],tblInvoices[due_date])</f>
        <v/>
      </c>
      <c r="E533">
        <f>XLOOKUP(A533,tblInvoices[invoice_id],tblInvoices[total_invoice_amount])</f>
        <v/>
      </c>
      <c r="F533">
        <f>SUMIFS(tblPayments[payment_amount],tblPayments[invoice_id],A533,tblPayments[payment_status],"Success")</f>
        <v/>
      </c>
      <c r="G533">
        <f>MAX(0,E533-F533)</f>
        <v/>
      </c>
      <c r="H533">
        <f>DATE(2026,8,13)-D533</f>
        <v/>
      </c>
      <c r="I533">
        <f>IFS(G533=0,"Excluded (paid)",H533&lt;=0,"Current",H533&lt;=30,"1-30 days",H533&lt;=60,"31-60 days",H533&lt;=90,"61-90 days",TRUE,"90+ days")</f>
        <v/>
      </c>
    </row>
    <row r="534">
      <c r="A534" t="inlineStr">
        <is>
          <t>INV0013753</t>
        </is>
      </c>
      <c r="B534" t="inlineStr">
        <is>
          <t>MER00649</t>
        </is>
      </c>
      <c r="C534">
        <f>XLOOKUP(B534,Merchants!$A$4:$A$1000,Merchants!$B$4:$B$1000,"Not found")</f>
        <v/>
      </c>
      <c r="D534">
        <f>XLOOKUP(A534,tblInvoices[invoice_id],tblInvoices[due_date])</f>
        <v/>
      </c>
      <c r="E534">
        <f>XLOOKUP(A534,tblInvoices[invoice_id],tblInvoices[total_invoice_amount])</f>
        <v/>
      </c>
      <c r="F534">
        <f>SUMIFS(tblPayments[payment_amount],tblPayments[invoice_id],A534,tblPayments[payment_status],"Success")</f>
        <v/>
      </c>
      <c r="G534">
        <f>MAX(0,E534-F534)</f>
        <v/>
      </c>
      <c r="H534">
        <f>DATE(2026,8,13)-D534</f>
        <v/>
      </c>
      <c r="I534">
        <f>IFS(G534=0,"Excluded (paid)",H534&lt;=0,"Current",H534&lt;=30,"1-30 days",H534&lt;=60,"31-60 days",H534&lt;=90,"61-90 days",TRUE,"90+ days")</f>
        <v/>
      </c>
    </row>
    <row r="535">
      <c r="A535" t="inlineStr">
        <is>
          <t>INV0013754</t>
        </is>
      </c>
      <c r="B535" t="inlineStr">
        <is>
          <t>MER00649</t>
        </is>
      </c>
      <c r="C535">
        <f>XLOOKUP(B535,Merchants!$A$4:$A$1000,Merchants!$B$4:$B$1000,"Not found")</f>
        <v/>
      </c>
      <c r="D535">
        <f>XLOOKUP(A535,tblInvoices[invoice_id],tblInvoices[due_date])</f>
        <v/>
      </c>
      <c r="E535">
        <f>XLOOKUP(A535,tblInvoices[invoice_id],tblInvoices[total_invoice_amount])</f>
        <v/>
      </c>
      <c r="F535">
        <f>SUMIFS(tblPayments[payment_amount],tblPayments[invoice_id],A535,tblPayments[payment_status],"Success")</f>
        <v/>
      </c>
      <c r="G535">
        <f>MAX(0,E535-F535)</f>
        <v/>
      </c>
      <c r="H535">
        <f>DATE(2026,8,13)-D535</f>
        <v/>
      </c>
      <c r="I535">
        <f>IFS(G535=0,"Excluded (paid)",H535&lt;=0,"Current",H535&lt;=30,"1-30 days",H535&lt;=60,"31-60 days",H535&lt;=90,"61-90 days",TRUE,"90+ days")</f>
        <v/>
      </c>
    </row>
    <row r="536">
      <c r="A536" t="inlineStr">
        <is>
          <t>INV0013755</t>
        </is>
      </c>
      <c r="B536" t="inlineStr">
        <is>
          <t>MER00649</t>
        </is>
      </c>
      <c r="C536">
        <f>XLOOKUP(B536,Merchants!$A$4:$A$1000,Merchants!$B$4:$B$1000,"Not found")</f>
        <v/>
      </c>
      <c r="D536">
        <f>XLOOKUP(A536,tblInvoices[invoice_id],tblInvoices[due_date])</f>
        <v/>
      </c>
      <c r="E536">
        <f>XLOOKUP(A536,tblInvoices[invoice_id],tblInvoices[total_invoice_amount])</f>
        <v/>
      </c>
      <c r="F536">
        <f>SUMIFS(tblPayments[payment_amount],tblPayments[invoice_id],A536,tblPayments[payment_status],"Success")</f>
        <v/>
      </c>
      <c r="G536">
        <f>MAX(0,E536-F536)</f>
        <v/>
      </c>
      <c r="H536">
        <f>DATE(2026,8,13)-D536</f>
        <v/>
      </c>
      <c r="I536">
        <f>IFS(G536=0,"Excluded (paid)",H536&lt;=0,"Current",H536&lt;=30,"1-30 days",H536&lt;=60,"31-60 days",H536&lt;=90,"61-90 days",TRUE,"90+ days")</f>
        <v/>
      </c>
    </row>
    <row r="537">
      <c r="A537" t="inlineStr">
        <is>
          <t>INV0013756</t>
        </is>
      </c>
      <c r="B537" t="inlineStr">
        <is>
          <t>MER00649</t>
        </is>
      </c>
      <c r="C537">
        <f>XLOOKUP(B537,Merchants!$A$4:$A$1000,Merchants!$B$4:$B$1000,"Not found")</f>
        <v/>
      </c>
      <c r="D537">
        <f>XLOOKUP(A537,tblInvoices[invoice_id],tblInvoices[due_date])</f>
        <v/>
      </c>
      <c r="E537">
        <f>XLOOKUP(A537,tblInvoices[invoice_id],tblInvoices[total_invoice_amount])</f>
        <v/>
      </c>
      <c r="F537">
        <f>SUMIFS(tblPayments[payment_amount],tblPayments[invoice_id],A537,tblPayments[payment_status],"Success")</f>
        <v/>
      </c>
      <c r="G537">
        <f>MAX(0,E537-F537)</f>
        <v/>
      </c>
      <c r="H537">
        <f>DATE(2026,8,13)-D537</f>
        <v/>
      </c>
      <c r="I537">
        <f>IFS(G537=0,"Excluded (paid)",H537&lt;=0,"Current",H537&lt;=30,"1-30 days",H537&lt;=60,"31-60 days",H537&lt;=90,"61-90 days",TRUE,"90+ days")</f>
        <v/>
      </c>
    </row>
    <row r="538">
      <c r="A538" t="inlineStr">
        <is>
          <t>INV0013757</t>
        </is>
      </c>
      <c r="B538" t="inlineStr">
        <is>
          <t>MER00649</t>
        </is>
      </c>
      <c r="C538">
        <f>XLOOKUP(B538,Merchants!$A$4:$A$1000,Merchants!$B$4:$B$1000,"Not found")</f>
        <v/>
      </c>
      <c r="D538">
        <f>XLOOKUP(A538,tblInvoices[invoice_id],tblInvoices[due_date])</f>
        <v/>
      </c>
      <c r="E538">
        <f>XLOOKUP(A538,tblInvoices[invoice_id],tblInvoices[total_invoice_amount])</f>
        <v/>
      </c>
      <c r="F538">
        <f>SUMIFS(tblPayments[payment_amount],tblPayments[invoice_id],A538,tblPayments[payment_status],"Success")</f>
        <v/>
      </c>
      <c r="G538">
        <f>MAX(0,E538-F538)</f>
        <v/>
      </c>
      <c r="H538">
        <f>DATE(2026,8,13)-D538</f>
        <v/>
      </c>
      <c r="I538">
        <f>IFS(G538=0,"Excluded (paid)",H538&lt;=0,"Current",H538&lt;=30,"1-30 days",H538&lt;=60,"31-60 days",H538&lt;=90,"61-90 days",TRUE,"90+ days")</f>
        <v/>
      </c>
    </row>
    <row r="539">
      <c r="A539" t="inlineStr">
        <is>
          <t>INV0013758</t>
        </is>
      </c>
      <c r="B539" t="inlineStr">
        <is>
          <t>MER00649</t>
        </is>
      </c>
      <c r="C539">
        <f>XLOOKUP(B539,Merchants!$A$4:$A$1000,Merchants!$B$4:$B$1000,"Not found")</f>
        <v/>
      </c>
      <c r="D539">
        <f>XLOOKUP(A539,tblInvoices[invoice_id],tblInvoices[due_date])</f>
        <v/>
      </c>
      <c r="E539">
        <f>XLOOKUP(A539,tblInvoices[invoice_id],tblInvoices[total_invoice_amount])</f>
        <v/>
      </c>
      <c r="F539">
        <f>SUMIFS(tblPayments[payment_amount],tblPayments[invoice_id],A539,tblPayments[payment_status],"Success")</f>
        <v/>
      </c>
      <c r="G539">
        <f>MAX(0,E539-F539)</f>
        <v/>
      </c>
      <c r="H539">
        <f>DATE(2026,8,13)-D539</f>
        <v/>
      </c>
      <c r="I539">
        <f>IFS(G539=0,"Excluded (paid)",H539&lt;=0,"Current",H539&lt;=30,"1-30 days",H539&lt;=60,"31-60 days",H539&lt;=90,"61-90 days",TRUE,"90+ days")</f>
        <v/>
      </c>
    </row>
    <row r="540">
      <c r="A540" t="inlineStr">
        <is>
          <t>INV0013759</t>
        </is>
      </c>
      <c r="B540" t="inlineStr">
        <is>
          <t>MER00649</t>
        </is>
      </c>
      <c r="C540">
        <f>XLOOKUP(B540,Merchants!$A$4:$A$1000,Merchants!$B$4:$B$1000,"Not found")</f>
        <v/>
      </c>
      <c r="D540">
        <f>XLOOKUP(A540,tblInvoices[invoice_id],tblInvoices[due_date])</f>
        <v/>
      </c>
      <c r="E540">
        <f>XLOOKUP(A540,tblInvoices[invoice_id],tblInvoices[total_invoice_amount])</f>
        <v/>
      </c>
      <c r="F540">
        <f>SUMIFS(tblPayments[payment_amount],tblPayments[invoice_id],A540,tblPayments[payment_status],"Success")</f>
        <v/>
      </c>
      <c r="G540">
        <f>MAX(0,E540-F540)</f>
        <v/>
      </c>
      <c r="H540">
        <f>DATE(2026,8,13)-D540</f>
        <v/>
      </c>
      <c r="I540">
        <f>IFS(G540=0,"Excluded (paid)",H540&lt;=0,"Current",H540&lt;=30,"1-30 days",H540&lt;=60,"31-60 days",H540&lt;=90,"61-90 days",TRUE,"90+ days")</f>
        <v/>
      </c>
    </row>
    <row r="541">
      <c r="A541" t="inlineStr">
        <is>
          <t>INV0013760</t>
        </is>
      </c>
      <c r="B541" t="inlineStr">
        <is>
          <t>MER00649</t>
        </is>
      </c>
      <c r="C541">
        <f>XLOOKUP(B541,Merchants!$A$4:$A$1000,Merchants!$B$4:$B$1000,"Not found")</f>
        <v/>
      </c>
      <c r="D541">
        <f>XLOOKUP(A541,tblInvoices[invoice_id],tblInvoices[due_date])</f>
        <v/>
      </c>
      <c r="E541">
        <f>XLOOKUP(A541,tblInvoices[invoice_id],tblInvoices[total_invoice_amount])</f>
        <v/>
      </c>
      <c r="F541">
        <f>SUMIFS(tblPayments[payment_amount],tblPayments[invoice_id],A541,tblPayments[payment_status],"Success")</f>
        <v/>
      </c>
      <c r="G541">
        <f>MAX(0,E541-F541)</f>
        <v/>
      </c>
      <c r="H541">
        <f>DATE(2026,8,13)-D541</f>
        <v/>
      </c>
      <c r="I541">
        <f>IFS(G541=0,"Excluded (paid)",H541&lt;=0,"Current",H541&lt;=30,"1-30 days",H541&lt;=60,"31-60 days",H541&lt;=90,"61-90 days",TRUE,"90+ days")</f>
        <v/>
      </c>
    </row>
    <row r="542">
      <c r="A542" t="inlineStr">
        <is>
          <t>INV0013761</t>
        </is>
      </c>
      <c r="B542" t="inlineStr">
        <is>
          <t>MER00649</t>
        </is>
      </c>
      <c r="C542">
        <f>XLOOKUP(B542,Merchants!$A$4:$A$1000,Merchants!$B$4:$B$1000,"Not found")</f>
        <v/>
      </c>
      <c r="D542">
        <f>XLOOKUP(A542,tblInvoices[invoice_id],tblInvoices[due_date])</f>
        <v/>
      </c>
      <c r="E542">
        <f>XLOOKUP(A542,tblInvoices[invoice_id],tblInvoices[total_invoice_amount])</f>
        <v/>
      </c>
      <c r="F542">
        <f>SUMIFS(tblPayments[payment_amount],tblPayments[invoice_id],A542,tblPayments[payment_status],"Success")</f>
        <v/>
      </c>
      <c r="G542">
        <f>MAX(0,E542-F542)</f>
        <v/>
      </c>
      <c r="H542">
        <f>DATE(2026,8,13)-D542</f>
        <v/>
      </c>
      <c r="I542">
        <f>IFS(G542=0,"Excluded (paid)",H542&lt;=0,"Current",H542&lt;=30,"1-30 days",H542&lt;=60,"31-60 days",H542&lt;=90,"61-90 days",TRUE,"90+ days")</f>
        <v/>
      </c>
    </row>
    <row r="543">
      <c r="A543" t="inlineStr">
        <is>
          <t>INV0013762</t>
        </is>
      </c>
      <c r="B543" t="inlineStr">
        <is>
          <t>MER00649</t>
        </is>
      </c>
      <c r="C543">
        <f>XLOOKUP(B543,Merchants!$A$4:$A$1000,Merchants!$B$4:$B$1000,"Not found")</f>
        <v/>
      </c>
      <c r="D543">
        <f>XLOOKUP(A543,tblInvoices[invoice_id],tblInvoices[due_date])</f>
        <v/>
      </c>
      <c r="E543">
        <f>XLOOKUP(A543,tblInvoices[invoice_id],tblInvoices[total_invoice_amount])</f>
        <v/>
      </c>
      <c r="F543">
        <f>SUMIFS(tblPayments[payment_amount],tblPayments[invoice_id],A543,tblPayments[payment_status],"Success")</f>
        <v/>
      </c>
      <c r="G543">
        <f>MAX(0,E543-F543)</f>
        <v/>
      </c>
      <c r="H543">
        <f>DATE(2026,8,13)-D543</f>
        <v/>
      </c>
      <c r="I543">
        <f>IFS(G543=0,"Excluded (paid)",H543&lt;=0,"Current",H543&lt;=30,"1-30 days",H543&lt;=60,"31-60 days",H543&lt;=90,"61-90 days",TRUE,"90+ days")</f>
        <v/>
      </c>
    </row>
    <row r="544">
      <c r="A544" t="inlineStr">
        <is>
          <t>INV0013763</t>
        </is>
      </c>
      <c r="B544" t="inlineStr">
        <is>
          <t>MER00649</t>
        </is>
      </c>
      <c r="C544">
        <f>XLOOKUP(B544,Merchants!$A$4:$A$1000,Merchants!$B$4:$B$1000,"Not found")</f>
        <v/>
      </c>
      <c r="D544">
        <f>XLOOKUP(A544,tblInvoices[invoice_id],tblInvoices[due_date])</f>
        <v/>
      </c>
      <c r="E544">
        <f>XLOOKUP(A544,tblInvoices[invoice_id],tblInvoices[total_invoice_amount])</f>
        <v/>
      </c>
      <c r="F544">
        <f>SUMIFS(tblPayments[payment_amount],tblPayments[invoice_id],A544,tblPayments[payment_status],"Success")</f>
        <v/>
      </c>
      <c r="G544">
        <f>MAX(0,E544-F544)</f>
        <v/>
      </c>
      <c r="H544">
        <f>DATE(2026,8,13)-D544</f>
        <v/>
      </c>
      <c r="I544">
        <f>IFS(G544=0,"Excluded (paid)",H544&lt;=0,"Current",H544&lt;=30,"1-30 days",H544&lt;=60,"31-60 days",H544&lt;=90,"61-90 days",TRUE,"90+ days")</f>
        <v/>
      </c>
    </row>
    <row r="545">
      <c r="A545" t="inlineStr">
        <is>
          <t>INV0013764</t>
        </is>
      </c>
      <c r="B545" t="inlineStr">
        <is>
          <t>MER00649</t>
        </is>
      </c>
      <c r="C545">
        <f>XLOOKUP(B545,Merchants!$A$4:$A$1000,Merchants!$B$4:$B$1000,"Not found")</f>
        <v/>
      </c>
      <c r="D545">
        <f>XLOOKUP(A545,tblInvoices[invoice_id],tblInvoices[due_date])</f>
        <v/>
      </c>
      <c r="E545">
        <f>XLOOKUP(A545,tblInvoices[invoice_id],tblInvoices[total_invoice_amount])</f>
        <v/>
      </c>
      <c r="F545">
        <f>SUMIFS(tblPayments[payment_amount],tblPayments[invoice_id],A545,tblPayments[payment_status],"Success")</f>
        <v/>
      </c>
      <c r="G545">
        <f>MAX(0,E545-F545)</f>
        <v/>
      </c>
      <c r="H545">
        <f>DATE(2026,8,13)-D545</f>
        <v/>
      </c>
      <c r="I545">
        <f>IFS(G545=0,"Excluded (paid)",H545&lt;=0,"Current",H545&lt;=30,"1-30 days",H545&lt;=60,"31-60 days",H545&lt;=90,"61-90 days",TRUE,"90+ days")</f>
        <v/>
      </c>
    </row>
    <row r="546">
      <c r="A546" t="inlineStr">
        <is>
          <t>INV0013765</t>
        </is>
      </c>
      <c r="B546" t="inlineStr">
        <is>
          <t>MER00649</t>
        </is>
      </c>
      <c r="C546">
        <f>XLOOKUP(B546,Merchants!$A$4:$A$1000,Merchants!$B$4:$B$1000,"Not found")</f>
        <v/>
      </c>
      <c r="D546">
        <f>XLOOKUP(A546,tblInvoices[invoice_id],tblInvoices[due_date])</f>
        <v/>
      </c>
      <c r="E546">
        <f>XLOOKUP(A546,tblInvoices[invoice_id],tblInvoices[total_invoice_amount])</f>
        <v/>
      </c>
      <c r="F546">
        <f>SUMIFS(tblPayments[payment_amount],tblPayments[invoice_id],A546,tblPayments[payment_status],"Success")</f>
        <v/>
      </c>
      <c r="G546">
        <f>MAX(0,E546-F546)</f>
        <v/>
      </c>
      <c r="H546">
        <f>DATE(2026,8,13)-D546</f>
        <v/>
      </c>
      <c r="I546">
        <f>IFS(G546=0,"Excluded (paid)",H546&lt;=0,"Current",H546&lt;=30,"1-30 days",H546&lt;=60,"31-60 days",H546&lt;=90,"61-90 days",TRUE,"90+ days")</f>
        <v/>
      </c>
    </row>
    <row r="547">
      <c r="A547" t="inlineStr">
        <is>
          <t>INV0013766</t>
        </is>
      </c>
      <c r="B547" t="inlineStr">
        <is>
          <t>MER00649</t>
        </is>
      </c>
      <c r="C547">
        <f>XLOOKUP(B547,Merchants!$A$4:$A$1000,Merchants!$B$4:$B$1000,"Not found")</f>
        <v/>
      </c>
      <c r="D547">
        <f>XLOOKUP(A547,tblInvoices[invoice_id],tblInvoices[due_date])</f>
        <v/>
      </c>
      <c r="E547">
        <f>XLOOKUP(A547,tblInvoices[invoice_id],tblInvoices[total_invoice_amount])</f>
        <v/>
      </c>
      <c r="F547">
        <f>SUMIFS(tblPayments[payment_amount],tblPayments[invoice_id],A547,tblPayments[payment_status],"Success")</f>
        <v/>
      </c>
      <c r="G547">
        <f>MAX(0,E547-F547)</f>
        <v/>
      </c>
      <c r="H547">
        <f>DATE(2026,8,13)-D547</f>
        <v/>
      </c>
      <c r="I547">
        <f>IFS(G547=0,"Excluded (paid)",H547&lt;=0,"Current",H547&lt;=30,"1-30 days",H547&lt;=60,"31-60 days",H547&lt;=90,"61-90 days",TRUE,"90+ days")</f>
        <v/>
      </c>
    </row>
    <row r="548">
      <c r="A548" t="inlineStr">
        <is>
          <t>INV0013942</t>
        </is>
      </c>
      <c r="B548" t="inlineStr">
        <is>
          <t>MER00658</t>
        </is>
      </c>
      <c r="C548">
        <f>XLOOKUP(B548,Merchants!$A$4:$A$1000,Merchants!$B$4:$B$1000,"Not found")</f>
        <v/>
      </c>
      <c r="D548">
        <f>XLOOKUP(A548,tblInvoices[invoice_id],tblInvoices[due_date])</f>
        <v/>
      </c>
      <c r="E548">
        <f>XLOOKUP(A548,tblInvoices[invoice_id],tblInvoices[total_invoice_amount])</f>
        <v/>
      </c>
      <c r="F548">
        <f>SUMIFS(tblPayments[payment_amount],tblPayments[invoice_id],A548,tblPayments[payment_status],"Success")</f>
        <v/>
      </c>
      <c r="G548">
        <f>MAX(0,E548-F548)</f>
        <v/>
      </c>
      <c r="H548">
        <f>DATE(2026,8,13)-D548</f>
        <v/>
      </c>
      <c r="I548">
        <f>IFS(G548=0,"Excluded (paid)",H548&lt;=0,"Current",H548&lt;=30,"1-30 days",H548&lt;=60,"31-60 days",H548&lt;=90,"61-90 days",TRUE,"90+ days")</f>
        <v/>
      </c>
    </row>
    <row r="549">
      <c r="A549" t="inlineStr">
        <is>
          <t>INV0013943</t>
        </is>
      </c>
      <c r="B549" t="inlineStr">
        <is>
          <t>MER00658</t>
        </is>
      </c>
      <c r="C549">
        <f>XLOOKUP(B549,Merchants!$A$4:$A$1000,Merchants!$B$4:$B$1000,"Not found")</f>
        <v/>
      </c>
      <c r="D549">
        <f>XLOOKUP(A549,tblInvoices[invoice_id],tblInvoices[due_date])</f>
        <v/>
      </c>
      <c r="E549">
        <f>XLOOKUP(A549,tblInvoices[invoice_id],tblInvoices[total_invoice_amount])</f>
        <v/>
      </c>
      <c r="F549">
        <f>SUMIFS(tblPayments[payment_amount],tblPayments[invoice_id],A549,tblPayments[payment_status],"Success")</f>
        <v/>
      </c>
      <c r="G549">
        <f>MAX(0,E549-F549)</f>
        <v/>
      </c>
      <c r="H549">
        <f>DATE(2026,8,13)-D549</f>
        <v/>
      </c>
      <c r="I549">
        <f>IFS(G549=0,"Excluded (paid)",H549&lt;=0,"Current",H549&lt;=30,"1-30 days",H549&lt;=60,"31-60 days",H549&lt;=90,"61-90 days",TRUE,"90+ days")</f>
        <v/>
      </c>
    </row>
    <row r="550">
      <c r="A550" t="inlineStr">
        <is>
          <t>INV0013944</t>
        </is>
      </c>
      <c r="B550" t="inlineStr">
        <is>
          <t>MER00658</t>
        </is>
      </c>
      <c r="C550">
        <f>XLOOKUP(B550,Merchants!$A$4:$A$1000,Merchants!$B$4:$B$1000,"Not found")</f>
        <v/>
      </c>
      <c r="D550">
        <f>XLOOKUP(A550,tblInvoices[invoice_id],tblInvoices[due_date])</f>
        <v/>
      </c>
      <c r="E550">
        <f>XLOOKUP(A550,tblInvoices[invoice_id],tblInvoices[total_invoice_amount])</f>
        <v/>
      </c>
      <c r="F550">
        <f>SUMIFS(tblPayments[payment_amount],tblPayments[invoice_id],A550,tblPayments[payment_status],"Success")</f>
        <v/>
      </c>
      <c r="G550">
        <f>MAX(0,E550-F550)</f>
        <v/>
      </c>
      <c r="H550">
        <f>DATE(2026,8,13)-D550</f>
        <v/>
      </c>
      <c r="I550">
        <f>IFS(G550=0,"Excluded (paid)",H550&lt;=0,"Current",H550&lt;=30,"1-30 days",H550&lt;=60,"31-60 days",H550&lt;=90,"61-90 days",TRUE,"90+ days")</f>
        <v/>
      </c>
    </row>
    <row r="551">
      <c r="A551" t="inlineStr">
        <is>
          <t>INV0013945</t>
        </is>
      </c>
      <c r="B551" t="inlineStr">
        <is>
          <t>MER00658</t>
        </is>
      </c>
      <c r="C551">
        <f>XLOOKUP(B551,Merchants!$A$4:$A$1000,Merchants!$B$4:$B$1000,"Not found")</f>
        <v/>
      </c>
      <c r="D551">
        <f>XLOOKUP(A551,tblInvoices[invoice_id],tblInvoices[due_date])</f>
        <v/>
      </c>
      <c r="E551">
        <f>XLOOKUP(A551,tblInvoices[invoice_id],tblInvoices[total_invoice_amount])</f>
        <v/>
      </c>
      <c r="F551">
        <f>SUMIFS(tblPayments[payment_amount],tblPayments[invoice_id],A551,tblPayments[payment_status],"Success")</f>
        <v/>
      </c>
      <c r="G551">
        <f>MAX(0,E551-F551)</f>
        <v/>
      </c>
      <c r="H551">
        <f>DATE(2026,8,13)-D551</f>
        <v/>
      </c>
      <c r="I551">
        <f>IFS(G551=0,"Excluded (paid)",H551&lt;=0,"Current",H551&lt;=30,"1-30 days",H551&lt;=60,"31-60 days",H551&lt;=90,"61-90 days",TRUE,"90+ days")</f>
        <v/>
      </c>
    </row>
    <row r="552">
      <c r="A552" t="inlineStr">
        <is>
          <t>INV0013946</t>
        </is>
      </c>
      <c r="B552" t="inlineStr">
        <is>
          <t>MER00658</t>
        </is>
      </c>
      <c r="C552">
        <f>XLOOKUP(B552,Merchants!$A$4:$A$1000,Merchants!$B$4:$B$1000,"Not found")</f>
        <v/>
      </c>
      <c r="D552">
        <f>XLOOKUP(A552,tblInvoices[invoice_id],tblInvoices[due_date])</f>
        <v/>
      </c>
      <c r="E552">
        <f>XLOOKUP(A552,tblInvoices[invoice_id],tblInvoices[total_invoice_amount])</f>
        <v/>
      </c>
      <c r="F552">
        <f>SUMIFS(tblPayments[payment_amount],tblPayments[invoice_id],A552,tblPayments[payment_status],"Success")</f>
        <v/>
      </c>
      <c r="G552">
        <f>MAX(0,E552-F552)</f>
        <v/>
      </c>
      <c r="H552">
        <f>DATE(2026,8,13)-D552</f>
        <v/>
      </c>
      <c r="I552">
        <f>IFS(G552=0,"Excluded (paid)",H552&lt;=0,"Current",H552&lt;=30,"1-30 days",H552&lt;=60,"31-60 days",H552&lt;=90,"61-90 days",TRUE,"90+ days")</f>
        <v/>
      </c>
    </row>
    <row r="553">
      <c r="A553" t="inlineStr">
        <is>
          <t>INV0013947</t>
        </is>
      </c>
      <c r="B553" t="inlineStr">
        <is>
          <t>MER00658</t>
        </is>
      </c>
      <c r="C553">
        <f>XLOOKUP(B553,Merchants!$A$4:$A$1000,Merchants!$B$4:$B$1000,"Not found")</f>
        <v/>
      </c>
      <c r="D553">
        <f>XLOOKUP(A553,tblInvoices[invoice_id],tblInvoices[due_date])</f>
        <v/>
      </c>
      <c r="E553">
        <f>XLOOKUP(A553,tblInvoices[invoice_id],tblInvoices[total_invoice_amount])</f>
        <v/>
      </c>
      <c r="F553">
        <f>SUMIFS(tblPayments[payment_amount],tblPayments[invoice_id],A553,tblPayments[payment_status],"Success")</f>
        <v/>
      </c>
      <c r="G553">
        <f>MAX(0,E553-F553)</f>
        <v/>
      </c>
      <c r="H553">
        <f>DATE(2026,8,13)-D553</f>
        <v/>
      </c>
      <c r="I553">
        <f>IFS(G553=0,"Excluded (paid)",H553&lt;=0,"Current",H553&lt;=30,"1-30 days",H553&lt;=60,"31-60 days",H553&lt;=90,"61-90 days",TRUE,"90+ days")</f>
        <v/>
      </c>
    </row>
    <row r="554">
      <c r="A554" t="inlineStr">
        <is>
          <t>INV0013948</t>
        </is>
      </c>
      <c r="B554" t="inlineStr">
        <is>
          <t>MER00658</t>
        </is>
      </c>
      <c r="C554">
        <f>XLOOKUP(B554,Merchants!$A$4:$A$1000,Merchants!$B$4:$B$1000,"Not found")</f>
        <v/>
      </c>
      <c r="D554">
        <f>XLOOKUP(A554,tblInvoices[invoice_id],tblInvoices[due_date])</f>
        <v/>
      </c>
      <c r="E554">
        <f>XLOOKUP(A554,tblInvoices[invoice_id],tblInvoices[total_invoice_amount])</f>
        <v/>
      </c>
      <c r="F554">
        <f>SUMIFS(tblPayments[payment_amount],tblPayments[invoice_id],A554,tblPayments[payment_status],"Success")</f>
        <v/>
      </c>
      <c r="G554">
        <f>MAX(0,E554-F554)</f>
        <v/>
      </c>
      <c r="H554">
        <f>DATE(2026,8,13)-D554</f>
        <v/>
      </c>
      <c r="I554">
        <f>IFS(G554=0,"Excluded (paid)",H554&lt;=0,"Current",H554&lt;=30,"1-30 days",H554&lt;=60,"31-60 days",H554&lt;=90,"61-90 days",TRUE,"90+ days")</f>
        <v/>
      </c>
    </row>
    <row r="555">
      <c r="A555" t="inlineStr">
        <is>
          <t>INV0013949</t>
        </is>
      </c>
      <c r="B555" t="inlineStr">
        <is>
          <t>MER00658</t>
        </is>
      </c>
      <c r="C555">
        <f>XLOOKUP(B555,Merchants!$A$4:$A$1000,Merchants!$B$4:$B$1000,"Not found")</f>
        <v/>
      </c>
      <c r="D555">
        <f>XLOOKUP(A555,tblInvoices[invoice_id],tblInvoices[due_date])</f>
        <v/>
      </c>
      <c r="E555">
        <f>XLOOKUP(A555,tblInvoices[invoice_id],tblInvoices[total_invoice_amount])</f>
        <v/>
      </c>
      <c r="F555">
        <f>SUMIFS(tblPayments[payment_amount],tblPayments[invoice_id],A555,tblPayments[payment_status],"Success")</f>
        <v/>
      </c>
      <c r="G555">
        <f>MAX(0,E555-F555)</f>
        <v/>
      </c>
      <c r="H555">
        <f>DATE(2026,8,13)-D555</f>
        <v/>
      </c>
      <c r="I555">
        <f>IFS(G555=0,"Excluded (paid)",H555&lt;=0,"Current",H555&lt;=30,"1-30 days",H555&lt;=60,"31-60 days",H555&lt;=90,"61-90 days",TRUE,"90+ days")</f>
        <v/>
      </c>
    </row>
    <row r="556">
      <c r="A556" t="inlineStr">
        <is>
          <t>INV0013950</t>
        </is>
      </c>
      <c r="B556" t="inlineStr">
        <is>
          <t>MER00658</t>
        </is>
      </c>
      <c r="C556">
        <f>XLOOKUP(B556,Merchants!$A$4:$A$1000,Merchants!$B$4:$B$1000,"Not found")</f>
        <v/>
      </c>
      <c r="D556">
        <f>XLOOKUP(A556,tblInvoices[invoice_id],tblInvoices[due_date])</f>
        <v/>
      </c>
      <c r="E556">
        <f>XLOOKUP(A556,tblInvoices[invoice_id],tblInvoices[total_invoice_amount])</f>
        <v/>
      </c>
      <c r="F556">
        <f>SUMIFS(tblPayments[payment_amount],tblPayments[invoice_id],A556,tblPayments[payment_status],"Success")</f>
        <v/>
      </c>
      <c r="G556">
        <f>MAX(0,E556-F556)</f>
        <v/>
      </c>
      <c r="H556">
        <f>DATE(2026,8,13)-D556</f>
        <v/>
      </c>
      <c r="I556">
        <f>IFS(G556=0,"Excluded (paid)",H556&lt;=0,"Current",H556&lt;=30,"1-30 days",H556&lt;=60,"31-60 days",H556&lt;=90,"61-90 days",TRUE,"90+ days")</f>
        <v/>
      </c>
    </row>
    <row r="557">
      <c r="A557" t="inlineStr">
        <is>
          <t>INV0013951</t>
        </is>
      </c>
      <c r="B557" t="inlineStr">
        <is>
          <t>MER00658</t>
        </is>
      </c>
      <c r="C557">
        <f>XLOOKUP(B557,Merchants!$A$4:$A$1000,Merchants!$B$4:$B$1000,"Not found")</f>
        <v/>
      </c>
      <c r="D557">
        <f>XLOOKUP(A557,tblInvoices[invoice_id],tblInvoices[due_date])</f>
        <v/>
      </c>
      <c r="E557">
        <f>XLOOKUP(A557,tblInvoices[invoice_id],tblInvoices[total_invoice_amount])</f>
        <v/>
      </c>
      <c r="F557">
        <f>SUMIFS(tblPayments[payment_amount],tblPayments[invoice_id],A557,tblPayments[payment_status],"Success")</f>
        <v/>
      </c>
      <c r="G557">
        <f>MAX(0,E557-F557)</f>
        <v/>
      </c>
      <c r="H557">
        <f>DATE(2026,8,13)-D557</f>
        <v/>
      </c>
      <c r="I557">
        <f>IFS(G557=0,"Excluded (paid)",H557&lt;=0,"Current",H557&lt;=30,"1-30 days",H557&lt;=60,"31-60 days",H557&lt;=90,"61-90 days",TRUE,"90+ days")</f>
        <v/>
      </c>
    </row>
    <row r="558">
      <c r="A558" t="inlineStr">
        <is>
          <t>INV0013952</t>
        </is>
      </c>
      <c r="B558" t="inlineStr">
        <is>
          <t>MER00658</t>
        </is>
      </c>
      <c r="C558">
        <f>XLOOKUP(B558,Merchants!$A$4:$A$1000,Merchants!$B$4:$B$1000,"Not found")</f>
        <v/>
      </c>
      <c r="D558">
        <f>XLOOKUP(A558,tblInvoices[invoice_id],tblInvoices[due_date])</f>
        <v/>
      </c>
      <c r="E558">
        <f>XLOOKUP(A558,tblInvoices[invoice_id],tblInvoices[total_invoice_amount])</f>
        <v/>
      </c>
      <c r="F558">
        <f>SUMIFS(tblPayments[payment_amount],tblPayments[invoice_id],A558,tblPayments[payment_status],"Success")</f>
        <v/>
      </c>
      <c r="G558">
        <f>MAX(0,E558-F558)</f>
        <v/>
      </c>
      <c r="H558">
        <f>DATE(2026,8,13)-D558</f>
        <v/>
      </c>
      <c r="I558">
        <f>IFS(G558=0,"Excluded (paid)",H558&lt;=0,"Current",H558&lt;=30,"1-30 days",H558&lt;=60,"31-60 days",H558&lt;=90,"61-90 days",TRUE,"90+ days")</f>
        <v/>
      </c>
    </row>
    <row r="559">
      <c r="A559" t="inlineStr">
        <is>
          <t>INV0013953</t>
        </is>
      </c>
      <c r="B559" t="inlineStr">
        <is>
          <t>MER00658</t>
        </is>
      </c>
      <c r="C559">
        <f>XLOOKUP(B559,Merchants!$A$4:$A$1000,Merchants!$B$4:$B$1000,"Not found")</f>
        <v/>
      </c>
      <c r="D559">
        <f>XLOOKUP(A559,tblInvoices[invoice_id],tblInvoices[due_date])</f>
        <v/>
      </c>
      <c r="E559">
        <f>XLOOKUP(A559,tblInvoices[invoice_id],tblInvoices[total_invoice_amount])</f>
        <v/>
      </c>
      <c r="F559">
        <f>SUMIFS(tblPayments[payment_amount],tblPayments[invoice_id],A559,tblPayments[payment_status],"Success")</f>
        <v/>
      </c>
      <c r="G559">
        <f>MAX(0,E559-F559)</f>
        <v/>
      </c>
      <c r="H559">
        <f>DATE(2026,8,13)-D559</f>
        <v/>
      </c>
      <c r="I559">
        <f>IFS(G559=0,"Excluded (paid)",H559&lt;=0,"Current",H559&lt;=30,"1-30 days",H559&lt;=60,"31-60 days",H559&lt;=90,"61-90 days",TRUE,"90+ days")</f>
        <v/>
      </c>
    </row>
    <row r="560">
      <c r="A560" t="inlineStr">
        <is>
          <t>INV0013954</t>
        </is>
      </c>
      <c r="B560" t="inlineStr">
        <is>
          <t>MER00658</t>
        </is>
      </c>
      <c r="C560">
        <f>XLOOKUP(B560,Merchants!$A$4:$A$1000,Merchants!$B$4:$B$1000,"Not found")</f>
        <v/>
      </c>
      <c r="D560">
        <f>XLOOKUP(A560,tblInvoices[invoice_id],tblInvoices[due_date])</f>
        <v/>
      </c>
      <c r="E560">
        <f>XLOOKUP(A560,tblInvoices[invoice_id],tblInvoices[total_invoice_amount])</f>
        <v/>
      </c>
      <c r="F560">
        <f>SUMIFS(tblPayments[payment_amount],tblPayments[invoice_id],A560,tblPayments[payment_status],"Success")</f>
        <v/>
      </c>
      <c r="G560">
        <f>MAX(0,E560-F560)</f>
        <v/>
      </c>
      <c r="H560">
        <f>DATE(2026,8,13)-D560</f>
        <v/>
      </c>
      <c r="I560">
        <f>IFS(G560=0,"Excluded (paid)",H560&lt;=0,"Current",H560&lt;=30,"1-30 days",H560&lt;=60,"31-60 days",H560&lt;=90,"61-90 days",TRUE,"90+ days")</f>
        <v/>
      </c>
    </row>
    <row r="561">
      <c r="A561" t="inlineStr">
        <is>
          <t>INV0013955</t>
        </is>
      </c>
      <c r="B561" t="inlineStr">
        <is>
          <t>MER00658</t>
        </is>
      </c>
      <c r="C561">
        <f>XLOOKUP(B561,Merchants!$A$4:$A$1000,Merchants!$B$4:$B$1000,"Not found")</f>
        <v/>
      </c>
      <c r="D561">
        <f>XLOOKUP(A561,tblInvoices[invoice_id],tblInvoices[due_date])</f>
        <v/>
      </c>
      <c r="E561">
        <f>XLOOKUP(A561,tblInvoices[invoice_id],tblInvoices[total_invoice_amount])</f>
        <v/>
      </c>
      <c r="F561">
        <f>SUMIFS(tblPayments[payment_amount],tblPayments[invoice_id],A561,tblPayments[payment_status],"Success")</f>
        <v/>
      </c>
      <c r="G561">
        <f>MAX(0,E561-F561)</f>
        <v/>
      </c>
      <c r="H561">
        <f>DATE(2026,8,13)-D561</f>
        <v/>
      </c>
      <c r="I561">
        <f>IFS(G561=0,"Excluded (paid)",H561&lt;=0,"Current",H561&lt;=30,"1-30 days",H561&lt;=60,"31-60 days",H561&lt;=90,"61-90 days",TRUE,"90+ days")</f>
        <v/>
      </c>
    </row>
    <row r="562">
      <c r="A562" t="inlineStr">
        <is>
          <t>INV0013956</t>
        </is>
      </c>
      <c r="B562" t="inlineStr">
        <is>
          <t>MER00658</t>
        </is>
      </c>
      <c r="C562">
        <f>XLOOKUP(B562,Merchants!$A$4:$A$1000,Merchants!$B$4:$B$1000,"Not found")</f>
        <v/>
      </c>
      <c r="D562">
        <f>XLOOKUP(A562,tblInvoices[invoice_id],tblInvoices[due_date])</f>
        <v/>
      </c>
      <c r="E562">
        <f>XLOOKUP(A562,tblInvoices[invoice_id],tblInvoices[total_invoice_amount])</f>
        <v/>
      </c>
      <c r="F562">
        <f>SUMIFS(tblPayments[payment_amount],tblPayments[invoice_id],A562,tblPayments[payment_status],"Success")</f>
        <v/>
      </c>
      <c r="G562">
        <f>MAX(0,E562-F562)</f>
        <v/>
      </c>
      <c r="H562">
        <f>DATE(2026,8,13)-D562</f>
        <v/>
      </c>
      <c r="I562">
        <f>IFS(G562=0,"Excluded (paid)",H562&lt;=0,"Current",H562&lt;=30,"1-30 days",H562&lt;=60,"31-60 days",H562&lt;=90,"61-90 days",TRUE,"90+ days")</f>
        <v/>
      </c>
    </row>
    <row r="563">
      <c r="A563" t="inlineStr">
        <is>
          <t>INV0013957</t>
        </is>
      </c>
      <c r="B563" t="inlineStr">
        <is>
          <t>MER00658</t>
        </is>
      </c>
      <c r="C563">
        <f>XLOOKUP(B563,Merchants!$A$4:$A$1000,Merchants!$B$4:$B$1000,"Not found")</f>
        <v/>
      </c>
      <c r="D563">
        <f>XLOOKUP(A563,tblInvoices[invoice_id],tblInvoices[due_date])</f>
        <v/>
      </c>
      <c r="E563">
        <f>XLOOKUP(A563,tblInvoices[invoice_id],tblInvoices[total_invoice_amount])</f>
        <v/>
      </c>
      <c r="F563">
        <f>SUMIFS(tblPayments[payment_amount],tblPayments[invoice_id],A563,tblPayments[payment_status],"Success")</f>
        <v/>
      </c>
      <c r="G563">
        <f>MAX(0,E563-F563)</f>
        <v/>
      </c>
      <c r="H563">
        <f>DATE(2026,8,13)-D563</f>
        <v/>
      </c>
      <c r="I563">
        <f>IFS(G563=0,"Excluded (paid)",H563&lt;=0,"Current",H563&lt;=30,"1-30 days",H563&lt;=60,"31-60 days",H563&lt;=90,"61-90 days",TRUE,"90+ days")</f>
        <v/>
      </c>
    </row>
    <row r="564">
      <c r="A564" t="inlineStr">
        <is>
          <t>INV0013958</t>
        </is>
      </c>
      <c r="B564" t="inlineStr">
        <is>
          <t>MER00658</t>
        </is>
      </c>
      <c r="C564">
        <f>XLOOKUP(B564,Merchants!$A$4:$A$1000,Merchants!$B$4:$B$1000,"Not found")</f>
        <v/>
      </c>
      <c r="D564">
        <f>XLOOKUP(A564,tblInvoices[invoice_id],tblInvoices[due_date])</f>
        <v/>
      </c>
      <c r="E564">
        <f>XLOOKUP(A564,tblInvoices[invoice_id],tblInvoices[total_invoice_amount])</f>
        <v/>
      </c>
      <c r="F564">
        <f>SUMIFS(tblPayments[payment_amount],tblPayments[invoice_id],A564,tblPayments[payment_status],"Success")</f>
        <v/>
      </c>
      <c r="G564">
        <f>MAX(0,E564-F564)</f>
        <v/>
      </c>
      <c r="H564">
        <f>DATE(2026,8,13)-D564</f>
        <v/>
      </c>
      <c r="I564">
        <f>IFS(G564=0,"Excluded (paid)",H564&lt;=0,"Current",H564&lt;=30,"1-30 days",H564&lt;=60,"31-60 days",H564&lt;=90,"61-90 days",TRUE,"90+ days")</f>
        <v/>
      </c>
    </row>
    <row r="565">
      <c r="A565" t="inlineStr">
        <is>
          <t>INV0013959</t>
        </is>
      </c>
      <c r="B565" t="inlineStr">
        <is>
          <t>MER00658</t>
        </is>
      </c>
      <c r="C565">
        <f>XLOOKUP(B565,Merchants!$A$4:$A$1000,Merchants!$B$4:$B$1000,"Not found")</f>
        <v/>
      </c>
      <c r="D565">
        <f>XLOOKUP(A565,tblInvoices[invoice_id],tblInvoices[due_date])</f>
        <v/>
      </c>
      <c r="E565">
        <f>XLOOKUP(A565,tblInvoices[invoice_id],tblInvoices[total_invoice_amount])</f>
        <v/>
      </c>
      <c r="F565">
        <f>SUMIFS(tblPayments[payment_amount],tblPayments[invoice_id],A565,tblPayments[payment_status],"Success")</f>
        <v/>
      </c>
      <c r="G565">
        <f>MAX(0,E565-F565)</f>
        <v/>
      </c>
      <c r="H565">
        <f>DATE(2026,8,13)-D565</f>
        <v/>
      </c>
      <c r="I565">
        <f>IFS(G565=0,"Excluded (paid)",H565&lt;=0,"Current",H565&lt;=30,"1-30 days",H565&lt;=60,"31-60 days",H565&lt;=90,"61-90 days",TRUE,"90+ days")</f>
        <v/>
      </c>
    </row>
    <row r="566">
      <c r="A566" t="inlineStr">
        <is>
          <t>INV0013960</t>
        </is>
      </c>
      <c r="B566" t="inlineStr">
        <is>
          <t>MER00658</t>
        </is>
      </c>
      <c r="C566">
        <f>XLOOKUP(B566,Merchants!$A$4:$A$1000,Merchants!$B$4:$B$1000,"Not found")</f>
        <v/>
      </c>
      <c r="D566">
        <f>XLOOKUP(A566,tblInvoices[invoice_id],tblInvoices[due_date])</f>
        <v/>
      </c>
      <c r="E566">
        <f>XLOOKUP(A566,tblInvoices[invoice_id],tblInvoices[total_invoice_amount])</f>
        <v/>
      </c>
      <c r="F566">
        <f>SUMIFS(tblPayments[payment_amount],tblPayments[invoice_id],A566,tblPayments[payment_status],"Success")</f>
        <v/>
      </c>
      <c r="G566">
        <f>MAX(0,E566-F566)</f>
        <v/>
      </c>
      <c r="H566">
        <f>DATE(2026,8,13)-D566</f>
        <v/>
      </c>
      <c r="I566">
        <f>IFS(G566=0,"Excluded (paid)",H566&lt;=0,"Current",H566&lt;=30,"1-30 days",H566&lt;=60,"31-60 days",H566&lt;=90,"61-90 days",TRUE,"90+ days")</f>
        <v/>
      </c>
    </row>
    <row r="567">
      <c r="A567" t="inlineStr">
        <is>
          <t>INV0013961</t>
        </is>
      </c>
      <c r="B567" t="inlineStr">
        <is>
          <t>MER00658</t>
        </is>
      </c>
      <c r="C567">
        <f>XLOOKUP(B567,Merchants!$A$4:$A$1000,Merchants!$B$4:$B$1000,"Not found")</f>
        <v/>
      </c>
      <c r="D567">
        <f>XLOOKUP(A567,tblInvoices[invoice_id],tblInvoices[due_date])</f>
        <v/>
      </c>
      <c r="E567">
        <f>XLOOKUP(A567,tblInvoices[invoice_id],tblInvoices[total_invoice_amount])</f>
        <v/>
      </c>
      <c r="F567">
        <f>SUMIFS(tblPayments[payment_amount],tblPayments[invoice_id],A567,tblPayments[payment_status],"Success")</f>
        <v/>
      </c>
      <c r="G567">
        <f>MAX(0,E567-F567)</f>
        <v/>
      </c>
      <c r="H567">
        <f>DATE(2026,8,13)-D567</f>
        <v/>
      </c>
      <c r="I567">
        <f>IFS(G567=0,"Excluded (paid)",H567&lt;=0,"Current",H567&lt;=30,"1-30 days",H567&lt;=60,"31-60 days",H567&lt;=90,"61-90 days",TRUE,"90+ days")</f>
        <v/>
      </c>
    </row>
    <row r="568">
      <c r="A568" t="inlineStr">
        <is>
          <t>INV0013962</t>
        </is>
      </c>
      <c r="B568" t="inlineStr">
        <is>
          <t>MER00658</t>
        </is>
      </c>
      <c r="C568">
        <f>XLOOKUP(B568,Merchants!$A$4:$A$1000,Merchants!$B$4:$B$1000,"Not found")</f>
        <v/>
      </c>
      <c r="D568">
        <f>XLOOKUP(A568,tblInvoices[invoice_id],tblInvoices[due_date])</f>
        <v/>
      </c>
      <c r="E568">
        <f>XLOOKUP(A568,tblInvoices[invoice_id],tblInvoices[total_invoice_amount])</f>
        <v/>
      </c>
      <c r="F568">
        <f>SUMIFS(tblPayments[payment_amount],tblPayments[invoice_id],A568,tblPayments[payment_status],"Success")</f>
        <v/>
      </c>
      <c r="G568">
        <f>MAX(0,E568-F568)</f>
        <v/>
      </c>
      <c r="H568">
        <f>DATE(2026,8,13)-D568</f>
        <v/>
      </c>
      <c r="I568">
        <f>IFS(G568=0,"Excluded (paid)",H568&lt;=0,"Current",H568&lt;=30,"1-30 days",H568&lt;=60,"31-60 days",H568&lt;=90,"61-90 days",TRUE,"90+ days")</f>
        <v/>
      </c>
    </row>
    <row r="569">
      <c r="A569" t="inlineStr">
        <is>
          <t>INV0013963</t>
        </is>
      </c>
      <c r="B569" t="inlineStr">
        <is>
          <t>MER00658</t>
        </is>
      </c>
      <c r="C569">
        <f>XLOOKUP(B569,Merchants!$A$4:$A$1000,Merchants!$B$4:$B$1000,"Not found")</f>
        <v/>
      </c>
      <c r="D569">
        <f>XLOOKUP(A569,tblInvoices[invoice_id],tblInvoices[due_date])</f>
        <v/>
      </c>
      <c r="E569">
        <f>XLOOKUP(A569,tblInvoices[invoice_id],tblInvoices[total_invoice_amount])</f>
        <v/>
      </c>
      <c r="F569">
        <f>SUMIFS(tblPayments[payment_amount],tblPayments[invoice_id],A569,tblPayments[payment_status],"Success")</f>
        <v/>
      </c>
      <c r="G569">
        <f>MAX(0,E569-F569)</f>
        <v/>
      </c>
      <c r="H569">
        <f>DATE(2026,8,13)-D569</f>
        <v/>
      </c>
      <c r="I569">
        <f>IFS(G569=0,"Excluded (paid)",H569&lt;=0,"Current",H569&lt;=30,"1-30 days",H569&lt;=60,"31-60 days",H569&lt;=90,"61-90 days",TRUE,"90+ days")</f>
        <v/>
      </c>
    </row>
    <row r="570">
      <c r="A570" t="inlineStr">
        <is>
          <t>INV0013964</t>
        </is>
      </c>
      <c r="B570" t="inlineStr">
        <is>
          <t>MER00658</t>
        </is>
      </c>
      <c r="C570">
        <f>XLOOKUP(B570,Merchants!$A$4:$A$1000,Merchants!$B$4:$B$1000,"Not found")</f>
        <v/>
      </c>
      <c r="D570">
        <f>XLOOKUP(A570,tblInvoices[invoice_id],tblInvoices[due_date])</f>
        <v/>
      </c>
      <c r="E570">
        <f>XLOOKUP(A570,tblInvoices[invoice_id],tblInvoices[total_invoice_amount])</f>
        <v/>
      </c>
      <c r="F570">
        <f>SUMIFS(tblPayments[payment_amount],tblPayments[invoice_id],A570,tblPayments[payment_status],"Success")</f>
        <v/>
      </c>
      <c r="G570">
        <f>MAX(0,E570-F570)</f>
        <v/>
      </c>
      <c r="H570">
        <f>DATE(2026,8,13)-D570</f>
        <v/>
      </c>
      <c r="I570">
        <f>IFS(G570=0,"Excluded (paid)",H570&lt;=0,"Current",H570&lt;=30,"1-30 days",H570&lt;=60,"31-60 days",H570&lt;=90,"61-90 days",TRUE,"90+ days")</f>
        <v/>
      </c>
    </row>
    <row r="571">
      <c r="A571" t="inlineStr">
        <is>
          <t>INV0013965</t>
        </is>
      </c>
      <c r="B571" t="inlineStr">
        <is>
          <t>MER00658</t>
        </is>
      </c>
      <c r="C571">
        <f>XLOOKUP(B571,Merchants!$A$4:$A$1000,Merchants!$B$4:$B$1000,"Not found")</f>
        <v/>
      </c>
      <c r="D571">
        <f>XLOOKUP(A571,tblInvoices[invoice_id],tblInvoices[due_date])</f>
        <v/>
      </c>
      <c r="E571">
        <f>XLOOKUP(A571,tblInvoices[invoice_id],tblInvoices[total_invoice_amount])</f>
        <v/>
      </c>
      <c r="F571">
        <f>SUMIFS(tblPayments[payment_amount],tblPayments[invoice_id],A571,tblPayments[payment_status],"Success")</f>
        <v/>
      </c>
      <c r="G571">
        <f>MAX(0,E571-F571)</f>
        <v/>
      </c>
      <c r="H571">
        <f>DATE(2026,8,13)-D571</f>
        <v/>
      </c>
      <c r="I571">
        <f>IFS(G571=0,"Excluded (paid)",H571&lt;=0,"Current",H571&lt;=30,"1-30 days",H571&lt;=60,"31-60 days",H571&lt;=90,"61-90 days",TRUE,"90+ days")</f>
        <v/>
      </c>
    </row>
    <row r="572">
      <c r="A572" t="inlineStr">
        <is>
          <t>INV0014036</t>
        </is>
      </c>
      <c r="B572" t="inlineStr">
        <is>
          <t>MER00662</t>
        </is>
      </c>
      <c r="C572">
        <f>XLOOKUP(B572,Merchants!$A$4:$A$1000,Merchants!$B$4:$B$1000,"Not found")</f>
        <v/>
      </c>
      <c r="D572">
        <f>XLOOKUP(A572,tblInvoices[invoice_id],tblInvoices[due_date])</f>
        <v/>
      </c>
      <c r="E572">
        <f>XLOOKUP(A572,tblInvoices[invoice_id],tblInvoices[total_invoice_amount])</f>
        <v/>
      </c>
      <c r="F572">
        <f>SUMIFS(tblPayments[payment_amount],tblPayments[invoice_id],A572,tblPayments[payment_status],"Success")</f>
        <v/>
      </c>
      <c r="G572">
        <f>MAX(0,E572-F572)</f>
        <v/>
      </c>
      <c r="H572">
        <f>DATE(2026,8,13)-D572</f>
        <v/>
      </c>
      <c r="I572">
        <f>IFS(G572=0,"Excluded (paid)",H572&lt;=0,"Current",H572&lt;=30,"1-30 days",H572&lt;=60,"31-60 days",H572&lt;=90,"61-90 days",TRUE,"90+ days")</f>
        <v/>
      </c>
    </row>
    <row r="573">
      <c r="A573" t="inlineStr">
        <is>
          <t>INV0014037</t>
        </is>
      </c>
      <c r="B573" t="inlineStr">
        <is>
          <t>MER00662</t>
        </is>
      </c>
      <c r="C573">
        <f>XLOOKUP(B573,Merchants!$A$4:$A$1000,Merchants!$B$4:$B$1000,"Not found")</f>
        <v/>
      </c>
      <c r="D573">
        <f>XLOOKUP(A573,tblInvoices[invoice_id],tblInvoices[due_date])</f>
        <v/>
      </c>
      <c r="E573">
        <f>XLOOKUP(A573,tblInvoices[invoice_id],tblInvoices[total_invoice_amount])</f>
        <v/>
      </c>
      <c r="F573">
        <f>SUMIFS(tblPayments[payment_amount],tblPayments[invoice_id],A573,tblPayments[payment_status],"Success")</f>
        <v/>
      </c>
      <c r="G573">
        <f>MAX(0,E573-F573)</f>
        <v/>
      </c>
      <c r="H573">
        <f>DATE(2026,8,13)-D573</f>
        <v/>
      </c>
      <c r="I573">
        <f>IFS(G573=0,"Excluded (paid)",H573&lt;=0,"Current",H573&lt;=30,"1-30 days",H573&lt;=60,"31-60 days",H573&lt;=90,"61-90 days",TRUE,"90+ days")</f>
        <v/>
      </c>
    </row>
    <row r="574">
      <c r="A574" t="inlineStr">
        <is>
          <t>INV0014038</t>
        </is>
      </c>
      <c r="B574" t="inlineStr">
        <is>
          <t>MER00662</t>
        </is>
      </c>
      <c r="C574">
        <f>XLOOKUP(B574,Merchants!$A$4:$A$1000,Merchants!$B$4:$B$1000,"Not found")</f>
        <v/>
      </c>
      <c r="D574">
        <f>XLOOKUP(A574,tblInvoices[invoice_id],tblInvoices[due_date])</f>
        <v/>
      </c>
      <c r="E574">
        <f>XLOOKUP(A574,tblInvoices[invoice_id],tblInvoices[total_invoice_amount])</f>
        <v/>
      </c>
      <c r="F574">
        <f>SUMIFS(tblPayments[payment_amount],tblPayments[invoice_id],A574,tblPayments[payment_status],"Success")</f>
        <v/>
      </c>
      <c r="G574">
        <f>MAX(0,E574-F574)</f>
        <v/>
      </c>
      <c r="H574">
        <f>DATE(2026,8,13)-D574</f>
        <v/>
      </c>
      <c r="I574">
        <f>IFS(G574=0,"Excluded (paid)",H574&lt;=0,"Current",H574&lt;=30,"1-30 days",H574&lt;=60,"31-60 days",H574&lt;=90,"61-90 days",TRUE,"90+ days")</f>
        <v/>
      </c>
    </row>
    <row r="575">
      <c r="A575" t="inlineStr">
        <is>
          <t>INV0014039</t>
        </is>
      </c>
      <c r="B575" t="inlineStr">
        <is>
          <t>MER00662</t>
        </is>
      </c>
      <c r="C575">
        <f>XLOOKUP(B575,Merchants!$A$4:$A$1000,Merchants!$B$4:$B$1000,"Not found")</f>
        <v/>
      </c>
      <c r="D575">
        <f>XLOOKUP(A575,tblInvoices[invoice_id],tblInvoices[due_date])</f>
        <v/>
      </c>
      <c r="E575">
        <f>XLOOKUP(A575,tblInvoices[invoice_id],tblInvoices[total_invoice_amount])</f>
        <v/>
      </c>
      <c r="F575">
        <f>SUMIFS(tblPayments[payment_amount],tblPayments[invoice_id],A575,tblPayments[payment_status],"Success")</f>
        <v/>
      </c>
      <c r="G575">
        <f>MAX(0,E575-F575)</f>
        <v/>
      </c>
      <c r="H575">
        <f>DATE(2026,8,13)-D575</f>
        <v/>
      </c>
      <c r="I575">
        <f>IFS(G575=0,"Excluded (paid)",H575&lt;=0,"Current",H575&lt;=30,"1-30 days",H575&lt;=60,"31-60 days",H575&lt;=90,"61-90 days",TRUE,"90+ days")</f>
        <v/>
      </c>
    </row>
    <row r="576">
      <c r="A576" t="inlineStr">
        <is>
          <t>INV0014040</t>
        </is>
      </c>
      <c r="B576" t="inlineStr">
        <is>
          <t>MER00662</t>
        </is>
      </c>
      <c r="C576">
        <f>XLOOKUP(B576,Merchants!$A$4:$A$1000,Merchants!$B$4:$B$1000,"Not found")</f>
        <v/>
      </c>
      <c r="D576">
        <f>XLOOKUP(A576,tblInvoices[invoice_id],tblInvoices[due_date])</f>
        <v/>
      </c>
      <c r="E576">
        <f>XLOOKUP(A576,tblInvoices[invoice_id],tblInvoices[total_invoice_amount])</f>
        <v/>
      </c>
      <c r="F576">
        <f>SUMIFS(tblPayments[payment_amount],tblPayments[invoice_id],A576,tblPayments[payment_status],"Success")</f>
        <v/>
      </c>
      <c r="G576">
        <f>MAX(0,E576-F576)</f>
        <v/>
      </c>
      <c r="H576">
        <f>DATE(2026,8,13)-D576</f>
        <v/>
      </c>
      <c r="I576">
        <f>IFS(G576=0,"Excluded (paid)",H576&lt;=0,"Current",H576&lt;=30,"1-30 days",H576&lt;=60,"31-60 days",H576&lt;=90,"61-90 days",TRUE,"90+ days")</f>
        <v/>
      </c>
    </row>
    <row r="577">
      <c r="A577" t="inlineStr">
        <is>
          <t>INV0014041</t>
        </is>
      </c>
      <c r="B577" t="inlineStr">
        <is>
          <t>MER00662</t>
        </is>
      </c>
      <c r="C577">
        <f>XLOOKUP(B577,Merchants!$A$4:$A$1000,Merchants!$B$4:$B$1000,"Not found")</f>
        <v/>
      </c>
      <c r="D577">
        <f>XLOOKUP(A577,tblInvoices[invoice_id],tblInvoices[due_date])</f>
        <v/>
      </c>
      <c r="E577">
        <f>XLOOKUP(A577,tblInvoices[invoice_id],tblInvoices[total_invoice_amount])</f>
        <v/>
      </c>
      <c r="F577">
        <f>SUMIFS(tblPayments[payment_amount],tblPayments[invoice_id],A577,tblPayments[payment_status],"Success")</f>
        <v/>
      </c>
      <c r="G577">
        <f>MAX(0,E577-F577)</f>
        <v/>
      </c>
      <c r="H577">
        <f>DATE(2026,8,13)-D577</f>
        <v/>
      </c>
      <c r="I577">
        <f>IFS(G577=0,"Excluded (paid)",H577&lt;=0,"Current",H577&lt;=30,"1-30 days",H577&lt;=60,"31-60 days",H577&lt;=90,"61-90 days",TRUE,"90+ days")</f>
        <v/>
      </c>
    </row>
    <row r="578">
      <c r="A578" t="inlineStr">
        <is>
          <t>INV0014042</t>
        </is>
      </c>
      <c r="B578" t="inlineStr">
        <is>
          <t>MER00662</t>
        </is>
      </c>
      <c r="C578">
        <f>XLOOKUP(B578,Merchants!$A$4:$A$1000,Merchants!$B$4:$B$1000,"Not found")</f>
        <v/>
      </c>
      <c r="D578">
        <f>XLOOKUP(A578,tblInvoices[invoice_id],tblInvoices[due_date])</f>
        <v/>
      </c>
      <c r="E578">
        <f>XLOOKUP(A578,tblInvoices[invoice_id],tblInvoices[total_invoice_amount])</f>
        <v/>
      </c>
      <c r="F578">
        <f>SUMIFS(tblPayments[payment_amount],tblPayments[invoice_id],A578,tblPayments[payment_status],"Success")</f>
        <v/>
      </c>
      <c r="G578">
        <f>MAX(0,E578-F578)</f>
        <v/>
      </c>
      <c r="H578">
        <f>DATE(2026,8,13)-D578</f>
        <v/>
      </c>
      <c r="I578">
        <f>IFS(G578=0,"Excluded (paid)",H578&lt;=0,"Current",H578&lt;=30,"1-30 days",H578&lt;=60,"31-60 days",H578&lt;=90,"61-90 days",TRUE,"90+ days")</f>
        <v/>
      </c>
    </row>
    <row r="579">
      <c r="A579" t="inlineStr">
        <is>
          <t>INV0014043</t>
        </is>
      </c>
      <c r="B579" t="inlineStr">
        <is>
          <t>MER00662</t>
        </is>
      </c>
      <c r="C579">
        <f>XLOOKUP(B579,Merchants!$A$4:$A$1000,Merchants!$B$4:$B$1000,"Not found")</f>
        <v/>
      </c>
      <c r="D579">
        <f>XLOOKUP(A579,tblInvoices[invoice_id],tblInvoices[due_date])</f>
        <v/>
      </c>
      <c r="E579">
        <f>XLOOKUP(A579,tblInvoices[invoice_id],tblInvoices[total_invoice_amount])</f>
        <v/>
      </c>
      <c r="F579">
        <f>SUMIFS(tblPayments[payment_amount],tblPayments[invoice_id],A579,tblPayments[payment_status],"Success")</f>
        <v/>
      </c>
      <c r="G579">
        <f>MAX(0,E579-F579)</f>
        <v/>
      </c>
      <c r="H579">
        <f>DATE(2026,8,13)-D579</f>
        <v/>
      </c>
      <c r="I579">
        <f>IFS(G579=0,"Excluded (paid)",H579&lt;=0,"Current",H579&lt;=30,"1-30 days",H579&lt;=60,"31-60 days",H579&lt;=90,"61-90 days",TRUE,"90+ days")</f>
        <v/>
      </c>
    </row>
    <row r="580">
      <c r="A580" t="inlineStr">
        <is>
          <t>INV0014044</t>
        </is>
      </c>
      <c r="B580" t="inlineStr">
        <is>
          <t>MER00662</t>
        </is>
      </c>
      <c r="C580">
        <f>XLOOKUP(B580,Merchants!$A$4:$A$1000,Merchants!$B$4:$B$1000,"Not found")</f>
        <v/>
      </c>
      <c r="D580">
        <f>XLOOKUP(A580,tblInvoices[invoice_id],tblInvoices[due_date])</f>
        <v/>
      </c>
      <c r="E580">
        <f>XLOOKUP(A580,tblInvoices[invoice_id],tblInvoices[total_invoice_amount])</f>
        <v/>
      </c>
      <c r="F580">
        <f>SUMIFS(tblPayments[payment_amount],tblPayments[invoice_id],A580,tblPayments[payment_status],"Success")</f>
        <v/>
      </c>
      <c r="G580">
        <f>MAX(0,E580-F580)</f>
        <v/>
      </c>
      <c r="H580">
        <f>DATE(2026,8,13)-D580</f>
        <v/>
      </c>
      <c r="I580">
        <f>IFS(G580=0,"Excluded (paid)",H580&lt;=0,"Current",H580&lt;=30,"1-30 days",H580&lt;=60,"31-60 days",H580&lt;=90,"61-90 days",TRUE,"90+ days")</f>
        <v/>
      </c>
    </row>
    <row r="581">
      <c r="A581" t="inlineStr">
        <is>
          <t>INV0014045</t>
        </is>
      </c>
      <c r="B581" t="inlineStr">
        <is>
          <t>MER00662</t>
        </is>
      </c>
      <c r="C581">
        <f>XLOOKUP(B581,Merchants!$A$4:$A$1000,Merchants!$B$4:$B$1000,"Not found")</f>
        <v/>
      </c>
      <c r="D581">
        <f>XLOOKUP(A581,tblInvoices[invoice_id],tblInvoices[due_date])</f>
        <v/>
      </c>
      <c r="E581">
        <f>XLOOKUP(A581,tblInvoices[invoice_id],tblInvoices[total_invoice_amount])</f>
        <v/>
      </c>
      <c r="F581">
        <f>SUMIFS(tblPayments[payment_amount],tblPayments[invoice_id],A581,tblPayments[payment_status],"Success")</f>
        <v/>
      </c>
      <c r="G581">
        <f>MAX(0,E581-F581)</f>
        <v/>
      </c>
      <c r="H581">
        <f>DATE(2026,8,13)-D581</f>
        <v/>
      </c>
      <c r="I581">
        <f>IFS(G581=0,"Excluded (paid)",H581&lt;=0,"Current",H581&lt;=30,"1-30 days",H581&lt;=60,"31-60 days",H581&lt;=90,"61-90 days",TRUE,"90+ days")</f>
        <v/>
      </c>
    </row>
    <row r="582">
      <c r="A582" t="inlineStr">
        <is>
          <t>INV0014046</t>
        </is>
      </c>
      <c r="B582" t="inlineStr">
        <is>
          <t>MER00662</t>
        </is>
      </c>
      <c r="C582">
        <f>XLOOKUP(B582,Merchants!$A$4:$A$1000,Merchants!$B$4:$B$1000,"Not found")</f>
        <v/>
      </c>
      <c r="D582">
        <f>XLOOKUP(A582,tblInvoices[invoice_id],tblInvoices[due_date])</f>
        <v/>
      </c>
      <c r="E582">
        <f>XLOOKUP(A582,tblInvoices[invoice_id],tblInvoices[total_invoice_amount])</f>
        <v/>
      </c>
      <c r="F582">
        <f>SUMIFS(tblPayments[payment_amount],tblPayments[invoice_id],A582,tblPayments[payment_status],"Success")</f>
        <v/>
      </c>
      <c r="G582">
        <f>MAX(0,E582-F582)</f>
        <v/>
      </c>
      <c r="H582">
        <f>DATE(2026,8,13)-D582</f>
        <v/>
      </c>
      <c r="I582">
        <f>IFS(G582=0,"Excluded (paid)",H582&lt;=0,"Current",H582&lt;=30,"1-30 days",H582&lt;=60,"31-60 days",H582&lt;=90,"61-90 days",TRUE,"90+ days")</f>
        <v/>
      </c>
    </row>
    <row r="583">
      <c r="A583" t="inlineStr">
        <is>
          <t>INV0014047</t>
        </is>
      </c>
      <c r="B583" t="inlineStr">
        <is>
          <t>MER00662</t>
        </is>
      </c>
      <c r="C583">
        <f>XLOOKUP(B583,Merchants!$A$4:$A$1000,Merchants!$B$4:$B$1000,"Not found")</f>
        <v/>
      </c>
      <c r="D583">
        <f>XLOOKUP(A583,tblInvoices[invoice_id],tblInvoices[due_date])</f>
        <v/>
      </c>
      <c r="E583">
        <f>XLOOKUP(A583,tblInvoices[invoice_id],tblInvoices[total_invoice_amount])</f>
        <v/>
      </c>
      <c r="F583">
        <f>SUMIFS(tblPayments[payment_amount],tblPayments[invoice_id],A583,tblPayments[payment_status],"Success")</f>
        <v/>
      </c>
      <c r="G583">
        <f>MAX(0,E583-F583)</f>
        <v/>
      </c>
      <c r="H583">
        <f>DATE(2026,8,13)-D583</f>
        <v/>
      </c>
      <c r="I583">
        <f>IFS(G583=0,"Excluded (paid)",H583&lt;=0,"Current",H583&lt;=30,"1-30 days",H583&lt;=60,"31-60 days",H583&lt;=90,"61-90 days",TRUE,"90+ days")</f>
        <v/>
      </c>
    </row>
    <row r="584">
      <c r="A584" t="inlineStr">
        <is>
          <t>INV0014048</t>
        </is>
      </c>
      <c r="B584" t="inlineStr">
        <is>
          <t>MER00662</t>
        </is>
      </c>
      <c r="C584">
        <f>XLOOKUP(B584,Merchants!$A$4:$A$1000,Merchants!$B$4:$B$1000,"Not found")</f>
        <v/>
      </c>
      <c r="D584">
        <f>XLOOKUP(A584,tblInvoices[invoice_id],tblInvoices[due_date])</f>
        <v/>
      </c>
      <c r="E584">
        <f>XLOOKUP(A584,tblInvoices[invoice_id],tblInvoices[total_invoice_amount])</f>
        <v/>
      </c>
      <c r="F584">
        <f>SUMIFS(tblPayments[payment_amount],tblPayments[invoice_id],A584,tblPayments[payment_status],"Success")</f>
        <v/>
      </c>
      <c r="G584">
        <f>MAX(0,E584-F584)</f>
        <v/>
      </c>
      <c r="H584">
        <f>DATE(2026,8,13)-D584</f>
        <v/>
      </c>
      <c r="I584">
        <f>IFS(G584=0,"Excluded (paid)",H584&lt;=0,"Current",H584&lt;=30,"1-30 days",H584&lt;=60,"31-60 days",H584&lt;=90,"61-90 days",TRUE,"90+ days")</f>
        <v/>
      </c>
    </row>
    <row r="585">
      <c r="A585" t="inlineStr">
        <is>
          <t>INV0014049</t>
        </is>
      </c>
      <c r="B585" t="inlineStr">
        <is>
          <t>MER00662</t>
        </is>
      </c>
      <c r="C585">
        <f>XLOOKUP(B585,Merchants!$A$4:$A$1000,Merchants!$B$4:$B$1000,"Not found")</f>
        <v/>
      </c>
      <c r="D585">
        <f>XLOOKUP(A585,tblInvoices[invoice_id],tblInvoices[due_date])</f>
        <v/>
      </c>
      <c r="E585">
        <f>XLOOKUP(A585,tblInvoices[invoice_id],tblInvoices[total_invoice_amount])</f>
        <v/>
      </c>
      <c r="F585">
        <f>SUMIFS(tblPayments[payment_amount],tblPayments[invoice_id],A585,tblPayments[payment_status],"Success")</f>
        <v/>
      </c>
      <c r="G585">
        <f>MAX(0,E585-F585)</f>
        <v/>
      </c>
      <c r="H585">
        <f>DATE(2026,8,13)-D585</f>
        <v/>
      </c>
      <c r="I585">
        <f>IFS(G585=0,"Excluded (paid)",H585&lt;=0,"Current",H585&lt;=30,"1-30 days",H585&lt;=60,"31-60 days",H585&lt;=90,"61-90 days",TRUE,"90+ days")</f>
        <v/>
      </c>
    </row>
    <row r="586">
      <c r="A586" t="inlineStr">
        <is>
          <t>INV0014050</t>
        </is>
      </c>
      <c r="B586" t="inlineStr">
        <is>
          <t>MER00662</t>
        </is>
      </c>
      <c r="C586">
        <f>XLOOKUP(B586,Merchants!$A$4:$A$1000,Merchants!$B$4:$B$1000,"Not found")</f>
        <v/>
      </c>
      <c r="D586">
        <f>XLOOKUP(A586,tblInvoices[invoice_id],tblInvoices[due_date])</f>
        <v/>
      </c>
      <c r="E586">
        <f>XLOOKUP(A586,tblInvoices[invoice_id],tblInvoices[total_invoice_amount])</f>
        <v/>
      </c>
      <c r="F586">
        <f>SUMIFS(tblPayments[payment_amount],tblPayments[invoice_id],A586,tblPayments[payment_status],"Success")</f>
        <v/>
      </c>
      <c r="G586">
        <f>MAX(0,E586-F586)</f>
        <v/>
      </c>
      <c r="H586">
        <f>DATE(2026,8,13)-D586</f>
        <v/>
      </c>
      <c r="I586">
        <f>IFS(G586=0,"Excluded (paid)",H586&lt;=0,"Current",H586&lt;=30,"1-30 days",H586&lt;=60,"31-60 days",H586&lt;=90,"61-90 days",TRUE,"90+ days")</f>
        <v/>
      </c>
    </row>
    <row r="587">
      <c r="A587" t="inlineStr">
        <is>
          <t>INV0014051</t>
        </is>
      </c>
      <c r="B587" t="inlineStr">
        <is>
          <t>MER00662</t>
        </is>
      </c>
      <c r="C587">
        <f>XLOOKUP(B587,Merchants!$A$4:$A$1000,Merchants!$B$4:$B$1000,"Not found")</f>
        <v/>
      </c>
      <c r="D587">
        <f>XLOOKUP(A587,tblInvoices[invoice_id],tblInvoices[due_date])</f>
        <v/>
      </c>
      <c r="E587">
        <f>XLOOKUP(A587,tblInvoices[invoice_id],tblInvoices[total_invoice_amount])</f>
        <v/>
      </c>
      <c r="F587">
        <f>SUMIFS(tblPayments[payment_amount],tblPayments[invoice_id],A587,tblPayments[payment_status],"Success")</f>
        <v/>
      </c>
      <c r="G587">
        <f>MAX(0,E587-F587)</f>
        <v/>
      </c>
      <c r="H587">
        <f>DATE(2026,8,13)-D587</f>
        <v/>
      </c>
      <c r="I587">
        <f>IFS(G587=0,"Excluded (paid)",H587&lt;=0,"Current",H587&lt;=30,"1-30 days",H587&lt;=60,"31-60 days",H587&lt;=90,"61-90 days",TRUE,"90+ days")</f>
        <v/>
      </c>
    </row>
    <row r="588">
      <c r="A588" t="inlineStr">
        <is>
          <t>INV0014052</t>
        </is>
      </c>
      <c r="B588" t="inlineStr">
        <is>
          <t>MER00662</t>
        </is>
      </c>
      <c r="C588">
        <f>XLOOKUP(B588,Merchants!$A$4:$A$1000,Merchants!$B$4:$B$1000,"Not found")</f>
        <v/>
      </c>
      <c r="D588">
        <f>XLOOKUP(A588,tblInvoices[invoice_id],tblInvoices[due_date])</f>
        <v/>
      </c>
      <c r="E588">
        <f>XLOOKUP(A588,tblInvoices[invoice_id],tblInvoices[total_invoice_amount])</f>
        <v/>
      </c>
      <c r="F588">
        <f>SUMIFS(tblPayments[payment_amount],tblPayments[invoice_id],A588,tblPayments[payment_status],"Success")</f>
        <v/>
      </c>
      <c r="G588">
        <f>MAX(0,E588-F588)</f>
        <v/>
      </c>
      <c r="H588">
        <f>DATE(2026,8,13)-D588</f>
        <v/>
      </c>
      <c r="I588">
        <f>IFS(G588=0,"Excluded (paid)",H588&lt;=0,"Current",H588&lt;=30,"1-30 days",H588&lt;=60,"31-60 days",H588&lt;=90,"61-90 days",TRUE,"90+ days")</f>
        <v/>
      </c>
    </row>
    <row r="589">
      <c r="A589" t="inlineStr">
        <is>
          <t>INV0014053</t>
        </is>
      </c>
      <c r="B589" t="inlineStr">
        <is>
          <t>MER00662</t>
        </is>
      </c>
      <c r="C589">
        <f>XLOOKUP(B589,Merchants!$A$4:$A$1000,Merchants!$B$4:$B$1000,"Not found")</f>
        <v/>
      </c>
      <c r="D589">
        <f>XLOOKUP(A589,tblInvoices[invoice_id],tblInvoices[due_date])</f>
        <v/>
      </c>
      <c r="E589">
        <f>XLOOKUP(A589,tblInvoices[invoice_id],tblInvoices[total_invoice_amount])</f>
        <v/>
      </c>
      <c r="F589">
        <f>SUMIFS(tblPayments[payment_amount],tblPayments[invoice_id],A589,tblPayments[payment_status],"Success")</f>
        <v/>
      </c>
      <c r="G589">
        <f>MAX(0,E589-F589)</f>
        <v/>
      </c>
      <c r="H589">
        <f>DATE(2026,8,13)-D589</f>
        <v/>
      </c>
      <c r="I589">
        <f>IFS(G589=0,"Excluded (paid)",H589&lt;=0,"Current",H589&lt;=30,"1-30 days",H589&lt;=60,"31-60 days",H589&lt;=90,"61-90 days",TRUE,"90+ days")</f>
        <v/>
      </c>
    </row>
    <row r="590">
      <c r="A590" t="inlineStr">
        <is>
          <t>INV0014054</t>
        </is>
      </c>
      <c r="B590" t="inlineStr">
        <is>
          <t>MER00662</t>
        </is>
      </c>
      <c r="C590">
        <f>XLOOKUP(B590,Merchants!$A$4:$A$1000,Merchants!$B$4:$B$1000,"Not found")</f>
        <v/>
      </c>
      <c r="D590">
        <f>XLOOKUP(A590,tblInvoices[invoice_id],tblInvoices[due_date])</f>
        <v/>
      </c>
      <c r="E590">
        <f>XLOOKUP(A590,tblInvoices[invoice_id],tblInvoices[total_invoice_amount])</f>
        <v/>
      </c>
      <c r="F590">
        <f>SUMIFS(tblPayments[payment_amount],tblPayments[invoice_id],A590,tblPayments[payment_status],"Success")</f>
        <v/>
      </c>
      <c r="G590">
        <f>MAX(0,E590-F590)</f>
        <v/>
      </c>
      <c r="H590">
        <f>DATE(2026,8,13)-D590</f>
        <v/>
      </c>
      <c r="I590">
        <f>IFS(G590=0,"Excluded (paid)",H590&lt;=0,"Current",H590&lt;=30,"1-30 days",H590&lt;=60,"31-60 days",H590&lt;=90,"61-90 days",TRUE,"90+ days")</f>
        <v/>
      </c>
    </row>
    <row r="591">
      <c r="A591" t="inlineStr">
        <is>
          <t>INV0014055</t>
        </is>
      </c>
      <c r="B591" t="inlineStr">
        <is>
          <t>MER00662</t>
        </is>
      </c>
      <c r="C591">
        <f>XLOOKUP(B591,Merchants!$A$4:$A$1000,Merchants!$B$4:$B$1000,"Not found")</f>
        <v/>
      </c>
      <c r="D591">
        <f>XLOOKUP(A591,tblInvoices[invoice_id],tblInvoices[due_date])</f>
        <v/>
      </c>
      <c r="E591">
        <f>XLOOKUP(A591,tblInvoices[invoice_id],tblInvoices[total_invoice_amount])</f>
        <v/>
      </c>
      <c r="F591">
        <f>SUMIFS(tblPayments[payment_amount],tblPayments[invoice_id],A591,tblPayments[payment_status],"Success")</f>
        <v/>
      </c>
      <c r="G591">
        <f>MAX(0,E591-F591)</f>
        <v/>
      </c>
      <c r="H591">
        <f>DATE(2026,8,13)-D591</f>
        <v/>
      </c>
      <c r="I591">
        <f>IFS(G591=0,"Excluded (paid)",H591&lt;=0,"Current",H591&lt;=30,"1-30 days",H591&lt;=60,"31-60 days",H591&lt;=90,"61-90 days",TRUE,"90+ days")</f>
        <v/>
      </c>
    </row>
    <row r="592">
      <c r="A592" t="inlineStr">
        <is>
          <t>INV0014056</t>
        </is>
      </c>
      <c r="B592" t="inlineStr">
        <is>
          <t>MER00662</t>
        </is>
      </c>
      <c r="C592">
        <f>XLOOKUP(B592,Merchants!$A$4:$A$1000,Merchants!$B$4:$B$1000,"Not found")</f>
        <v/>
      </c>
      <c r="D592">
        <f>XLOOKUP(A592,tblInvoices[invoice_id],tblInvoices[due_date])</f>
        <v/>
      </c>
      <c r="E592">
        <f>XLOOKUP(A592,tblInvoices[invoice_id],tblInvoices[total_invoice_amount])</f>
        <v/>
      </c>
      <c r="F592">
        <f>SUMIFS(tblPayments[payment_amount],tblPayments[invoice_id],A592,tblPayments[payment_status],"Success")</f>
        <v/>
      </c>
      <c r="G592">
        <f>MAX(0,E592-F592)</f>
        <v/>
      </c>
      <c r="H592">
        <f>DATE(2026,8,13)-D592</f>
        <v/>
      </c>
      <c r="I592">
        <f>IFS(G592=0,"Excluded (paid)",H592&lt;=0,"Current",H592&lt;=30,"1-30 days",H592&lt;=60,"31-60 days",H592&lt;=90,"61-90 days",TRUE,"90+ days")</f>
        <v/>
      </c>
    </row>
    <row r="593">
      <c r="A593" t="inlineStr">
        <is>
          <t>INV0014057</t>
        </is>
      </c>
      <c r="B593" t="inlineStr">
        <is>
          <t>MER00662</t>
        </is>
      </c>
      <c r="C593">
        <f>XLOOKUP(B593,Merchants!$A$4:$A$1000,Merchants!$B$4:$B$1000,"Not found")</f>
        <v/>
      </c>
      <c r="D593">
        <f>XLOOKUP(A593,tblInvoices[invoice_id],tblInvoices[due_date])</f>
        <v/>
      </c>
      <c r="E593">
        <f>XLOOKUP(A593,tblInvoices[invoice_id],tblInvoices[total_invoice_amount])</f>
        <v/>
      </c>
      <c r="F593">
        <f>SUMIFS(tblPayments[payment_amount],tblPayments[invoice_id],A593,tblPayments[payment_status],"Success")</f>
        <v/>
      </c>
      <c r="G593">
        <f>MAX(0,E593-F593)</f>
        <v/>
      </c>
      <c r="H593">
        <f>DATE(2026,8,13)-D593</f>
        <v/>
      </c>
      <c r="I593">
        <f>IFS(G593=0,"Excluded (paid)",H593&lt;=0,"Current",H593&lt;=30,"1-30 days",H593&lt;=60,"31-60 days",H593&lt;=90,"61-90 days",TRUE,"90+ days")</f>
        <v/>
      </c>
    </row>
    <row r="594">
      <c r="A594" t="inlineStr">
        <is>
          <t>INV0014058</t>
        </is>
      </c>
      <c r="B594" t="inlineStr">
        <is>
          <t>MER00662</t>
        </is>
      </c>
      <c r="C594">
        <f>XLOOKUP(B594,Merchants!$A$4:$A$1000,Merchants!$B$4:$B$1000,"Not found")</f>
        <v/>
      </c>
      <c r="D594">
        <f>XLOOKUP(A594,tblInvoices[invoice_id],tblInvoices[due_date])</f>
        <v/>
      </c>
      <c r="E594">
        <f>XLOOKUP(A594,tblInvoices[invoice_id],tblInvoices[total_invoice_amount])</f>
        <v/>
      </c>
      <c r="F594">
        <f>SUMIFS(tblPayments[payment_amount],tblPayments[invoice_id],A594,tblPayments[payment_status],"Success")</f>
        <v/>
      </c>
      <c r="G594">
        <f>MAX(0,E594-F594)</f>
        <v/>
      </c>
      <c r="H594">
        <f>DATE(2026,8,13)-D594</f>
        <v/>
      </c>
      <c r="I594">
        <f>IFS(G594=0,"Excluded (paid)",H594&lt;=0,"Current",H594&lt;=30,"1-30 days",H594&lt;=60,"31-60 days",H594&lt;=90,"61-90 days",TRUE,"90+ days")</f>
        <v/>
      </c>
    </row>
    <row r="595">
      <c r="A595" t="inlineStr">
        <is>
          <t>INV0014059</t>
        </is>
      </c>
      <c r="B595" t="inlineStr">
        <is>
          <t>MER00662</t>
        </is>
      </c>
      <c r="C595">
        <f>XLOOKUP(B595,Merchants!$A$4:$A$1000,Merchants!$B$4:$B$1000,"Not found")</f>
        <v/>
      </c>
      <c r="D595">
        <f>XLOOKUP(A595,tblInvoices[invoice_id],tblInvoices[due_date])</f>
        <v/>
      </c>
      <c r="E595">
        <f>XLOOKUP(A595,tblInvoices[invoice_id],tblInvoices[total_invoice_amount])</f>
        <v/>
      </c>
      <c r="F595">
        <f>SUMIFS(tblPayments[payment_amount],tblPayments[invoice_id],A595,tblPayments[payment_status],"Success")</f>
        <v/>
      </c>
      <c r="G595">
        <f>MAX(0,E595-F595)</f>
        <v/>
      </c>
      <c r="H595">
        <f>DATE(2026,8,13)-D595</f>
        <v/>
      </c>
      <c r="I595">
        <f>IFS(G595=0,"Excluded (paid)",H595&lt;=0,"Current",H595&lt;=30,"1-30 days",H595&lt;=60,"31-60 days",H595&lt;=90,"61-90 days",TRUE,"90+ days")</f>
        <v/>
      </c>
    </row>
    <row r="596">
      <c r="A596" t="inlineStr">
        <is>
          <t>INV0014962</t>
        </is>
      </c>
      <c r="B596" t="inlineStr">
        <is>
          <t>MER00707</t>
        </is>
      </c>
      <c r="C596">
        <f>XLOOKUP(B596,Merchants!$A$4:$A$1000,Merchants!$B$4:$B$1000,"Not found")</f>
        <v/>
      </c>
      <c r="D596">
        <f>XLOOKUP(A596,tblInvoices[invoice_id],tblInvoices[due_date])</f>
        <v/>
      </c>
      <c r="E596">
        <f>XLOOKUP(A596,tblInvoices[invoice_id],tblInvoices[total_invoice_amount])</f>
        <v/>
      </c>
      <c r="F596">
        <f>SUMIFS(tblPayments[payment_amount],tblPayments[invoice_id],A596,tblPayments[payment_status],"Success")</f>
        <v/>
      </c>
      <c r="G596">
        <f>MAX(0,E596-F596)</f>
        <v/>
      </c>
      <c r="H596">
        <f>DATE(2026,8,13)-D596</f>
        <v/>
      </c>
      <c r="I596">
        <f>IFS(G596=0,"Excluded (paid)",H596&lt;=0,"Current",H596&lt;=30,"1-30 days",H596&lt;=60,"31-60 days",H596&lt;=90,"61-90 days",TRUE,"90+ days")</f>
        <v/>
      </c>
    </row>
    <row r="597">
      <c r="A597" t="inlineStr">
        <is>
          <t>INV0014963</t>
        </is>
      </c>
      <c r="B597" t="inlineStr">
        <is>
          <t>MER00707</t>
        </is>
      </c>
      <c r="C597">
        <f>XLOOKUP(B597,Merchants!$A$4:$A$1000,Merchants!$B$4:$B$1000,"Not found")</f>
        <v/>
      </c>
      <c r="D597">
        <f>XLOOKUP(A597,tblInvoices[invoice_id],tblInvoices[due_date])</f>
        <v/>
      </c>
      <c r="E597">
        <f>XLOOKUP(A597,tblInvoices[invoice_id],tblInvoices[total_invoice_amount])</f>
        <v/>
      </c>
      <c r="F597">
        <f>SUMIFS(tblPayments[payment_amount],tblPayments[invoice_id],A597,tblPayments[payment_status],"Success")</f>
        <v/>
      </c>
      <c r="G597">
        <f>MAX(0,E597-F597)</f>
        <v/>
      </c>
      <c r="H597">
        <f>DATE(2026,8,13)-D597</f>
        <v/>
      </c>
      <c r="I597">
        <f>IFS(G597=0,"Excluded (paid)",H597&lt;=0,"Current",H597&lt;=30,"1-30 days",H597&lt;=60,"31-60 days",H597&lt;=90,"61-90 days",TRUE,"90+ days")</f>
        <v/>
      </c>
    </row>
    <row r="598">
      <c r="A598" t="inlineStr">
        <is>
          <t>INV0014964</t>
        </is>
      </c>
      <c r="B598" t="inlineStr">
        <is>
          <t>MER00707</t>
        </is>
      </c>
      <c r="C598">
        <f>XLOOKUP(B598,Merchants!$A$4:$A$1000,Merchants!$B$4:$B$1000,"Not found")</f>
        <v/>
      </c>
      <c r="D598">
        <f>XLOOKUP(A598,tblInvoices[invoice_id],tblInvoices[due_date])</f>
        <v/>
      </c>
      <c r="E598">
        <f>XLOOKUP(A598,tblInvoices[invoice_id],tblInvoices[total_invoice_amount])</f>
        <v/>
      </c>
      <c r="F598">
        <f>SUMIFS(tblPayments[payment_amount],tblPayments[invoice_id],A598,tblPayments[payment_status],"Success")</f>
        <v/>
      </c>
      <c r="G598">
        <f>MAX(0,E598-F598)</f>
        <v/>
      </c>
      <c r="H598">
        <f>DATE(2026,8,13)-D598</f>
        <v/>
      </c>
      <c r="I598">
        <f>IFS(G598=0,"Excluded (paid)",H598&lt;=0,"Current",H598&lt;=30,"1-30 days",H598&lt;=60,"31-60 days",H598&lt;=90,"61-90 days",TRUE,"90+ days")</f>
        <v/>
      </c>
    </row>
    <row r="599">
      <c r="A599" t="inlineStr">
        <is>
          <t>INV0014965</t>
        </is>
      </c>
      <c r="B599" t="inlineStr">
        <is>
          <t>MER00707</t>
        </is>
      </c>
      <c r="C599">
        <f>XLOOKUP(B599,Merchants!$A$4:$A$1000,Merchants!$B$4:$B$1000,"Not found")</f>
        <v/>
      </c>
      <c r="D599">
        <f>XLOOKUP(A599,tblInvoices[invoice_id],tblInvoices[due_date])</f>
        <v/>
      </c>
      <c r="E599">
        <f>XLOOKUP(A599,tblInvoices[invoice_id],tblInvoices[total_invoice_amount])</f>
        <v/>
      </c>
      <c r="F599">
        <f>SUMIFS(tblPayments[payment_amount],tblPayments[invoice_id],A599,tblPayments[payment_status],"Success")</f>
        <v/>
      </c>
      <c r="G599">
        <f>MAX(0,E599-F599)</f>
        <v/>
      </c>
      <c r="H599">
        <f>DATE(2026,8,13)-D599</f>
        <v/>
      </c>
      <c r="I599">
        <f>IFS(G599=0,"Excluded (paid)",H599&lt;=0,"Current",H599&lt;=30,"1-30 days",H599&lt;=60,"31-60 days",H599&lt;=90,"61-90 days",TRUE,"90+ days")</f>
        <v/>
      </c>
    </row>
    <row r="600">
      <c r="A600" t="inlineStr">
        <is>
          <t>INV0014966</t>
        </is>
      </c>
      <c r="B600" t="inlineStr">
        <is>
          <t>MER00707</t>
        </is>
      </c>
      <c r="C600">
        <f>XLOOKUP(B600,Merchants!$A$4:$A$1000,Merchants!$B$4:$B$1000,"Not found")</f>
        <v/>
      </c>
      <c r="D600">
        <f>XLOOKUP(A600,tblInvoices[invoice_id],tblInvoices[due_date])</f>
        <v/>
      </c>
      <c r="E600">
        <f>XLOOKUP(A600,tblInvoices[invoice_id],tblInvoices[total_invoice_amount])</f>
        <v/>
      </c>
      <c r="F600">
        <f>SUMIFS(tblPayments[payment_amount],tblPayments[invoice_id],A600,tblPayments[payment_status],"Success")</f>
        <v/>
      </c>
      <c r="G600">
        <f>MAX(0,E600-F600)</f>
        <v/>
      </c>
      <c r="H600">
        <f>DATE(2026,8,13)-D600</f>
        <v/>
      </c>
      <c r="I600">
        <f>IFS(G600=0,"Excluded (paid)",H600&lt;=0,"Current",H600&lt;=30,"1-30 days",H600&lt;=60,"31-60 days",H600&lt;=90,"61-90 days",TRUE,"90+ days")</f>
        <v/>
      </c>
    </row>
    <row r="601">
      <c r="A601" t="inlineStr">
        <is>
          <t>INV0014967</t>
        </is>
      </c>
      <c r="B601" t="inlineStr">
        <is>
          <t>MER00707</t>
        </is>
      </c>
      <c r="C601">
        <f>XLOOKUP(B601,Merchants!$A$4:$A$1000,Merchants!$B$4:$B$1000,"Not found")</f>
        <v/>
      </c>
      <c r="D601">
        <f>XLOOKUP(A601,tblInvoices[invoice_id],tblInvoices[due_date])</f>
        <v/>
      </c>
      <c r="E601">
        <f>XLOOKUP(A601,tblInvoices[invoice_id],tblInvoices[total_invoice_amount])</f>
        <v/>
      </c>
      <c r="F601">
        <f>SUMIFS(tblPayments[payment_amount],tblPayments[invoice_id],A601,tblPayments[payment_status],"Success")</f>
        <v/>
      </c>
      <c r="G601">
        <f>MAX(0,E601-F601)</f>
        <v/>
      </c>
      <c r="H601">
        <f>DATE(2026,8,13)-D601</f>
        <v/>
      </c>
      <c r="I601">
        <f>IFS(G601=0,"Excluded (paid)",H601&lt;=0,"Current",H601&lt;=30,"1-30 days",H601&lt;=60,"31-60 days",H601&lt;=90,"61-90 days",TRUE,"90+ days")</f>
        <v/>
      </c>
    </row>
    <row r="602">
      <c r="A602" t="inlineStr">
        <is>
          <t>INV0014968</t>
        </is>
      </c>
      <c r="B602" t="inlineStr">
        <is>
          <t>MER00707</t>
        </is>
      </c>
      <c r="C602">
        <f>XLOOKUP(B602,Merchants!$A$4:$A$1000,Merchants!$B$4:$B$1000,"Not found")</f>
        <v/>
      </c>
      <c r="D602">
        <f>XLOOKUP(A602,tblInvoices[invoice_id],tblInvoices[due_date])</f>
        <v/>
      </c>
      <c r="E602">
        <f>XLOOKUP(A602,tblInvoices[invoice_id],tblInvoices[total_invoice_amount])</f>
        <v/>
      </c>
      <c r="F602">
        <f>SUMIFS(tblPayments[payment_amount],tblPayments[invoice_id],A602,tblPayments[payment_status],"Success")</f>
        <v/>
      </c>
      <c r="G602">
        <f>MAX(0,E602-F602)</f>
        <v/>
      </c>
      <c r="H602">
        <f>DATE(2026,8,13)-D602</f>
        <v/>
      </c>
      <c r="I602">
        <f>IFS(G602=0,"Excluded (paid)",H602&lt;=0,"Current",H602&lt;=30,"1-30 days",H602&lt;=60,"31-60 days",H602&lt;=90,"61-90 days",TRUE,"90+ days")</f>
        <v/>
      </c>
    </row>
    <row r="603">
      <c r="A603" t="inlineStr">
        <is>
          <t>INV0014969</t>
        </is>
      </c>
      <c r="B603" t="inlineStr">
        <is>
          <t>MER00707</t>
        </is>
      </c>
      <c r="C603">
        <f>XLOOKUP(B603,Merchants!$A$4:$A$1000,Merchants!$B$4:$B$1000,"Not found")</f>
        <v/>
      </c>
      <c r="D603">
        <f>XLOOKUP(A603,tblInvoices[invoice_id],tblInvoices[due_date])</f>
        <v/>
      </c>
      <c r="E603">
        <f>XLOOKUP(A603,tblInvoices[invoice_id],tblInvoices[total_invoice_amount])</f>
        <v/>
      </c>
      <c r="F603">
        <f>SUMIFS(tblPayments[payment_amount],tblPayments[invoice_id],A603,tblPayments[payment_status],"Success")</f>
        <v/>
      </c>
      <c r="G603">
        <f>MAX(0,E603-F603)</f>
        <v/>
      </c>
      <c r="H603">
        <f>DATE(2026,8,13)-D603</f>
        <v/>
      </c>
      <c r="I603">
        <f>IFS(G603=0,"Excluded (paid)",H603&lt;=0,"Current",H603&lt;=30,"1-30 days",H603&lt;=60,"31-60 days",H603&lt;=90,"61-90 days",TRUE,"90+ days")</f>
        <v/>
      </c>
    </row>
    <row r="604">
      <c r="A604" t="inlineStr">
        <is>
          <t>INV0014970</t>
        </is>
      </c>
      <c r="B604" t="inlineStr">
        <is>
          <t>MER00707</t>
        </is>
      </c>
      <c r="C604">
        <f>XLOOKUP(B604,Merchants!$A$4:$A$1000,Merchants!$B$4:$B$1000,"Not found")</f>
        <v/>
      </c>
      <c r="D604">
        <f>XLOOKUP(A604,tblInvoices[invoice_id],tblInvoices[due_date])</f>
        <v/>
      </c>
      <c r="E604">
        <f>XLOOKUP(A604,tblInvoices[invoice_id],tblInvoices[total_invoice_amount])</f>
        <v/>
      </c>
      <c r="F604">
        <f>SUMIFS(tblPayments[payment_amount],tblPayments[invoice_id],A604,tblPayments[payment_status],"Success")</f>
        <v/>
      </c>
      <c r="G604">
        <f>MAX(0,E604-F604)</f>
        <v/>
      </c>
      <c r="H604">
        <f>DATE(2026,8,13)-D604</f>
        <v/>
      </c>
      <c r="I604">
        <f>IFS(G604=0,"Excluded (paid)",H604&lt;=0,"Current",H604&lt;=30,"1-30 days",H604&lt;=60,"31-60 days",H604&lt;=90,"61-90 days",TRUE,"90+ days")</f>
        <v/>
      </c>
    </row>
    <row r="605">
      <c r="A605" t="inlineStr">
        <is>
          <t>INV0014971</t>
        </is>
      </c>
      <c r="B605" t="inlineStr">
        <is>
          <t>MER00707</t>
        </is>
      </c>
      <c r="C605">
        <f>XLOOKUP(B605,Merchants!$A$4:$A$1000,Merchants!$B$4:$B$1000,"Not found")</f>
        <v/>
      </c>
      <c r="D605">
        <f>XLOOKUP(A605,tblInvoices[invoice_id],tblInvoices[due_date])</f>
        <v/>
      </c>
      <c r="E605">
        <f>XLOOKUP(A605,tblInvoices[invoice_id],tblInvoices[total_invoice_amount])</f>
        <v/>
      </c>
      <c r="F605">
        <f>SUMIFS(tblPayments[payment_amount],tblPayments[invoice_id],A605,tblPayments[payment_status],"Success")</f>
        <v/>
      </c>
      <c r="G605">
        <f>MAX(0,E605-F605)</f>
        <v/>
      </c>
      <c r="H605">
        <f>DATE(2026,8,13)-D605</f>
        <v/>
      </c>
      <c r="I605">
        <f>IFS(G605=0,"Excluded (paid)",H605&lt;=0,"Current",H605&lt;=30,"1-30 days",H605&lt;=60,"31-60 days",H605&lt;=90,"61-90 days",TRUE,"90+ days")</f>
        <v/>
      </c>
    </row>
    <row r="606">
      <c r="A606" t="inlineStr">
        <is>
          <t>INV0014972</t>
        </is>
      </c>
      <c r="B606" t="inlineStr">
        <is>
          <t>MER00707</t>
        </is>
      </c>
      <c r="C606">
        <f>XLOOKUP(B606,Merchants!$A$4:$A$1000,Merchants!$B$4:$B$1000,"Not found")</f>
        <v/>
      </c>
      <c r="D606">
        <f>XLOOKUP(A606,tblInvoices[invoice_id],tblInvoices[due_date])</f>
        <v/>
      </c>
      <c r="E606">
        <f>XLOOKUP(A606,tblInvoices[invoice_id],tblInvoices[total_invoice_amount])</f>
        <v/>
      </c>
      <c r="F606">
        <f>SUMIFS(tblPayments[payment_amount],tblPayments[invoice_id],A606,tblPayments[payment_status],"Success")</f>
        <v/>
      </c>
      <c r="G606">
        <f>MAX(0,E606-F606)</f>
        <v/>
      </c>
      <c r="H606">
        <f>DATE(2026,8,13)-D606</f>
        <v/>
      </c>
      <c r="I606">
        <f>IFS(G606=0,"Excluded (paid)",H606&lt;=0,"Current",H606&lt;=30,"1-30 days",H606&lt;=60,"31-60 days",H606&lt;=90,"61-90 days",TRUE,"90+ days")</f>
        <v/>
      </c>
    </row>
    <row r="607">
      <c r="A607" t="inlineStr">
        <is>
          <t>INV0014973</t>
        </is>
      </c>
      <c r="B607" t="inlineStr">
        <is>
          <t>MER00707</t>
        </is>
      </c>
      <c r="C607">
        <f>XLOOKUP(B607,Merchants!$A$4:$A$1000,Merchants!$B$4:$B$1000,"Not found")</f>
        <v/>
      </c>
      <c r="D607">
        <f>XLOOKUP(A607,tblInvoices[invoice_id],tblInvoices[due_date])</f>
        <v/>
      </c>
      <c r="E607">
        <f>XLOOKUP(A607,tblInvoices[invoice_id],tblInvoices[total_invoice_amount])</f>
        <v/>
      </c>
      <c r="F607">
        <f>SUMIFS(tblPayments[payment_amount],tblPayments[invoice_id],A607,tblPayments[payment_status],"Success")</f>
        <v/>
      </c>
      <c r="G607">
        <f>MAX(0,E607-F607)</f>
        <v/>
      </c>
      <c r="H607">
        <f>DATE(2026,8,13)-D607</f>
        <v/>
      </c>
      <c r="I607">
        <f>IFS(G607=0,"Excluded (paid)",H607&lt;=0,"Current",H607&lt;=30,"1-30 days",H607&lt;=60,"31-60 days",H607&lt;=90,"61-90 days",TRUE,"90+ days")</f>
        <v/>
      </c>
    </row>
    <row r="608">
      <c r="A608" t="inlineStr">
        <is>
          <t>INV0014974</t>
        </is>
      </c>
      <c r="B608" t="inlineStr">
        <is>
          <t>MER00707</t>
        </is>
      </c>
      <c r="C608">
        <f>XLOOKUP(B608,Merchants!$A$4:$A$1000,Merchants!$B$4:$B$1000,"Not found")</f>
        <v/>
      </c>
      <c r="D608">
        <f>XLOOKUP(A608,tblInvoices[invoice_id],tblInvoices[due_date])</f>
        <v/>
      </c>
      <c r="E608">
        <f>XLOOKUP(A608,tblInvoices[invoice_id],tblInvoices[total_invoice_amount])</f>
        <v/>
      </c>
      <c r="F608">
        <f>SUMIFS(tblPayments[payment_amount],tblPayments[invoice_id],A608,tblPayments[payment_status],"Success")</f>
        <v/>
      </c>
      <c r="G608">
        <f>MAX(0,E608-F608)</f>
        <v/>
      </c>
      <c r="H608">
        <f>DATE(2026,8,13)-D608</f>
        <v/>
      </c>
      <c r="I608">
        <f>IFS(G608=0,"Excluded (paid)",H608&lt;=0,"Current",H608&lt;=30,"1-30 days",H608&lt;=60,"31-60 days",H608&lt;=90,"61-90 days",TRUE,"90+ days")</f>
        <v/>
      </c>
    </row>
    <row r="609">
      <c r="A609" t="inlineStr">
        <is>
          <t>INV0014975</t>
        </is>
      </c>
      <c r="B609" t="inlineStr">
        <is>
          <t>MER00707</t>
        </is>
      </c>
      <c r="C609">
        <f>XLOOKUP(B609,Merchants!$A$4:$A$1000,Merchants!$B$4:$B$1000,"Not found")</f>
        <v/>
      </c>
      <c r="D609">
        <f>XLOOKUP(A609,tblInvoices[invoice_id],tblInvoices[due_date])</f>
        <v/>
      </c>
      <c r="E609">
        <f>XLOOKUP(A609,tblInvoices[invoice_id],tblInvoices[total_invoice_amount])</f>
        <v/>
      </c>
      <c r="F609">
        <f>SUMIFS(tblPayments[payment_amount],tblPayments[invoice_id],A609,tblPayments[payment_status],"Success")</f>
        <v/>
      </c>
      <c r="G609">
        <f>MAX(0,E609-F609)</f>
        <v/>
      </c>
      <c r="H609">
        <f>DATE(2026,8,13)-D609</f>
        <v/>
      </c>
      <c r="I609">
        <f>IFS(G609=0,"Excluded (paid)",H609&lt;=0,"Current",H609&lt;=30,"1-30 days",H609&lt;=60,"31-60 days",H609&lt;=90,"61-90 days",TRUE,"90+ days")</f>
        <v/>
      </c>
    </row>
    <row r="610">
      <c r="A610" t="inlineStr">
        <is>
          <t>INV0014976</t>
        </is>
      </c>
      <c r="B610" t="inlineStr">
        <is>
          <t>MER00707</t>
        </is>
      </c>
      <c r="C610">
        <f>XLOOKUP(B610,Merchants!$A$4:$A$1000,Merchants!$B$4:$B$1000,"Not found")</f>
        <v/>
      </c>
      <c r="D610">
        <f>XLOOKUP(A610,tblInvoices[invoice_id],tblInvoices[due_date])</f>
        <v/>
      </c>
      <c r="E610">
        <f>XLOOKUP(A610,tblInvoices[invoice_id],tblInvoices[total_invoice_amount])</f>
        <v/>
      </c>
      <c r="F610">
        <f>SUMIFS(tblPayments[payment_amount],tblPayments[invoice_id],A610,tblPayments[payment_status],"Success")</f>
        <v/>
      </c>
      <c r="G610">
        <f>MAX(0,E610-F610)</f>
        <v/>
      </c>
      <c r="H610">
        <f>DATE(2026,8,13)-D610</f>
        <v/>
      </c>
      <c r="I610">
        <f>IFS(G610=0,"Excluded (paid)",H610&lt;=0,"Current",H610&lt;=30,"1-30 days",H610&lt;=60,"31-60 days",H610&lt;=90,"61-90 days",TRUE,"90+ days")</f>
        <v/>
      </c>
    </row>
    <row r="611">
      <c r="A611" t="inlineStr">
        <is>
          <t>INV0014977</t>
        </is>
      </c>
      <c r="B611" t="inlineStr">
        <is>
          <t>MER00707</t>
        </is>
      </c>
      <c r="C611">
        <f>XLOOKUP(B611,Merchants!$A$4:$A$1000,Merchants!$B$4:$B$1000,"Not found")</f>
        <v/>
      </c>
      <c r="D611">
        <f>XLOOKUP(A611,tblInvoices[invoice_id],tblInvoices[due_date])</f>
        <v/>
      </c>
      <c r="E611">
        <f>XLOOKUP(A611,tblInvoices[invoice_id],tblInvoices[total_invoice_amount])</f>
        <v/>
      </c>
      <c r="F611">
        <f>SUMIFS(tblPayments[payment_amount],tblPayments[invoice_id],A611,tblPayments[payment_status],"Success")</f>
        <v/>
      </c>
      <c r="G611">
        <f>MAX(0,E611-F611)</f>
        <v/>
      </c>
      <c r="H611">
        <f>DATE(2026,8,13)-D611</f>
        <v/>
      </c>
      <c r="I611">
        <f>IFS(G611=0,"Excluded (paid)",H611&lt;=0,"Current",H611&lt;=30,"1-30 days",H611&lt;=60,"31-60 days",H611&lt;=90,"61-90 days",TRUE,"90+ days")</f>
        <v/>
      </c>
    </row>
    <row r="612">
      <c r="A612" t="inlineStr">
        <is>
          <t>INV0014978</t>
        </is>
      </c>
      <c r="B612" t="inlineStr">
        <is>
          <t>MER00707</t>
        </is>
      </c>
      <c r="C612">
        <f>XLOOKUP(B612,Merchants!$A$4:$A$1000,Merchants!$B$4:$B$1000,"Not found")</f>
        <v/>
      </c>
      <c r="D612">
        <f>XLOOKUP(A612,tblInvoices[invoice_id],tblInvoices[due_date])</f>
        <v/>
      </c>
      <c r="E612">
        <f>XLOOKUP(A612,tblInvoices[invoice_id],tblInvoices[total_invoice_amount])</f>
        <v/>
      </c>
      <c r="F612">
        <f>SUMIFS(tblPayments[payment_amount],tblPayments[invoice_id],A612,tblPayments[payment_status],"Success")</f>
        <v/>
      </c>
      <c r="G612">
        <f>MAX(0,E612-F612)</f>
        <v/>
      </c>
      <c r="H612">
        <f>DATE(2026,8,13)-D612</f>
        <v/>
      </c>
      <c r="I612">
        <f>IFS(G612=0,"Excluded (paid)",H612&lt;=0,"Current",H612&lt;=30,"1-30 days",H612&lt;=60,"31-60 days",H612&lt;=90,"61-90 days",TRUE,"90+ days")</f>
        <v/>
      </c>
    </row>
    <row r="613">
      <c r="A613" t="inlineStr">
        <is>
          <t>INV0014979</t>
        </is>
      </c>
      <c r="B613" t="inlineStr">
        <is>
          <t>MER00707</t>
        </is>
      </c>
      <c r="C613">
        <f>XLOOKUP(B613,Merchants!$A$4:$A$1000,Merchants!$B$4:$B$1000,"Not found")</f>
        <v/>
      </c>
      <c r="D613">
        <f>XLOOKUP(A613,tblInvoices[invoice_id],tblInvoices[due_date])</f>
        <v/>
      </c>
      <c r="E613">
        <f>XLOOKUP(A613,tblInvoices[invoice_id],tblInvoices[total_invoice_amount])</f>
        <v/>
      </c>
      <c r="F613">
        <f>SUMIFS(tblPayments[payment_amount],tblPayments[invoice_id],A613,tblPayments[payment_status],"Success")</f>
        <v/>
      </c>
      <c r="G613">
        <f>MAX(0,E613-F613)</f>
        <v/>
      </c>
      <c r="H613">
        <f>DATE(2026,8,13)-D613</f>
        <v/>
      </c>
      <c r="I613">
        <f>IFS(G613=0,"Excluded (paid)",H613&lt;=0,"Current",H613&lt;=30,"1-30 days",H613&lt;=60,"31-60 days",H613&lt;=90,"61-90 days",TRUE,"90+ days")</f>
        <v/>
      </c>
    </row>
    <row r="614">
      <c r="A614" t="inlineStr">
        <is>
          <t>INV0014980</t>
        </is>
      </c>
      <c r="B614" t="inlineStr">
        <is>
          <t>MER00707</t>
        </is>
      </c>
      <c r="C614">
        <f>XLOOKUP(B614,Merchants!$A$4:$A$1000,Merchants!$B$4:$B$1000,"Not found")</f>
        <v/>
      </c>
      <c r="D614">
        <f>XLOOKUP(A614,tblInvoices[invoice_id],tblInvoices[due_date])</f>
        <v/>
      </c>
      <c r="E614">
        <f>XLOOKUP(A614,tblInvoices[invoice_id],tblInvoices[total_invoice_amount])</f>
        <v/>
      </c>
      <c r="F614">
        <f>SUMIFS(tblPayments[payment_amount],tblPayments[invoice_id],A614,tblPayments[payment_status],"Success")</f>
        <v/>
      </c>
      <c r="G614">
        <f>MAX(0,E614-F614)</f>
        <v/>
      </c>
      <c r="H614">
        <f>DATE(2026,8,13)-D614</f>
        <v/>
      </c>
      <c r="I614">
        <f>IFS(G614=0,"Excluded (paid)",H614&lt;=0,"Current",H614&lt;=30,"1-30 days",H614&lt;=60,"31-60 days",H614&lt;=90,"61-90 days",TRUE,"90+ days")</f>
        <v/>
      </c>
    </row>
    <row r="615">
      <c r="A615" t="inlineStr">
        <is>
          <t>INV0014981</t>
        </is>
      </c>
      <c r="B615" t="inlineStr">
        <is>
          <t>MER00707</t>
        </is>
      </c>
      <c r="C615">
        <f>XLOOKUP(B615,Merchants!$A$4:$A$1000,Merchants!$B$4:$B$1000,"Not found")</f>
        <v/>
      </c>
      <c r="D615">
        <f>XLOOKUP(A615,tblInvoices[invoice_id],tblInvoices[due_date])</f>
        <v/>
      </c>
      <c r="E615">
        <f>XLOOKUP(A615,tblInvoices[invoice_id],tblInvoices[total_invoice_amount])</f>
        <v/>
      </c>
      <c r="F615">
        <f>SUMIFS(tblPayments[payment_amount],tblPayments[invoice_id],A615,tblPayments[payment_status],"Success")</f>
        <v/>
      </c>
      <c r="G615">
        <f>MAX(0,E615-F615)</f>
        <v/>
      </c>
      <c r="H615">
        <f>DATE(2026,8,13)-D615</f>
        <v/>
      </c>
      <c r="I615">
        <f>IFS(G615=0,"Excluded (paid)",H615&lt;=0,"Current",H615&lt;=30,"1-30 days",H615&lt;=60,"31-60 days",H615&lt;=90,"61-90 days",TRUE,"90+ days")</f>
        <v/>
      </c>
    </row>
    <row r="616">
      <c r="A616" t="inlineStr">
        <is>
          <t>INV0014982</t>
        </is>
      </c>
      <c r="B616" t="inlineStr">
        <is>
          <t>MER00707</t>
        </is>
      </c>
      <c r="C616">
        <f>XLOOKUP(B616,Merchants!$A$4:$A$1000,Merchants!$B$4:$B$1000,"Not found")</f>
        <v/>
      </c>
      <c r="D616">
        <f>XLOOKUP(A616,tblInvoices[invoice_id],tblInvoices[due_date])</f>
        <v/>
      </c>
      <c r="E616">
        <f>XLOOKUP(A616,tblInvoices[invoice_id],tblInvoices[total_invoice_amount])</f>
        <v/>
      </c>
      <c r="F616">
        <f>SUMIFS(tblPayments[payment_amount],tblPayments[invoice_id],A616,tblPayments[payment_status],"Success")</f>
        <v/>
      </c>
      <c r="G616">
        <f>MAX(0,E616-F616)</f>
        <v/>
      </c>
      <c r="H616">
        <f>DATE(2026,8,13)-D616</f>
        <v/>
      </c>
      <c r="I616">
        <f>IFS(G616=0,"Excluded (paid)",H616&lt;=0,"Current",H616&lt;=30,"1-30 days",H616&lt;=60,"31-60 days",H616&lt;=90,"61-90 days",TRUE,"90+ days")</f>
        <v/>
      </c>
    </row>
    <row r="617">
      <c r="A617" t="inlineStr">
        <is>
          <t>INV0014983</t>
        </is>
      </c>
      <c r="B617" t="inlineStr">
        <is>
          <t>MER00707</t>
        </is>
      </c>
      <c r="C617">
        <f>XLOOKUP(B617,Merchants!$A$4:$A$1000,Merchants!$B$4:$B$1000,"Not found")</f>
        <v/>
      </c>
      <c r="D617">
        <f>XLOOKUP(A617,tblInvoices[invoice_id],tblInvoices[due_date])</f>
        <v/>
      </c>
      <c r="E617">
        <f>XLOOKUP(A617,tblInvoices[invoice_id],tblInvoices[total_invoice_amount])</f>
        <v/>
      </c>
      <c r="F617">
        <f>SUMIFS(tblPayments[payment_amount],tblPayments[invoice_id],A617,tblPayments[payment_status],"Success")</f>
        <v/>
      </c>
      <c r="G617">
        <f>MAX(0,E617-F617)</f>
        <v/>
      </c>
      <c r="H617">
        <f>DATE(2026,8,13)-D617</f>
        <v/>
      </c>
      <c r="I617">
        <f>IFS(G617=0,"Excluded (paid)",H617&lt;=0,"Current",H617&lt;=30,"1-30 days",H617&lt;=60,"31-60 days",H617&lt;=90,"61-90 days",TRUE,"90+ days")</f>
        <v/>
      </c>
    </row>
    <row r="618">
      <c r="A618" t="inlineStr">
        <is>
          <t>INV0014984</t>
        </is>
      </c>
      <c r="B618" t="inlineStr">
        <is>
          <t>MER00707</t>
        </is>
      </c>
      <c r="C618">
        <f>XLOOKUP(B618,Merchants!$A$4:$A$1000,Merchants!$B$4:$B$1000,"Not found")</f>
        <v/>
      </c>
      <c r="D618">
        <f>XLOOKUP(A618,tblInvoices[invoice_id],tblInvoices[due_date])</f>
        <v/>
      </c>
      <c r="E618">
        <f>XLOOKUP(A618,tblInvoices[invoice_id],tblInvoices[total_invoice_amount])</f>
        <v/>
      </c>
      <c r="F618">
        <f>SUMIFS(tblPayments[payment_amount],tblPayments[invoice_id],A618,tblPayments[payment_status],"Success")</f>
        <v/>
      </c>
      <c r="G618">
        <f>MAX(0,E618-F618)</f>
        <v/>
      </c>
      <c r="H618">
        <f>DATE(2026,8,13)-D618</f>
        <v/>
      </c>
      <c r="I618">
        <f>IFS(G618=0,"Excluded (paid)",H618&lt;=0,"Current",H618&lt;=30,"1-30 days",H618&lt;=60,"31-60 days",H618&lt;=90,"61-90 days",TRUE,"90+ days")</f>
        <v/>
      </c>
    </row>
    <row r="619">
      <c r="A619" t="inlineStr">
        <is>
          <t>INV0014985</t>
        </is>
      </c>
      <c r="B619" t="inlineStr">
        <is>
          <t>MER00707</t>
        </is>
      </c>
      <c r="C619">
        <f>XLOOKUP(B619,Merchants!$A$4:$A$1000,Merchants!$B$4:$B$1000,"Not found")</f>
        <v/>
      </c>
      <c r="D619">
        <f>XLOOKUP(A619,tblInvoices[invoice_id],tblInvoices[due_date])</f>
        <v/>
      </c>
      <c r="E619">
        <f>XLOOKUP(A619,tblInvoices[invoice_id],tblInvoices[total_invoice_amount])</f>
        <v/>
      </c>
      <c r="F619">
        <f>SUMIFS(tblPayments[payment_amount],tblPayments[invoice_id],A619,tblPayments[payment_status],"Success")</f>
        <v/>
      </c>
      <c r="G619">
        <f>MAX(0,E619-F619)</f>
        <v/>
      </c>
      <c r="H619">
        <f>DATE(2026,8,13)-D619</f>
        <v/>
      </c>
      <c r="I619">
        <f>IFS(G619=0,"Excluded (paid)",H619&lt;=0,"Current",H619&lt;=30,"1-30 days",H619&lt;=60,"31-60 days",H619&lt;=90,"61-90 days",TRUE,"90+ days")</f>
        <v/>
      </c>
    </row>
    <row r="620">
      <c r="A620" t="inlineStr">
        <is>
          <t>INV0014986</t>
        </is>
      </c>
      <c r="B620" t="inlineStr">
        <is>
          <t>MER00708</t>
        </is>
      </c>
      <c r="C620">
        <f>XLOOKUP(B620,Merchants!$A$4:$A$1000,Merchants!$B$4:$B$1000,"Not found")</f>
        <v/>
      </c>
      <c r="D620">
        <f>XLOOKUP(A620,tblInvoices[invoice_id],tblInvoices[due_date])</f>
        <v/>
      </c>
      <c r="E620">
        <f>XLOOKUP(A620,tblInvoices[invoice_id],tblInvoices[total_invoice_amount])</f>
        <v/>
      </c>
      <c r="F620">
        <f>SUMIFS(tblPayments[payment_amount],tblPayments[invoice_id],A620,tblPayments[payment_status],"Success")</f>
        <v/>
      </c>
      <c r="G620">
        <f>MAX(0,E620-F620)</f>
        <v/>
      </c>
      <c r="H620">
        <f>DATE(2026,8,13)-D620</f>
        <v/>
      </c>
      <c r="I620">
        <f>IFS(G620=0,"Excluded (paid)",H620&lt;=0,"Current",H620&lt;=30,"1-30 days",H620&lt;=60,"31-60 days",H620&lt;=90,"61-90 days",TRUE,"90+ days")</f>
        <v/>
      </c>
    </row>
    <row r="621">
      <c r="A621" t="inlineStr">
        <is>
          <t>INV0014987</t>
        </is>
      </c>
      <c r="B621" t="inlineStr">
        <is>
          <t>MER00708</t>
        </is>
      </c>
      <c r="C621">
        <f>XLOOKUP(B621,Merchants!$A$4:$A$1000,Merchants!$B$4:$B$1000,"Not found")</f>
        <v/>
      </c>
      <c r="D621">
        <f>XLOOKUP(A621,tblInvoices[invoice_id],tblInvoices[due_date])</f>
        <v/>
      </c>
      <c r="E621">
        <f>XLOOKUP(A621,tblInvoices[invoice_id],tblInvoices[total_invoice_amount])</f>
        <v/>
      </c>
      <c r="F621">
        <f>SUMIFS(tblPayments[payment_amount],tblPayments[invoice_id],A621,tblPayments[payment_status],"Success")</f>
        <v/>
      </c>
      <c r="G621">
        <f>MAX(0,E621-F621)</f>
        <v/>
      </c>
      <c r="H621">
        <f>DATE(2026,8,13)-D621</f>
        <v/>
      </c>
      <c r="I621">
        <f>IFS(G621=0,"Excluded (paid)",H621&lt;=0,"Current",H621&lt;=30,"1-30 days",H621&lt;=60,"31-60 days",H621&lt;=90,"61-90 days",TRUE,"90+ days")</f>
        <v/>
      </c>
    </row>
    <row r="622">
      <c r="A622" t="inlineStr">
        <is>
          <t>INV0014988</t>
        </is>
      </c>
      <c r="B622" t="inlineStr">
        <is>
          <t>MER00708</t>
        </is>
      </c>
      <c r="C622">
        <f>XLOOKUP(B622,Merchants!$A$4:$A$1000,Merchants!$B$4:$B$1000,"Not found")</f>
        <v/>
      </c>
      <c r="D622">
        <f>XLOOKUP(A622,tblInvoices[invoice_id],tblInvoices[due_date])</f>
        <v/>
      </c>
      <c r="E622">
        <f>XLOOKUP(A622,tblInvoices[invoice_id],tblInvoices[total_invoice_amount])</f>
        <v/>
      </c>
      <c r="F622">
        <f>SUMIFS(tblPayments[payment_amount],tblPayments[invoice_id],A622,tblPayments[payment_status],"Success")</f>
        <v/>
      </c>
      <c r="G622">
        <f>MAX(0,E622-F622)</f>
        <v/>
      </c>
      <c r="H622">
        <f>DATE(2026,8,13)-D622</f>
        <v/>
      </c>
      <c r="I622">
        <f>IFS(G622=0,"Excluded (paid)",H622&lt;=0,"Current",H622&lt;=30,"1-30 days",H622&lt;=60,"31-60 days",H622&lt;=90,"61-90 days",TRUE,"90+ days")</f>
        <v/>
      </c>
    </row>
    <row r="623">
      <c r="A623" t="inlineStr">
        <is>
          <t>INV0014989</t>
        </is>
      </c>
      <c r="B623" t="inlineStr">
        <is>
          <t>MER00708</t>
        </is>
      </c>
      <c r="C623">
        <f>XLOOKUP(B623,Merchants!$A$4:$A$1000,Merchants!$B$4:$B$1000,"Not found")</f>
        <v/>
      </c>
      <c r="D623">
        <f>XLOOKUP(A623,tblInvoices[invoice_id],tblInvoices[due_date])</f>
        <v/>
      </c>
      <c r="E623">
        <f>XLOOKUP(A623,tblInvoices[invoice_id],tblInvoices[total_invoice_amount])</f>
        <v/>
      </c>
      <c r="F623">
        <f>SUMIFS(tblPayments[payment_amount],tblPayments[invoice_id],A623,tblPayments[payment_status],"Success")</f>
        <v/>
      </c>
      <c r="G623">
        <f>MAX(0,E623-F623)</f>
        <v/>
      </c>
      <c r="H623">
        <f>DATE(2026,8,13)-D623</f>
        <v/>
      </c>
      <c r="I623">
        <f>IFS(G623=0,"Excluded (paid)",H623&lt;=0,"Current",H623&lt;=30,"1-30 days",H623&lt;=60,"31-60 days",H623&lt;=90,"61-90 days",TRUE,"90+ days")</f>
        <v/>
      </c>
    </row>
    <row r="624">
      <c r="A624" t="inlineStr">
        <is>
          <t>INV0014990</t>
        </is>
      </c>
      <c r="B624" t="inlineStr">
        <is>
          <t>MER00708</t>
        </is>
      </c>
      <c r="C624">
        <f>XLOOKUP(B624,Merchants!$A$4:$A$1000,Merchants!$B$4:$B$1000,"Not found")</f>
        <v/>
      </c>
      <c r="D624">
        <f>XLOOKUP(A624,tblInvoices[invoice_id],tblInvoices[due_date])</f>
        <v/>
      </c>
      <c r="E624">
        <f>XLOOKUP(A624,tblInvoices[invoice_id],tblInvoices[total_invoice_amount])</f>
        <v/>
      </c>
      <c r="F624">
        <f>SUMIFS(tblPayments[payment_amount],tblPayments[invoice_id],A624,tblPayments[payment_status],"Success")</f>
        <v/>
      </c>
      <c r="G624">
        <f>MAX(0,E624-F624)</f>
        <v/>
      </c>
      <c r="H624">
        <f>DATE(2026,8,13)-D624</f>
        <v/>
      </c>
      <c r="I624">
        <f>IFS(G624=0,"Excluded (paid)",H624&lt;=0,"Current",H624&lt;=30,"1-30 days",H624&lt;=60,"31-60 days",H624&lt;=90,"61-90 days",TRUE,"90+ days")</f>
        <v/>
      </c>
    </row>
    <row r="625">
      <c r="A625" t="inlineStr">
        <is>
          <t>INV0014991</t>
        </is>
      </c>
      <c r="B625" t="inlineStr">
        <is>
          <t>MER00708</t>
        </is>
      </c>
      <c r="C625">
        <f>XLOOKUP(B625,Merchants!$A$4:$A$1000,Merchants!$B$4:$B$1000,"Not found")</f>
        <v/>
      </c>
      <c r="D625">
        <f>XLOOKUP(A625,tblInvoices[invoice_id],tblInvoices[due_date])</f>
        <v/>
      </c>
      <c r="E625">
        <f>XLOOKUP(A625,tblInvoices[invoice_id],tblInvoices[total_invoice_amount])</f>
        <v/>
      </c>
      <c r="F625">
        <f>SUMIFS(tblPayments[payment_amount],tblPayments[invoice_id],A625,tblPayments[payment_status],"Success")</f>
        <v/>
      </c>
      <c r="G625">
        <f>MAX(0,E625-F625)</f>
        <v/>
      </c>
      <c r="H625">
        <f>DATE(2026,8,13)-D625</f>
        <v/>
      </c>
      <c r="I625">
        <f>IFS(G625=0,"Excluded (paid)",H625&lt;=0,"Current",H625&lt;=30,"1-30 days",H625&lt;=60,"31-60 days",H625&lt;=90,"61-90 days",TRUE,"90+ days")</f>
        <v/>
      </c>
    </row>
    <row r="626">
      <c r="A626" t="inlineStr">
        <is>
          <t>INV0014992</t>
        </is>
      </c>
      <c r="B626" t="inlineStr">
        <is>
          <t>MER00708</t>
        </is>
      </c>
      <c r="C626">
        <f>XLOOKUP(B626,Merchants!$A$4:$A$1000,Merchants!$B$4:$B$1000,"Not found")</f>
        <v/>
      </c>
      <c r="D626">
        <f>XLOOKUP(A626,tblInvoices[invoice_id],tblInvoices[due_date])</f>
        <v/>
      </c>
      <c r="E626">
        <f>XLOOKUP(A626,tblInvoices[invoice_id],tblInvoices[total_invoice_amount])</f>
        <v/>
      </c>
      <c r="F626">
        <f>SUMIFS(tblPayments[payment_amount],tblPayments[invoice_id],A626,tblPayments[payment_status],"Success")</f>
        <v/>
      </c>
      <c r="G626">
        <f>MAX(0,E626-F626)</f>
        <v/>
      </c>
      <c r="H626">
        <f>DATE(2026,8,13)-D626</f>
        <v/>
      </c>
      <c r="I626">
        <f>IFS(G626=0,"Excluded (paid)",H626&lt;=0,"Current",H626&lt;=30,"1-30 days",H626&lt;=60,"31-60 days",H626&lt;=90,"61-90 days",TRUE,"90+ days")</f>
        <v/>
      </c>
    </row>
    <row r="627">
      <c r="A627" t="inlineStr">
        <is>
          <t>INV0014993</t>
        </is>
      </c>
      <c r="B627" t="inlineStr">
        <is>
          <t>MER00708</t>
        </is>
      </c>
      <c r="C627">
        <f>XLOOKUP(B627,Merchants!$A$4:$A$1000,Merchants!$B$4:$B$1000,"Not found")</f>
        <v/>
      </c>
      <c r="D627">
        <f>XLOOKUP(A627,tblInvoices[invoice_id],tblInvoices[due_date])</f>
        <v/>
      </c>
      <c r="E627">
        <f>XLOOKUP(A627,tblInvoices[invoice_id],tblInvoices[total_invoice_amount])</f>
        <v/>
      </c>
      <c r="F627">
        <f>SUMIFS(tblPayments[payment_amount],tblPayments[invoice_id],A627,tblPayments[payment_status],"Success")</f>
        <v/>
      </c>
      <c r="G627">
        <f>MAX(0,E627-F627)</f>
        <v/>
      </c>
      <c r="H627">
        <f>DATE(2026,8,13)-D627</f>
        <v/>
      </c>
      <c r="I627">
        <f>IFS(G627=0,"Excluded (paid)",H627&lt;=0,"Current",H627&lt;=30,"1-30 days",H627&lt;=60,"31-60 days",H627&lt;=90,"61-90 days",TRUE,"90+ days")</f>
        <v/>
      </c>
    </row>
    <row r="628">
      <c r="A628" t="inlineStr">
        <is>
          <t>INV0014994</t>
        </is>
      </c>
      <c r="B628" t="inlineStr">
        <is>
          <t>MER00708</t>
        </is>
      </c>
      <c r="C628">
        <f>XLOOKUP(B628,Merchants!$A$4:$A$1000,Merchants!$B$4:$B$1000,"Not found")</f>
        <v/>
      </c>
      <c r="D628">
        <f>XLOOKUP(A628,tblInvoices[invoice_id],tblInvoices[due_date])</f>
        <v/>
      </c>
      <c r="E628">
        <f>XLOOKUP(A628,tblInvoices[invoice_id],tblInvoices[total_invoice_amount])</f>
        <v/>
      </c>
      <c r="F628">
        <f>SUMIFS(tblPayments[payment_amount],tblPayments[invoice_id],A628,tblPayments[payment_status],"Success")</f>
        <v/>
      </c>
      <c r="G628">
        <f>MAX(0,E628-F628)</f>
        <v/>
      </c>
      <c r="H628">
        <f>DATE(2026,8,13)-D628</f>
        <v/>
      </c>
      <c r="I628">
        <f>IFS(G628=0,"Excluded (paid)",H628&lt;=0,"Current",H628&lt;=30,"1-30 days",H628&lt;=60,"31-60 days",H628&lt;=90,"61-90 days",TRUE,"90+ days")</f>
        <v/>
      </c>
    </row>
    <row r="629">
      <c r="A629" t="inlineStr">
        <is>
          <t>INV0014995</t>
        </is>
      </c>
      <c r="B629" t="inlineStr">
        <is>
          <t>MER00708</t>
        </is>
      </c>
      <c r="C629">
        <f>XLOOKUP(B629,Merchants!$A$4:$A$1000,Merchants!$B$4:$B$1000,"Not found")</f>
        <v/>
      </c>
      <c r="D629">
        <f>XLOOKUP(A629,tblInvoices[invoice_id],tblInvoices[due_date])</f>
        <v/>
      </c>
      <c r="E629">
        <f>XLOOKUP(A629,tblInvoices[invoice_id],tblInvoices[total_invoice_amount])</f>
        <v/>
      </c>
      <c r="F629">
        <f>SUMIFS(tblPayments[payment_amount],tblPayments[invoice_id],A629,tblPayments[payment_status],"Success")</f>
        <v/>
      </c>
      <c r="G629">
        <f>MAX(0,E629-F629)</f>
        <v/>
      </c>
      <c r="H629">
        <f>DATE(2026,8,13)-D629</f>
        <v/>
      </c>
      <c r="I629">
        <f>IFS(G629=0,"Excluded (paid)",H629&lt;=0,"Current",H629&lt;=30,"1-30 days",H629&lt;=60,"31-60 days",H629&lt;=90,"61-90 days",TRUE,"90+ days")</f>
        <v/>
      </c>
    </row>
    <row r="630">
      <c r="A630" t="inlineStr">
        <is>
          <t>INV0014996</t>
        </is>
      </c>
      <c r="B630" t="inlineStr">
        <is>
          <t>MER00708</t>
        </is>
      </c>
      <c r="C630">
        <f>XLOOKUP(B630,Merchants!$A$4:$A$1000,Merchants!$B$4:$B$1000,"Not found")</f>
        <v/>
      </c>
      <c r="D630">
        <f>XLOOKUP(A630,tblInvoices[invoice_id],tblInvoices[due_date])</f>
        <v/>
      </c>
      <c r="E630">
        <f>XLOOKUP(A630,tblInvoices[invoice_id],tblInvoices[total_invoice_amount])</f>
        <v/>
      </c>
      <c r="F630">
        <f>SUMIFS(tblPayments[payment_amount],tblPayments[invoice_id],A630,tblPayments[payment_status],"Success")</f>
        <v/>
      </c>
      <c r="G630">
        <f>MAX(0,E630-F630)</f>
        <v/>
      </c>
      <c r="H630">
        <f>DATE(2026,8,13)-D630</f>
        <v/>
      </c>
      <c r="I630">
        <f>IFS(G630=0,"Excluded (paid)",H630&lt;=0,"Current",H630&lt;=30,"1-30 days",H630&lt;=60,"31-60 days",H630&lt;=90,"61-90 days",TRUE,"90+ days")</f>
        <v/>
      </c>
    </row>
    <row r="631">
      <c r="A631" t="inlineStr">
        <is>
          <t>INV0014997</t>
        </is>
      </c>
      <c r="B631" t="inlineStr">
        <is>
          <t>MER00708</t>
        </is>
      </c>
      <c r="C631">
        <f>XLOOKUP(B631,Merchants!$A$4:$A$1000,Merchants!$B$4:$B$1000,"Not found")</f>
        <v/>
      </c>
      <c r="D631">
        <f>XLOOKUP(A631,tblInvoices[invoice_id],tblInvoices[due_date])</f>
        <v/>
      </c>
      <c r="E631">
        <f>XLOOKUP(A631,tblInvoices[invoice_id],tblInvoices[total_invoice_amount])</f>
        <v/>
      </c>
      <c r="F631">
        <f>SUMIFS(tblPayments[payment_amount],tblPayments[invoice_id],A631,tblPayments[payment_status],"Success")</f>
        <v/>
      </c>
      <c r="G631">
        <f>MAX(0,E631-F631)</f>
        <v/>
      </c>
      <c r="H631">
        <f>DATE(2026,8,13)-D631</f>
        <v/>
      </c>
      <c r="I631">
        <f>IFS(G631=0,"Excluded (paid)",H631&lt;=0,"Current",H631&lt;=30,"1-30 days",H631&lt;=60,"31-60 days",H631&lt;=90,"61-90 days",TRUE,"90+ days")</f>
        <v/>
      </c>
    </row>
    <row r="632">
      <c r="A632" t="inlineStr">
        <is>
          <t>INV0014998</t>
        </is>
      </c>
      <c r="B632" t="inlineStr">
        <is>
          <t>MER00708</t>
        </is>
      </c>
      <c r="C632">
        <f>XLOOKUP(B632,Merchants!$A$4:$A$1000,Merchants!$B$4:$B$1000,"Not found")</f>
        <v/>
      </c>
      <c r="D632">
        <f>XLOOKUP(A632,tblInvoices[invoice_id],tblInvoices[due_date])</f>
        <v/>
      </c>
      <c r="E632">
        <f>XLOOKUP(A632,tblInvoices[invoice_id],tblInvoices[total_invoice_amount])</f>
        <v/>
      </c>
      <c r="F632">
        <f>SUMIFS(tblPayments[payment_amount],tblPayments[invoice_id],A632,tblPayments[payment_status],"Success")</f>
        <v/>
      </c>
      <c r="G632">
        <f>MAX(0,E632-F632)</f>
        <v/>
      </c>
      <c r="H632">
        <f>DATE(2026,8,13)-D632</f>
        <v/>
      </c>
      <c r="I632">
        <f>IFS(G632=0,"Excluded (paid)",H632&lt;=0,"Current",H632&lt;=30,"1-30 days",H632&lt;=60,"31-60 days",H632&lt;=90,"61-90 days",TRUE,"90+ days")</f>
        <v/>
      </c>
    </row>
    <row r="633">
      <c r="A633" t="inlineStr">
        <is>
          <t>INV0014999</t>
        </is>
      </c>
      <c r="B633" t="inlineStr">
        <is>
          <t>MER00708</t>
        </is>
      </c>
      <c r="C633">
        <f>XLOOKUP(B633,Merchants!$A$4:$A$1000,Merchants!$B$4:$B$1000,"Not found")</f>
        <v/>
      </c>
      <c r="D633">
        <f>XLOOKUP(A633,tblInvoices[invoice_id],tblInvoices[due_date])</f>
        <v/>
      </c>
      <c r="E633">
        <f>XLOOKUP(A633,tblInvoices[invoice_id],tblInvoices[total_invoice_amount])</f>
        <v/>
      </c>
      <c r="F633">
        <f>SUMIFS(tblPayments[payment_amount],tblPayments[invoice_id],A633,tblPayments[payment_status],"Success")</f>
        <v/>
      </c>
      <c r="G633">
        <f>MAX(0,E633-F633)</f>
        <v/>
      </c>
      <c r="H633">
        <f>DATE(2026,8,13)-D633</f>
        <v/>
      </c>
      <c r="I633">
        <f>IFS(G633=0,"Excluded (paid)",H633&lt;=0,"Current",H633&lt;=30,"1-30 days",H633&lt;=60,"31-60 days",H633&lt;=90,"61-90 days",TRUE,"90+ days")</f>
        <v/>
      </c>
    </row>
    <row r="634">
      <c r="A634" t="inlineStr">
        <is>
          <t>INV0015000</t>
        </is>
      </c>
      <c r="B634" t="inlineStr">
        <is>
          <t>MER00708</t>
        </is>
      </c>
      <c r="C634">
        <f>XLOOKUP(B634,Merchants!$A$4:$A$1000,Merchants!$B$4:$B$1000,"Not found")</f>
        <v/>
      </c>
      <c r="D634">
        <f>XLOOKUP(A634,tblInvoices[invoice_id],tblInvoices[due_date])</f>
        <v/>
      </c>
      <c r="E634">
        <f>XLOOKUP(A634,tblInvoices[invoice_id],tblInvoices[total_invoice_amount])</f>
        <v/>
      </c>
      <c r="F634">
        <f>SUMIFS(tblPayments[payment_amount],tblPayments[invoice_id],A634,tblPayments[payment_status],"Success")</f>
        <v/>
      </c>
      <c r="G634">
        <f>MAX(0,E634-F634)</f>
        <v/>
      </c>
      <c r="H634">
        <f>DATE(2026,8,13)-D634</f>
        <v/>
      </c>
      <c r="I634">
        <f>IFS(G634=0,"Excluded (paid)",H634&lt;=0,"Current",H634&lt;=30,"1-30 days",H634&lt;=60,"31-60 days",H634&lt;=90,"61-90 days",TRUE,"90+ days")</f>
        <v/>
      </c>
    </row>
    <row r="635">
      <c r="A635" t="inlineStr">
        <is>
          <t>INV0015001</t>
        </is>
      </c>
      <c r="B635" t="inlineStr">
        <is>
          <t>MER00708</t>
        </is>
      </c>
      <c r="C635">
        <f>XLOOKUP(B635,Merchants!$A$4:$A$1000,Merchants!$B$4:$B$1000,"Not found")</f>
        <v/>
      </c>
      <c r="D635">
        <f>XLOOKUP(A635,tblInvoices[invoice_id],tblInvoices[due_date])</f>
        <v/>
      </c>
      <c r="E635">
        <f>XLOOKUP(A635,tblInvoices[invoice_id],tblInvoices[total_invoice_amount])</f>
        <v/>
      </c>
      <c r="F635">
        <f>SUMIFS(tblPayments[payment_amount],tblPayments[invoice_id],A635,tblPayments[payment_status],"Success")</f>
        <v/>
      </c>
      <c r="G635">
        <f>MAX(0,E635-F635)</f>
        <v/>
      </c>
      <c r="H635">
        <f>DATE(2026,8,13)-D635</f>
        <v/>
      </c>
      <c r="I635">
        <f>IFS(G635=0,"Excluded (paid)",H635&lt;=0,"Current",H635&lt;=30,"1-30 days",H635&lt;=60,"31-60 days",H635&lt;=90,"61-90 days",TRUE,"90+ days")</f>
        <v/>
      </c>
    </row>
    <row r="636">
      <c r="A636" t="inlineStr">
        <is>
          <t>INV0015002</t>
        </is>
      </c>
      <c r="B636" t="inlineStr">
        <is>
          <t>MER00708</t>
        </is>
      </c>
      <c r="C636">
        <f>XLOOKUP(B636,Merchants!$A$4:$A$1000,Merchants!$B$4:$B$1000,"Not found")</f>
        <v/>
      </c>
      <c r="D636">
        <f>XLOOKUP(A636,tblInvoices[invoice_id],tblInvoices[due_date])</f>
        <v/>
      </c>
      <c r="E636">
        <f>XLOOKUP(A636,tblInvoices[invoice_id],tblInvoices[total_invoice_amount])</f>
        <v/>
      </c>
      <c r="F636">
        <f>SUMIFS(tblPayments[payment_amount],tblPayments[invoice_id],A636,tblPayments[payment_status],"Success")</f>
        <v/>
      </c>
      <c r="G636">
        <f>MAX(0,E636-F636)</f>
        <v/>
      </c>
      <c r="H636">
        <f>DATE(2026,8,13)-D636</f>
        <v/>
      </c>
      <c r="I636">
        <f>IFS(G636=0,"Excluded (paid)",H636&lt;=0,"Current",H636&lt;=30,"1-30 days",H636&lt;=60,"31-60 days",H636&lt;=90,"61-90 days",TRUE,"90+ days")</f>
        <v/>
      </c>
    </row>
    <row r="637">
      <c r="A637" t="inlineStr">
        <is>
          <t>INV0015003</t>
        </is>
      </c>
      <c r="B637" t="inlineStr">
        <is>
          <t>MER00708</t>
        </is>
      </c>
      <c r="C637">
        <f>XLOOKUP(B637,Merchants!$A$4:$A$1000,Merchants!$B$4:$B$1000,"Not found")</f>
        <v/>
      </c>
      <c r="D637">
        <f>XLOOKUP(A637,tblInvoices[invoice_id],tblInvoices[due_date])</f>
        <v/>
      </c>
      <c r="E637">
        <f>XLOOKUP(A637,tblInvoices[invoice_id],tblInvoices[total_invoice_amount])</f>
        <v/>
      </c>
      <c r="F637">
        <f>SUMIFS(tblPayments[payment_amount],tblPayments[invoice_id],A637,tblPayments[payment_status],"Success")</f>
        <v/>
      </c>
      <c r="G637">
        <f>MAX(0,E637-F637)</f>
        <v/>
      </c>
      <c r="H637">
        <f>DATE(2026,8,13)-D637</f>
        <v/>
      </c>
      <c r="I637">
        <f>IFS(G637=0,"Excluded (paid)",H637&lt;=0,"Current",H637&lt;=30,"1-30 days",H637&lt;=60,"31-60 days",H637&lt;=90,"61-90 days",TRUE,"90+ days")</f>
        <v/>
      </c>
    </row>
    <row r="638">
      <c r="A638" t="inlineStr">
        <is>
          <t>INV0015004</t>
        </is>
      </c>
      <c r="B638" t="inlineStr">
        <is>
          <t>MER00708</t>
        </is>
      </c>
      <c r="C638">
        <f>XLOOKUP(B638,Merchants!$A$4:$A$1000,Merchants!$B$4:$B$1000,"Not found")</f>
        <v/>
      </c>
      <c r="D638">
        <f>XLOOKUP(A638,tblInvoices[invoice_id],tblInvoices[due_date])</f>
        <v/>
      </c>
      <c r="E638">
        <f>XLOOKUP(A638,tblInvoices[invoice_id],tblInvoices[total_invoice_amount])</f>
        <v/>
      </c>
      <c r="F638">
        <f>SUMIFS(tblPayments[payment_amount],tblPayments[invoice_id],A638,tblPayments[payment_status],"Success")</f>
        <v/>
      </c>
      <c r="G638">
        <f>MAX(0,E638-F638)</f>
        <v/>
      </c>
      <c r="H638">
        <f>DATE(2026,8,13)-D638</f>
        <v/>
      </c>
      <c r="I638">
        <f>IFS(G638=0,"Excluded (paid)",H638&lt;=0,"Current",H638&lt;=30,"1-30 days",H638&lt;=60,"31-60 days",H638&lt;=90,"61-90 days",TRUE,"90+ days")</f>
        <v/>
      </c>
    </row>
    <row r="639">
      <c r="A639" t="inlineStr">
        <is>
          <t>INV0015005</t>
        </is>
      </c>
      <c r="B639" t="inlineStr">
        <is>
          <t>MER00708</t>
        </is>
      </c>
      <c r="C639">
        <f>XLOOKUP(B639,Merchants!$A$4:$A$1000,Merchants!$B$4:$B$1000,"Not found")</f>
        <v/>
      </c>
      <c r="D639">
        <f>XLOOKUP(A639,tblInvoices[invoice_id],tblInvoices[due_date])</f>
        <v/>
      </c>
      <c r="E639">
        <f>XLOOKUP(A639,tblInvoices[invoice_id],tblInvoices[total_invoice_amount])</f>
        <v/>
      </c>
      <c r="F639">
        <f>SUMIFS(tblPayments[payment_amount],tblPayments[invoice_id],A639,tblPayments[payment_status],"Success")</f>
        <v/>
      </c>
      <c r="G639">
        <f>MAX(0,E639-F639)</f>
        <v/>
      </c>
      <c r="H639">
        <f>DATE(2026,8,13)-D639</f>
        <v/>
      </c>
      <c r="I639">
        <f>IFS(G639=0,"Excluded (paid)",H639&lt;=0,"Current",H639&lt;=30,"1-30 days",H639&lt;=60,"31-60 days",H639&lt;=90,"61-90 days",TRUE,"90+ days")</f>
        <v/>
      </c>
    </row>
    <row r="640">
      <c r="A640" t="inlineStr">
        <is>
          <t>INV0015006</t>
        </is>
      </c>
      <c r="B640" t="inlineStr">
        <is>
          <t>MER00708</t>
        </is>
      </c>
      <c r="C640">
        <f>XLOOKUP(B640,Merchants!$A$4:$A$1000,Merchants!$B$4:$B$1000,"Not found")</f>
        <v/>
      </c>
      <c r="D640">
        <f>XLOOKUP(A640,tblInvoices[invoice_id],tblInvoices[due_date])</f>
        <v/>
      </c>
      <c r="E640">
        <f>XLOOKUP(A640,tblInvoices[invoice_id],tblInvoices[total_invoice_amount])</f>
        <v/>
      </c>
      <c r="F640">
        <f>SUMIFS(tblPayments[payment_amount],tblPayments[invoice_id],A640,tblPayments[payment_status],"Success")</f>
        <v/>
      </c>
      <c r="G640">
        <f>MAX(0,E640-F640)</f>
        <v/>
      </c>
      <c r="H640">
        <f>DATE(2026,8,13)-D640</f>
        <v/>
      </c>
      <c r="I640">
        <f>IFS(G640=0,"Excluded (paid)",H640&lt;=0,"Current",H640&lt;=30,"1-30 days",H640&lt;=60,"31-60 days",H640&lt;=90,"61-90 days",TRUE,"90+ days")</f>
        <v/>
      </c>
    </row>
    <row r="641">
      <c r="A641" t="inlineStr">
        <is>
          <t>INV0015007</t>
        </is>
      </c>
      <c r="B641" t="inlineStr">
        <is>
          <t>MER00708</t>
        </is>
      </c>
      <c r="C641">
        <f>XLOOKUP(B641,Merchants!$A$4:$A$1000,Merchants!$B$4:$B$1000,"Not found")</f>
        <v/>
      </c>
      <c r="D641">
        <f>XLOOKUP(A641,tblInvoices[invoice_id],tblInvoices[due_date])</f>
        <v/>
      </c>
      <c r="E641">
        <f>XLOOKUP(A641,tblInvoices[invoice_id],tblInvoices[total_invoice_amount])</f>
        <v/>
      </c>
      <c r="F641">
        <f>SUMIFS(tblPayments[payment_amount],tblPayments[invoice_id],A641,tblPayments[payment_status],"Success")</f>
        <v/>
      </c>
      <c r="G641">
        <f>MAX(0,E641-F641)</f>
        <v/>
      </c>
      <c r="H641">
        <f>DATE(2026,8,13)-D641</f>
        <v/>
      </c>
      <c r="I641">
        <f>IFS(G641=0,"Excluded (paid)",H641&lt;=0,"Current",H641&lt;=30,"1-30 days",H641&lt;=60,"31-60 days",H641&lt;=90,"61-90 days",TRUE,"90+ days")</f>
        <v/>
      </c>
    </row>
    <row r="642">
      <c r="A642" t="inlineStr">
        <is>
          <t>INV0015008</t>
        </is>
      </c>
      <c r="B642" t="inlineStr">
        <is>
          <t>MER00708</t>
        </is>
      </c>
      <c r="C642">
        <f>XLOOKUP(B642,Merchants!$A$4:$A$1000,Merchants!$B$4:$B$1000,"Not found")</f>
        <v/>
      </c>
      <c r="D642">
        <f>XLOOKUP(A642,tblInvoices[invoice_id],tblInvoices[due_date])</f>
        <v/>
      </c>
      <c r="E642">
        <f>XLOOKUP(A642,tblInvoices[invoice_id],tblInvoices[total_invoice_amount])</f>
        <v/>
      </c>
      <c r="F642">
        <f>SUMIFS(tblPayments[payment_amount],tblPayments[invoice_id],A642,tblPayments[payment_status],"Success")</f>
        <v/>
      </c>
      <c r="G642">
        <f>MAX(0,E642-F642)</f>
        <v/>
      </c>
      <c r="H642">
        <f>DATE(2026,8,13)-D642</f>
        <v/>
      </c>
      <c r="I642">
        <f>IFS(G642=0,"Excluded (paid)",H642&lt;=0,"Current",H642&lt;=30,"1-30 days",H642&lt;=60,"31-60 days",H642&lt;=90,"61-90 days",TRUE,"90+ days")</f>
        <v/>
      </c>
    </row>
    <row r="643">
      <c r="A643" t="inlineStr">
        <is>
          <t>INV0015009</t>
        </is>
      </c>
      <c r="B643" t="inlineStr">
        <is>
          <t>MER00708</t>
        </is>
      </c>
      <c r="C643">
        <f>XLOOKUP(B643,Merchants!$A$4:$A$1000,Merchants!$B$4:$B$1000,"Not found")</f>
        <v/>
      </c>
      <c r="D643">
        <f>XLOOKUP(A643,tblInvoices[invoice_id],tblInvoices[due_date])</f>
        <v/>
      </c>
      <c r="E643">
        <f>XLOOKUP(A643,tblInvoices[invoice_id],tblInvoices[total_invoice_amount])</f>
        <v/>
      </c>
      <c r="F643">
        <f>SUMIFS(tblPayments[payment_amount],tblPayments[invoice_id],A643,tblPayments[payment_status],"Success")</f>
        <v/>
      </c>
      <c r="G643">
        <f>MAX(0,E643-F643)</f>
        <v/>
      </c>
      <c r="H643">
        <f>DATE(2026,8,13)-D643</f>
        <v/>
      </c>
      <c r="I643">
        <f>IFS(G643=0,"Excluded (paid)",H643&lt;=0,"Current",H643&lt;=30,"1-30 days",H643&lt;=60,"31-60 days",H643&lt;=90,"61-90 days",TRUE,"90+ days")</f>
        <v/>
      </c>
    </row>
    <row r="644">
      <c r="A644" t="inlineStr">
        <is>
          <t>INV0015010</t>
        </is>
      </c>
      <c r="B644" t="inlineStr">
        <is>
          <t>MER00709</t>
        </is>
      </c>
      <c r="C644">
        <f>XLOOKUP(B644,Merchants!$A$4:$A$1000,Merchants!$B$4:$B$1000,"Not found")</f>
        <v/>
      </c>
      <c r="D644">
        <f>XLOOKUP(A644,tblInvoices[invoice_id],tblInvoices[due_date])</f>
        <v/>
      </c>
      <c r="E644">
        <f>XLOOKUP(A644,tblInvoices[invoice_id],tblInvoices[total_invoice_amount])</f>
        <v/>
      </c>
      <c r="F644">
        <f>SUMIFS(tblPayments[payment_amount],tblPayments[invoice_id],A644,tblPayments[payment_status],"Success")</f>
        <v/>
      </c>
      <c r="G644">
        <f>MAX(0,E644-F644)</f>
        <v/>
      </c>
      <c r="H644">
        <f>DATE(2026,8,13)-D644</f>
        <v/>
      </c>
      <c r="I644">
        <f>IFS(G644=0,"Excluded (paid)",H644&lt;=0,"Current",H644&lt;=30,"1-30 days",H644&lt;=60,"31-60 days",H644&lt;=90,"61-90 days",TRUE,"90+ days")</f>
        <v/>
      </c>
    </row>
    <row r="645">
      <c r="A645" t="inlineStr">
        <is>
          <t>INV0015011</t>
        </is>
      </c>
      <c r="B645" t="inlineStr">
        <is>
          <t>MER00709</t>
        </is>
      </c>
      <c r="C645">
        <f>XLOOKUP(B645,Merchants!$A$4:$A$1000,Merchants!$B$4:$B$1000,"Not found")</f>
        <v/>
      </c>
      <c r="D645">
        <f>XLOOKUP(A645,tblInvoices[invoice_id],tblInvoices[due_date])</f>
        <v/>
      </c>
      <c r="E645">
        <f>XLOOKUP(A645,tblInvoices[invoice_id],tblInvoices[total_invoice_amount])</f>
        <v/>
      </c>
      <c r="F645">
        <f>SUMIFS(tblPayments[payment_amount],tblPayments[invoice_id],A645,tblPayments[payment_status],"Success")</f>
        <v/>
      </c>
      <c r="G645">
        <f>MAX(0,E645-F645)</f>
        <v/>
      </c>
      <c r="H645">
        <f>DATE(2026,8,13)-D645</f>
        <v/>
      </c>
      <c r="I645">
        <f>IFS(G645=0,"Excluded (paid)",H645&lt;=0,"Current",H645&lt;=30,"1-30 days",H645&lt;=60,"31-60 days",H645&lt;=90,"61-90 days",TRUE,"90+ days")</f>
        <v/>
      </c>
    </row>
    <row r="646">
      <c r="A646" t="inlineStr">
        <is>
          <t>INV0015012</t>
        </is>
      </c>
      <c r="B646" t="inlineStr">
        <is>
          <t>MER00709</t>
        </is>
      </c>
      <c r="C646">
        <f>XLOOKUP(B646,Merchants!$A$4:$A$1000,Merchants!$B$4:$B$1000,"Not found")</f>
        <v/>
      </c>
      <c r="D646">
        <f>XLOOKUP(A646,tblInvoices[invoice_id],tblInvoices[due_date])</f>
        <v/>
      </c>
      <c r="E646">
        <f>XLOOKUP(A646,tblInvoices[invoice_id],tblInvoices[total_invoice_amount])</f>
        <v/>
      </c>
      <c r="F646">
        <f>SUMIFS(tblPayments[payment_amount],tblPayments[invoice_id],A646,tblPayments[payment_status],"Success")</f>
        <v/>
      </c>
      <c r="G646">
        <f>MAX(0,E646-F646)</f>
        <v/>
      </c>
      <c r="H646">
        <f>DATE(2026,8,13)-D646</f>
        <v/>
      </c>
      <c r="I646">
        <f>IFS(G646=0,"Excluded (paid)",H646&lt;=0,"Current",H646&lt;=30,"1-30 days",H646&lt;=60,"31-60 days",H646&lt;=90,"61-90 days",TRUE,"90+ days")</f>
        <v/>
      </c>
    </row>
    <row r="647">
      <c r="A647" t="inlineStr">
        <is>
          <t>INV0015013</t>
        </is>
      </c>
      <c r="B647" t="inlineStr">
        <is>
          <t>MER00709</t>
        </is>
      </c>
      <c r="C647">
        <f>XLOOKUP(B647,Merchants!$A$4:$A$1000,Merchants!$B$4:$B$1000,"Not found")</f>
        <v/>
      </c>
      <c r="D647">
        <f>XLOOKUP(A647,tblInvoices[invoice_id],tblInvoices[due_date])</f>
        <v/>
      </c>
      <c r="E647">
        <f>XLOOKUP(A647,tblInvoices[invoice_id],tblInvoices[total_invoice_amount])</f>
        <v/>
      </c>
      <c r="F647">
        <f>SUMIFS(tblPayments[payment_amount],tblPayments[invoice_id],A647,tblPayments[payment_status],"Success")</f>
        <v/>
      </c>
      <c r="G647">
        <f>MAX(0,E647-F647)</f>
        <v/>
      </c>
      <c r="H647">
        <f>DATE(2026,8,13)-D647</f>
        <v/>
      </c>
      <c r="I647">
        <f>IFS(G647=0,"Excluded (paid)",H647&lt;=0,"Current",H647&lt;=30,"1-30 days",H647&lt;=60,"31-60 days",H647&lt;=90,"61-90 days",TRUE,"90+ days")</f>
        <v/>
      </c>
    </row>
    <row r="648">
      <c r="A648" t="inlineStr">
        <is>
          <t>INV0015014</t>
        </is>
      </c>
      <c r="B648" t="inlineStr">
        <is>
          <t>MER00709</t>
        </is>
      </c>
      <c r="C648">
        <f>XLOOKUP(B648,Merchants!$A$4:$A$1000,Merchants!$B$4:$B$1000,"Not found")</f>
        <v/>
      </c>
      <c r="D648">
        <f>XLOOKUP(A648,tblInvoices[invoice_id],tblInvoices[due_date])</f>
        <v/>
      </c>
      <c r="E648">
        <f>XLOOKUP(A648,tblInvoices[invoice_id],tblInvoices[total_invoice_amount])</f>
        <v/>
      </c>
      <c r="F648">
        <f>SUMIFS(tblPayments[payment_amount],tblPayments[invoice_id],A648,tblPayments[payment_status],"Success")</f>
        <v/>
      </c>
      <c r="G648">
        <f>MAX(0,E648-F648)</f>
        <v/>
      </c>
      <c r="H648">
        <f>DATE(2026,8,13)-D648</f>
        <v/>
      </c>
      <c r="I648">
        <f>IFS(G648=0,"Excluded (paid)",H648&lt;=0,"Current",H648&lt;=30,"1-30 days",H648&lt;=60,"31-60 days",H648&lt;=90,"61-90 days",TRUE,"90+ days")</f>
        <v/>
      </c>
    </row>
    <row r="649">
      <c r="A649" t="inlineStr">
        <is>
          <t>INV0015015</t>
        </is>
      </c>
      <c r="B649" t="inlineStr">
        <is>
          <t>MER00709</t>
        </is>
      </c>
      <c r="C649">
        <f>XLOOKUP(B649,Merchants!$A$4:$A$1000,Merchants!$B$4:$B$1000,"Not found")</f>
        <v/>
      </c>
      <c r="D649">
        <f>XLOOKUP(A649,tblInvoices[invoice_id],tblInvoices[due_date])</f>
        <v/>
      </c>
      <c r="E649">
        <f>XLOOKUP(A649,tblInvoices[invoice_id],tblInvoices[total_invoice_amount])</f>
        <v/>
      </c>
      <c r="F649">
        <f>SUMIFS(tblPayments[payment_amount],tblPayments[invoice_id],A649,tblPayments[payment_status],"Success")</f>
        <v/>
      </c>
      <c r="G649">
        <f>MAX(0,E649-F649)</f>
        <v/>
      </c>
      <c r="H649">
        <f>DATE(2026,8,13)-D649</f>
        <v/>
      </c>
      <c r="I649">
        <f>IFS(G649=0,"Excluded (paid)",H649&lt;=0,"Current",H649&lt;=30,"1-30 days",H649&lt;=60,"31-60 days",H649&lt;=90,"61-90 days",TRUE,"90+ days")</f>
        <v/>
      </c>
    </row>
    <row r="650">
      <c r="A650" t="inlineStr">
        <is>
          <t>INV0015016</t>
        </is>
      </c>
      <c r="B650" t="inlineStr">
        <is>
          <t>MER00709</t>
        </is>
      </c>
      <c r="C650">
        <f>XLOOKUP(B650,Merchants!$A$4:$A$1000,Merchants!$B$4:$B$1000,"Not found")</f>
        <v/>
      </c>
      <c r="D650">
        <f>XLOOKUP(A650,tblInvoices[invoice_id],tblInvoices[due_date])</f>
        <v/>
      </c>
      <c r="E650">
        <f>XLOOKUP(A650,tblInvoices[invoice_id],tblInvoices[total_invoice_amount])</f>
        <v/>
      </c>
      <c r="F650">
        <f>SUMIFS(tblPayments[payment_amount],tblPayments[invoice_id],A650,tblPayments[payment_status],"Success")</f>
        <v/>
      </c>
      <c r="G650">
        <f>MAX(0,E650-F650)</f>
        <v/>
      </c>
      <c r="H650">
        <f>DATE(2026,8,13)-D650</f>
        <v/>
      </c>
      <c r="I650">
        <f>IFS(G650=0,"Excluded (paid)",H650&lt;=0,"Current",H650&lt;=30,"1-30 days",H650&lt;=60,"31-60 days",H650&lt;=90,"61-90 days",TRUE,"90+ days")</f>
        <v/>
      </c>
    </row>
    <row r="651">
      <c r="A651" t="inlineStr">
        <is>
          <t>INV0015017</t>
        </is>
      </c>
      <c r="B651" t="inlineStr">
        <is>
          <t>MER00709</t>
        </is>
      </c>
      <c r="C651">
        <f>XLOOKUP(B651,Merchants!$A$4:$A$1000,Merchants!$B$4:$B$1000,"Not found")</f>
        <v/>
      </c>
      <c r="D651">
        <f>XLOOKUP(A651,tblInvoices[invoice_id],tblInvoices[due_date])</f>
        <v/>
      </c>
      <c r="E651">
        <f>XLOOKUP(A651,tblInvoices[invoice_id],tblInvoices[total_invoice_amount])</f>
        <v/>
      </c>
      <c r="F651">
        <f>SUMIFS(tblPayments[payment_amount],tblPayments[invoice_id],A651,tblPayments[payment_status],"Success")</f>
        <v/>
      </c>
      <c r="G651">
        <f>MAX(0,E651-F651)</f>
        <v/>
      </c>
      <c r="H651">
        <f>DATE(2026,8,13)-D651</f>
        <v/>
      </c>
      <c r="I651">
        <f>IFS(G651=0,"Excluded (paid)",H651&lt;=0,"Current",H651&lt;=30,"1-30 days",H651&lt;=60,"31-60 days",H651&lt;=90,"61-90 days",TRUE,"90+ days")</f>
        <v/>
      </c>
    </row>
    <row r="652">
      <c r="A652" t="inlineStr">
        <is>
          <t>INV0015018</t>
        </is>
      </c>
      <c r="B652" t="inlineStr">
        <is>
          <t>MER00709</t>
        </is>
      </c>
      <c r="C652">
        <f>XLOOKUP(B652,Merchants!$A$4:$A$1000,Merchants!$B$4:$B$1000,"Not found")</f>
        <v/>
      </c>
      <c r="D652">
        <f>XLOOKUP(A652,tblInvoices[invoice_id],tblInvoices[due_date])</f>
        <v/>
      </c>
      <c r="E652">
        <f>XLOOKUP(A652,tblInvoices[invoice_id],tblInvoices[total_invoice_amount])</f>
        <v/>
      </c>
      <c r="F652">
        <f>SUMIFS(tblPayments[payment_amount],tblPayments[invoice_id],A652,tblPayments[payment_status],"Success")</f>
        <v/>
      </c>
      <c r="G652">
        <f>MAX(0,E652-F652)</f>
        <v/>
      </c>
      <c r="H652">
        <f>DATE(2026,8,13)-D652</f>
        <v/>
      </c>
      <c r="I652">
        <f>IFS(G652=0,"Excluded (paid)",H652&lt;=0,"Current",H652&lt;=30,"1-30 days",H652&lt;=60,"31-60 days",H652&lt;=90,"61-90 days",TRUE,"90+ days")</f>
        <v/>
      </c>
    </row>
    <row r="653">
      <c r="A653" t="inlineStr">
        <is>
          <t>INV0015019</t>
        </is>
      </c>
      <c r="B653" t="inlineStr">
        <is>
          <t>MER00709</t>
        </is>
      </c>
      <c r="C653">
        <f>XLOOKUP(B653,Merchants!$A$4:$A$1000,Merchants!$B$4:$B$1000,"Not found")</f>
        <v/>
      </c>
      <c r="D653">
        <f>XLOOKUP(A653,tblInvoices[invoice_id],tblInvoices[due_date])</f>
        <v/>
      </c>
      <c r="E653">
        <f>XLOOKUP(A653,tblInvoices[invoice_id],tblInvoices[total_invoice_amount])</f>
        <v/>
      </c>
      <c r="F653">
        <f>SUMIFS(tblPayments[payment_amount],tblPayments[invoice_id],A653,tblPayments[payment_status],"Success")</f>
        <v/>
      </c>
      <c r="G653">
        <f>MAX(0,E653-F653)</f>
        <v/>
      </c>
      <c r="H653">
        <f>DATE(2026,8,13)-D653</f>
        <v/>
      </c>
      <c r="I653">
        <f>IFS(G653=0,"Excluded (paid)",H653&lt;=0,"Current",H653&lt;=30,"1-30 days",H653&lt;=60,"31-60 days",H653&lt;=90,"61-90 days",TRUE,"90+ days")</f>
        <v/>
      </c>
    </row>
    <row r="654">
      <c r="A654" t="inlineStr">
        <is>
          <t>INV0015020</t>
        </is>
      </c>
      <c r="B654" t="inlineStr">
        <is>
          <t>MER00709</t>
        </is>
      </c>
      <c r="C654">
        <f>XLOOKUP(B654,Merchants!$A$4:$A$1000,Merchants!$B$4:$B$1000,"Not found")</f>
        <v/>
      </c>
      <c r="D654">
        <f>XLOOKUP(A654,tblInvoices[invoice_id],tblInvoices[due_date])</f>
        <v/>
      </c>
      <c r="E654">
        <f>XLOOKUP(A654,tblInvoices[invoice_id],tblInvoices[total_invoice_amount])</f>
        <v/>
      </c>
      <c r="F654">
        <f>SUMIFS(tblPayments[payment_amount],tblPayments[invoice_id],A654,tblPayments[payment_status],"Success")</f>
        <v/>
      </c>
      <c r="G654">
        <f>MAX(0,E654-F654)</f>
        <v/>
      </c>
      <c r="H654">
        <f>DATE(2026,8,13)-D654</f>
        <v/>
      </c>
      <c r="I654">
        <f>IFS(G654=0,"Excluded (paid)",H654&lt;=0,"Current",H654&lt;=30,"1-30 days",H654&lt;=60,"31-60 days",H654&lt;=90,"61-90 days",TRUE,"90+ days")</f>
        <v/>
      </c>
    </row>
    <row r="655">
      <c r="A655" t="inlineStr">
        <is>
          <t>INV0015021</t>
        </is>
      </c>
      <c r="B655" t="inlineStr">
        <is>
          <t>MER00709</t>
        </is>
      </c>
      <c r="C655">
        <f>XLOOKUP(B655,Merchants!$A$4:$A$1000,Merchants!$B$4:$B$1000,"Not found")</f>
        <v/>
      </c>
      <c r="D655">
        <f>XLOOKUP(A655,tblInvoices[invoice_id],tblInvoices[due_date])</f>
        <v/>
      </c>
      <c r="E655">
        <f>XLOOKUP(A655,tblInvoices[invoice_id],tblInvoices[total_invoice_amount])</f>
        <v/>
      </c>
      <c r="F655">
        <f>SUMIFS(tblPayments[payment_amount],tblPayments[invoice_id],A655,tblPayments[payment_status],"Success")</f>
        <v/>
      </c>
      <c r="G655">
        <f>MAX(0,E655-F655)</f>
        <v/>
      </c>
      <c r="H655">
        <f>DATE(2026,8,13)-D655</f>
        <v/>
      </c>
      <c r="I655">
        <f>IFS(G655=0,"Excluded (paid)",H655&lt;=0,"Current",H655&lt;=30,"1-30 days",H655&lt;=60,"31-60 days",H655&lt;=90,"61-90 days",TRUE,"90+ days")</f>
        <v/>
      </c>
    </row>
    <row r="656">
      <c r="A656" t="inlineStr">
        <is>
          <t>INV0015022</t>
        </is>
      </c>
      <c r="B656" t="inlineStr">
        <is>
          <t>MER00709</t>
        </is>
      </c>
      <c r="C656">
        <f>XLOOKUP(B656,Merchants!$A$4:$A$1000,Merchants!$B$4:$B$1000,"Not found")</f>
        <v/>
      </c>
      <c r="D656">
        <f>XLOOKUP(A656,tblInvoices[invoice_id],tblInvoices[due_date])</f>
        <v/>
      </c>
      <c r="E656">
        <f>XLOOKUP(A656,tblInvoices[invoice_id],tblInvoices[total_invoice_amount])</f>
        <v/>
      </c>
      <c r="F656">
        <f>SUMIFS(tblPayments[payment_amount],tblPayments[invoice_id],A656,tblPayments[payment_status],"Success")</f>
        <v/>
      </c>
      <c r="G656">
        <f>MAX(0,E656-F656)</f>
        <v/>
      </c>
      <c r="H656">
        <f>DATE(2026,8,13)-D656</f>
        <v/>
      </c>
      <c r="I656">
        <f>IFS(G656=0,"Excluded (paid)",H656&lt;=0,"Current",H656&lt;=30,"1-30 days",H656&lt;=60,"31-60 days",H656&lt;=90,"61-90 days",TRUE,"90+ days")</f>
        <v/>
      </c>
    </row>
    <row r="657">
      <c r="A657" t="inlineStr">
        <is>
          <t>INV0015023</t>
        </is>
      </c>
      <c r="B657" t="inlineStr">
        <is>
          <t>MER00709</t>
        </is>
      </c>
      <c r="C657">
        <f>XLOOKUP(B657,Merchants!$A$4:$A$1000,Merchants!$B$4:$B$1000,"Not found")</f>
        <v/>
      </c>
      <c r="D657">
        <f>XLOOKUP(A657,tblInvoices[invoice_id],tblInvoices[due_date])</f>
        <v/>
      </c>
      <c r="E657">
        <f>XLOOKUP(A657,tblInvoices[invoice_id],tblInvoices[total_invoice_amount])</f>
        <v/>
      </c>
      <c r="F657">
        <f>SUMIFS(tblPayments[payment_amount],tblPayments[invoice_id],A657,tblPayments[payment_status],"Success")</f>
        <v/>
      </c>
      <c r="G657">
        <f>MAX(0,E657-F657)</f>
        <v/>
      </c>
      <c r="H657">
        <f>DATE(2026,8,13)-D657</f>
        <v/>
      </c>
      <c r="I657">
        <f>IFS(G657=0,"Excluded (paid)",H657&lt;=0,"Current",H657&lt;=30,"1-30 days",H657&lt;=60,"31-60 days",H657&lt;=90,"61-90 days",TRUE,"90+ days")</f>
        <v/>
      </c>
    </row>
    <row r="658">
      <c r="A658" t="inlineStr">
        <is>
          <t>INV0015024</t>
        </is>
      </c>
      <c r="B658" t="inlineStr">
        <is>
          <t>MER00709</t>
        </is>
      </c>
      <c r="C658">
        <f>XLOOKUP(B658,Merchants!$A$4:$A$1000,Merchants!$B$4:$B$1000,"Not found")</f>
        <v/>
      </c>
      <c r="D658">
        <f>XLOOKUP(A658,tblInvoices[invoice_id],tblInvoices[due_date])</f>
        <v/>
      </c>
      <c r="E658">
        <f>XLOOKUP(A658,tblInvoices[invoice_id],tblInvoices[total_invoice_amount])</f>
        <v/>
      </c>
      <c r="F658">
        <f>SUMIFS(tblPayments[payment_amount],tblPayments[invoice_id],A658,tblPayments[payment_status],"Success")</f>
        <v/>
      </c>
      <c r="G658">
        <f>MAX(0,E658-F658)</f>
        <v/>
      </c>
      <c r="H658">
        <f>DATE(2026,8,13)-D658</f>
        <v/>
      </c>
      <c r="I658">
        <f>IFS(G658=0,"Excluded (paid)",H658&lt;=0,"Current",H658&lt;=30,"1-30 days",H658&lt;=60,"31-60 days",H658&lt;=90,"61-90 days",TRUE,"90+ days")</f>
        <v/>
      </c>
    </row>
    <row r="659">
      <c r="A659" t="inlineStr">
        <is>
          <t>INV0015025</t>
        </is>
      </c>
      <c r="B659" t="inlineStr">
        <is>
          <t>MER00709</t>
        </is>
      </c>
      <c r="C659">
        <f>XLOOKUP(B659,Merchants!$A$4:$A$1000,Merchants!$B$4:$B$1000,"Not found")</f>
        <v/>
      </c>
      <c r="D659">
        <f>XLOOKUP(A659,tblInvoices[invoice_id],tblInvoices[due_date])</f>
        <v/>
      </c>
      <c r="E659">
        <f>XLOOKUP(A659,tblInvoices[invoice_id],tblInvoices[total_invoice_amount])</f>
        <v/>
      </c>
      <c r="F659">
        <f>SUMIFS(tblPayments[payment_amount],tblPayments[invoice_id],A659,tblPayments[payment_status],"Success")</f>
        <v/>
      </c>
      <c r="G659">
        <f>MAX(0,E659-F659)</f>
        <v/>
      </c>
      <c r="H659">
        <f>DATE(2026,8,13)-D659</f>
        <v/>
      </c>
      <c r="I659">
        <f>IFS(G659=0,"Excluded (paid)",H659&lt;=0,"Current",H659&lt;=30,"1-30 days",H659&lt;=60,"31-60 days",H659&lt;=90,"61-90 days",TRUE,"90+ days")</f>
        <v/>
      </c>
    </row>
    <row r="660">
      <c r="A660" t="inlineStr">
        <is>
          <t>INV0015026</t>
        </is>
      </c>
      <c r="B660" t="inlineStr">
        <is>
          <t>MER00709</t>
        </is>
      </c>
      <c r="C660">
        <f>XLOOKUP(B660,Merchants!$A$4:$A$1000,Merchants!$B$4:$B$1000,"Not found")</f>
        <v/>
      </c>
      <c r="D660">
        <f>XLOOKUP(A660,tblInvoices[invoice_id],tblInvoices[due_date])</f>
        <v/>
      </c>
      <c r="E660">
        <f>XLOOKUP(A660,tblInvoices[invoice_id],tblInvoices[total_invoice_amount])</f>
        <v/>
      </c>
      <c r="F660">
        <f>SUMIFS(tblPayments[payment_amount],tblPayments[invoice_id],A660,tblPayments[payment_status],"Success")</f>
        <v/>
      </c>
      <c r="G660">
        <f>MAX(0,E660-F660)</f>
        <v/>
      </c>
      <c r="H660">
        <f>DATE(2026,8,13)-D660</f>
        <v/>
      </c>
      <c r="I660">
        <f>IFS(G660=0,"Excluded (paid)",H660&lt;=0,"Current",H660&lt;=30,"1-30 days",H660&lt;=60,"31-60 days",H660&lt;=90,"61-90 days",TRUE,"90+ days")</f>
        <v/>
      </c>
    </row>
    <row r="661">
      <c r="A661" t="inlineStr">
        <is>
          <t>INV0015027</t>
        </is>
      </c>
      <c r="B661" t="inlineStr">
        <is>
          <t>MER00709</t>
        </is>
      </c>
      <c r="C661">
        <f>XLOOKUP(B661,Merchants!$A$4:$A$1000,Merchants!$B$4:$B$1000,"Not found")</f>
        <v/>
      </c>
      <c r="D661">
        <f>XLOOKUP(A661,tblInvoices[invoice_id],tblInvoices[due_date])</f>
        <v/>
      </c>
      <c r="E661">
        <f>XLOOKUP(A661,tblInvoices[invoice_id],tblInvoices[total_invoice_amount])</f>
        <v/>
      </c>
      <c r="F661">
        <f>SUMIFS(tblPayments[payment_amount],tblPayments[invoice_id],A661,tblPayments[payment_status],"Success")</f>
        <v/>
      </c>
      <c r="G661">
        <f>MAX(0,E661-F661)</f>
        <v/>
      </c>
      <c r="H661">
        <f>DATE(2026,8,13)-D661</f>
        <v/>
      </c>
      <c r="I661">
        <f>IFS(G661=0,"Excluded (paid)",H661&lt;=0,"Current",H661&lt;=30,"1-30 days",H661&lt;=60,"31-60 days",H661&lt;=90,"61-90 days",TRUE,"90+ days")</f>
        <v/>
      </c>
    </row>
    <row r="662">
      <c r="A662" t="inlineStr">
        <is>
          <t>INV0015028</t>
        </is>
      </c>
      <c r="B662" t="inlineStr">
        <is>
          <t>MER00709</t>
        </is>
      </c>
      <c r="C662">
        <f>XLOOKUP(B662,Merchants!$A$4:$A$1000,Merchants!$B$4:$B$1000,"Not found")</f>
        <v/>
      </c>
      <c r="D662">
        <f>XLOOKUP(A662,tblInvoices[invoice_id],tblInvoices[due_date])</f>
        <v/>
      </c>
      <c r="E662">
        <f>XLOOKUP(A662,tblInvoices[invoice_id],tblInvoices[total_invoice_amount])</f>
        <v/>
      </c>
      <c r="F662">
        <f>SUMIFS(tblPayments[payment_amount],tblPayments[invoice_id],A662,tblPayments[payment_status],"Success")</f>
        <v/>
      </c>
      <c r="G662">
        <f>MAX(0,E662-F662)</f>
        <v/>
      </c>
      <c r="H662">
        <f>DATE(2026,8,13)-D662</f>
        <v/>
      </c>
      <c r="I662">
        <f>IFS(G662=0,"Excluded (paid)",H662&lt;=0,"Current",H662&lt;=30,"1-30 days",H662&lt;=60,"31-60 days",H662&lt;=90,"61-90 days",TRUE,"90+ days")</f>
        <v/>
      </c>
    </row>
    <row r="663">
      <c r="A663" t="inlineStr">
        <is>
          <t>INV0015029</t>
        </is>
      </c>
      <c r="B663" t="inlineStr">
        <is>
          <t>MER00709</t>
        </is>
      </c>
      <c r="C663">
        <f>XLOOKUP(B663,Merchants!$A$4:$A$1000,Merchants!$B$4:$B$1000,"Not found")</f>
        <v/>
      </c>
      <c r="D663">
        <f>XLOOKUP(A663,tblInvoices[invoice_id],tblInvoices[due_date])</f>
        <v/>
      </c>
      <c r="E663">
        <f>XLOOKUP(A663,tblInvoices[invoice_id],tblInvoices[total_invoice_amount])</f>
        <v/>
      </c>
      <c r="F663">
        <f>SUMIFS(tblPayments[payment_amount],tblPayments[invoice_id],A663,tblPayments[payment_status],"Success")</f>
        <v/>
      </c>
      <c r="G663">
        <f>MAX(0,E663-F663)</f>
        <v/>
      </c>
      <c r="H663">
        <f>DATE(2026,8,13)-D663</f>
        <v/>
      </c>
      <c r="I663">
        <f>IFS(G663=0,"Excluded (paid)",H663&lt;=0,"Current",H663&lt;=30,"1-30 days",H663&lt;=60,"31-60 days",H663&lt;=90,"61-90 days",TRUE,"90+ days")</f>
        <v/>
      </c>
    </row>
    <row r="664">
      <c r="A664" t="inlineStr">
        <is>
          <t>INV0015030</t>
        </is>
      </c>
      <c r="B664" t="inlineStr">
        <is>
          <t>MER00709</t>
        </is>
      </c>
      <c r="C664">
        <f>XLOOKUP(B664,Merchants!$A$4:$A$1000,Merchants!$B$4:$B$1000,"Not found")</f>
        <v/>
      </c>
      <c r="D664">
        <f>XLOOKUP(A664,tblInvoices[invoice_id],tblInvoices[due_date])</f>
        <v/>
      </c>
      <c r="E664">
        <f>XLOOKUP(A664,tblInvoices[invoice_id],tblInvoices[total_invoice_amount])</f>
        <v/>
      </c>
      <c r="F664">
        <f>SUMIFS(tblPayments[payment_amount],tblPayments[invoice_id],A664,tblPayments[payment_status],"Success")</f>
        <v/>
      </c>
      <c r="G664">
        <f>MAX(0,E664-F664)</f>
        <v/>
      </c>
      <c r="H664">
        <f>DATE(2026,8,13)-D664</f>
        <v/>
      </c>
      <c r="I664">
        <f>IFS(G664=0,"Excluded (paid)",H664&lt;=0,"Current",H664&lt;=30,"1-30 days",H664&lt;=60,"31-60 days",H664&lt;=90,"61-90 days",TRUE,"90+ days")</f>
        <v/>
      </c>
    </row>
    <row r="665">
      <c r="A665" t="inlineStr">
        <is>
          <t>INV0015031</t>
        </is>
      </c>
      <c r="B665" t="inlineStr">
        <is>
          <t>MER00709</t>
        </is>
      </c>
      <c r="C665">
        <f>XLOOKUP(B665,Merchants!$A$4:$A$1000,Merchants!$B$4:$B$1000,"Not found")</f>
        <v/>
      </c>
      <c r="D665">
        <f>XLOOKUP(A665,tblInvoices[invoice_id],tblInvoices[due_date])</f>
        <v/>
      </c>
      <c r="E665">
        <f>XLOOKUP(A665,tblInvoices[invoice_id],tblInvoices[total_invoice_amount])</f>
        <v/>
      </c>
      <c r="F665">
        <f>SUMIFS(tblPayments[payment_amount],tblPayments[invoice_id],A665,tblPayments[payment_status],"Success")</f>
        <v/>
      </c>
      <c r="G665">
        <f>MAX(0,E665-F665)</f>
        <v/>
      </c>
      <c r="H665">
        <f>DATE(2026,8,13)-D665</f>
        <v/>
      </c>
      <c r="I665">
        <f>IFS(G665=0,"Excluded (paid)",H665&lt;=0,"Current",H665&lt;=30,"1-30 days",H665&lt;=60,"31-60 days",H665&lt;=90,"61-90 days",TRUE,"90+ days")</f>
        <v/>
      </c>
    </row>
    <row r="666">
      <c r="A666" t="inlineStr">
        <is>
          <t>INV0015032</t>
        </is>
      </c>
      <c r="B666" t="inlineStr">
        <is>
          <t>MER00709</t>
        </is>
      </c>
      <c r="C666">
        <f>XLOOKUP(B666,Merchants!$A$4:$A$1000,Merchants!$B$4:$B$1000,"Not found")</f>
        <v/>
      </c>
      <c r="D666">
        <f>XLOOKUP(A666,tblInvoices[invoice_id],tblInvoices[due_date])</f>
        <v/>
      </c>
      <c r="E666">
        <f>XLOOKUP(A666,tblInvoices[invoice_id],tblInvoices[total_invoice_amount])</f>
        <v/>
      </c>
      <c r="F666">
        <f>SUMIFS(tblPayments[payment_amount],tblPayments[invoice_id],A666,tblPayments[payment_status],"Success")</f>
        <v/>
      </c>
      <c r="G666">
        <f>MAX(0,E666-F666)</f>
        <v/>
      </c>
      <c r="H666">
        <f>DATE(2026,8,13)-D666</f>
        <v/>
      </c>
      <c r="I666">
        <f>IFS(G666=0,"Excluded (paid)",H666&lt;=0,"Current",H666&lt;=30,"1-30 days",H666&lt;=60,"31-60 days",H666&lt;=90,"61-90 days",TRUE,"90+ days")</f>
        <v/>
      </c>
    </row>
    <row r="667">
      <c r="A667" t="inlineStr">
        <is>
          <t>INV0015046</t>
        </is>
      </c>
      <c r="B667" t="inlineStr">
        <is>
          <t>MER00711</t>
        </is>
      </c>
      <c r="C667">
        <f>XLOOKUP(B667,Merchants!$A$4:$A$1000,Merchants!$B$4:$B$1000,"Not found")</f>
        <v/>
      </c>
      <c r="D667">
        <f>XLOOKUP(A667,tblInvoices[invoice_id],tblInvoices[due_date])</f>
        <v/>
      </c>
      <c r="E667">
        <f>XLOOKUP(A667,tblInvoices[invoice_id],tblInvoices[total_invoice_amount])</f>
        <v/>
      </c>
      <c r="F667">
        <f>SUMIFS(tblPayments[payment_amount],tblPayments[invoice_id],A667,tblPayments[payment_status],"Success")</f>
        <v/>
      </c>
      <c r="G667">
        <f>MAX(0,E667-F667)</f>
        <v/>
      </c>
      <c r="H667">
        <f>DATE(2026,8,13)-D667</f>
        <v/>
      </c>
      <c r="I667">
        <f>IFS(G667=0,"Excluded (paid)",H667&lt;=0,"Current",H667&lt;=30,"1-30 days",H667&lt;=60,"31-60 days",H667&lt;=90,"61-90 days",TRUE,"90+ days")</f>
        <v/>
      </c>
    </row>
    <row r="668">
      <c r="A668" t="inlineStr">
        <is>
          <t>INV0015047</t>
        </is>
      </c>
      <c r="B668" t="inlineStr">
        <is>
          <t>MER00711</t>
        </is>
      </c>
      <c r="C668">
        <f>XLOOKUP(B668,Merchants!$A$4:$A$1000,Merchants!$B$4:$B$1000,"Not found")</f>
        <v/>
      </c>
      <c r="D668">
        <f>XLOOKUP(A668,tblInvoices[invoice_id],tblInvoices[due_date])</f>
        <v/>
      </c>
      <c r="E668">
        <f>XLOOKUP(A668,tblInvoices[invoice_id],tblInvoices[total_invoice_amount])</f>
        <v/>
      </c>
      <c r="F668">
        <f>SUMIFS(tblPayments[payment_amount],tblPayments[invoice_id],A668,tblPayments[payment_status],"Success")</f>
        <v/>
      </c>
      <c r="G668">
        <f>MAX(0,E668-F668)</f>
        <v/>
      </c>
      <c r="H668">
        <f>DATE(2026,8,13)-D668</f>
        <v/>
      </c>
      <c r="I668">
        <f>IFS(G668=0,"Excluded (paid)",H668&lt;=0,"Current",H668&lt;=30,"1-30 days",H668&lt;=60,"31-60 days",H668&lt;=90,"61-90 days",TRUE,"90+ days")</f>
        <v/>
      </c>
    </row>
    <row r="669">
      <c r="A669" t="inlineStr">
        <is>
          <t>INV0015048</t>
        </is>
      </c>
      <c r="B669" t="inlineStr">
        <is>
          <t>MER00711</t>
        </is>
      </c>
      <c r="C669">
        <f>XLOOKUP(B669,Merchants!$A$4:$A$1000,Merchants!$B$4:$B$1000,"Not found")</f>
        <v/>
      </c>
      <c r="D669">
        <f>XLOOKUP(A669,tblInvoices[invoice_id],tblInvoices[due_date])</f>
        <v/>
      </c>
      <c r="E669">
        <f>XLOOKUP(A669,tblInvoices[invoice_id],tblInvoices[total_invoice_amount])</f>
        <v/>
      </c>
      <c r="F669">
        <f>SUMIFS(tblPayments[payment_amount],tblPayments[invoice_id],A669,tblPayments[payment_status],"Success")</f>
        <v/>
      </c>
      <c r="G669">
        <f>MAX(0,E669-F669)</f>
        <v/>
      </c>
      <c r="H669">
        <f>DATE(2026,8,13)-D669</f>
        <v/>
      </c>
      <c r="I669">
        <f>IFS(G669=0,"Excluded (paid)",H669&lt;=0,"Current",H669&lt;=30,"1-30 days",H669&lt;=60,"31-60 days",H669&lt;=90,"61-90 days",TRUE,"90+ days")</f>
        <v/>
      </c>
    </row>
    <row r="670">
      <c r="A670" t="inlineStr">
        <is>
          <t>INV0015049</t>
        </is>
      </c>
      <c r="B670" t="inlineStr">
        <is>
          <t>MER00711</t>
        </is>
      </c>
      <c r="C670">
        <f>XLOOKUP(B670,Merchants!$A$4:$A$1000,Merchants!$B$4:$B$1000,"Not found")</f>
        <v/>
      </c>
      <c r="D670">
        <f>XLOOKUP(A670,tblInvoices[invoice_id],tblInvoices[due_date])</f>
        <v/>
      </c>
      <c r="E670">
        <f>XLOOKUP(A670,tblInvoices[invoice_id],tblInvoices[total_invoice_amount])</f>
        <v/>
      </c>
      <c r="F670">
        <f>SUMIFS(tblPayments[payment_amount],tblPayments[invoice_id],A670,tblPayments[payment_status],"Success")</f>
        <v/>
      </c>
      <c r="G670">
        <f>MAX(0,E670-F670)</f>
        <v/>
      </c>
      <c r="H670">
        <f>DATE(2026,8,13)-D670</f>
        <v/>
      </c>
      <c r="I670">
        <f>IFS(G670=0,"Excluded (paid)",H670&lt;=0,"Current",H670&lt;=30,"1-30 days",H670&lt;=60,"31-60 days",H670&lt;=90,"61-90 days",TRUE,"90+ days")</f>
        <v/>
      </c>
    </row>
    <row r="671">
      <c r="A671" t="inlineStr">
        <is>
          <t>INV0015050</t>
        </is>
      </c>
      <c r="B671" t="inlineStr">
        <is>
          <t>MER00711</t>
        </is>
      </c>
      <c r="C671">
        <f>XLOOKUP(B671,Merchants!$A$4:$A$1000,Merchants!$B$4:$B$1000,"Not found")</f>
        <v/>
      </c>
      <c r="D671">
        <f>XLOOKUP(A671,tblInvoices[invoice_id],tblInvoices[due_date])</f>
        <v/>
      </c>
      <c r="E671">
        <f>XLOOKUP(A671,tblInvoices[invoice_id],tblInvoices[total_invoice_amount])</f>
        <v/>
      </c>
      <c r="F671">
        <f>SUMIFS(tblPayments[payment_amount],tblPayments[invoice_id],A671,tblPayments[payment_status],"Success")</f>
        <v/>
      </c>
      <c r="G671">
        <f>MAX(0,E671-F671)</f>
        <v/>
      </c>
      <c r="H671">
        <f>DATE(2026,8,13)-D671</f>
        <v/>
      </c>
      <c r="I671">
        <f>IFS(G671=0,"Excluded (paid)",H671&lt;=0,"Current",H671&lt;=30,"1-30 days",H671&lt;=60,"31-60 days",H671&lt;=90,"61-90 days",TRUE,"90+ days")</f>
        <v/>
      </c>
    </row>
    <row r="672">
      <c r="A672" t="inlineStr">
        <is>
          <t>INV0015051</t>
        </is>
      </c>
      <c r="B672" t="inlineStr">
        <is>
          <t>MER00711</t>
        </is>
      </c>
      <c r="C672">
        <f>XLOOKUP(B672,Merchants!$A$4:$A$1000,Merchants!$B$4:$B$1000,"Not found")</f>
        <v/>
      </c>
      <c r="D672">
        <f>XLOOKUP(A672,tblInvoices[invoice_id],tblInvoices[due_date])</f>
        <v/>
      </c>
      <c r="E672">
        <f>XLOOKUP(A672,tblInvoices[invoice_id],tblInvoices[total_invoice_amount])</f>
        <v/>
      </c>
      <c r="F672">
        <f>SUMIFS(tblPayments[payment_amount],tblPayments[invoice_id],A672,tblPayments[payment_status],"Success")</f>
        <v/>
      </c>
      <c r="G672">
        <f>MAX(0,E672-F672)</f>
        <v/>
      </c>
      <c r="H672">
        <f>DATE(2026,8,13)-D672</f>
        <v/>
      </c>
      <c r="I672">
        <f>IFS(G672=0,"Excluded (paid)",H672&lt;=0,"Current",H672&lt;=30,"1-30 days",H672&lt;=60,"31-60 days",H672&lt;=90,"61-90 days",TRUE,"90+ days")</f>
        <v/>
      </c>
    </row>
    <row r="673">
      <c r="A673" t="inlineStr">
        <is>
          <t>INV0015052</t>
        </is>
      </c>
      <c r="B673" t="inlineStr">
        <is>
          <t>MER00711</t>
        </is>
      </c>
      <c r="C673">
        <f>XLOOKUP(B673,Merchants!$A$4:$A$1000,Merchants!$B$4:$B$1000,"Not found")</f>
        <v/>
      </c>
      <c r="D673">
        <f>XLOOKUP(A673,tblInvoices[invoice_id],tblInvoices[due_date])</f>
        <v/>
      </c>
      <c r="E673">
        <f>XLOOKUP(A673,tblInvoices[invoice_id],tblInvoices[total_invoice_amount])</f>
        <v/>
      </c>
      <c r="F673">
        <f>SUMIFS(tblPayments[payment_amount],tblPayments[invoice_id],A673,tblPayments[payment_status],"Success")</f>
        <v/>
      </c>
      <c r="G673">
        <f>MAX(0,E673-F673)</f>
        <v/>
      </c>
      <c r="H673">
        <f>DATE(2026,8,13)-D673</f>
        <v/>
      </c>
      <c r="I673">
        <f>IFS(G673=0,"Excluded (paid)",H673&lt;=0,"Current",H673&lt;=30,"1-30 days",H673&lt;=60,"31-60 days",H673&lt;=90,"61-90 days",TRUE,"90+ days")</f>
        <v/>
      </c>
    </row>
    <row r="674">
      <c r="A674" t="inlineStr">
        <is>
          <t>INV0015053</t>
        </is>
      </c>
      <c r="B674" t="inlineStr">
        <is>
          <t>MER00711</t>
        </is>
      </c>
      <c r="C674">
        <f>XLOOKUP(B674,Merchants!$A$4:$A$1000,Merchants!$B$4:$B$1000,"Not found")</f>
        <v/>
      </c>
      <c r="D674">
        <f>XLOOKUP(A674,tblInvoices[invoice_id],tblInvoices[due_date])</f>
        <v/>
      </c>
      <c r="E674">
        <f>XLOOKUP(A674,tblInvoices[invoice_id],tblInvoices[total_invoice_amount])</f>
        <v/>
      </c>
      <c r="F674">
        <f>SUMIFS(tblPayments[payment_amount],tblPayments[invoice_id],A674,tblPayments[payment_status],"Success")</f>
        <v/>
      </c>
      <c r="G674">
        <f>MAX(0,E674-F674)</f>
        <v/>
      </c>
      <c r="H674">
        <f>DATE(2026,8,13)-D674</f>
        <v/>
      </c>
      <c r="I674">
        <f>IFS(G674=0,"Excluded (paid)",H674&lt;=0,"Current",H674&lt;=30,"1-30 days",H674&lt;=60,"31-60 days",H674&lt;=90,"61-90 days",TRUE,"90+ days")</f>
        <v/>
      </c>
    </row>
    <row r="675">
      <c r="A675" t="inlineStr">
        <is>
          <t>INV0015054</t>
        </is>
      </c>
      <c r="B675" t="inlineStr">
        <is>
          <t>MER00711</t>
        </is>
      </c>
      <c r="C675">
        <f>XLOOKUP(B675,Merchants!$A$4:$A$1000,Merchants!$B$4:$B$1000,"Not found")</f>
        <v/>
      </c>
      <c r="D675">
        <f>XLOOKUP(A675,tblInvoices[invoice_id],tblInvoices[due_date])</f>
        <v/>
      </c>
      <c r="E675">
        <f>XLOOKUP(A675,tblInvoices[invoice_id],tblInvoices[total_invoice_amount])</f>
        <v/>
      </c>
      <c r="F675">
        <f>SUMIFS(tblPayments[payment_amount],tblPayments[invoice_id],A675,tblPayments[payment_status],"Success")</f>
        <v/>
      </c>
      <c r="G675">
        <f>MAX(0,E675-F675)</f>
        <v/>
      </c>
      <c r="H675">
        <f>DATE(2026,8,13)-D675</f>
        <v/>
      </c>
      <c r="I675">
        <f>IFS(G675=0,"Excluded (paid)",H675&lt;=0,"Current",H675&lt;=30,"1-30 days",H675&lt;=60,"31-60 days",H675&lt;=90,"61-90 days",TRUE,"90+ days")</f>
        <v/>
      </c>
    </row>
    <row r="676">
      <c r="A676" t="inlineStr">
        <is>
          <t>INV0015055</t>
        </is>
      </c>
      <c r="B676" t="inlineStr">
        <is>
          <t>MER00711</t>
        </is>
      </c>
      <c r="C676">
        <f>XLOOKUP(B676,Merchants!$A$4:$A$1000,Merchants!$B$4:$B$1000,"Not found")</f>
        <v/>
      </c>
      <c r="D676">
        <f>XLOOKUP(A676,tblInvoices[invoice_id],tblInvoices[due_date])</f>
        <v/>
      </c>
      <c r="E676">
        <f>XLOOKUP(A676,tblInvoices[invoice_id],tblInvoices[total_invoice_amount])</f>
        <v/>
      </c>
      <c r="F676">
        <f>SUMIFS(tblPayments[payment_amount],tblPayments[invoice_id],A676,tblPayments[payment_status],"Success")</f>
        <v/>
      </c>
      <c r="G676">
        <f>MAX(0,E676-F676)</f>
        <v/>
      </c>
      <c r="H676">
        <f>DATE(2026,8,13)-D676</f>
        <v/>
      </c>
      <c r="I676">
        <f>IFS(G676=0,"Excluded (paid)",H676&lt;=0,"Current",H676&lt;=30,"1-30 days",H676&lt;=60,"31-60 days",H676&lt;=90,"61-90 days",TRUE,"90+ days")</f>
        <v/>
      </c>
    </row>
    <row r="677">
      <c r="A677" t="inlineStr">
        <is>
          <t>INV0015056</t>
        </is>
      </c>
      <c r="B677" t="inlineStr">
        <is>
          <t>MER00711</t>
        </is>
      </c>
      <c r="C677">
        <f>XLOOKUP(B677,Merchants!$A$4:$A$1000,Merchants!$B$4:$B$1000,"Not found")</f>
        <v/>
      </c>
      <c r="D677">
        <f>XLOOKUP(A677,tblInvoices[invoice_id],tblInvoices[due_date])</f>
        <v/>
      </c>
      <c r="E677">
        <f>XLOOKUP(A677,tblInvoices[invoice_id],tblInvoices[total_invoice_amount])</f>
        <v/>
      </c>
      <c r="F677">
        <f>SUMIFS(tblPayments[payment_amount],tblPayments[invoice_id],A677,tblPayments[payment_status],"Success")</f>
        <v/>
      </c>
      <c r="G677">
        <f>MAX(0,E677-F677)</f>
        <v/>
      </c>
      <c r="H677">
        <f>DATE(2026,8,13)-D677</f>
        <v/>
      </c>
      <c r="I677">
        <f>IFS(G677=0,"Excluded (paid)",H677&lt;=0,"Current",H677&lt;=30,"1-30 days",H677&lt;=60,"31-60 days",H677&lt;=90,"61-90 days",TRUE,"90+ days")</f>
        <v/>
      </c>
    </row>
    <row r="678">
      <c r="A678" t="inlineStr">
        <is>
          <t>INV0015057</t>
        </is>
      </c>
      <c r="B678" t="inlineStr">
        <is>
          <t>MER00711</t>
        </is>
      </c>
      <c r="C678">
        <f>XLOOKUP(B678,Merchants!$A$4:$A$1000,Merchants!$B$4:$B$1000,"Not found")</f>
        <v/>
      </c>
      <c r="D678">
        <f>XLOOKUP(A678,tblInvoices[invoice_id],tblInvoices[due_date])</f>
        <v/>
      </c>
      <c r="E678">
        <f>XLOOKUP(A678,tblInvoices[invoice_id],tblInvoices[total_invoice_amount])</f>
        <v/>
      </c>
      <c r="F678">
        <f>SUMIFS(tblPayments[payment_amount],tblPayments[invoice_id],A678,tblPayments[payment_status],"Success")</f>
        <v/>
      </c>
      <c r="G678">
        <f>MAX(0,E678-F678)</f>
        <v/>
      </c>
      <c r="H678">
        <f>DATE(2026,8,13)-D678</f>
        <v/>
      </c>
      <c r="I678">
        <f>IFS(G678=0,"Excluded (paid)",H678&lt;=0,"Current",H678&lt;=30,"1-30 days",H678&lt;=60,"31-60 days",H678&lt;=90,"61-90 days",TRUE,"90+ days")</f>
        <v/>
      </c>
    </row>
    <row r="679">
      <c r="A679" t="inlineStr">
        <is>
          <t>INV0015058</t>
        </is>
      </c>
      <c r="B679" t="inlineStr">
        <is>
          <t>MER00711</t>
        </is>
      </c>
      <c r="C679">
        <f>XLOOKUP(B679,Merchants!$A$4:$A$1000,Merchants!$B$4:$B$1000,"Not found")</f>
        <v/>
      </c>
      <c r="D679">
        <f>XLOOKUP(A679,tblInvoices[invoice_id],tblInvoices[due_date])</f>
        <v/>
      </c>
      <c r="E679">
        <f>XLOOKUP(A679,tblInvoices[invoice_id],tblInvoices[total_invoice_amount])</f>
        <v/>
      </c>
      <c r="F679">
        <f>SUMIFS(tblPayments[payment_amount],tblPayments[invoice_id],A679,tblPayments[payment_status],"Success")</f>
        <v/>
      </c>
      <c r="G679">
        <f>MAX(0,E679-F679)</f>
        <v/>
      </c>
      <c r="H679">
        <f>DATE(2026,8,13)-D679</f>
        <v/>
      </c>
      <c r="I679">
        <f>IFS(G679=0,"Excluded (paid)",H679&lt;=0,"Current",H679&lt;=30,"1-30 days",H679&lt;=60,"31-60 days",H679&lt;=90,"61-90 days",TRUE,"90+ days")</f>
        <v/>
      </c>
    </row>
    <row r="680">
      <c r="A680" t="inlineStr">
        <is>
          <t>INV0015059</t>
        </is>
      </c>
      <c r="B680" t="inlineStr">
        <is>
          <t>MER00711</t>
        </is>
      </c>
      <c r="C680">
        <f>XLOOKUP(B680,Merchants!$A$4:$A$1000,Merchants!$B$4:$B$1000,"Not found")</f>
        <v/>
      </c>
      <c r="D680">
        <f>XLOOKUP(A680,tblInvoices[invoice_id],tblInvoices[due_date])</f>
        <v/>
      </c>
      <c r="E680">
        <f>XLOOKUP(A680,tblInvoices[invoice_id],tblInvoices[total_invoice_amount])</f>
        <v/>
      </c>
      <c r="F680">
        <f>SUMIFS(tblPayments[payment_amount],tblPayments[invoice_id],A680,tblPayments[payment_status],"Success")</f>
        <v/>
      </c>
      <c r="G680">
        <f>MAX(0,E680-F680)</f>
        <v/>
      </c>
      <c r="H680">
        <f>DATE(2026,8,13)-D680</f>
        <v/>
      </c>
      <c r="I680">
        <f>IFS(G680=0,"Excluded (paid)",H680&lt;=0,"Current",H680&lt;=30,"1-30 days",H680&lt;=60,"31-60 days",H680&lt;=90,"61-90 days",TRUE,"90+ days")</f>
        <v/>
      </c>
    </row>
    <row r="681">
      <c r="A681" t="inlineStr">
        <is>
          <t>INV0015060</t>
        </is>
      </c>
      <c r="B681" t="inlineStr">
        <is>
          <t>MER00711</t>
        </is>
      </c>
      <c r="C681">
        <f>XLOOKUP(B681,Merchants!$A$4:$A$1000,Merchants!$B$4:$B$1000,"Not found")</f>
        <v/>
      </c>
      <c r="D681">
        <f>XLOOKUP(A681,tblInvoices[invoice_id],tblInvoices[due_date])</f>
        <v/>
      </c>
      <c r="E681">
        <f>XLOOKUP(A681,tblInvoices[invoice_id],tblInvoices[total_invoice_amount])</f>
        <v/>
      </c>
      <c r="F681">
        <f>SUMIFS(tblPayments[payment_amount],tblPayments[invoice_id],A681,tblPayments[payment_status],"Success")</f>
        <v/>
      </c>
      <c r="G681">
        <f>MAX(0,E681-F681)</f>
        <v/>
      </c>
      <c r="H681">
        <f>DATE(2026,8,13)-D681</f>
        <v/>
      </c>
      <c r="I681">
        <f>IFS(G681=0,"Excluded (paid)",H681&lt;=0,"Current",H681&lt;=30,"1-30 days",H681&lt;=60,"31-60 days",H681&lt;=90,"61-90 days",TRUE,"90+ days")</f>
        <v/>
      </c>
    </row>
    <row r="682">
      <c r="A682" t="inlineStr">
        <is>
          <t>INV0015061</t>
        </is>
      </c>
      <c r="B682" t="inlineStr">
        <is>
          <t>MER00711</t>
        </is>
      </c>
      <c r="C682">
        <f>XLOOKUP(B682,Merchants!$A$4:$A$1000,Merchants!$B$4:$B$1000,"Not found")</f>
        <v/>
      </c>
      <c r="D682">
        <f>XLOOKUP(A682,tblInvoices[invoice_id],tblInvoices[due_date])</f>
        <v/>
      </c>
      <c r="E682">
        <f>XLOOKUP(A682,tblInvoices[invoice_id],tblInvoices[total_invoice_amount])</f>
        <v/>
      </c>
      <c r="F682">
        <f>SUMIFS(tblPayments[payment_amount],tblPayments[invoice_id],A682,tblPayments[payment_status],"Success")</f>
        <v/>
      </c>
      <c r="G682">
        <f>MAX(0,E682-F682)</f>
        <v/>
      </c>
      <c r="H682">
        <f>DATE(2026,8,13)-D682</f>
        <v/>
      </c>
      <c r="I682">
        <f>IFS(G682=0,"Excluded (paid)",H682&lt;=0,"Current",H682&lt;=30,"1-30 days",H682&lt;=60,"31-60 days",H682&lt;=90,"61-90 days",TRUE,"90+ days")</f>
        <v/>
      </c>
    </row>
    <row r="683">
      <c r="A683" t="inlineStr">
        <is>
          <t>INV0015062</t>
        </is>
      </c>
      <c r="B683" t="inlineStr">
        <is>
          <t>MER00711</t>
        </is>
      </c>
      <c r="C683">
        <f>XLOOKUP(B683,Merchants!$A$4:$A$1000,Merchants!$B$4:$B$1000,"Not found")</f>
        <v/>
      </c>
      <c r="D683">
        <f>XLOOKUP(A683,tblInvoices[invoice_id],tblInvoices[due_date])</f>
        <v/>
      </c>
      <c r="E683">
        <f>XLOOKUP(A683,tblInvoices[invoice_id],tblInvoices[total_invoice_amount])</f>
        <v/>
      </c>
      <c r="F683">
        <f>SUMIFS(tblPayments[payment_amount],tblPayments[invoice_id],A683,tblPayments[payment_status],"Success")</f>
        <v/>
      </c>
      <c r="G683">
        <f>MAX(0,E683-F683)</f>
        <v/>
      </c>
      <c r="H683">
        <f>DATE(2026,8,13)-D683</f>
        <v/>
      </c>
      <c r="I683">
        <f>IFS(G683=0,"Excluded (paid)",H683&lt;=0,"Current",H683&lt;=30,"1-30 days",H683&lt;=60,"31-60 days",H683&lt;=90,"61-90 days",TRUE,"90+ days")</f>
        <v/>
      </c>
    </row>
    <row r="684">
      <c r="A684" t="inlineStr">
        <is>
          <t>INV0015063</t>
        </is>
      </c>
      <c r="B684" t="inlineStr">
        <is>
          <t>MER00711</t>
        </is>
      </c>
      <c r="C684">
        <f>XLOOKUP(B684,Merchants!$A$4:$A$1000,Merchants!$B$4:$B$1000,"Not found")</f>
        <v/>
      </c>
      <c r="D684">
        <f>XLOOKUP(A684,tblInvoices[invoice_id],tblInvoices[due_date])</f>
        <v/>
      </c>
      <c r="E684">
        <f>XLOOKUP(A684,tblInvoices[invoice_id],tblInvoices[total_invoice_amount])</f>
        <v/>
      </c>
      <c r="F684">
        <f>SUMIFS(tblPayments[payment_amount],tblPayments[invoice_id],A684,tblPayments[payment_status],"Success")</f>
        <v/>
      </c>
      <c r="G684">
        <f>MAX(0,E684-F684)</f>
        <v/>
      </c>
      <c r="H684">
        <f>DATE(2026,8,13)-D684</f>
        <v/>
      </c>
      <c r="I684">
        <f>IFS(G684=0,"Excluded (paid)",H684&lt;=0,"Current",H684&lt;=30,"1-30 days",H684&lt;=60,"31-60 days",H684&lt;=90,"61-90 days",TRUE,"90+ days")</f>
        <v/>
      </c>
    </row>
    <row r="685">
      <c r="A685" t="inlineStr">
        <is>
          <t>INV0015064</t>
        </is>
      </c>
      <c r="B685" t="inlineStr">
        <is>
          <t>MER00711</t>
        </is>
      </c>
      <c r="C685">
        <f>XLOOKUP(B685,Merchants!$A$4:$A$1000,Merchants!$B$4:$B$1000,"Not found")</f>
        <v/>
      </c>
      <c r="D685">
        <f>XLOOKUP(A685,tblInvoices[invoice_id],tblInvoices[due_date])</f>
        <v/>
      </c>
      <c r="E685">
        <f>XLOOKUP(A685,tblInvoices[invoice_id],tblInvoices[total_invoice_amount])</f>
        <v/>
      </c>
      <c r="F685">
        <f>SUMIFS(tblPayments[payment_amount],tblPayments[invoice_id],A685,tblPayments[payment_status],"Success")</f>
        <v/>
      </c>
      <c r="G685">
        <f>MAX(0,E685-F685)</f>
        <v/>
      </c>
      <c r="H685">
        <f>DATE(2026,8,13)-D685</f>
        <v/>
      </c>
      <c r="I685">
        <f>IFS(G685=0,"Excluded (paid)",H685&lt;=0,"Current",H685&lt;=30,"1-30 days",H685&lt;=60,"31-60 days",H685&lt;=90,"61-90 days",TRUE,"90+ days")</f>
        <v/>
      </c>
    </row>
    <row r="686">
      <c r="A686" t="inlineStr">
        <is>
          <t>INV0015065</t>
        </is>
      </c>
      <c r="B686" t="inlineStr">
        <is>
          <t>MER00711</t>
        </is>
      </c>
      <c r="C686">
        <f>XLOOKUP(B686,Merchants!$A$4:$A$1000,Merchants!$B$4:$B$1000,"Not found")</f>
        <v/>
      </c>
      <c r="D686">
        <f>XLOOKUP(A686,tblInvoices[invoice_id],tblInvoices[due_date])</f>
        <v/>
      </c>
      <c r="E686">
        <f>XLOOKUP(A686,tblInvoices[invoice_id],tblInvoices[total_invoice_amount])</f>
        <v/>
      </c>
      <c r="F686">
        <f>SUMIFS(tblPayments[payment_amount],tblPayments[invoice_id],A686,tblPayments[payment_status],"Success")</f>
        <v/>
      </c>
      <c r="G686">
        <f>MAX(0,E686-F686)</f>
        <v/>
      </c>
      <c r="H686">
        <f>DATE(2026,8,13)-D686</f>
        <v/>
      </c>
      <c r="I686">
        <f>IFS(G686=0,"Excluded (paid)",H686&lt;=0,"Current",H686&lt;=30,"1-30 days",H686&lt;=60,"31-60 days",H686&lt;=90,"61-90 days",TRUE,"90+ days")</f>
        <v/>
      </c>
    </row>
    <row r="687">
      <c r="A687" t="inlineStr">
        <is>
          <t>INV0015066</t>
        </is>
      </c>
      <c r="B687" t="inlineStr">
        <is>
          <t>MER00711</t>
        </is>
      </c>
      <c r="C687">
        <f>XLOOKUP(B687,Merchants!$A$4:$A$1000,Merchants!$B$4:$B$1000,"Not found")</f>
        <v/>
      </c>
      <c r="D687">
        <f>XLOOKUP(A687,tblInvoices[invoice_id],tblInvoices[due_date])</f>
        <v/>
      </c>
      <c r="E687">
        <f>XLOOKUP(A687,tblInvoices[invoice_id],tblInvoices[total_invoice_amount])</f>
        <v/>
      </c>
      <c r="F687">
        <f>SUMIFS(tblPayments[payment_amount],tblPayments[invoice_id],A687,tblPayments[payment_status],"Success")</f>
        <v/>
      </c>
      <c r="G687">
        <f>MAX(0,E687-F687)</f>
        <v/>
      </c>
      <c r="H687">
        <f>DATE(2026,8,13)-D687</f>
        <v/>
      </c>
      <c r="I687">
        <f>IFS(G687=0,"Excluded (paid)",H687&lt;=0,"Current",H687&lt;=30,"1-30 days",H687&lt;=60,"31-60 days",H687&lt;=90,"61-90 days",TRUE,"90+ days")</f>
        <v/>
      </c>
    </row>
    <row r="688">
      <c r="A688" t="inlineStr">
        <is>
          <t>INV0015067</t>
        </is>
      </c>
      <c r="B688" t="inlineStr">
        <is>
          <t>MER00711</t>
        </is>
      </c>
      <c r="C688">
        <f>XLOOKUP(B688,Merchants!$A$4:$A$1000,Merchants!$B$4:$B$1000,"Not found")</f>
        <v/>
      </c>
      <c r="D688">
        <f>XLOOKUP(A688,tblInvoices[invoice_id],tblInvoices[due_date])</f>
        <v/>
      </c>
      <c r="E688">
        <f>XLOOKUP(A688,tblInvoices[invoice_id],tblInvoices[total_invoice_amount])</f>
        <v/>
      </c>
      <c r="F688">
        <f>SUMIFS(tblPayments[payment_amount],tblPayments[invoice_id],A688,tblPayments[payment_status],"Success")</f>
        <v/>
      </c>
      <c r="G688">
        <f>MAX(0,E688-F688)</f>
        <v/>
      </c>
      <c r="H688">
        <f>DATE(2026,8,13)-D688</f>
        <v/>
      </c>
      <c r="I688">
        <f>IFS(G688=0,"Excluded (paid)",H688&lt;=0,"Current",H688&lt;=30,"1-30 days",H688&lt;=60,"31-60 days",H688&lt;=90,"61-90 days",TRUE,"90+ days")</f>
        <v/>
      </c>
    </row>
    <row r="689">
      <c r="A689" t="inlineStr">
        <is>
          <t>INV0015068</t>
        </is>
      </c>
      <c r="B689" t="inlineStr">
        <is>
          <t>MER00711</t>
        </is>
      </c>
      <c r="C689">
        <f>XLOOKUP(B689,Merchants!$A$4:$A$1000,Merchants!$B$4:$B$1000,"Not found")</f>
        <v/>
      </c>
      <c r="D689">
        <f>XLOOKUP(A689,tblInvoices[invoice_id],tblInvoices[due_date])</f>
        <v/>
      </c>
      <c r="E689">
        <f>XLOOKUP(A689,tblInvoices[invoice_id],tblInvoices[total_invoice_amount])</f>
        <v/>
      </c>
      <c r="F689">
        <f>SUMIFS(tblPayments[payment_amount],tblPayments[invoice_id],A689,tblPayments[payment_status],"Success")</f>
        <v/>
      </c>
      <c r="G689">
        <f>MAX(0,E689-F689)</f>
        <v/>
      </c>
      <c r="H689">
        <f>DATE(2026,8,13)-D689</f>
        <v/>
      </c>
      <c r="I689">
        <f>IFS(G689=0,"Excluded (paid)",H689&lt;=0,"Current",H689&lt;=30,"1-30 days",H689&lt;=60,"31-60 days",H689&lt;=90,"61-90 days",TRUE,"90+ days")</f>
        <v/>
      </c>
    </row>
    <row r="690">
      <c r="A690" t="inlineStr">
        <is>
          <t>INV0015069</t>
        </is>
      </c>
      <c r="B690" t="inlineStr">
        <is>
          <t>MER00711</t>
        </is>
      </c>
      <c r="C690">
        <f>XLOOKUP(B690,Merchants!$A$4:$A$1000,Merchants!$B$4:$B$1000,"Not found")</f>
        <v/>
      </c>
      <c r="D690">
        <f>XLOOKUP(A690,tblInvoices[invoice_id],tblInvoices[due_date])</f>
        <v/>
      </c>
      <c r="E690">
        <f>XLOOKUP(A690,tblInvoices[invoice_id],tblInvoices[total_invoice_amount])</f>
        <v/>
      </c>
      <c r="F690">
        <f>SUMIFS(tblPayments[payment_amount],tblPayments[invoice_id],A690,tblPayments[payment_status],"Success")</f>
        <v/>
      </c>
      <c r="G690">
        <f>MAX(0,E690-F690)</f>
        <v/>
      </c>
      <c r="H690">
        <f>DATE(2026,8,13)-D690</f>
        <v/>
      </c>
      <c r="I690">
        <f>IFS(G690=0,"Excluded (paid)",H690&lt;=0,"Current",H690&lt;=30,"1-30 days",H690&lt;=60,"31-60 days",H690&lt;=90,"61-90 days",TRUE,"90+ days")</f>
        <v/>
      </c>
    </row>
    <row r="691">
      <c r="A691" t="inlineStr">
        <is>
          <t>INV0015070</t>
        </is>
      </c>
      <c r="B691" t="inlineStr">
        <is>
          <t>MER00712</t>
        </is>
      </c>
      <c r="C691">
        <f>XLOOKUP(B691,Merchants!$A$4:$A$1000,Merchants!$B$4:$B$1000,"Not found")</f>
        <v/>
      </c>
      <c r="D691">
        <f>XLOOKUP(A691,tblInvoices[invoice_id],tblInvoices[due_date])</f>
        <v/>
      </c>
      <c r="E691">
        <f>XLOOKUP(A691,tblInvoices[invoice_id],tblInvoices[total_invoice_amount])</f>
        <v/>
      </c>
      <c r="F691">
        <f>SUMIFS(tblPayments[payment_amount],tblPayments[invoice_id],A691,tblPayments[payment_status],"Success")</f>
        <v/>
      </c>
      <c r="G691">
        <f>MAX(0,E691-F691)</f>
        <v/>
      </c>
      <c r="H691">
        <f>DATE(2026,8,13)-D691</f>
        <v/>
      </c>
      <c r="I691">
        <f>IFS(G691=0,"Excluded (paid)",H691&lt;=0,"Current",H691&lt;=30,"1-30 days",H691&lt;=60,"31-60 days",H691&lt;=90,"61-90 days",TRUE,"90+ days")</f>
        <v/>
      </c>
    </row>
    <row r="692">
      <c r="A692" t="inlineStr">
        <is>
          <t>INV0015071</t>
        </is>
      </c>
      <c r="B692" t="inlineStr">
        <is>
          <t>MER00712</t>
        </is>
      </c>
      <c r="C692">
        <f>XLOOKUP(B692,Merchants!$A$4:$A$1000,Merchants!$B$4:$B$1000,"Not found")</f>
        <v/>
      </c>
      <c r="D692">
        <f>XLOOKUP(A692,tblInvoices[invoice_id],tblInvoices[due_date])</f>
        <v/>
      </c>
      <c r="E692">
        <f>XLOOKUP(A692,tblInvoices[invoice_id],tblInvoices[total_invoice_amount])</f>
        <v/>
      </c>
      <c r="F692">
        <f>SUMIFS(tblPayments[payment_amount],tblPayments[invoice_id],A692,tblPayments[payment_status],"Success")</f>
        <v/>
      </c>
      <c r="G692">
        <f>MAX(0,E692-F692)</f>
        <v/>
      </c>
      <c r="H692">
        <f>DATE(2026,8,13)-D692</f>
        <v/>
      </c>
      <c r="I692">
        <f>IFS(G692=0,"Excluded (paid)",H692&lt;=0,"Current",H692&lt;=30,"1-30 days",H692&lt;=60,"31-60 days",H692&lt;=90,"61-90 days",TRUE,"90+ days")</f>
        <v/>
      </c>
    </row>
    <row r="693">
      <c r="A693" t="inlineStr">
        <is>
          <t>INV0015072</t>
        </is>
      </c>
      <c r="B693" t="inlineStr">
        <is>
          <t>MER00712</t>
        </is>
      </c>
      <c r="C693">
        <f>XLOOKUP(B693,Merchants!$A$4:$A$1000,Merchants!$B$4:$B$1000,"Not found")</f>
        <v/>
      </c>
      <c r="D693">
        <f>XLOOKUP(A693,tblInvoices[invoice_id],tblInvoices[due_date])</f>
        <v/>
      </c>
      <c r="E693">
        <f>XLOOKUP(A693,tblInvoices[invoice_id],tblInvoices[total_invoice_amount])</f>
        <v/>
      </c>
      <c r="F693">
        <f>SUMIFS(tblPayments[payment_amount],tblPayments[invoice_id],A693,tblPayments[payment_status],"Success")</f>
        <v/>
      </c>
      <c r="G693">
        <f>MAX(0,E693-F693)</f>
        <v/>
      </c>
      <c r="H693">
        <f>DATE(2026,8,13)-D693</f>
        <v/>
      </c>
      <c r="I693">
        <f>IFS(G693=0,"Excluded (paid)",H693&lt;=0,"Current",H693&lt;=30,"1-30 days",H693&lt;=60,"31-60 days",H693&lt;=90,"61-90 days",TRUE,"90+ days")</f>
        <v/>
      </c>
    </row>
    <row r="694">
      <c r="A694" t="inlineStr">
        <is>
          <t>INV0015073</t>
        </is>
      </c>
      <c r="B694" t="inlineStr">
        <is>
          <t>MER00712</t>
        </is>
      </c>
      <c r="C694">
        <f>XLOOKUP(B694,Merchants!$A$4:$A$1000,Merchants!$B$4:$B$1000,"Not found")</f>
        <v/>
      </c>
      <c r="D694">
        <f>XLOOKUP(A694,tblInvoices[invoice_id],tblInvoices[due_date])</f>
        <v/>
      </c>
      <c r="E694">
        <f>XLOOKUP(A694,tblInvoices[invoice_id],tblInvoices[total_invoice_amount])</f>
        <v/>
      </c>
      <c r="F694">
        <f>SUMIFS(tblPayments[payment_amount],tblPayments[invoice_id],A694,tblPayments[payment_status],"Success")</f>
        <v/>
      </c>
      <c r="G694">
        <f>MAX(0,E694-F694)</f>
        <v/>
      </c>
      <c r="H694">
        <f>DATE(2026,8,13)-D694</f>
        <v/>
      </c>
      <c r="I694">
        <f>IFS(G694=0,"Excluded (paid)",H694&lt;=0,"Current",H694&lt;=30,"1-30 days",H694&lt;=60,"31-60 days",H694&lt;=90,"61-90 days",TRUE,"90+ days")</f>
        <v/>
      </c>
    </row>
    <row r="695">
      <c r="A695" t="inlineStr">
        <is>
          <t>INV0015074</t>
        </is>
      </c>
      <c r="B695" t="inlineStr">
        <is>
          <t>MER00712</t>
        </is>
      </c>
      <c r="C695">
        <f>XLOOKUP(B695,Merchants!$A$4:$A$1000,Merchants!$B$4:$B$1000,"Not found")</f>
        <v/>
      </c>
      <c r="D695">
        <f>XLOOKUP(A695,tblInvoices[invoice_id],tblInvoices[due_date])</f>
        <v/>
      </c>
      <c r="E695">
        <f>XLOOKUP(A695,tblInvoices[invoice_id],tblInvoices[total_invoice_amount])</f>
        <v/>
      </c>
      <c r="F695">
        <f>SUMIFS(tblPayments[payment_amount],tblPayments[invoice_id],A695,tblPayments[payment_status],"Success")</f>
        <v/>
      </c>
      <c r="G695">
        <f>MAX(0,E695-F695)</f>
        <v/>
      </c>
      <c r="H695">
        <f>DATE(2026,8,13)-D695</f>
        <v/>
      </c>
      <c r="I695">
        <f>IFS(G695=0,"Excluded (paid)",H695&lt;=0,"Current",H695&lt;=30,"1-30 days",H695&lt;=60,"31-60 days",H695&lt;=90,"61-90 days",TRUE,"90+ days")</f>
        <v/>
      </c>
    </row>
    <row r="696">
      <c r="A696" t="inlineStr">
        <is>
          <t>INV0015075</t>
        </is>
      </c>
      <c r="B696" t="inlineStr">
        <is>
          <t>MER00712</t>
        </is>
      </c>
      <c r="C696">
        <f>XLOOKUP(B696,Merchants!$A$4:$A$1000,Merchants!$B$4:$B$1000,"Not found")</f>
        <v/>
      </c>
      <c r="D696">
        <f>XLOOKUP(A696,tblInvoices[invoice_id],tblInvoices[due_date])</f>
        <v/>
      </c>
      <c r="E696">
        <f>XLOOKUP(A696,tblInvoices[invoice_id],tblInvoices[total_invoice_amount])</f>
        <v/>
      </c>
      <c r="F696">
        <f>SUMIFS(tblPayments[payment_amount],tblPayments[invoice_id],A696,tblPayments[payment_status],"Success")</f>
        <v/>
      </c>
      <c r="G696">
        <f>MAX(0,E696-F696)</f>
        <v/>
      </c>
      <c r="H696">
        <f>DATE(2026,8,13)-D696</f>
        <v/>
      </c>
      <c r="I696">
        <f>IFS(G696=0,"Excluded (paid)",H696&lt;=0,"Current",H696&lt;=30,"1-30 days",H696&lt;=60,"31-60 days",H696&lt;=90,"61-90 days",TRUE,"90+ days")</f>
        <v/>
      </c>
    </row>
    <row r="697">
      <c r="A697" t="inlineStr">
        <is>
          <t>INV0015076</t>
        </is>
      </c>
      <c r="B697" t="inlineStr">
        <is>
          <t>MER00712</t>
        </is>
      </c>
      <c r="C697">
        <f>XLOOKUP(B697,Merchants!$A$4:$A$1000,Merchants!$B$4:$B$1000,"Not found")</f>
        <v/>
      </c>
      <c r="D697">
        <f>XLOOKUP(A697,tblInvoices[invoice_id],tblInvoices[due_date])</f>
        <v/>
      </c>
      <c r="E697">
        <f>XLOOKUP(A697,tblInvoices[invoice_id],tblInvoices[total_invoice_amount])</f>
        <v/>
      </c>
      <c r="F697">
        <f>SUMIFS(tblPayments[payment_amount],tblPayments[invoice_id],A697,tblPayments[payment_status],"Success")</f>
        <v/>
      </c>
      <c r="G697">
        <f>MAX(0,E697-F697)</f>
        <v/>
      </c>
      <c r="H697">
        <f>DATE(2026,8,13)-D697</f>
        <v/>
      </c>
      <c r="I697">
        <f>IFS(G697=0,"Excluded (paid)",H697&lt;=0,"Current",H697&lt;=30,"1-30 days",H697&lt;=60,"31-60 days",H697&lt;=90,"61-90 days",TRUE,"90+ days")</f>
        <v/>
      </c>
    </row>
    <row r="698">
      <c r="A698" t="inlineStr">
        <is>
          <t>INV0015077</t>
        </is>
      </c>
      <c r="B698" t="inlineStr">
        <is>
          <t>MER00712</t>
        </is>
      </c>
      <c r="C698">
        <f>XLOOKUP(B698,Merchants!$A$4:$A$1000,Merchants!$B$4:$B$1000,"Not found")</f>
        <v/>
      </c>
      <c r="D698">
        <f>XLOOKUP(A698,tblInvoices[invoice_id],tblInvoices[due_date])</f>
        <v/>
      </c>
      <c r="E698">
        <f>XLOOKUP(A698,tblInvoices[invoice_id],tblInvoices[total_invoice_amount])</f>
        <v/>
      </c>
      <c r="F698">
        <f>SUMIFS(tblPayments[payment_amount],tblPayments[invoice_id],A698,tblPayments[payment_status],"Success")</f>
        <v/>
      </c>
      <c r="G698">
        <f>MAX(0,E698-F698)</f>
        <v/>
      </c>
      <c r="H698">
        <f>DATE(2026,8,13)-D698</f>
        <v/>
      </c>
      <c r="I698">
        <f>IFS(G698=0,"Excluded (paid)",H698&lt;=0,"Current",H698&lt;=30,"1-30 days",H698&lt;=60,"31-60 days",H698&lt;=90,"61-90 days",TRUE,"90+ days")</f>
        <v/>
      </c>
    </row>
    <row r="699">
      <c r="A699" t="inlineStr">
        <is>
          <t>INV0015078</t>
        </is>
      </c>
      <c r="B699" t="inlineStr">
        <is>
          <t>MER00712</t>
        </is>
      </c>
      <c r="C699">
        <f>XLOOKUP(B699,Merchants!$A$4:$A$1000,Merchants!$B$4:$B$1000,"Not found")</f>
        <v/>
      </c>
      <c r="D699">
        <f>XLOOKUP(A699,tblInvoices[invoice_id],tblInvoices[due_date])</f>
        <v/>
      </c>
      <c r="E699">
        <f>XLOOKUP(A699,tblInvoices[invoice_id],tblInvoices[total_invoice_amount])</f>
        <v/>
      </c>
      <c r="F699">
        <f>SUMIFS(tblPayments[payment_amount],tblPayments[invoice_id],A699,tblPayments[payment_status],"Success")</f>
        <v/>
      </c>
      <c r="G699">
        <f>MAX(0,E699-F699)</f>
        <v/>
      </c>
      <c r="H699">
        <f>DATE(2026,8,13)-D699</f>
        <v/>
      </c>
      <c r="I699">
        <f>IFS(G699=0,"Excluded (paid)",H699&lt;=0,"Current",H699&lt;=30,"1-30 days",H699&lt;=60,"31-60 days",H699&lt;=90,"61-90 days",TRUE,"90+ days")</f>
        <v/>
      </c>
    </row>
    <row r="700">
      <c r="A700" t="inlineStr">
        <is>
          <t>INV0015079</t>
        </is>
      </c>
      <c r="B700" t="inlineStr">
        <is>
          <t>MER00712</t>
        </is>
      </c>
      <c r="C700">
        <f>XLOOKUP(B700,Merchants!$A$4:$A$1000,Merchants!$B$4:$B$1000,"Not found")</f>
        <v/>
      </c>
      <c r="D700">
        <f>XLOOKUP(A700,tblInvoices[invoice_id],tblInvoices[due_date])</f>
        <v/>
      </c>
      <c r="E700">
        <f>XLOOKUP(A700,tblInvoices[invoice_id],tblInvoices[total_invoice_amount])</f>
        <v/>
      </c>
      <c r="F700">
        <f>SUMIFS(tblPayments[payment_amount],tblPayments[invoice_id],A700,tblPayments[payment_status],"Success")</f>
        <v/>
      </c>
      <c r="G700">
        <f>MAX(0,E700-F700)</f>
        <v/>
      </c>
      <c r="H700">
        <f>DATE(2026,8,13)-D700</f>
        <v/>
      </c>
      <c r="I700">
        <f>IFS(G700=0,"Excluded (paid)",H700&lt;=0,"Current",H700&lt;=30,"1-30 days",H700&lt;=60,"31-60 days",H700&lt;=90,"61-90 days",TRUE,"90+ days")</f>
        <v/>
      </c>
    </row>
    <row r="701">
      <c r="A701" t="inlineStr">
        <is>
          <t>INV0015080</t>
        </is>
      </c>
      <c r="B701" t="inlineStr">
        <is>
          <t>MER00712</t>
        </is>
      </c>
      <c r="C701">
        <f>XLOOKUP(B701,Merchants!$A$4:$A$1000,Merchants!$B$4:$B$1000,"Not found")</f>
        <v/>
      </c>
      <c r="D701">
        <f>XLOOKUP(A701,tblInvoices[invoice_id],tblInvoices[due_date])</f>
        <v/>
      </c>
      <c r="E701">
        <f>XLOOKUP(A701,tblInvoices[invoice_id],tblInvoices[total_invoice_amount])</f>
        <v/>
      </c>
      <c r="F701">
        <f>SUMIFS(tblPayments[payment_amount],tblPayments[invoice_id],A701,tblPayments[payment_status],"Success")</f>
        <v/>
      </c>
      <c r="G701">
        <f>MAX(0,E701-F701)</f>
        <v/>
      </c>
      <c r="H701">
        <f>DATE(2026,8,13)-D701</f>
        <v/>
      </c>
      <c r="I701">
        <f>IFS(G701=0,"Excluded (paid)",H701&lt;=0,"Current",H701&lt;=30,"1-30 days",H701&lt;=60,"31-60 days",H701&lt;=90,"61-90 days",TRUE,"90+ days")</f>
        <v/>
      </c>
    </row>
    <row r="702">
      <c r="A702" t="inlineStr">
        <is>
          <t>INV0015081</t>
        </is>
      </c>
      <c r="B702" t="inlineStr">
        <is>
          <t>MER00712</t>
        </is>
      </c>
      <c r="C702">
        <f>XLOOKUP(B702,Merchants!$A$4:$A$1000,Merchants!$B$4:$B$1000,"Not found")</f>
        <v/>
      </c>
      <c r="D702">
        <f>XLOOKUP(A702,tblInvoices[invoice_id],tblInvoices[due_date])</f>
        <v/>
      </c>
      <c r="E702">
        <f>XLOOKUP(A702,tblInvoices[invoice_id],tblInvoices[total_invoice_amount])</f>
        <v/>
      </c>
      <c r="F702">
        <f>SUMIFS(tblPayments[payment_amount],tblPayments[invoice_id],A702,tblPayments[payment_status],"Success")</f>
        <v/>
      </c>
      <c r="G702">
        <f>MAX(0,E702-F702)</f>
        <v/>
      </c>
      <c r="H702">
        <f>DATE(2026,8,13)-D702</f>
        <v/>
      </c>
      <c r="I702">
        <f>IFS(G702=0,"Excluded (paid)",H702&lt;=0,"Current",H702&lt;=30,"1-30 days",H702&lt;=60,"31-60 days",H702&lt;=90,"61-90 days",TRUE,"90+ days")</f>
        <v/>
      </c>
    </row>
    <row r="703">
      <c r="A703" t="inlineStr">
        <is>
          <t>INV0015082</t>
        </is>
      </c>
      <c r="B703" t="inlineStr">
        <is>
          <t>MER00712</t>
        </is>
      </c>
      <c r="C703">
        <f>XLOOKUP(B703,Merchants!$A$4:$A$1000,Merchants!$B$4:$B$1000,"Not found")</f>
        <v/>
      </c>
      <c r="D703">
        <f>XLOOKUP(A703,tblInvoices[invoice_id],tblInvoices[due_date])</f>
        <v/>
      </c>
      <c r="E703">
        <f>XLOOKUP(A703,tblInvoices[invoice_id],tblInvoices[total_invoice_amount])</f>
        <v/>
      </c>
      <c r="F703">
        <f>SUMIFS(tblPayments[payment_amount],tblPayments[invoice_id],A703,tblPayments[payment_status],"Success")</f>
        <v/>
      </c>
      <c r="G703">
        <f>MAX(0,E703-F703)</f>
        <v/>
      </c>
      <c r="H703">
        <f>DATE(2026,8,13)-D703</f>
        <v/>
      </c>
      <c r="I703">
        <f>IFS(G703=0,"Excluded (paid)",H703&lt;=0,"Current",H703&lt;=30,"1-30 days",H703&lt;=60,"31-60 days",H703&lt;=90,"61-90 days",TRUE,"90+ days")</f>
        <v/>
      </c>
    </row>
    <row r="704">
      <c r="A704" t="inlineStr">
        <is>
          <t>INV0015083</t>
        </is>
      </c>
      <c r="B704" t="inlineStr">
        <is>
          <t>MER00712</t>
        </is>
      </c>
      <c r="C704">
        <f>XLOOKUP(B704,Merchants!$A$4:$A$1000,Merchants!$B$4:$B$1000,"Not found")</f>
        <v/>
      </c>
      <c r="D704">
        <f>XLOOKUP(A704,tblInvoices[invoice_id],tblInvoices[due_date])</f>
        <v/>
      </c>
      <c r="E704">
        <f>XLOOKUP(A704,tblInvoices[invoice_id],tblInvoices[total_invoice_amount])</f>
        <v/>
      </c>
      <c r="F704">
        <f>SUMIFS(tblPayments[payment_amount],tblPayments[invoice_id],A704,tblPayments[payment_status],"Success")</f>
        <v/>
      </c>
      <c r="G704">
        <f>MAX(0,E704-F704)</f>
        <v/>
      </c>
      <c r="H704">
        <f>DATE(2026,8,13)-D704</f>
        <v/>
      </c>
      <c r="I704">
        <f>IFS(G704=0,"Excluded (paid)",H704&lt;=0,"Current",H704&lt;=30,"1-30 days",H704&lt;=60,"31-60 days",H704&lt;=90,"61-90 days",TRUE,"90+ days")</f>
        <v/>
      </c>
    </row>
    <row r="705">
      <c r="A705" t="inlineStr">
        <is>
          <t>INV0015084</t>
        </is>
      </c>
      <c r="B705" t="inlineStr">
        <is>
          <t>MER00712</t>
        </is>
      </c>
      <c r="C705">
        <f>XLOOKUP(B705,Merchants!$A$4:$A$1000,Merchants!$B$4:$B$1000,"Not found")</f>
        <v/>
      </c>
      <c r="D705">
        <f>XLOOKUP(A705,tblInvoices[invoice_id],tblInvoices[due_date])</f>
        <v/>
      </c>
      <c r="E705">
        <f>XLOOKUP(A705,tblInvoices[invoice_id],tblInvoices[total_invoice_amount])</f>
        <v/>
      </c>
      <c r="F705">
        <f>SUMIFS(tblPayments[payment_amount],tblPayments[invoice_id],A705,tblPayments[payment_status],"Success")</f>
        <v/>
      </c>
      <c r="G705">
        <f>MAX(0,E705-F705)</f>
        <v/>
      </c>
      <c r="H705">
        <f>DATE(2026,8,13)-D705</f>
        <v/>
      </c>
      <c r="I705">
        <f>IFS(G705=0,"Excluded (paid)",H705&lt;=0,"Current",H705&lt;=30,"1-30 days",H705&lt;=60,"31-60 days",H705&lt;=90,"61-90 days",TRUE,"90+ days")</f>
        <v/>
      </c>
    </row>
    <row r="706">
      <c r="A706" t="inlineStr">
        <is>
          <t>INV0015085</t>
        </is>
      </c>
      <c r="B706" t="inlineStr">
        <is>
          <t>MER00712</t>
        </is>
      </c>
      <c r="C706">
        <f>XLOOKUP(B706,Merchants!$A$4:$A$1000,Merchants!$B$4:$B$1000,"Not found")</f>
        <v/>
      </c>
      <c r="D706">
        <f>XLOOKUP(A706,tblInvoices[invoice_id],tblInvoices[due_date])</f>
        <v/>
      </c>
      <c r="E706">
        <f>XLOOKUP(A706,tblInvoices[invoice_id],tblInvoices[total_invoice_amount])</f>
        <v/>
      </c>
      <c r="F706">
        <f>SUMIFS(tblPayments[payment_amount],tblPayments[invoice_id],A706,tblPayments[payment_status],"Success")</f>
        <v/>
      </c>
      <c r="G706">
        <f>MAX(0,E706-F706)</f>
        <v/>
      </c>
      <c r="H706">
        <f>DATE(2026,8,13)-D706</f>
        <v/>
      </c>
      <c r="I706">
        <f>IFS(G706=0,"Excluded (paid)",H706&lt;=0,"Current",H706&lt;=30,"1-30 days",H706&lt;=60,"31-60 days",H706&lt;=90,"61-90 days",TRUE,"90+ days")</f>
        <v/>
      </c>
    </row>
    <row r="707">
      <c r="A707" t="inlineStr">
        <is>
          <t>INV0015086</t>
        </is>
      </c>
      <c r="B707" t="inlineStr">
        <is>
          <t>MER00712</t>
        </is>
      </c>
      <c r="C707">
        <f>XLOOKUP(B707,Merchants!$A$4:$A$1000,Merchants!$B$4:$B$1000,"Not found")</f>
        <v/>
      </c>
      <c r="D707">
        <f>XLOOKUP(A707,tblInvoices[invoice_id],tblInvoices[due_date])</f>
        <v/>
      </c>
      <c r="E707">
        <f>XLOOKUP(A707,tblInvoices[invoice_id],tblInvoices[total_invoice_amount])</f>
        <v/>
      </c>
      <c r="F707">
        <f>SUMIFS(tblPayments[payment_amount],tblPayments[invoice_id],A707,tblPayments[payment_status],"Success")</f>
        <v/>
      </c>
      <c r="G707">
        <f>MAX(0,E707-F707)</f>
        <v/>
      </c>
      <c r="H707">
        <f>DATE(2026,8,13)-D707</f>
        <v/>
      </c>
      <c r="I707">
        <f>IFS(G707=0,"Excluded (paid)",H707&lt;=0,"Current",H707&lt;=30,"1-30 days",H707&lt;=60,"31-60 days",H707&lt;=90,"61-90 days",TRUE,"90+ days")</f>
        <v/>
      </c>
    </row>
    <row r="708">
      <c r="A708" t="inlineStr">
        <is>
          <t>INV0015087</t>
        </is>
      </c>
      <c r="B708" t="inlineStr">
        <is>
          <t>MER00712</t>
        </is>
      </c>
      <c r="C708">
        <f>XLOOKUP(B708,Merchants!$A$4:$A$1000,Merchants!$B$4:$B$1000,"Not found")</f>
        <v/>
      </c>
      <c r="D708">
        <f>XLOOKUP(A708,tblInvoices[invoice_id],tblInvoices[due_date])</f>
        <v/>
      </c>
      <c r="E708">
        <f>XLOOKUP(A708,tblInvoices[invoice_id],tblInvoices[total_invoice_amount])</f>
        <v/>
      </c>
      <c r="F708">
        <f>SUMIFS(tblPayments[payment_amount],tblPayments[invoice_id],A708,tblPayments[payment_status],"Success")</f>
        <v/>
      </c>
      <c r="G708">
        <f>MAX(0,E708-F708)</f>
        <v/>
      </c>
      <c r="H708">
        <f>DATE(2026,8,13)-D708</f>
        <v/>
      </c>
      <c r="I708">
        <f>IFS(G708=0,"Excluded (paid)",H708&lt;=0,"Current",H708&lt;=30,"1-30 days",H708&lt;=60,"31-60 days",H708&lt;=90,"61-90 days",TRUE,"90+ days")</f>
        <v/>
      </c>
    </row>
    <row r="709">
      <c r="A709" t="inlineStr">
        <is>
          <t>INV0015088</t>
        </is>
      </c>
      <c r="B709" t="inlineStr">
        <is>
          <t>MER00712</t>
        </is>
      </c>
      <c r="C709">
        <f>XLOOKUP(B709,Merchants!$A$4:$A$1000,Merchants!$B$4:$B$1000,"Not found")</f>
        <v/>
      </c>
      <c r="D709">
        <f>XLOOKUP(A709,tblInvoices[invoice_id],tblInvoices[due_date])</f>
        <v/>
      </c>
      <c r="E709">
        <f>XLOOKUP(A709,tblInvoices[invoice_id],tblInvoices[total_invoice_amount])</f>
        <v/>
      </c>
      <c r="F709">
        <f>SUMIFS(tblPayments[payment_amount],tblPayments[invoice_id],A709,tblPayments[payment_status],"Success")</f>
        <v/>
      </c>
      <c r="G709">
        <f>MAX(0,E709-F709)</f>
        <v/>
      </c>
      <c r="H709">
        <f>DATE(2026,8,13)-D709</f>
        <v/>
      </c>
      <c r="I709">
        <f>IFS(G709=0,"Excluded (paid)",H709&lt;=0,"Current",H709&lt;=30,"1-30 days",H709&lt;=60,"31-60 days",H709&lt;=90,"61-90 days",TRUE,"90+ days")</f>
        <v/>
      </c>
    </row>
    <row r="710">
      <c r="A710" t="inlineStr">
        <is>
          <t>INV0015089</t>
        </is>
      </c>
      <c r="B710" t="inlineStr">
        <is>
          <t>MER00712</t>
        </is>
      </c>
      <c r="C710">
        <f>XLOOKUP(B710,Merchants!$A$4:$A$1000,Merchants!$B$4:$B$1000,"Not found")</f>
        <v/>
      </c>
      <c r="D710">
        <f>XLOOKUP(A710,tblInvoices[invoice_id],tblInvoices[due_date])</f>
        <v/>
      </c>
      <c r="E710">
        <f>XLOOKUP(A710,tblInvoices[invoice_id],tblInvoices[total_invoice_amount])</f>
        <v/>
      </c>
      <c r="F710">
        <f>SUMIFS(tblPayments[payment_amount],tblPayments[invoice_id],A710,tblPayments[payment_status],"Success")</f>
        <v/>
      </c>
      <c r="G710">
        <f>MAX(0,E710-F710)</f>
        <v/>
      </c>
      <c r="H710">
        <f>DATE(2026,8,13)-D710</f>
        <v/>
      </c>
      <c r="I710">
        <f>IFS(G710=0,"Excluded (paid)",H710&lt;=0,"Current",H710&lt;=30,"1-30 days",H710&lt;=60,"31-60 days",H710&lt;=90,"61-90 days",TRUE,"90+ days")</f>
        <v/>
      </c>
    </row>
    <row r="711">
      <c r="A711" t="inlineStr">
        <is>
          <t>INV0015090</t>
        </is>
      </c>
      <c r="B711" t="inlineStr">
        <is>
          <t>MER00712</t>
        </is>
      </c>
      <c r="C711">
        <f>XLOOKUP(B711,Merchants!$A$4:$A$1000,Merchants!$B$4:$B$1000,"Not found")</f>
        <v/>
      </c>
      <c r="D711">
        <f>XLOOKUP(A711,tblInvoices[invoice_id],tblInvoices[due_date])</f>
        <v/>
      </c>
      <c r="E711">
        <f>XLOOKUP(A711,tblInvoices[invoice_id],tblInvoices[total_invoice_amount])</f>
        <v/>
      </c>
      <c r="F711">
        <f>SUMIFS(tblPayments[payment_amount],tblPayments[invoice_id],A711,tblPayments[payment_status],"Success")</f>
        <v/>
      </c>
      <c r="G711">
        <f>MAX(0,E711-F711)</f>
        <v/>
      </c>
      <c r="H711">
        <f>DATE(2026,8,13)-D711</f>
        <v/>
      </c>
      <c r="I711">
        <f>IFS(G711=0,"Excluded (paid)",H711&lt;=0,"Current",H711&lt;=30,"1-30 days",H711&lt;=60,"31-60 days",H711&lt;=90,"61-90 days",TRUE,"90+ days")</f>
        <v/>
      </c>
    </row>
    <row r="712">
      <c r="A712" t="inlineStr">
        <is>
          <t>INV0015091</t>
        </is>
      </c>
      <c r="B712" t="inlineStr">
        <is>
          <t>MER00712</t>
        </is>
      </c>
      <c r="C712">
        <f>XLOOKUP(B712,Merchants!$A$4:$A$1000,Merchants!$B$4:$B$1000,"Not found")</f>
        <v/>
      </c>
      <c r="D712">
        <f>XLOOKUP(A712,tblInvoices[invoice_id],tblInvoices[due_date])</f>
        <v/>
      </c>
      <c r="E712">
        <f>XLOOKUP(A712,tblInvoices[invoice_id],tblInvoices[total_invoice_amount])</f>
        <v/>
      </c>
      <c r="F712">
        <f>SUMIFS(tblPayments[payment_amount],tblPayments[invoice_id],A712,tblPayments[payment_status],"Success")</f>
        <v/>
      </c>
      <c r="G712">
        <f>MAX(0,E712-F712)</f>
        <v/>
      </c>
      <c r="H712">
        <f>DATE(2026,8,13)-D712</f>
        <v/>
      </c>
      <c r="I712">
        <f>IFS(G712=0,"Excluded (paid)",H712&lt;=0,"Current",H712&lt;=30,"1-30 days",H712&lt;=60,"31-60 days",H712&lt;=90,"61-90 days",TRUE,"90+ days")</f>
        <v/>
      </c>
    </row>
    <row r="713">
      <c r="A713" t="inlineStr">
        <is>
          <t>INV0015092</t>
        </is>
      </c>
      <c r="B713" t="inlineStr">
        <is>
          <t>MER00712</t>
        </is>
      </c>
      <c r="C713">
        <f>XLOOKUP(B713,Merchants!$A$4:$A$1000,Merchants!$B$4:$B$1000,"Not found")</f>
        <v/>
      </c>
      <c r="D713">
        <f>XLOOKUP(A713,tblInvoices[invoice_id],tblInvoices[due_date])</f>
        <v/>
      </c>
      <c r="E713">
        <f>XLOOKUP(A713,tblInvoices[invoice_id],tblInvoices[total_invoice_amount])</f>
        <v/>
      </c>
      <c r="F713">
        <f>SUMIFS(tblPayments[payment_amount],tblPayments[invoice_id],A713,tblPayments[payment_status],"Success")</f>
        <v/>
      </c>
      <c r="G713">
        <f>MAX(0,E713-F713)</f>
        <v/>
      </c>
      <c r="H713">
        <f>DATE(2026,8,13)-D713</f>
        <v/>
      </c>
      <c r="I713">
        <f>IFS(G713=0,"Excluded (paid)",H713&lt;=0,"Current",H713&lt;=30,"1-30 days",H713&lt;=60,"31-60 days",H713&lt;=90,"61-90 days",TRUE,"90+ days")</f>
        <v/>
      </c>
    </row>
    <row r="714">
      <c r="A714" t="inlineStr">
        <is>
          <t>INV0015093</t>
        </is>
      </c>
      <c r="B714" t="inlineStr">
        <is>
          <t>MER00712</t>
        </is>
      </c>
      <c r="C714">
        <f>XLOOKUP(B714,Merchants!$A$4:$A$1000,Merchants!$B$4:$B$1000,"Not found")</f>
        <v/>
      </c>
      <c r="D714">
        <f>XLOOKUP(A714,tblInvoices[invoice_id],tblInvoices[due_date])</f>
        <v/>
      </c>
      <c r="E714">
        <f>XLOOKUP(A714,tblInvoices[invoice_id],tblInvoices[total_invoice_amount])</f>
        <v/>
      </c>
      <c r="F714">
        <f>SUMIFS(tblPayments[payment_amount],tblPayments[invoice_id],A714,tblPayments[payment_status],"Success")</f>
        <v/>
      </c>
      <c r="G714">
        <f>MAX(0,E714-F714)</f>
        <v/>
      </c>
      <c r="H714">
        <f>DATE(2026,8,13)-D714</f>
        <v/>
      </c>
      <c r="I714">
        <f>IFS(G714=0,"Excluded (paid)",H714&lt;=0,"Current",H714&lt;=30,"1-30 days",H714&lt;=60,"31-60 days",H714&lt;=90,"61-90 days",TRUE,"90+ days")</f>
        <v/>
      </c>
    </row>
    <row r="715">
      <c r="A715" t="inlineStr">
        <is>
          <t>INV0015155</t>
        </is>
      </c>
      <c r="B715" t="inlineStr">
        <is>
          <t>MER00716</t>
        </is>
      </c>
      <c r="C715">
        <f>XLOOKUP(B715,Merchants!$A$4:$A$1000,Merchants!$B$4:$B$1000,"Not found")</f>
        <v/>
      </c>
      <c r="D715">
        <f>XLOOKUP(A715,tblInvoices[invoice_id],tblInvoices[due_date])</f>
        <v/>
      </c>
      <c r="E715">
        <f>XLOOKUP(A715,tblInvoices[invoice_id],tblInvoices[total_invoice_amount])</f>
        <v/>
      </c>
      <c r="F715">
        <f>SUMIFS(tblPayments[payment_amount],tblPayments[invoice_id],A715,tblPayments[payment_status],"Success")</f>
        <v/>
      </c>
      <c r="G715">
        <f>MAX(0,E715-F715)</f>
        <v/>
      </c>
      <c r="H715">
        <f>DATE(2026,8,13)-D715</f>
        <v/>
      </c>
      <c r="I715">
        <f>IFS(G715=0,"Excluded (paid)",H715&lt;=0,"Current",H715&lt;=30,"1-30 days",H715&lt;=60,"31-60 days",H715&lt;=90,"61-90 days",TRUE,"90+ days")</f>
        <v/>
      </c>
    </row>
    <row r="716">
      <c r="A716" t="inlineStr">
        <is>
          <t>INV0015156</t>
        </is>
      </c>
      <c r="B716" t="inlineStr">
        <is>
          <t>MER00716</t>
        </is>
      </c>
      <c r="C716">
        <f>XLOOKUP(B716,Merchants!$A$4:$A$1000,Merchants!$B$4:$B$1000,"Not found")</f>
        <v/>
      </c>
      <c r="D716">
        <f>XLOOKUP(A716,tblInvoices[invoice_id],tblInvoices[due_date])</f>
        <v/>
      </c>
      <c r="E716">
        <f>XLOOKUP(A716,tblInvoices[invoice_id],tblInvoices[total_invoice_amount])</f>
        <v/>
      </c>
      <c r="F716">
        <f>SUMIFS(tblPayments[payment_amount],tblPayments[invoice_id],A716,tblPayments[payment_status],"Success")</f>
        <v/>
      </c>
      <c r="G716">
        <f>MAX(0,E716-F716)</f>
        <v/>
      </c>
      <c r="H716">
        <f>DATE(2026,8,13)-D716</f>
        <v/>
      </c>
      <c r="I716">
        <f>IFS(G716=0,"Excluded (paid)",H716&lt;=0,"Current",H716&lt;=30,"1-30 days",H716&lt;=60,"31-60 days",H716&lt;=90,"61-90 days",TRUE,"90+ days")</f>
        <v/>
      </c>
    </row>
    <row r="717">
      <c r="A717" t="inlineStr">
        <is>
          <t>INV0015157</t>
        </is>
      </c>
      <c r="B717" t="inlineStr">
        <is>
          <t>MER00716</t>
        </is>
      </c>
      <c r="C717">
        <f>XLOOKUP(B717,Merchants!$A$4:$A$1000,Merchants!$B$4:$B$1000,"Not found")</f>
        <v/>
      </c>
      <c r="D717">
        <f>XLOOKUP(A717,tblInvoices[invoice_id],tblInvoices[due_date])</f>
        <v/>
      </c>
      <c r="E717">
        <f>XLOOKUP(A717,tblInvoices[invoice_id],tblInvoices[total_invoice_amount])</f>
        <v/>
      </c>
      <c r="F717">
        <f>SUMIFS(tblPayments[payment_amount],tblPayments[invoice_id],A717,tblPayments[payment_status],"Success")</f>
        <v/>
      </c>
      <c r="G717">
        <f>MAX(0,E717-F717)</f>
        <v/>
      </c>
      <c r="H717">
        <f>DATE(2026,8,13)-D717</f>
        <v/>
      </c>
      <c r="I717">
        <f>IFS(G717=0,"Excluded (paid)",H717&lt;=0,"Current",H717&lt;=30,"1-30 days",H717&lt;=60,"31-60 days",H717&lt;=90,"61-90 days",TRUE,"90+ days")</f>
        <v/>
      </c>
    </row>
    <row r="718">
      <c r="A718" t="inlineStr">
        <is>
          <t>INV0015158</t>
        </is>
      </c>
      <c r="B718" t="inlineStr">
        <is>
          <t>MER00716</t>
        </is>
      </c>
      <c r="C718">
        <f>XLOOKUP(B718,Merchants!$A$4:$A$1000,Merchants!$B$4:$B$1000,"Not found")</f>
        <v/>
      </c>
      <c r="D718">
        <f>XLOOKUP(A718,tblInvoices[invoice_id],tblInvoices[due_date])</f>
        <v/>
      </c>
      <c r="E718">
        <f>XLOOKUP(A718,tblInvoices[invoice_id],tblInvoices[total_invoice_amount])</f>
        <v/>
      </c>
      <c r="F718">
        <f>SUMIFS(tblPayments[payment_amount],tblPayments[invoice_id],A718,tblPayments[payment_status],"Success")</f>
        <v/>
      </c>
      <c r="G718">
        <f>MAX(0,E718-F718)</f>
        <v/>
      </c>
      <c r="H718">
        <f>DATE(2026,8,13)-D718</f>
        <v/>
      </c>
      <c r="I718">
        <f>IFS(G718=0,"Excluded (paid)",H718&lt;=0,"Current",H718&lt;=30,"1-30 days",H718&lt;=60,"31-60 days",H718&lt;=90,"61-90 days",TRUE,"90+ days")</f>
        <v/>
      </c>
    </row>
    <row r="719">
      <c r="A719" t="inlineStr">
        <is>
          <t>INV0015159</t>
        </is>
      </c>
      <c r="B719" t="inlineStr">
        <is>
          <t>MER00716</t>
        </is>
      </c>
      <c r="C719">
        <f>XLOOKUP(B719,Merchants!$A$4:$A$1000,Merchants!$B$4:$B$1000,"Not found")</f>
        <v/>
      </c>
      <c r="D719">
        <f>XLOOKUP(A719,tblInvoices[invoice_id],tblInvoices[due_date])</f>
        <v/>
      </c>
      <c r="E719">
        <f>XLOOKUP(A719,tblInvoices[invoice_id],tblInvoices[total_invoice_amount])</f>
        <v/>
      </c>
      <c r="F719">
        <f>SUMIFS(tblPayments[payment_amount],tblPayments[invoice_id],A719,tblPayments[payment_status],"Success")</f>
        <v/>
      </c>
      <c r="G719">
        <f>MAX(0,E719-F719)</f>
        <v/>
      </c>
      <c r="H719">
        <f>DATE(2026,8,13)-D719</f>
        <v/>
      </c>
      <c r="I719">
        <f>IFS(G719=0,"Excluded (paid)",H719&lt;=0,"Current",H719&lt;=30,"1-30 days",H719&lt;=60,"31-60 days",H719&lt;=90,"61-90 days",TRUE,"90+ days")</f>
        <v/>
      </c>
    </row>
    <row r="720">
      <c r="A720" t="inlineStr">
        <is>
          <t>INV0015160</t>
        </is>
      </c>
      <c r="B720" t="inlineStr">
        <is>
          <t>MER00716</t>
        </is>
      </c>
      <c r="C720">
        <f>XLOOKUP(B720,Merchants!$A$4:$A$1000,Merchants!$B$4:$B$1000,"Not found")</f>
        <v/>
      </c>
      <c r="D720">
        <f>XLOOKUP(A720,tblInvoices[invoice_id],tblInvoices[due_date])</f>
        <v/>
      </c>
      <c r="E720">
        <f>XLOOKUP(A720,tblInvoices[invoice_id],tblInvoices[total_invoice_amount])</f>
        <v/>
      </c>
      <c r="F720">
        <f>SUMIFS(tblPayments[payment_amount],tblPayments[invoice_id],A720,tblPayments[payment_status],"Success")</f>
        <v/>
      </c>
      <c r="G720">
        <f>MAX(0,E720-F720)</f>
        <v/>
      </c>
      <c r="H720">
        <f>DATE(2026,8,13)-D720</f>
        <v/>
      </c>
      <c r="I720">
        <f>IFS(G720=0,"Excluded (paid)",H720&lt;=0,"Current",H720&lt;=30,"1-30 days",H720&lt;=60,"31-60 days",H720&lt;=90,"61-90 days",TRUE,"90+ days")</f>
        <v/>
      </c>
    </row>
    <row r="721">
      <c r="A721" t="inlineStr">
        <is>
          <t>INV0015161</t>
        </is>
      </c>
      <c r="B721" t="inlineStr">
        <is>
          <t>MER00716</t>
        </is>
      </c>
      <c r="C721">
        <f>XLOOKUP(B721,Merchants!$A$4:$A$1000,Merchants!$B$4:$B$1000,"Not found")</f>
        <v/>
      </c>
      <c r="D721">
        <f>XLOOKUP(A721,tblInvoices[invoice_id],tblInvoices[due_date])</f>
        <v/>
      </c>
      <c r="E721">
        <f>XLOOKUP(A721,tblInvoices[invoice_id],tblInvoices[total_invoice_amount])</f>
        <v/>
      </c>
      <c r="F721">
        <f>SUMIFS(tblPayments[payment_amount],tblPayments[invoice_id],A721,tblPayments[payment_status],"Success")</f>
        <v/>
      </c>
      <c r="G721">
        <f>MAX(0,E721-F721)</f>
        <v/>
      </c>
      <c r="H721">
        <f>DATE(2026,8,13)-D721</f>
        <v/>
      </c>
      <c r="I721">
        <f>IFS(G721=0,"Excluded (paid)",H721&lt;=0,"Current",H721&lt;=30,"1-30 days",H721&lt;=60,"31-60 days",H721&lt;=90,"61-90 days",TRUE,"90+ days")</f>
        <v/>
      </c>
    </row>
    <row r="722">
      <c r="A722" t="inlineStr">
        <is>
          <t>INV0015162</t>
        </is>
      </c>
      <c r="B722" t="inlineStr">
        <is>
          <t>MER00716</t>
        </is>
      </c>
      <c r="C722">
        <f>XLOOKUP(B722,Merchants!$A$4:$A$1000,Merchants!$B$4:$B$1000,"Not found")</f>
        <v/>
      </c>
      <c r="D722">
        <f>XLOOKUP(A722,tblInvoices[invoice_id],tblInvoices[due_date])</f>
        <v/>
      </c>
      <c r="E722">
        <f>XLOOKUP(A722,tblInvoices[invoice_id],tblInvoices[total_invoice_amount])</f>
        <v/>
      </c>
      <c r="F722">
        <f>SUMIFS(tblPayments[payment_amount],tblPayments[invoice_id],A722,tblPayments[payment_status],"Success")</f>
        <v/>
      </c>
      <c r="G722">
        <f>MAX(0,E722-F722)</f>
        <v/>
      </c>
      <c r="H722">
        <f>DATE(2026,8,13)-D722</f>
        <v/>
      </c>
      <c r="I722">
        <f>IFS(G722=0,"Excluded (paid)",H722&lt;=0,"Current",H722&lt;=30,"1-30 days",H722&lt;=60,"31-60 days",H722&lt;=90,"61-90 days",TRUE,"90+ days")</f>
        <v/>
      </c>
    </row>
    <row r="723">
      <c r="A723" t="inlineStr">
        <is>
          <t>INV0015163</t>
        </is>
      </c>
      <c r="B723" t="inlineStr">
        <is>
          <t>MER00716</t>
        </is>
      </c>
      <c r="C723">
        <f>XLOOKUP(B723,Merchants!$A$4:$A$1000,Merchants!$B$4:$B$1000,"Not found")</f>
        <v/>
      </c>
      <c r="D723">
        <f>XLOOKUP(A723,tblInvoices[invoice_id],tblInvoices[due_date])</f>
        <v/>
      </c>
      <c r="E723">
        <f>XLOOKUP(A723,tblInvoices[invoice_id],tblInvoices[total_invoice_amount])</f>
        <v/>
      </c>
      <c r="F723">
        <f>SUMIFS(tblPayments[payment_amount],tblPayments[invoice_id],A723,tblPayments[payment_status],"Success")</f>
        <v/>
      </c>
      <c r="G723">
        <f>MAX(0,E723-F723)</f>
        <v/>
      </c>
      <c r="H723">
        <f>DATE(2026,8,13)-D723</f>
        <v/>
      </c>
      <c r="I723">
        <f>IFS(G723=0,"Excluded (paid)",H723&lt;=0,"Current",H723&lt;=30,"1-30 days",H723&lt;=60,"31-60 days",H723&lt;=90,"61-90 days",TRUE,"90+ days")</f>
        <v/>
      </c>
    </row>
    <row r="724">
      <c r="A724" t="inlineStr">
        <is>
          <t>INV0015164</t>
        </is>
      </c>
      <c r="B724" t="inlineStr">
        <is>
          <t>MER00716</t>
        </is>
      </c>
      <c r="C724">
        <f>XLOOKUP(B724,Merchants!$A$4:$A$1000,Merchants!$B$4:$B$1000,"Not found")</f>
        <v/>
      </c>
      <c r="D724">
        <f>XLOOKUP(A724,tblInvoices[invoice_id],tblInvoices[due_date])</f>
        <v/>
      </c>
      <c r="E724">
        <f>XLOOKUP(A724,tblInvoices[invoice_id],tblInvoices[total_invoice_amount])</f>
        <v/>
      </c>
      <c r="F724">
        <f>SUMIFS(tblPayments[payment_amount],tblPayments[invoice_id],A724,tblPayments[payment_status],"Success")</f>
        <v/>
      </c>
      <c r="G724">
        <f>MAX(0,E724-F724)</f>
        <v/>
      </c>
      <c r="H724">
        <f>DATE(2026,8,13)-D724</f>
        <v/>
      </c>
      <c r="I724">
        <f>IFS(G724=0,"Excluded (paid)",H724&lt;=0,"Current",H724&lt;=30,"1-30 days",H724&lt;=60,"31-60 days",H724&lt;=90,"61-90 days",TRUE,"90+ days")</f>
        <v/>
      </c>
    </row>
    <row r="725">
      <c r="A725" t="inlineStr">
        <is>
          <t>INV0015165</t>
        </is>
      </c>
      <c r="B725" t="inlineStr">
        <is>
          <t>MER00716</t>
        </is>
      </c>
      <c r="C725">
        <f>XLOOKUP(B725,Merchants!$A$4:$A$1000,Merchants!$B$4:$B$1000,"Not found")</f>
        <v/>
      </c>
      <c r="D725">
        <f>XLOOKUP(A725,tblInvoices[invoice_id],tblInvoices[due_date])</f>
        <v/>
      </c>
      <c r="E725">
        <f>XLOOKUP(A725,tblInvoices[invoice_id],tblInvoices[total_invoice_amount])</f>
        <v/>
      </c>
      <c r="F725">
        <f>SUMIFS(tblPayments[payment_amount],tblPayments[invoice_id],A725,tblPayments[payment_status],"Success")</f>
        <v/>
      </c>
      <c r="G725">
        <f>MAX(0,E725-F725)</f>
        <v/>
      </c>
      <c r="H725">
        <f>DATE(2026,8,13)-D725</f>
        <v/>
      </c>
      <c r="I725">
        <f>IFS(G725=0,"Excluded (paid)",H725&lt;=0,"Current",H725&lt;=30,"1-30 days",H725&lt;=60,"31-60 days",H725&lt;=90,"61-90 days",TRUE,"90+ days")</f>
        <v/>
      </c>
    </row>
    <row r="726">
      <c r="A726" t="inlineStr">
        <is>
          <t>INV0015166</t>
        </is>
      </c>
      <c r="B726" t="inlineStr">
        <is>
          <t>MER00716</t>
        </is>
      </c>
      <c r="C726">
        <f>XLOOKUP(B726,Merchants!$A$4:$A$1000,Merchants!$B$4:$B$1000,"Not found")</f>
        <v/>
      </c>
      <c r="D726">
        <f>XLOOKUP(A726,tblInvoices[invoice_id],tblInvoices[due_date])</f>
        <v/>
      </c>
      <c r="E726">
        <f>XLOOKUP(A726,tblInvoices[invoice_id],tblInvoices[total_invoice_amount])</f>
        <v/>
      </c>
      <c r="F726">
        <f>SUMIFS(tblPayments[payment_amount],tblPayments[invoice_id],A726,tblPayments[payment_status],"Success")</f>
        <v/>
      </c>
      <c r="G726">
        <f>MAX(0,E726-F726)</f>
        <v/>
      </c>
      <c r="H726">
        <f>DATE(2026,8,13)-D726</f>
        <v/>
      </c>
      <c r="I726">
        <f>IFS(G726=0,"Excluded (paid)",H726&lt;=0,"Current",H726&lt;=30,"1-30 days",H726&lt;=60,"31-60 days",H726&lt;=90,"61-90 days",TRUE,"90+ days")</f>
        <v/>
      </c>
    </row>
    <row r="727">
      <c r="A727" t="inlineStr">
        <is>
          <t>INV0015167</t>
        </is>
      </c>
      <c r="B727" t="inlineStr">
        <is>
          <t>MER00716</t>
        </is>
      </c>
      <c r="C727">
        <f>XLOOKUP(B727,Merchants!$A$4:$A$1000,Merchants!$B$4:$B$1000,"Not found")</f>
        <v/>
      </c>
      <c r="D727">
        <f>XLOOKUP(A727,tblInvoices[invoice_id],tblInvoices[due_date])</f>
        <v/>
      </c>
      <c r="E727">
        <f>XLOOKUP(A727,tblInvoices[invoice_id],tblInvoices[total_invoice_amount])</f>
        <v/>
      </c>
      <c r="F727">
        <f>SUMIFS(tblPayments[payment_amount],tblPayments[invoice_id],A727,tblPayments[payment_status],"Success")</f>
        <v/>
      </c>
      <c r="G727">
        <f>MAX(0,E727-F727)</f>
        <v/>
      </c>
      <c r="H727">
        <f>DATE(2026,8,13)-D727</f>
        <v/>
      </c>
      <c r="I727">
        <f>IFS(G727=0,"Excluded (paid)",H727&lt;=0,"Current",H727&lt;=30,"1-30 days",H727&lt;=60,"31-60 days",H727&lt;=90,"61-90 days",TRUE,"90+ days")</f>
        <v/>
      </c>
    </row>
    <row r="728">
      <c r="A728" t="inlineStr">
        <is>
          <t>INV0015168</t>
        </is>
      </c>
      <c r="B728" t="inlineStr">
        <is>
          <t>MER00716</t>
        </is>
      </c>
      <c r="C728">
        <f>XLOOKUP(B728,Merchants!$A$4:$A$1000,Merchants!$B$4:$B$1000,"Not found")</f>
        <v/>
      </c>
      <c r="D728">
        <f>XLOOKUP(A728,tblInvoices[invoice_id],tblInvoices[due_date])</f>
        <v/>
      </c>
      <c r="E728">
        <f>XLOOKUP(A728,tblInvoices[invoice_id],tblInvoices[total_invoice_amount])</f>
        <v/>
      </c>
      <c r="F728">
        <f>SUMIFS(tblPayments[payment_amount],tblPayments[invoice_id],A728,tblPayments[payment_status],"Success")</f>
        <v/>
      </c>
      <c r="G728">
        <f>MAX(0,E728-F728)</f>
        <v/>
      </c>
      <c r="H728">
        <f>DATE(2026,8,13)-D728</f>
        <v/>
      </c>
      <c r="I728">
        <f>IFS(G728=0,"Excluded (paid)",H728&lt;=0,"Current",H728&lt;=30,"1-30 days",H728&lt;=60,"31-60 days",H728&lt;=90,"61-90 days",TRUE,"90+ days")</f>
        <v/>
      </c>
    </row>
    <row r="729">
      <c r="A729" t="inlineStr">
        <is>
          <t>INV0015169</t>
        </is>
      </c>
      <c r="B729" t="inlineStr">
        <is>
          <t>MER00716</t>
        </is>
      </c>
      <c r="C729">
        <f>XLOOKUP(B729,Merchants!$A$4:$A$1000,Merchants!$B$4:$B$1000,"Not found")</f>
        <v/>
      </c>
      <c r="D729">
        <f>XLOOKUP(A729,tblInvoices[invoice_id],tblInvoices[due_date])</f>
        <v/>
      </c>
      <c r="E729">
        <f>XLOOKUP(A729,tblInvoices[invoice_id],tblInvoices[total_invoice_amount])</f>
        <v/>
      </c>
      <c r="F729">
        <f>SUMIFS(tblPayments[payment_amount],tblPayments[invoice_id],A729,tblPayments[payment_status],"Success")</f>
        <v/>
      </c>
      <c r="G729">
        <f>MAX(0,E729-F729)</f>
        <v/>
      </c>
      <c r="H729">
        <f>DATE(2026,8,13)-D729</f>
        <v/>
      </c>
      <c r="I729">
        <f>IFS(G729=0,"Excluded (paid)",H729&lt;=0,"Current",H729&lt;=30,"1-30 days",H729&lt;=60,"31-60 days",H729&lt;=90,"61-90 days",TRUE,"90+ days")</f>
        <v/>
      </c>
    </row>
    <row r="730">
      <c r="A730" t="inlineStr">
        <is>
          <t>INV0015170</t>
        </is>
      </c>
      <c r="B730" t="inlineStr">
        <is>
          <t>MER00716</t>
        </is>
      </c>
      <c r="C730">
        <f>XLOOKUP(B730,Merchants!$A$4:$A$1000,Merchants!$B$4:$B$1000,"Not found")</f>
        <v/>
      </c>
      <c r="D730">
        <f>XLOOKUP(A730,tblInvoices[invoice_id],tblInvoices[due_date])</f>
        <v/>
      </c>
      <c r="E730">
        <f>XLOOKUP(A730,tblInvoices[invoice_id],tblInvoices[total_invoice_amount])</f>
        <v/>
      </c>
      <c r="F730">
        <f>SUMIFS(tblPayments[payment_amount],tblPayments[invoice_id],A730,tblPayments[payment_status],"Success")</f>
        <v/>
      </c>
      <c r="G730">
        <f>MAX(0,E730-F730)</f>
        <v/>
      </c>
      <c r="H730">
        <f>DATE(2026,8,13)-D730</f>
        <v/>
      </c>
      <c r="I730">
        <f>IFS(G730=0,"Excluded (paid)",H730&lt;=0,"Current",H730&lt;=30,"1-30 days",H730&lt;=60,"31-60 days",H730&lt;=90,"61-90 days",TRUE,"90+ days")</f>
        <v/>
      </c>
    </row>
    <row r="731">
      <c r="A731" t="inlineStr">
        <is>
          <t>INV0015171</t>
        </is>
      </c>
      <c r="B731" t="inlineStr">
        <is>
          <t>MER00716</t>
        </is>
      </c>
      <c r="C731">
        <f>XLOOKUP(B731,Merchants!$A$4:$A$1000,Merchants!$B$4:$B$1000,"Not found")</f>
        <v/>
      </c>
      <c r="D731">
        <f>XLOOKUP(A731,tblInvoices[invoice_id],tblInvoices[due_date])</f>
        <v/>
      </c>
      <c r="E731">
        <f>XLOOKUP(A731,tblInvoices[invoice_id],tblInvoices[total_invoice_amount])</f>
        <v/>
      </c>
      <c r="F731">
        <f>SUMIFS(tblPayments[payment_amount],tblPayments[invoice_id],A731,tblPayments[payment_status],"Success")</f>
        <v/>
      </c>
      <c r="G731">
        <f>MAX(0,E731-F731)</f>
        <v/>
      </c>
      <c r="H731">
        <f>DATE(2026,8,13)-D731</f>
        <v/>
      </c>
      <c r="I731">
        <f>IFS(G731=0,"Excluded (paid)",H731&lt;=0,"Current",H731&lt;=30,"1-30 days",H731&lt;=60,"31-60 days",H731&lt;=90,"61-90 days",TRUE,"90+ days")</f>
        <v/>
      </c>
    </row>
    <row r="732">
      <c r="A732" t="inlineStr">
        <is>
          <t>INV0015172</t>
        </is>
      </c>
      <c r="B732" t="inlineStr">
        <is>
          <t>MER00716</t>
        </is>
      </c>
      <c r="C732">
        <f>XLOOKUP(B732,Merchants!$A$4:$A$1000,Merchants!$B$4:$B$1000,"Not found")</f>
        <v/>
      </c>
      <c r="D732">
        <f>XLOOKUP(A732,tblInvoices[invoice_id],tblInvoices[due_date])</f>
        <v/>
      </c>
      <c r="E732">
        <f>XLOOKUP(A732,tblInvoices[invoice_id],tblInvoices[total_invoice_amount])</f>
        <v/>
      </c>
      <c r="F732">
        <f>SUMIFS(tblPayments[payment_amount],tblPayments[invoice_id],A732,tblPayments[payment_status],"Success")</f>
        <v/>
      </c>
      <c r="G732">
        <f>MAX(0,E732-F732)</f>
        <v/>
      </c>
      <c r="H732">
        <f>DATE(2026,8,13)-D732</f>
        <v/>
      </c>
      <c r="I732">
        <f>IFS(G732=0,"Excluded (paid)",H732&lt;=0,"Current",H732&lt;=30,"1-30 days",H732&lt;=60,"31-60 days",H732&lt;=90,"61-90 days",TRUE,"90+ days")</f>
        <v/>
      </c>
    </row>
    <row r="733">
      <c r="A733" t="inlineStr">
        <is>
          <t>INV0015173</t>
        </is>
      </c>
      <c r="B733" t="inlineStr">
        <is>
          <t>MER00716</t>
        </is>
      </c>
      <c r="C733">
        <f>XLOOKUP(B733,Merchants!$A$4:$A$1000,Merchants!$B$4:$B$1000,"Not found")</f>
        <v/>
      </c>
      <c r="D733">
        <f>XLOOKUP(A733,tblInvoices[invoice_id],tblInvoices[due_date])</f>
        <v/>
      </c>
      <c r="E733">
        <f>XLOOKUP(A733,tblInvoices[invoice_id],tblInvoices[total_invoice_amount])</f>
        <v/>
      </c>
      <c r="F733">
        <f>SUMIFS(tblPayments[payment_amount],tblPayments[invoice_id],A733,tblPayments[payment_status],"Success")</f>
        <v/>
      </c>
      <c r="G733">
        <f>MAX(0,E733-F733)</f>
        <v/>
      </c>
      <c r="H733">
        <f>DATE(2026,8,13)-D733</f>
        <v/>
      </c>
      <c r="I733">
        <f>IFS(G733=0,"Excluded (paid)",H733&lt;=0,"Current",H733&lt;=30,"1-30 days",H733&lt;=60,"31-60 days",H733&lt;=90,"61-90 days",TRUE,"90+ days")</f>
        <v/>
      </c>
    </row>
    <row r="734">
      <c r="A734" t="inlineStr">
        <is>
          <t>INV0015174</t>
        </is>
      </c>
      <c r="B734" t="inlineStr">
        <is>
          <t>MER00716</t>
        </is>
      </c>
      <c r="C734">
        <f>XLOOKUP(B734,Merchants!$A$4:$A$1000,Merchants!$B$4:$B$1000,"Not found")</f>
        <v/>
      </c>
      <c r="D734">
        <f>XLOOKUP(A734,tblInvoices[invoice_id],tblInvoices[due_date])</f>
        <v/>
      </c>
      <c r="E734">
        <f>XLOOKUP(A734,tblInvoices[invoice_id],tblInvoices[total_invoice_amount])</f>
        <v/>
      </c>
      <c r="F734">
        <f>SUMIFS(tblPayments[payment_amount],tblPayments[invoice_id],A734,tblPayments[payment_status],"Success")</f>
        <v/>
      </c>
      <c r="G734">
        <f>MAX(0,E734-F734)</f>
        <v/>
      </c>
      <c r="H734">
        <f>DATE(2026,8,13)-D734</f>
        <v/>
      </c>
      <c r="I734">
        <f>IFS(G734=0,"Excluded (paid)",H734&lt;=0,"Current",H734&lt;=30,"1-30 days",H734&lt;=60,"31-60 days",H734&lt;=90,"61-90 days",TRUE,"90+ days")</f>
        <v/>
      </c>
    </row>
    <row r="735">
      <c r="A735" t="inlineStr">
        <is>
          <t>INV0015175</t>
        </is>
      </c>
      <c r="B735" t="inlineStr">
        <is>
          <t>MER00716</t>
        </is>
      </c>
      <c r="C735">
        <f>XLOOKUP(B735,Merchants!$A$4:$A$1000,Merchants!$B$4:$B$1000,"Not found")</f>
        <v/>
      </c>
      <c r="D735">
        <f>XLOOKUP(A735,tblInvoices[invoice_id],tblInvoices[due_date])</f>
        <v/>
      </c>
      <c r="E735">
        <f>XLOOKUP(A735,tblInvoices[invoice_id],tblInvoices[total_invoice_amount])</f>
        <v/>
      </c>
      <c r="F735">
        <f>SUMIFS(tblPayments[payment_amount],tblPayments[invoice_id],A735,tblPayments[payment_status],"Success")</f>
        <v/>
      </c>
      <c r="G735">
        <f>MAX(0,E735-F735)</f>
        <v/>
      </c>
      <c r="H735">
        <f>DATE(2026,8,13)-D735</f>
        <v/>
      </c>
      <c r="I735">
        <f>IFS(G735=0,"Excluded (paid)",H735&lt;=0,"Current",H735&lt;=30,"1-30 days",H735&lt;=60,"31-60 days",H735&lt;=90,"61-90 days",TRUE,"90+ days")</f>
        <v/>
      </c>
    </row>
    <row r="736">
      <c r="A736" t="inlineStr">
        <is>
          <t>INV0015176</t>
        </is>
      </c>
      <c r="B736" t="inlineStr">
        <is>
          <t>MER00716</t>
        </is>
      </c>
      <c r="C736">
        <f>XLOOKUP(B736,Merchants!$A$4:$A$1000,Merchants!$B$4:$B$1000,"Not found")</f>
        <v/>
      </c>
      <c r="D736">
        <f>XLOOKUP(A736,tblInvoices[invoice_id],tblInvoices[due_date])</f>
        <v/>
      </c>
      <c r="E736">
        <f>XLOOKUP(A736,tblInvoices[invoice_id],tblInvoices[total_invoice_amount])</f>
        <v/>
      </c>
      <c r="F736">
        <f>SUMIFS(tblPayments[payment_amount],tblPayments[invoice_id],A736,tblPayments[payment_status],"Success")</f>
        <v/>
      </c>
      <c r="G736">
        <f>MAX(0,E736-F736)</f>
        <v/>
      </c>
      <c r="H736">
        <f>DATE(2026,8,13)-D736</f>
        <v/>
      </c>
      <c r="I736">
        <f>IFS(G736=0,"Excluded (paid)",H736&lt;=0,"Current",H736&lt;=30,"1-30 days",H736&lt;=60,"31-60 days",H736&lt;=90,"61-90 days",TRUE,"90+ days")</f>
        <v/>
      </c>
    </row>
    <row r="737">
      <c r="A737" t="inlineStr">
        <is>
          <t>INV0015375</t>
        </is>
      </c>
      <c r="B737" t="inlineStr">
        <is>
          <t>MER00726</t>
        </is>
      </c>
      <c r="C737">
        <f>XLOOKUP(B737,Merchants!$A$4:$A$1000,Merchants!$B$4:$B$1000,"Not found")</f>
        <v/>
      </c>
      <c r="D737">
        <f>XLOOKUP(A737,tblInvoices[invoice_id],tblInvoices[due_date])</f>
        <v/>
      </c>
      <c r="E737">
        <f>XLOOKUP(A737,tblInvoices[invoice_id],tblInvoices[total_invoice_amount])</f>
        <v/>
      </c>
      <c r="F737">
        <f>SUMIFS(tblPayments[payment_amount],tblPayments[invoice_id],A737,tblPayments[payment_status],"Success")</f>
        <v/>
      </c>
      <c r="G737">
        <f>MAX(0,E737-F737)</f>
        <v/>
      </c>
      <c r="H737">
        <f>DATE(2026,8,13)-D737</f>
        <v/>
      </c>
      <c r="I737">
        <f>IFS(G737=0,"Excluded (paid)",H737&lt;=0,"Current",H737&lt;=30,"1-30 days",H737&lt;=60,"31-60 days",H737&lt;=90,"61-90 days",TRUE,"90+ days")</f>
        <v/>
      </c>
    </row>
    <row r="738">
      <c r="A738" t="inlineStr">
        <is>
          <t>INV0015376</t>
        </is>
      </c>
      <c r="B738" t="inlineStr">
        <is>
          <t>MER00726</t>
        </is>
      </c>
      <c r="C738">
        <f>XLOOKUP(B738,Merchants!$A$4:$A$1000,Merchants!$B$4:$B$1000,"Not found")</f>
        <v/>
      </c>
      <c r="D738">
        <f>XLOOKUP(A738,tblInvoices[invoice_id],tblInvoices[due_date])</f>
        <v/>
      </c>
      <c r="E738">
        <f>XLOOKUP(A738,tblInvoices[invoice_id],tblInvoices[total_invoice_amount])</f>
        <v/>
      </c>
      <c r="F738">
        <f>SUMIFS(tblPayments[payment_amount],tblPayments[invoice_id],A738,tblPayments[payment_status],"Success")</f>
        <v/>
      </c>
      <c r="G738">
        <f>MAX(0,E738-F738)</f>
        <v/>
      </c>
      <c r="H738">
        <f>DATE(2026,8,13)-D738</f>
        <v/>
      </c>
      <c r="I738">
        <f>IFS(G738=0,"Excluded (paid)",H738&lt;=0,"Current",H738&lt;=30,"1-30 days",H738&lt;=60,"31-60 days",H738&lt;=90,"61-90 days",TRUE,"90+ days")</f>
        <v/>
      </c>
    </row>
    <row r="739">
      <c r="A739" t="inlineStr">
        <is>
          <t>INV0015377</t>
        </is>
      </c>
      <c r="B739" t="inlineStr">
        <is>
          <t>MER00726</t>
        </is>
      </c>
      <c r="C739">
        <f>XLOOKUP(B739,Merchants!$A$4:$A$1000,Merchants!$B$4:$B$1000,"Not found")</f>
        <v/>
      </c>
      <c r="D739">
        <f>XLOOKUP(A739,tblInvoices[invoice_id],tblInvoices[due_date])</f>
        <v/>
      </c>
      <c r="E739">
        <f>XLOOKUP(A739,tblInvoices[invoice_id],tblInvoices[total_invoice_amount])</f>
        <v/>
      </c>
      <c r="F739">
        <f>SUMIFS(tblPayments[payment_amount],tblPayments[invoice_id],A739,tblPayments[payment_status],"Success")</f>
        <v/>
      </c>
      <c r="G739">
        <f>MAX(0,E739-F739)</f>
        <v/>
      </c>
      <c r="H739">
        <f>DATE(2026,8,13)-D739</f>
        <v/>
      </c>
      <c r="I739">
        <f>IFS(G739=0,"Excluded (paid)",H739&lt;=0,"Current",H739&lt;=30,"1-30 days",H739&lt;=60,"31-60 days",H739&lt;=90,"61-90 days",TRUE,"90+ days")</f>
        <v/>
      </c>
    </row>
    <row r="740">
      <c r="A740" t="inlineStr">
        <is>
          <t>INV0015378</t>
        </is>
      </c>
      <c r="B740" t="inlineStr">
        <is>
          <t>MER00726</t>
        </is>
      </c>
      <c r="C740">
        <f>XLOOKUP(B740,Merchants!$A$4:$A$1000,Merchants!$B$4:$B$1000,"Not found")</f>
        <v/>
      </c>
      <c r="D740">
        <f>XLOOKUP(A740,tblInvoices[invoice_id],tblInvoices[due_date])</f>
        <v/>
      </c>
      <c r="E740">
        <f>XLOOKUP(A740,tblInvoices[invoice_id],tblInvoices[total_invoice_amount])</f>
        <v/>
      </c>
      <c r="F740">
        <f>SUMIFS(tblPayments[payment_amount],tblPayments[invoice_id],A740,tblPayments[payment_status],"Success")</f>
        <v/>
      </c>
      <c r="G740">
        <f>MAX(0,E740-F740)</f>
        <v/>
      </c>
      <c r="H740">
        <f>DATE(2026,8,13)-D740</f>
        <v/>
      </c>
      <c r="I740">
        <f>IFS(G740=0,"Excluded (paid)",H740&lt;=0,"Current",H740&lt;=30,"1-30 days",H740&lt;=60,"31-60 days",H740&lt;=90,"61-90 days",TRUE,"90+ days")</f>
        <v/>
      </c>
    </row>
    <row r="741">
      <c r="A741" t="inlineStr">
        <is>
          <t>INV0015379</t>
        </is>
      </c>
      <c r="B741" t="inlineStr">
        <is>
          <t>MER00726</t>
        </is>
      </c>
      <c r="C741">
        <f>XLOOKUP(B741,Merchants!$A$4:$A$1000,Merchants!$B$4:$B$1000,"Not found")</f>
        <v/>
      </c>
      <c r="D741">
        <f>XLOOKUP(A741,tblInvoices[invoice_id],tblInvoices[due_date])</f>
        <v/>
      </c>
      <c r="E741">
        <f>XLOOKUP(A741,tblInvoices[invoice_id],tblInvoices[total_invoice_amount])</f>
        <v/>
      </c>
      <c r="F741">
        <f>SUMIFS(tblPayments[payment_amount],tblPayments[invoice_id],A741,tblPayments[payment_status],"Success")</f>
        <v/>
      </c>
      <c r="G741">
        <f>MAX(0,E741-F741)</f>
        <v/>
      </c>
      <c r="H741">
        <f>DATE(2026,8,13)-D741</f>
        <v/>
      </c>
      <c r="I741">
        <f>IFS(G741=0,"Excluded (paid)",H741&lt;=0,"Current",H741&lt;=30,"1-30 days",H741&lt;=60,"31-60 days",H741&lt;=90,"61-90 days",TRUE,"90+ days")</f>
        <v/>
      </c>
    </row>
    <row r="742">
      <c r="A742" t="inlineStr">
        <is>
          <t>INV0015380</t>
        </is>
      </c>
      <c r="B742" t="inlineStr">
        <is>
          <t>MER00726</t>
        </is>
      </c>
      <c r="C742">
        <f>XLOOKUP(B742,Merchants!$A$4:$A$1000,Merchants!$B$4:$B$1000,"Not found")</f>
        <v/>
      </c>
      <c r="D742">
        <f>XLOOKUP(A742,tblInvoices[invoice_id],tblInvoices[due_date])</f>
        <v/>
      </c>
      <c r="E742">
        <f>XLOOKUP(A742,tblInvoices[invoice_id],tblInvoices[total_invoice_amount])</f>
        <v/>
      </c>
      <c r="F742">
        <f>SUMIFS(tblPayments[payment_amount],tblPayments[invoice_id],A742,tblPayments[payment_status],"Success")</f>
        <v/>
      </c>
      <c r="G742">
        <f>MAX(0,E742-F742)</f>
        <v/>
      </c>
      <c r="H742">
        <f>DATE(2026,8,13)-D742</f>
        <v/>
      </c>
      <c r="I742">
        <f>IFS(G742=0,"Excluded (paid)",H742&lt;=0,"Current",H742&lt;=30,"1-30 days",H742&lt;=60,"31-60 days",H742&lt;=90,"61-90 days",TRUE,"90+ days")</f>
        <v/>
      </c>
    </row>
    <row r="743">
      <c r="A743" t="inlineStr">
        <is>
          <t>INV0015381</t>
        </is>
      </c>
      <c r="B743" t="inlineStr">
        <is>
          <t>MER00726</t>
        </is>
      </c>
      <c r="C743">
        <f>XLOOKUP(B743,Merchants!$A$4:$A$1000,Merchants!$B$4:$B$1000,"Not found")</f>
        <v/>
      </c>
      <c r="D743">
        <f>XLOOKUP(A743,tblInvoices[invoice_id],tblInvoices[due_date])</f>
        <v/>
      </c>
      <c r="E743">
        <f>XLOOKUP(A743,tblInvoices[invoice_id],tblInvoices[total_invoice_amount])</f>
        <v/>
      </c>
      <c r="F743">
        <f>SUMIFS(tblPayments[payment_amount],tblPayments[invoice_id],A743,tblPayments[payment_status],"Success")</f>
        <v/>
      </c>
      <c r="G743">
        <f>MAX(0,E743-F743)</f>
        <v/>
      </c>
      <c r="H743">
        <f>DATE(2026,8,13)-D743</f>
        <v/>
      </c>
      <c r="I743">
        <f>IFS(G743=0,"Excluded (paid)",H743&lt;=0,"Current",H743&lt;=30,"1-30 days",H743&lt;=60,"31-60 days",H743&lt;=90,"61-90 days",TRUE,"90+ days")</f>
        <v/>
      </c>
    </row>
    <row r="744">
      <c r="A744" t="inlineStr">
        <is>
          <t>INV0015382</t>
        </is>
      </c>
      <c r="B744" t="inlineStr">
        <is>
          <t>MER00726</t>
        </is>
      </c>
      <c r="C744">
        <f>XLOOKUP(B744,Merchants!$A$4:$A$1000,Merchants!$B$4:$B$1000,"Not found")</f>
        <v/>
      </c>
      <c r="D744">
        <f>XLOOKUP(A744,tblInvoices[invoice_id],tblInvoices[due_date])</f>
        <v/>
      </c>
      <c r="E744">
        <f>XLOOKUP(A744,tblInvoices[invoice_id],tblInvoices[total_invoice_amount])</f>
        <v/>
      </c>
      <c r="F744">
        <f>SUMIFS(tblPayments[payment_amount],tblPayments[invoice_id],A744,tblPayments[payment_status],"Success")</f>
        <v/>
      </c>
      <c r="G744">
        <f>MAX(0,E744-F744)</f>
        <v/>
      </c>
      <c r="H744">
        <f>DATE(2026,8,13)-D744</f>
        <v/>
      </c>
      <c r="I744">
        <f>IFS(G744=0,"Excluded (paid)",H744&lt;=0,"Current",H744&lt;=30,"1-30 days",H744&lt;=60,"31-60 days",H744&lt;=90,"61-90 days",TRUE,"90+ days")</f>
        <v/>
      </c>
    </row>
    <row r="745">
      <c r="A745" t="inlineStr">
        <is>
          <t>INV0015383</t>
        </is>
      </c>
      <c r="B745" t="inlineStr">
        <is>
          <t>MER00726</t>
        </is>
      </c>
      <c r="C745">
        <f>XLOOKUP(B745,Merchants!$A$4:$A$1000,Merchants!$B$4:$B$1000,"Not found")</f>
        <v/>
      </c>
      <c r="D745">
        <f>XLOOKUP(A745,tblInvoices[invoice_id],tblInvoices[due_date])</f>
        <v/>
      </c>
      <c r="E745">
        <f>XLOOKUP(A745,tblInvoices[invoice_id],tblInvoices[total_invoice_amount])</f>
        <v/>
      </c>
      <c r="F745">
        <f>SUMIFS(tblPayments[payment_amount],tblPayments[invoice_id],A745,tblPayments[payment_status],"Success")</f>
        <v/>
      </c>
      <c r="G745">
        <f>MAX(0,E745-F745)</f>
        <v/>
      </c>
      <c r="H745">
        <f>DATE(2026,8,13)-D745</f>
        <v/>
      </c>
      <c r="I745">
        <f>IFS(G745=0,"Excluded (paid)",H745&lt;=0,"Current",H745&lt;=30,"1-30 days",H745&lt;=60,"31-60 days",H745&lt;=90,"61-90 days",TRUE,"90+ days")</f>
        <v/>
      </c>
    </row>
    <row r="746">
      <c r="A746" t="inlineStr">
        <is>
          <t>INV0015384</t>
        </is>
      </c>
      <c r="B746" t="inlineStr">
        <is>
          <t>MER00726</t>
        </is>
      </c>
      <c r="C746">
        <f>XLOOKUP(B746,Merchants!$A$4:$A$1000,Merchants!$B$4:$B$1000,"Not found")</f>
        <v/>
      </c>
      <c r="D746">
        <f>XLOOKUP(A746,tblInvoices[invoice_id],tblInvoices[due_date])</f>
        <v/>
      </c>
      <c r="E746">
        <f>XLOOKUP(A746,tblInvoices[invoice_id],tblInvoices[total_invoice_amount])</f>
        <v/>
      </c>
      <c r="F746">
        <f>SUMIFS(tblPayments[payment_amount],tblPayments[invoice_id],A746,tblPayments[payment_status],"Success")</f>
        <v/>
      </c>
      <c r="G746">
        <f>MAX(0,E746-F746)</f>
        <v/>
      </c>
      <c r="H746">
        <f>DATE(2026,8,13)-D746</f>
        <v/>
      </c>
      <c r="I746">
        <f>IFS(G746=0,"Excluded (paid)",H746&lt;=0,"Current",H746&lt;=30,"1-30 days",H746&lt;=60,"31-60 days",H746&lt;=90,"61-90 days",TRUE,"90+ days")</f>
        <v/>
      </c>
    </row>
    <row r="747">
      <c r="A747" t="inlineStr">
        <is>
          <t>INV0015385</t>
        </is>
      </c>
      <c r="B747" t="inlineStr">
        <is>
          <t>MER00726</t>
        </is>
      </c>
      <c r="C747">
        <f>XLOOKUP(B747,Merchants!$A$4:$A$1000,Merchants!$B$4:$B$1000,"Not found")</f>
        <v/>
      </c>
      <c r="D747">
        <f>XLOOKUP(A747,tblInvoices[invoice_id],tblInvoices[due_date])</f>
        <v/>
      </c>
      <c r="E747">
        <f>XLOOKUP(A747,tblInvoices[invoice_id],tblInvoices[total_invoice_amount])</f>
        <v/>
      </c>
      <c r="F747">
        <f>SUMIFS(tblPayments[payment_amount],tblPayments[invoice_id],A747,tblPayments[payment_status],"Success")</f>
        <v/>
      </c>
      <c r="G747">
        <f>MAX(0,E747-F747)</f>
        <v/>
      </c>
      <c r="H747">
        <f>DATE(2026,8,13)-D747</f>
        <v/>
      </c>
      <c r="I747">
        <f>IFS(G747=0,"Excluded (paid)",H747&lt;=0,"Current",H747&lt;=30,"1-30 days",H747&lt;=60,"31-60 days",H747&lt;=90,"61-90 days",TRUE,"90+ days")</f>
        <v/>
      </c>
    </row>
    <row r="748">
      <c r="A748" t="inlineStr">
        <is>
          <t>INV0015386</t>
        </is>
      </c>
      <c r="B748" t="inlineStr">
        <is>
          <t>MER00726</t>
        </is>
      </c>
      <c r="C748">
        <f>XLOOKUP(B748,Merchants!$A$4:$A$1000,Merchants!$B$4:$B$1000,"Not found")</f>
        <v/>
      </c>
      <c r="D748">
        <f>XLOOKUP(A748,tblInvoices[invoice_id],tblInvoices[due_date])</f>
        <v/>
      </c>
      <c r="E748">
        <f>XLOOKUP(A748,tblInvoices[invoice_id],tblInvoices[total_invoice_amount])</f>
        <v/>
      </c>
      <c r="F748">
        <f>SUMIFS(tblPayments[payment_amount],tblPayments[invoice_id],A748,tblPayments[payment_status],"Success")</f>
        <v/>
      </c>
      <c r="G748">
        <f>MAX(0,E748-F748)</f>
        <v/>
      </c>
      <c r="H748">
        <f>DATE(2026,8,13)-D748</f>
        <v/>
      </c>
      <c r="I748">
        <f>IFS(G748=0,"Excluded (paid)",H748&lt;=0,"Current",H748&lt;=30,"1-30 days",H748&lt;=60,"31-60 days",H748&lt;=90,"61-90 days",TRUE,"90+ days")</f>
        <v/>
      </c>
    </row>
    <row r="749">
      <c r="A749" t="inlineStr">
        <is>
          <t>INV0015387</t>
        </is>
      </c>
      <c r="B749" t="inlineStr">
        <is>
          <t>MER00726</t>
        </is>
      </c>
      <c r="C749">
        <f>XLOOKUP(B749,Merchants!$A$4:$A$1000,Merchants!$B$4:$B$1000,"Not found")</f>
        <v/>
      </c>
      <c r="D749">
        <f>XLOOKUP(A749,tblInvoices[invoice_id],tblInvoices[due_date])</f>
        <v/>
      </c>
      <c r="E749">
        <f>XLOOKUP(A749,tblInvoices[invoice_id],tblInvoices[total_invoice_amount])</f>
        <v/>
      </c>
      <c r="F749">
        <f>SUMIFS(tblPayments[payment_amount],tblPayments[invoice_id],A749,tblPayments[payment_status],"Success")</f>
        <v/>
      </c>
      <c r="G749">
        <f>MAX(0,E749-F749)</f>
        <v/>
      </c>
      <c r="H749">
        <f>DATE(2026,8,13)-D749</f>
        <v/>
      </c>
      <c r="I749">
        <f>IFS(G749=0,"Excluded (paid)",H749&lt;=0,"Current",H749&lt;=30,"1-30 days",H749&lt;=60,"31-60 days",H749&lt;=90,"61-90 days",TRUE,"90+ days")</f>
        <v/>
      </c>
    </row>
    <row r="750">
      <c r="A750" t="inlineStr">
        <is>
          <t>INV0015388</t>
        </is>
      </c>
      <c r="B750" t="inlineStr">
        <is>
          <t>MER00726</t>
        </is>
      </c>
      <c r="C750">
        <f>XLOOKUP(B750,Merchants!$A$4:$A$1000,Merchants!$B$4:$B$1000,"Not found")</f>
        <v/>
      </c>
      <c r="D750">
        <f>XLOOKUP(A750,tblInvoices[invoice_id],tblInvoices[due_date])</f>
        <v/>
      </c>
      <c r="E750">
        <f>XLOOKUP(A750,tblInvoices[invoice_id],tblInvoices[total_invoice_amount])</f>
        <v/>
      </c>
      <c r="F750">
        <f>SUMIFS(tblPayments[payment_amount],tblPayments[invoice_id],A750,tblPayments[payment_status],"Success")</f>
        <v/>
      </c>
      <c r="G750">
        <f>MAX(0,E750-F750)</f>
        <v/>
      </c>
      <c r="H750">
        <f>DATE(2026,8,13)-D750</f>
        <v/>
      </c>
      <c r="I750">
        <f>IFS(G750=0,"Excluded (paid)",H750&lt;=0,"Current",H750&lt;=30,"1-30 days",H750&lt;=60,"31-60 days",H750&lt;=90,"61-90 days",TRUE,"90+ days")</f>
        <v/>
      </c>
    </row>
    <row r="751">
      <c r="A751" t="inlineStr">
        <is>
          <t>INV0015389</t>
        </is>
      </c>
      <c r="B751" t="inlineStr">
        <is>
          <t>MER00726</t>
        </is>
      </c>
      <c r="C751">
        <f>XLOOKUP(B751,Merchants!$A$4:$A$1000,Merchants!$B$4:$B$1000,"Not found")</f>
        <v/>
      </c>
      <c r="D751">
        <f>XLOOKUP(A751,tblInvoices[invoice_id],tblInvoices[due_date])</f>
        <v/>
      </c>
      <c r="E751">
        <f>XLOOKUP(A751,tblInvoices[invoice_id],tblInvoices[total_invoice_amount])</f>
        <v/>
      </c>
      <c r="F751">
        <f>SUMIFS(tblPayments[payment_amount],tblPayments[invoice_id],A751,tblPayments[payment_status],"Success")</f>
        <v/>
      </c>
      <c r="G751">
        <f>MAX(0,E751-F751)</f>
        <v/>
      </c>
      <c r="H751">
        <f>DATE(2026,8,13)-D751</f>
        <v/>
      </c>
      <c r="I751">
        <f>IFS(G751=0,"Excluded (paid)",H751&lt;=0,"Current",H751&lt;=30,"1-30 days",H751&lt;=60,"31-60 days",H751&lt;=90,"61-90 days",TRUE,"90+ days")</f>
        <v/>
      </c>
    </row>
    <row r="752">
      <c r="A752" t="inlineStr">
        <is>
          <t>INV0015390</t>
        </is>
      </c>
      <c r="B752" t="inlineStr">
        <is>
          <t>MER00726</t>
        </is>
      </c>
      <c r="C752">
        <f>XLOOKUP(B752,Merchants!$A$4:$A$1000,Merchants!$B$4:$B$1000,"Not found")</f>
        <v/>
      </c>
      <c r="D752">
        <f>XLOOKUP(A752,tblInvoices[invoice_id],tblInvoices[due_date])</f>
        <v/>
      </c>
      <c r="E752">
        <f>XLOOKUP(A752,tblInvoices[invoice_id],tblInvoices[total_invoice_amount])</f>
        <v/>
      </c>
      <c r="F752">
        <f>SUMIFS(tblPayments[payment_amount],tblPayments[invoice_id],A752,tblPayments[payment_status],"Success")</f>
        <v/>
      </c>
      <c r="G752">
        <f>MAX(0,E752-F752)</f>
        <v/>
      </c>
      <c r="H752">
        <f>DATE(2026,8,13)-D752</f>
        <v/>
      </c>
      <c r="I752">
        <f>IFS(G752=0,"Excluded (paid)",H752&lt;=0,"Current",H752&lt;=30,"1-30 days",H752&lt;=60,"31-60 days",H752&lt;=90,"61-90 days",TRUE,"90+ days")</f>
        <v/>
      </c>
    </row>
    <row r="753">
      <c r="A753" t="inlineStr">
        <is>
          <t>INV0015391</t>
        </is>
      </c>
      <c r="B753" t="inlineStr">
        <is>
          <t>MER00726</t>
        </is>
      </c>
      <c r="C753">
        <f>XLOOKUP(B753,Merchants!$A$4:$A$1000,Merchants!$B$4:$B$1000,"Not found")</f>
        <v/>
      </c>
      <c r="D753">
        <f>XLOOKUP(A753,tblInvoices[invoice_id],tblInvoices[due_date])</f>
        <v/>
      </c>
      <c r="E753">
        <f>XLOOKUP(A753,tblInvoices[invoice_id],tblInvoices[total_invoice_amount])</f>
        <v/>
      </c>
      <c r="F753">
        <f>SUMIFS(tblPayments[payment_amount],tblPayments[invoice_id],A753,tblPayments[payment_status],"Success")</f>
        <v/>
      </c>
      <c r="G753">
        <f>MAX(0,E753-F753)</f>
        <v/>
      </c>
      <c r="H753">
        <f>DATE(2026,8,13)-D753</f>
        <v/>
      </c>
      <c r="I753">
        <f>IFS(G753=0,"Excluded (paid)",H753&lt;=0,"Current",H753&lt;=30,"1-30 days",H753&lt;=60,"31-60 days",H753&lt;=90,"61-90 days",TRUE,"90+ days")</f>
        <v/>
      </c>
    </row>
    <row r="754">
      <c r="A754" t="inlineStr">
        <is>
          <t>INV0015392</t>
        </is>
      </c>
      <c r="B754" t="inlineStr">
        <is>
          <t>MER00726</t>
        </is>
      </c>
      <c r="C754">
        <f>XLOOKUP(B754,Merchants!$A$4:$A$1000,Merchants!$B$4:$B$1000,"Not found")</f>
        <v/>
      </c>
      <c r="D754">
        <f>XLOOKUP(A754,tblInvoices[invoice_id],tblInvoices[due_date])</f>
        <v/>
      </c>
      <c r="E754">
        <f>XLOOKUP(A754,tblInvoices[invoice_id],tblInvoices[total_invoice_amount])</f>
        <v/>
      </c>
      <c r="F754">
        <f>SUMIFS(tblPayments[payment_amount],tblPayments[invoice_id],A754,tblPayments[payment_status],"Success")</f>
        <v/>
      </c>
      <c r="G754">
        <f>MAX(0,E754-F754)</f>
        <v/>
      </c>
      <c r="H754">
        <f>DATE(2026,8,13)-D754</f>
        <v/>
      </c>
      <c r="I754">
        <f>IFS(G754=0,"Excluded (paid)",H754&lt;=0,"Current",H754&lt;=30,"1-30 days",H754&lt;=60,"31-60 days",H754&lt;=90,"61-90 days",TRUE,"90+ days")</f>
        <v/>
      </c>
    </row>
    <row r="755">
      <c r="A755" t="inlineStr">
        <is>
          <t>INV0015393</t>
        </is>
      </c>
      <c r="B755" t="inlineStr">
        <is>
          <t>MER00726</t>
        </is>
      </c>
      <c r="C755">
        <f>XLOOKUP(B755,Merchants!$A$4:$A$1000,Merchants!$B$4:$B$1000,"Not found")</f>
        <v/>
      </c>
      <c r="D755">
        <f>XLOOKUP(A755,tblInvoices[invoice_id],tblInvoices[due_date])</f>
        <v/>
      </c>
      <c r="E755">
        <f>XLOOKUP(A755,tblInvoices[invoice_id],tblInvoices[total_invoice_amount])</f>
        <v/>
      </c>
      <c r="F755">
        <f>SUMIFS(tblPayments[payment_amount],tblPayments[invoice_id],A755,tblPayments[payment_status],"Success")</f>
        <v/>
      </c>
      <c r="G755">
        <f>MAX(0,E755-F755)</f>
        <v/>
      </c>
      <c r="H755">
        <f>DATE(2026,8,13)-D755</f>
        <v/>
      </c>
      <c r="I755">
        <f>IFS(G755=0,"Excluded (paid)",H755&lt;=0,"Current",H755&lt;=30,"1-30 days",H755&lt;=60,"31-60 days",H755&lt;=90,"61-90 days",TRUE,"90+ days")</f>
        <v/>
      </c>
    </row>
    <row r="756">
      <c r="A756" t="inlineStr">
        <is>
          <t>INV0015394</t>
        </is>
      </c>
      <c r="B756" t="inlineStr">
        <is>
          <t>MER00726</t>
        </is>
      </c>
      <c r="C756">
        <f>XLOOKUP(B756,Merchants!$A$4:$A$1000,Merchants!$B$4:$B$1000,"Not found")</f>
        <v/>
      </c>
      <c r="D756">
        <f>XLOOKUP(A756,tblInvoices[invoice_id],tblInvoices[due_date])</f>
        <v/>
      </c>
      <c r="E756">
        <f>XLOOKUP(A756,tblInvoices[invoice_id],tblInvoices[total_invoice_amount])</f>
        <v/>
      </c>
      <c r="F756">
        <f>SUMIFS(tblPayments[payment_amount],tblPayments[invoice_id],A756,tblPayments[payment_status],"Success")</f>
        <v/>
      </c>
      <c r="G756">
        <f>MAX(0,E756-F756)</f>
        <v/>
      </c>
      <c r="H756">
        <f>DATE(2026,8,13)-D756</f>
        <v/>
      </c>
      <c r="I756">
        <f>IFS(G756=0,"Excluded (paid)",H756&lt;=0,"Current",H756&lt;=30,"1-30 days",H756&lt;=60,"31-60 days",H756&lt;=90,"61-90 days",TRUE,"90+ days")</f>
        <v/>
      </c>
    </row>
    <row r="757">
      <c r="A757" t="inlineStr">
        <is>
          <t>INV0015395</t>
        </is>
      </c>
      <c r="B757" t="inlineStr">
        <is>
          <t>MER00726</t>
        </is>
      </c>
      <c r="C757">
        <f>XLOOKUP(B757,Merchants!$A$4:$A$1000,Merchants!$B$4:$B$1000,"Not found")</f>
        <v/>
      </c>
      <c r="D757">
        <f>XLOOKUP(A757,tblInvoices[invoice_id],tblInvoices[due_date])</f>
        <v/>
      </c>
      <c r="E757">
        <f>XLOOKUP(A757,tblInvoices[invoice_id],tblInvoices[total_invoice_amount])</f>
        <v/>
      </c>
      <c r="F757">
        <f>SUMIFS(tblPayments[payment_amount],tblPayments[invoice_id],A757,tblPayments[payment_status],"Success")</f>
        <v/>
      </c>
      <c r="G757">
        <f>MAX(0,E757-F757)</f>
        <v/>
      </c>
      <c r="H757">
        <f>DATE(2026,8,13)-D757</f>
        <v/>
      </c>
      <c r="I757">
        <f>IFS(G757=0,"Excluded (paid)",H757&lt;=0,"Current",H757&lt;=30,"1-30 days",H757&lt;=60,"31-60 days",H757&lt;=90,"61-90 days",TRUE,"90+ days")</f>
        <v/>
      </c>
    </row>
    <row r="758">
      <c r="A758" t="inlineStr">
        <is>
          <t>INV0015396</t>
        </is>
      </c>
      <c r="B758" t="inlineStr">
        <is>
          <t>MER00726</t>
        </is>
      </c>
      <c r="C758">
        <f>XLOOKUP(B758,Merchants!$A$4:$A$1000,Merchants!$B$4:$B$1000,"Not found")</f>
        <v/>
      </c>
      <c r="D758">
        <f>XLOOKUP(A758,tblInvoices[invoice_id],tblInvoices[due_date])</f>
        <v/>
      </c>
      <c r="E758">
        <f>XLOOKUP(A758,tblInvoices[invoice_id],tblInvoices[total_invoice_amount])</f>
        <v/>
      </c>
      <c r="F758">
        <f>SUMIFS(tblPayments[payment_amount],tblPayments[invoice_id],A758,tblPayments[payment_status],"Success")</f>
        <v/>
      </c>
      <c r="G758">
        <f>MAX(0,E758-F758)</f>
        <v/>
      </c>
      <c r="H758">
        <f>DATE(2026,8,13)-D758</f>
        <v/>
      </c>
      <c r="I758">
        <f>IFS(G758=0,"Excluded (paid)",H758&lt;=0,"Current",H758&lt;=30,"1-30 days",H758&lt;=60,"31-60 days",H758&lt;=90,"61-90 days",TRUE,"90+ days")</f>
        <v/>
      </c>
    </row>
    <row r="759">
      <c r="A759" t="inlineStr">
        <is>
          <t>INV0015397</t>
        </is>
      </c>
      <c r="B759" t="inlineStr">
        <is>
          <t>MER00726</t>
        </is>
      </c>
      <c r="C759">
        <f>XLOOKUP(B759,Merchants!$A$4:$A$1000,Merchants!$B$4:$B$1000,"Not found")</f>
        <v/>
      </c>
      <c r="D759">
        <f>XLOOKUP(A759,tblInvoices[invoice_id],tblInvoices[due_date])</f>
        <v/>
      </c>
      <c r="E759">
        <f>XLOOKUP(A759,tblInvoices[invoice_id],tblInvoices[total_invoice_amount])</f>
        <v/>
      </c>
      <c r="F759">
        <f>SUMIFS(tblPayments[payment_amount],tblPayments[invoice_id],A759,tblPayments[payment_status],"Success")</f>
        <v/>
      </c>
      <c r="G759">
        <f>MAX(0,E759-F759)</f>
        <v/>
      </c>
      <c r="H759">
        <f>DATE(2026,8,13)-D759</f>
        <v/>
      </c>
      <c r="I759">
        <f>IFS(G759=0,"Excluded (paid)",H759&lt;=0,"Current",H759&lt;=30,"1-30 days",H759&lt;=60,"31-60 days",H759&lt;=90,"61-90 days",TRUE,"90+ days")</f>
        <v/>
      </c>
    </row>
    <row r="760">
      <c r="A760" t="inlineStr">
        <is>
          <t>INV0015398</t>
        </is>
      </c>
      <c r="B760" t="inlineStr">
        <is>
          <t>MER00726</t>
        </is>
      </c>
      <c r="C760">
        <f>XLOOKUP(B760,Merchants!$A$4:$A$1000,Merchants!$B$4:$B$1000,"Not found")</f>
        <v/>
      </c>
      <c r="D760">
        <f>XLOOKUP(A760,tblInvoices[invoice_id],tblInvoices[due_date])</f>
        <v/>
      </c>
      <c r="E760">
        <f>XLOOKUP(A760,tblInvoices[invoice_id],tblInvoices[total_invoice_amount])</f>
        <v/>
      </c>
      <c r="F760">
        <f>SUMIFS(tblPayments[payment_amount],tblPayments[invoice_id],A760,tblPayments[payment_status],"Success")</f>
        <v/>
      </c>
      <c r="G760">
        <f>MAX(0,E760-F760)</f>
        <v/>
      </c>
      <c r="H760">
        <f>DATE(2026,8,13)-D760</f>
        <v/>
      </c>
      <c r="I760">
        <f>IFS(G760=0,"Excluded (paid)",H760&lt;=0,"Current",H760&lt;=30,"1-30 days",H760&lt;=60,"31-60 days",H760&lt;=90,"61-90 days",TRUE,"90+ days")</f>
        <v/>
      </c>
    </row>
    <row r="761">
      <c r="A761" t="inlineStr">
        <is>
          <t>INV0015422</t>
        </is>
      </c>
      <c r="B761" t="inlineStr">
        <is>
          <t>MER00728</t>
        </is>
      </c>
      <c r="C761">
        <f>XLOOKUP(B761,Merchants!$A$4:$A$1000,Merchants!$B$4:$B$1000,"Not found")</f>
        <v/>
      </c>
      <c r="D761">
        <f>XLOOKUP(A761,tblInvoices[invoice_id],tblInvoices[due_date])</f>
        <v/>
      </c>
      <c r="E761">
        <f>XLOOKUP(A761,tblInvoices[invoice_id],tblInvoices[total_invoice_amount])</f>
        <v/>
      </c>
      <c r="F761">
        <f>SUMIFS(tblPayments[payment_amount],tblPayments[invoice_id],A761,tblPayments[payment_status],"Success")</f>
        <v/>
      </c>
      <c r="G761">
        <f>MAX(0,E761-F761)</f>
        <v/>
      </c>
      <c r="H761">
        <f>DATE(2026,8,13)-D761</f>
        <v/>
      </c>
      <c r="I761">
        <f>IFS(G761=0,"Excluded (paid)",H761&lt;=0,"Current",H761&lt;=30,"1-30 days",H761&lt;=60,"31-60 days",H761&lt;=90,"61-90 days",TRUE,"90+ days")</f>
        <v/>
      </c>
    </row>
    <row r="762">
      <c r="A762" t="inlineStr">
        <is>
          <t>INV0015423</t>
        </is>
      </c>
      <c r="B762" t="inlineStr">
        <is>
          <t>MER00728</t>
        </is>
      </c>
      <c r="C762">
        <f>XLOOKUP(B762,Merchants!$A$4:$A$1000,Merchants!$B$4:$B$1000,"Not found")</f>
        <v/>
      </c>
      <c r="D762">
        <f>XLOOKUP(A762,tblInvoices[invoice_id],tblInvoices[due_date])</f>
        <v/>
      </c>
      <c r="E762">
        <f>XLOOKUP(A762,tblInvoices[invoice_id],tblInvoices[total_invoice_amount])</f>
        <v/>
      </c>
      <c r="F762">
        <f>SUMIFS(tblPayments[payment_amount],tblPayments[invoice_id],A762,tblPayments[payment_status],"Success")</f>
        <v/>
      </c>
      <c r="G762">
        <f>MAX(0,E762-F762)</f>
        <v/>
      </c>
      <c r="H762">
        <f>DATE(2026,8,13)-D762</f>
        <v/>
      </c>
      <c r="I762">
        <f>IFS(G762=0,"Excluded (paid)",H762&lt;=0,"Current",H762&lt;=30,"1-30 days",H762&lt;=60,"31-60 days",H762&lt;=90,"61-90 days",TRUE,"90+ days")</f>
        <v/>
      </c>
    </row>
    <row r="763">
      <c r="A763" t="inlineStr">
        <is>
          <t>INV0015424</t>
        </is>
      </c>
      <c r="B763" t="inlineStr">
        <is>
          <t>MER00728</t>
        </is>
      </c>
      <c r="C763">
        <f>XLOOKUP(B763,Merchants!$A$4:$A$1000,Merchants!$B$4:$B$1000,"Not found")</f>
        <v/>
      </c>
      <c r="D763">
        <f>XLOOKUP(A763,tblInvoices[invoice_id],tblInvoices[due_date])</f>
        <v/>
      </c>
      <c r="E763">
        <f>XLOOKUP(A763,tblInvoices[invoice_id],tblInvoices[total_invoice_amount])</f>
        <v/>
      </c>
      <c r="F763">
        <f>SUMIFS(tblPayments[payment_amount],tblPayments[invoice_id],A763,tblPayments[payment_status],"Success")</f>
        <v/>
      </c>
      <c r="G763">
        <f>MAX(0,E763-F763)</f>
        <v/>
      </c>
      <c r="H763">
        <f>DATE(2026,8,13)-D763</f>
        <v/>
      </c>
      <c r="I763">
        <f>IFS(G763=0,"Excluded (paid)",H763&lt;=0,"Current",H763&lt;=30,"1-30 days",H763&lt;=60,"31-60 days",H763&lt;=90,"61-90 days",TRUE,"90+ days")</f>
        <v/>
      </c>
    </row>
    <row r="764">
      <c r="A764" t="inlineStr">
        <is>
          <t>INV0015425</t>
        </is>
      </c>
      <c r="B764" t="inlineStr">
        <is>
          <t>MER00728</t>
        </is>
      </c>
      <c r="C764">
        <f>XLOOKUP(B764,Merchants!$A$4:$A$1000,Merchants!$B$4:$B$1000,"Not found")</f>
        <v/>
      </c>
      <c r="D764">
        <f>XLOOKUP(A764,tblInvoices[invoice_id],tblInvoices[due_date])</f>
        <v/>
      </c>
      <c r="E764">
        <f>XLOOKUP(A764,tblInvoices[invoice_id],tblInvoices[total_invoice_amount])</f>
        <v/>
      </c>
      <c r="F764">
        <f>SUMIFS(tblPayments[payment_amount],tblPayments[invoice_id],A764,tblPayments[payment_status],"Success")</f>
        <v/>
      </c>
      <c r="G764">
        <f>MAX(0,E764-F764)</f>
        <v/>
      </c>
      <c r="H764">
        <f>DATE(2026,8,13)-D764</f>
        <v/>
      </c>
      <c r="I764">
        <f>IFS(G764=0,"Excluded (paid)",H764&lt;=0,"Current",H764&lt;=30,"1-30 days",H764&lt;=60,"31-60 days",H764&lt;=90,"61-90 days",TRUE,"90+ days")</f>
        <v/>
      </c>
    </row>
    <row r="765">
      <c r="A765" t="inlineStr">
        <is>
          <t>INV0015426</t>
        </is>
      </c>
      <c r="B765" t="inlineStr">
        <is>
          <t>MER00728</t>
        </is>
      </c>
      <c r="C765">
        <f>XLOOKUP(B765,Merchants!$A$4:$A$1000,Merchants!$B$4:$B$1000,"Not found")</f>
        <v/>
      </c>
      <c r="D765">
        <f>XLOOKUP(A765,tblInvoices[invoice_id],tblInvoices[due_date])</f>
        <v/>
      </c>
      <c r="E765">
        <f>XLOOKUP(A765,tblInvoices[invoice_id],tblInvoices[total_invoice_amount])</f>
        <v/>
      </c>
      <c r="F765">
        <f>SUMIFS(tblPayments[payment_amount],tblPayments[invoice_id],A765,tblPayments[payment_status],"Success")</f>
        <v/>
      </c>
      <c r="G765">
        <f>MAX(0,E765-F765)</f>
        <v/>
      </c>
      <c r="H765">
        <f>DATE(2026,8,13)-D765</f>
        <v/>
      </c>
      <c r="I765">
        <f>IFS(G765=0,"Excluded (paid)",H765&lt;=0,"Current",H765&lt;=30,"1-30 days",H765&lt;=60,"31-60 days",H765&lt;=90,"61-90 days",TRUE,"90+ days")</f>
        <v/>
      </c>
    </row>
    <row r="766">
      <c r="A766" t="inlineStr">
        <is>
          <t>INV0015427</t>
        </is>
      </c>
      <c r="B766" t="inlineStr">
        <is>
          <t>MER00728</t>
        </is>
      </c>
      <c r="C766">
        <f>XLOOKUP(B766,Merchants!$A$4:$A$1000,Merchants!$B$4:$B$1000,"Not found")</f>
        <v/>
      </c>
      <c r="D766">
        <f>XLOOKUP(A766,tblInvoices[invoice_id],tblInvoices[due_date])</f>
        <v/>
      </c>
      <c r="E766">
        <f>XLOOKUP(A766,tblInvoices[invoice_id],tblInvoices[total_invoice_amount])</f>
        <v/>
      </c>
      <c r="F766">
        <f>SUMIFS(tblPayments[payment_amount],tblPayments[invoice_id],A766,tblPayments[payment_status],"Success")</f>
        <v/>
      </c>
      <c r="G766">
        <f>MAX(0,E766-F766)</f>
        <v/>
      </c>
      <c r="H766">
        <f>DATE(2026,8,13)-D766</f>
        <v/>
      </c>
      <c r="I766">
        <f>IFS(G766=0,"Excluded (paid)",H766&lt;=0,"Current",H766&lt;=30,"1-30 days",H766&lt;=60,"31-60 days",H766&lt;=90,"61-90 days",TRUE,"90+ days")</f>
        <v/>
      </c>
    </row>
    <row r="767">
      <c r="A767" t="inlineStr">
        <is>
          <t>INV0015428</t>
        </is>
      </c>
      <c r="B767" t="inlineStr">
        <is>
          <t>MER00728</t>
        </is>
      </c>
      <c r="C767">
        <f>XLOOKUP(B767,Merchants!$A$4:$A$1000,Merchants!$B$4:$B$1000,"Not found")</f>
        <v/>
      </c>
      <c r="D767">
        <f>XLOOKUP(A767,tblInvoices[invoice_id],tblInvoices[due_date])</f>
        <v/>
      </c>
      <c r="E767">
        <f>XLOOKUP(A767,tblInvoices[invoice_id],tblInvoices[total_invoice_amount])</f>
        <v/>
      </c>
      <c r="F767">
        <f>SUMIFS(tblPayments[payment_amount],tblPayments[invoice_id],A767,tblPayments[payment_status],"Success")</f>
        <v/>
      </c>
      <c r="G767">
        <f>MAX(0,E767-F767)</f>
        <v/>
      </c>
      <c r="H767">
        <f>DATE(2026,8,13)-D767</f>
        <v/>
      </c>
      <c r="I767">
        <f>IFS(G767=0,"Excluded (paid)",H767&lt;=0,"Current",H767&lt;=30,"1-30 days",H767&lt;=60,"31-60 days",H767&lt;=90,"61-90 days",TRUE,"90+ days")</f>
        <v/>
      </c>
    </row>
    <row r="768">
      <c r="A768" t="inlineStr">
        <is>
          <t>INV0015429</t>
        </is>
      </c>
      <c r="B768" t="inlineStr">
        <is>
          <t>MER00728</t>
        </is>
      </c>
      <c r="C768">
        <f>XLOOKUP(B768,Merchants!$A$4:$A$1000,Merchants!$B$4:$B$1000,"Not found")</f>
        <v/>
      </c>
      <c r="D768">
        <f>XLOOKUP(A768,tblInvoices[invoice_id],tblInvoices[due_date])</f>
        <v/>
      </c>
      <c r="E768">
        <f>XLOOKUP(A768,tblInvoices[invoice_id],tblInvoices[total_invoice_amount])</f>
        <v/>
      </c>
      <c r="F768">
        <f>SUMIFS(tblPayments[payment_amount],tblPayments[invoice_id],A768,tblPayments[payment_status],"Success")</f>
        <v/>
      </c>
      <c r="G768">
        <f>MAX(0,E768-F768)</f>
        <v/>
      </c>
      <c r="H768">
        <f>DATE(2026,8,13)-D768</f>
        <v/>
      </c>
      <c r="I768">
        <f>IFS(G768=0,"Excluded (paid)",H768&lt;=0,"Current",H768&lt;=30,"1-30 days",H768&lt;=60,"31-60 days",H768&lt;=90,"61-90 days",TRUE,"90+ days")</f>
        <v/>
      </c>
    </row>
    <row r="769">
      <c r="A769" t="inlineStr">
        <is>
          <t>INV0015430</t>
        </is>
      </c>
      <c r="B769" t="inlineStr">
        <is>
          <t>MER00728</t>
        </is>
      </c>
      <c r="C769">
        <f>XLOOKUP(B769,Merchants!$A$4:$A$1000,Merchants!$B$4:$B$1000,"Not found")</f>
        <v/>
      </c>
      <c r="D769">
        <f>XLOOKUP(A769,tblInvoices[invoice_id],tblInvoices[due_date])</f>
        <v/>
      </c>
      <c r="E769">
        <f>XLOOKUP(A769,tblInvoices[invoice_id],tblInvoices[total_invoice_amount])</f>
        <v/>
      </c>
      <c r="F769">
        <f>SUMIFS(tblPayments[payment_amount],tblPayments[invoice_id],A769,tblPayments[payment_status],"Success")</f>
        <v/>
      </c>
      <c r="G769">
        <f>MAX(0,E769-F769)</f>
        <v/>
      </c>
      <c r="H769">
        <f>DATE(2026,8,13)-D769</f>
        <v/>
      </c>
      <c r="I769">
        <f>IFS(G769=0,"Excluded (paid)",H769&lt;=0,"Current",H769&lt;=30,"1-30 days",H769&lt;=60,"31-60 days",H769&lt;=90,"61-90 days",TRUE,"90+ days")</f>
        <v/>
      </c>
    </row>
    <row r="770">
      <c r="A770" t="inlineStr">
        <is>
          <t>INV0015431</t>
        </is>
      </c>
      <c r="B770" t="inlineStr">
        <is>
          <t>MER00728</t>
        </is>
      </c>
      <c r="C770">
        <f>XLOOKUP(B770,Merchants!$A$4:$A$1000,Merchants!$B$4:$B$1000,"Not found")</f>
        <v/>
      </c>
      <c r="D770">
        <f>XLOOKUP(A770,tblInvoices[invoice_id],tblInvoices[due_date])</f>
        <v/>
      </c>
      <c r="E770">
        <f>XLOOKUP(A770,tblInvoices[invoice_id],tblInvoices[total_invoice_amount])</f>
        <v/>
      </c>
      <c r="F770">
        <f>SUMIFS(tblPayments[payment_amount],tblPayments[invoice_id],A770,tblPayments[payment_status],"Success")</f>
        <v/>
      </c>
      <c r="G770">
        <f>MAX(0,E770-F770)</f>
        <v/>
      </c>
      <c r="H770">
        <f>DATE(2026,8,13)-D770</f>
        <v/>
      </c>
      <c r="I770">
        <f>IFS(G770=0,"Excluded (paid)",H770&lt;=0,"Current",H770&lt;=30,"1-30 days",H770&lt;=60,"31-60 days",H770&lt;=90,"61-90 days",TRUE,"90+ days")</f>
        <v/>
      </c>
    </row>
    <row r="771">
      <c r="A771" t="inlineStr">
        <is>
          <t>INV0015432</t>
        </is>
      </c>
      <c r="B771" t="inlineStr">
        <is>
          <t>MER00728</t>
        </is>
      </c>
      <c r="C771">
        <f>XLOOKUP(B771,Merchants!$A$4:$A$1000,Merchants!$B$4:$B$1000,"Not found")</f>
        <v/>
      </c>
      <c r="D771">
        <f>XLOOKUP(A771,tblInvoices[invoice_id],tblInvoices[due_date])</f>
        <v/>
      </c>
      <c r="E771">
        <f>XLOOKUP(A771,tblInvoices[invoice_id],tblInvoices[total_invoice_amount])</f>
        <v/>
      </c>
      <c r="F771">
        <f>SUMIFS(tblPayments[payment_amount],tblPayments[invoice_id],A771,tblPayments[payment_status],"Success")</f>
        <v/>
      </c>
      <c r="G771">
        <f>MAX(0,E771-F771)</f>
        <v/>
      </c>
      <c r="H771">
        <f>DATE(2026,8,13)-D771</f>
        <v/>
      </c>
      <c r="I771">
        <f>IFS(G771=0,"Excluded (paid)",H771&lt;=0,"Current",H771&lt;=30,"1-30 days",H771&lt;=60,"31-60 days",H771&lt;=90,"61-90 days",TRUE,"90+ days")</f>
        <v/>
      </c>
    </row>
    <row r="772">
      <c r="A772" t="inlineStr">
        <is>
          <t>INV0015433</t>
        </is>
      </c>
      <c r="B772" t="inlineStr">
        <is>
          <t>MER00728</t>
        </is>
      </c>
      <c r="C772">
        <f>XLOOKUP(B772,Merchants!$A$4:$A$1000,Merchants!$B$4:$B$1000,"Not found")</f>
        <v/>
      </c>
      <c r="D772">
        <f>XLOOKUP(A772,tblInvoices[invoice_id],tblInvoices[due_date])</f>
        <v/>
      </c>
      <c r="E772">
        <f>XLOOKUP(A772,tblInvoices[invoice_id],tblInvoices[total_invoice_amount])</f>
        <v/>
      </c>
      <c r="F772">
        <f>SUMIFS(tblPayments[payment_amount],tblPayments[invoice_id],A772,tblPayments[payment_status],"Success")</f>
        <v/>
      </c>
      <c r="G772">
        <f>MAX(0,E772-F772)</f>
        <v/>
      </c>
      <c r="H772">
        <f>DATE(2026,8,13)-D772</f>
        <v/>
      </c>
      <c r="I772">
        <f>IFS(G772=0,"Excluded (paid)",H772&lt;=0,"Current",H772&lt;=30,"1-30 days",H772&lt;=60,"31-60 days",H772&lt;=90,"61-90 days",TRUE,"90+ days")</f>
        <v/>
      </c>
    </row>
    <row r="773">
      <c r="A773" t="inlineStr">
        <is>
          <t>INV0015434</t>
        </is>
      </c>
      <c r="B773" t="inlineStr">
        <is>
          <t>MER00728</t>
        </is>
      </c>
      <c r="C773">
        <f>XLOOKUP(B773,Merchants!$A$4:$A$1000,Merchants!$B$4:$B$1000,"Not found")</f>
        <v/>
      </c>
      <c r="D773">
        <f>XLOOKUP(A773,tblInvoices[invoice_id],tblInvoices[due_date])</f>
        <v/>
      </c>
      <c r="E773">
        <f>XLOOKUP(A773,tblInvoices[invoice_id],tblInvoices[total_invoice_amount])</f>
        <v/>
      </c>
      <c r="F773">
        <f>SUMIFS(tblPayments[payment_amount],tblPayments[invoice_id],A773,tblPayments[payment_status],"Success")</f>
        <v/>
      </c>
      <c r="G773">
        <f>MAX(0,E773-F773)</f>
        <v/>
      </c>
      <c r="H773">
        <f>DATE(2026,8,13)-D773</f>
        <v/>
      </c>
      <c r="I773">
        <f>IFS(G773=0,"Excluded (paid)",H773&lt;=0,"Current",H773&lt;=30,"1-30 days",H773&lt;=60,"31-60 days",H773&lt;=90,"61-90 days",TRUE,"90+ days")</f>
        <v/>
      </c>
    </row>
    <row r="774">
      <c r="A774" t="inlineStr">
        <is>
          <t>INV0015435</t>
        </is>
      </c>
      <c r="B774" t="inlineStr">
        <is>
          <t>MER00728</t>
        </is>
      </c>
      <c r="C774">
        <f>XLOOKUP(B774,Merchants!$A$4:$A$1000,Merchants!$B$4:$B$1000,"Not found")</f>
        <v/>
      </c>
      <c r="D774">
        <f>XLOOKUP(A774,tblInvoices[invoice_id],tblInvoices[due_date])</f>
        <v/>
      </c>
      <c r="E774">
        <f>XLOOKUP(A774,tblInvoices[invoice_id],tblInvoices[total_invoice_amount])</f>
        <v/>
      </c>
      <c r="F774">
        <f>SUMIFS(tblPayments[payment_amount],tblPayments[invoice_id],A774,tblPayments[payment_status],"Success")</f>
        <v/>
      </c>
      <c r="G774">
        <f>MAX(0,E774-F774)</f>
        <v/>
      </c>
      <c r="H774">
        <f>DATE(2026,8,13)-D774</f>
        <v/>
      </c>
      <c r="I774">
        <f>IFS(G774=0,"Excluded (paid)",H774&lt;=0,"Current",H774&lt;=30,"1-30 days",H774&lt;=60,"31-60 days",H774&lt;=90,"61-90 days",TRUE,"90+ days")</f>
        <v/>
      </c>
    </row>
    <row r="775">
      <c r="A775" t="inlineStr">
        <is>
          <t>INV0015436</t>
        </is>
      </c>
      <c r="B775" t="inlineStr">
        <is>
          <t>MER00728</t>
        </is>
      </c>
      <c r="C775">
        <f>XLOOKUP(B775,Merchants!$A$4:$A$1000,Merchants!$B$4:$B$1000,"Not found")</f>
        <v/>
      </c>
      <c r="D775">
        <f>XLOOKUP(A775,tblInvoices[invoice_id],tblInvoices[due_date])</f>
        <v/>
      </c>
      <c r="E775">
        <f>XLOOKUP(A775,tblInvoices[invoice_id],tblInvoices[total_invoice_amount])</f>
        <v/>
      </c>
      <c r="F775">
        <f>SUMIFS(tblPayments[payment_amount],tblPayments[invoice_id],A775,tblPayments[payment_status],"Success")</f>
        <v/>
      </c>
      <c r="G775">
        <f>MAX(0,E775-F775)</f>
        <v/>
      </c>
      <c r="H775">
        <f>DATE(2026,8,13)-D775</f>
        <v/>
      </c>
      <c r="I775">
        <f>IFS(G775=0,"Excluded (paid)",H775&lt;=0,"Current",H775&lt;=30,"1-30 days",H775&lt;=60,"31-60 days",H775&lt;=90,"61-90 days",TRUE,"90+ days")</f>
        <v/>
      </c>
    </row>
    <row r="776">
      <c r="A776" t="inlineStr">
        <is>
          <t>INV0015437</t>
        </is>
      </c>
      <c r="B776" t="inlineStr">
        <is>
          <t>MER00728</t>
        </is>
      </c>
      <c r="C776">
        <f>XLOOKUP(B776,Merchants!$A$4:$A$1000,Merchants!$B$4:$B$1000,"Not found")</f>
        <v/>
      </c>
      <c r="D776">
        <f>XLOOKUP(A776,tblInvoices[invoice_id],tblInvoices[due_date])</f>
        <v/>
      </c>
      <c r="E776">
        <f>XLOOKUP(A776,tblInvoices[invoice_id],tblInvoices[total_invoice_amount])</f>
        <v/>
      </c>
      <c r="F776">
        <f>SUMIFS(tblPayments[payment_amount],tblPayments[invoice_id],A776,tblPayments[payment_status],"Success")</f>
        <v/>
      </c>
      <c r="G776">
        <f>MAX(0,E776-F776)</f>
        <v/>
      </c>
      <c r="H776">
        <f>DATE(2026,8,13)-D776</f>
        <v/>
      </c>
      <c r="I776">
        <f>IFS(G776=0,"Excluded (paid)",H776&lt;=0,"Current",H776&lt;=30,"1-30 days",H776&lt;=60,"31-60 days",H776&lt;=90,"61-90 days",TRUE,"90+ days")</f>
        <v/>
      </c>
    </row>
    <row r="777">
      <c r="A777" t="inlineStr">
        <is>
          <t>INV0015438</t>
        </is>
      </c>
      <c r="B777" t="inlineStr">
        <is>
          <t>MER00728</t>
        </is>
      </c>
      <c r="C777">
        <f>XLOOKUP(B777,Merchants!$A$4:$A$1000,Merchants!$B$4:$B$1000,"Not found")</f>
        <v/>
      </c>
      <c r="D777">
        <f>XLOOKUP(A777,tblInvoices[invoice_id],tblInvoices[due_date])</f>
        <v/>
      </c>
      <c r="E777">
        <f>XLOOKUP(A777,tblInvoices[invoice_id],tblInvoices[total_invoice_amount])</f>
        <v/>
      </c>
      <c r="F777">
        <f>SUMIFS(tblPayments[payment_amount],tblPayments[invoice_id],A777,tblPayments[payment_status],"Success")</f>
        <v/>
      </c>
      <c r="G777">
        <f>MAX(0,E777-F777)</f>
        <v/>
      </c>
      <c r="H777">
        <f>DATE(2026,8,13)-D777</f>
        <v/>
      </c>
      <c r="I777">
        <f>IFS(G777=0,"Excluded (paid)",H777&lt;=0,"Current",H777&lt;=30,"1-30 days",H777&lt;=60,"31-60 days",H777&lt;=90,"61-90 days",TRUE,"90+ days")</f>
        <v/>
      </c>
    </row>
    <row r="778">
      <c r="A778" t="inlineStr">
        <is>
          <t>INV0015439</t>
        </is>
      </c>
      <c r="B778" t="inlineStr">
        <is>
          <t>MER00728</t>
        </is>
      </c>
      <c r="C778">
        <f>XLOOKUP(B778,Merchants!$A$4:$A$1000,Merchants!$B$4:$B$1000,"Not found")</f>
        <v/>
      </c>
      <c r="D778">
        <f>XLOOKUP(A778,tblInvoices[invoice_id],tblInvoices[due_date])</f>
        <v/>
      </c>
      <c r="E778">
        <f>XLOOKUP(A778,tblInvoices[invoice_id],tblInvoices[total_invoice_amount])</f>
        <v/>
      </c>
      <c r="F778">
        <f>SUMIFS(tblPayments[payment_amount],tblPayments[invoice_id],A778,tblPayments[payment_status],"Success")</f>
        <v/>
      </c>
      <c r="G778">
        <f>MAX(0,E778-F778)</f>
        <v/>
      </c>
      <c r="H778">
        <f>DATE(2026,8,13)-D778</f>
        <v/>
      </c>
      <c r="I778">
        <f>IFS(G778=0,"Excluded (paid)",H778&lt;=0,"Current",H778&lt;=30,"1-30 days",H778&lt;=60,"31-60 days",H778&lt;=90,"61-90 days",TRUE,"90+ days")</f>
        <v/>
      </c>
    </row>
    <row r="779">
      <c r="A779" t="inlineStr">
        <is>
          <t>INV0015440</t>
        </is>
      </c>
      <c r="B779" t="inlineStr">
        <is>
          <t>MER00728</t>
        </is>
      </c>
      <c r="C779">
        <f>XLOOKUP(B779,Merchants!$A$4:$A$1000,Merchants!$B$4:$B$1000,"Not found")</f>
        <v/>
      </c>
      <c r="D779">
        <f>XLOOKUP(A779,tblInvoices[invoice_id],tblInvoices[due_date])</f>
        <v/>
      </c>
      <c r="E779">
        <f>XLOOKUP(A779,tblInvoices[invoice_id],tblInvoices[total_invoice_amount])</f>
        <v/>
      </c>
      <c r="F779">
        <f>SUMIFS(tblPayments[payment_amount],tblPayments[invoice_id],A779,tblPayments[payment_status],"Success")</f>
        <v/>
      </c>
      <c r="G779">
        <f>MAX(0,E779-F779)</f>
        <v/>
      </c>
      <c r="H779">
        <f>DATE(2026,8,13)-D779</f>
        <v/>
      </c>
      <c r="I779">
        <f>IFS(G779=0,"Excluded (paid)",H779&lt;=0,"Current",H779&lt;=30,"1-30 days",H779&lt;=60,"31-60 days",H779&lt;=90,"61-90 days",TRUE,"90+ days")</f>
        <v/>
      </c>
    </row>
    <row r="780">
      <c r="A780" t="inlineStr">
        <is>
          <t>INV0015441</t>
        </is>
      </c>
      <c r="B780" t="inlineStr">
        <is>
          <t>MER00728</t>
        </is>
      </c>
      <c r="C780">
        <f>XLOOKUP(B780,Merchants!$A$4:$A$1000,Merchants!$B$4:$B$1000,"Not found")</f>
        <v/>
      </c>
      <c r="D780">
        <f>XLOOKUP(A780,tblInvoices[invoice_id],tblInvoices[due_date])</f>
        <v/>
      </c>
      <c r="E780">
        <f>XLOOKUP(A780,tblInvoices[invoice_id],tblInvoices[total_invoice_amount])</f>
        <v/>
      </c>
      <c r="F780">
        <f>SUMIFS(tblPayments[payment_amount],tblPayments[invoice_id],A780,tblPayments[payment_status],"Success")</f>
        <v/>
      </c>
      <c r="G780">
        <f>MAX(0,E780-F780)</f>
        <v/>
      </c>
      <c r="H780">
        <f>DATE(2026,8,13)-D780</f>
        <v/>
      </c>
      <c r="I780">
        <f>IFS(G780=0,"Excluded (paid)",H780&lt;=0,"Current",H780&lt;=30,"1-30 days",H780&lt;=60,"31-60 days",H780&lt;=90,"61-90 days",TRUE,"90+ days")</f>
        <v/>
      </c>
    </row>
    <row r="781">
      <c r="A781" t="inlineStr">
        <is>
          <t>INV0015442</t>
        </is>
      </c>
      <c r="B781" t="inlineStr">
        <is>
          <t>MER00728</t>
        </is>
      </c>
      <c r="C781">
        <f>XLOOKUP(B781,Merchants!$A$4:$A$1000,Merchants!$B$4:$B$1000,"Not found")</f>
        <v/>
      </c>
      <c r="D781">
        <f>XLOOKUP(A781,tblInvoices[invoice_id],tblInvoices[due_date])</f>
        <v/>
      </c>
      <c r="E781">
        <f>XLOOKUP(A781,tblInvoices[invoice_id],tblInvoices[total_invoice_amount])</f>
        <v/>
      </c>
      <c r="F781">
        <f>SUMIFS(tblPayments[payment_amount],tblPayments[invoice_id],A781,tblPayments[payment_status],"Success")</f>
        <v/>
      </c>
      <c r="G781">
        <f>MAX(0,E781-F781)</f>
        <v/>
      </c>
      <c r="H781">
        <f>DATE(2026,8,13)-D781</f>
        <v/>
      </c>
      <c r="I781">
        <f>IFS(G781=0,"Excluded (paid)",H781&lt;=0,"Current",H781&lt;=30,"1-30 days",H781&lt;=60,"31-60 days",H781&lt;=90,"61-90 days",TRUE,"90+ days")</f>
        <v/>
      </c>
    </row>
    <row r="782">
      <c r="A782" t="inlineStr">
        <is>
          <t>INV0015443</t>
        </is>
      </c>
      <c r="B782" t="inlineStr">
        <is>
          <t>MER00728</t>
        </is>
      </c>
      <c r="C782">
        <f>XLOOKUP(B782,Merchants!$A$4:$A$1000,Merchants!$B$4:$B$1000,"Not found")</f>
        <v/>
      </c>
      <c r="D782">
        <f>XLOOKUP(A782,tblInvoices[invoice_id],tblInvoices[due_date])</f>
        <v/>
      </c>
      <c r="E782">
        <f>XLOOKUP(A782,tblInvoices[invoice_id],tblInvoices[total_invoice_amount])</f>
        <v/>
      </c>
      <c r="F782">
        <f>SUMIFS(tblPayments[payment_amount],tblPayments[invoice_id],A782,tblPayments[payment_status],"Success")</f>
        <v/>
      </c>
      <c r="G782">
        <f>MAX(0,E782-F782)</f>
        <v/>
      </c>
      <c r="H782">
        <f>DATE(2026,8,13)-D782</f>
        <v/>
      </c>
      <c r="I782">
        <f>IFS(G782=0,"Excluded (paid)",H782&lt;=0,"Current",H782&lt;=30,"1-30 days",H782&lt;=60,"31-60 days",H782&lt;=90,"61-90 days",TRUE,"90+ days")</f>
        <v/>
      </c>
    </row>
    <row r="783">
      <c r="A783" t="inlineStr">
        <is>
          <t>INV0015444</t>
        </is>
      </c>
      <c r="B783" t="inlineStr">
        <is>
          <t>MER00728</t>
        </is>
      </c>
      <c r="C783">
        <f>XLOOKUP(B783,Merchants!$A$4:$A$1000,Merchants!$B$4:$B$1000,"Not found")</f>
        <v/>
      </c>
      <c r="D783">
        <f>XLOOKUP(A783,tblInvoices[invoice_id],tblInvoices[due_date])</f>
        <v/>
      </c>
      <c r="E783">
        <f>XLOOKUP(A783,tblInvoices[invoice_id],tblInvoices[total_invoice_amount])</f>
        <v/>
      </c>
      <c r="F783">
        <f>SUMIFS(tblPayments[payment_amount],tblPayments[invoice_id],A783,tblPayments[payment_status],"Success")</f>
        <v/>
      </c>
      <c r="G783">
        <f>MAX(0,E783-F783)</f>
        <v/>
      </c>
      <c r="H783">
        <f>DATE(2026,8,13)-D783</f>
        <v/>
      </c>
      <c r="I783">
        <f>IFS(G783=0,"Excluded (paid)",H783&lt;=0,"Current",H783&lt;=30,"1-30 days",H783&lt;=60,"31-60 days",H783&lt;=90,"61-90 days",TRUE,"90+ days")</f>
        <v/>
      </c>
    </row>
    <row r="784">
      <c r="A784" t="inlineStr">
        <is>
          <t>INV0015445</t>
        </is>
      </c>
      <c r="B784" t="inlineStr">
        <is>
          <t>MER00728</t>
        </is>
      </c>
      <c r="C784">
        <f>XLOOKUP(B784,Merchants!$A$4:$A$1000,Merchants!$B$4:$B$1000,"Not found")</f>
        <v/>
      </c>
      <c r="D784">
        <f>XLOOKUP(A784,tblInvoices[invoice_id],tblInvoices[due_date])</f>
        <v/>
      </c>
      <c r="E784">
        <f>XLOOKUP(A784,tblInvoices[invoice_id],tblInvoices[total_invoice_amount])</f>
        <v/>
      </c>
      <c r="F784">
        <f>SUMIFS(tblPayments[payment_amount],tblPayments[invoice_id],A784,tblPayments[payment_status],"Success")</f>
        <v/>
      </c>
      <c r="G784">
        <f>MAX(0,E784-F784)</f>
        <v/>
      </c>
      <c r="H784">
        <f>DATE(2026,8,13)-D784</f>
        <v/>
      </c>
      <c r="I784">
        <f>IFS(G784=0,"Excluded (paid)",H784&lt;=0,"Current",H784&lt;=30,"1-30 days",H784&lt;=60,"31-60 days",H784&lt;=90,"61-90 days",TRUE,"90+ days")</f>
        <v/>
      </c>
    </row>
    <row r="785">
      <c r="A785" t="inlineStr">
        <is>
          <t>INV0016142</t>
        </is>
      </c>
      <c r="B785" t="inlineStr">
        <is>
          <t>MER00764</t>
        </is>
      </c>
      <c r="C785">
        <f>XLOOKUP(B785,Merchants!$A$4:$A$1000,Merchants!$B$4:$B$1000,"Not found")</f>
        <v/>
      </c>
      <c r="D785">
        <f>XLOOKUP(A785,tblInvoices[invoice_id],tblInvoices[due_date])</f>
        <v/>
      </c>
      <c r="E785">
        <f>XLOOKUP(A785,tblInvoices[invoice_id],tblInvoices[total_invoice_amount])</f>
        <v/>
      </c>
      <c r="F785">
        <f>SUMIFS(tblPayments[payment_amount],tblPayments[invoice_id],A785,tblPayments[payment_status],"Success")</f>
        <v/>
      </c>
      <c r="G785">
        <f>MAX(0,E785-F785)</f>
        <v/>
      </c>
      <c r="H785">
        <f>DATE(2026,8,13)-D785</f>
        <v/>
      </c>
      <c r="I785">
        <f>IFS(G785=0,"Excluded (paid)",H785&lt;=0,"Current",H785&lt;=30,"1-30 days",H785&lt;=60,"31-60 days",H785&lt;=90,"61-90 days",TRUE,"90+ days")</f>
        <v/>
      </c>
    </row>
    <row r="786">
      <c r="A786" t="inlineStr">
        <is>
          <t>INV0016143</t>
        </is>
      </c>
      <c r="B786" t="inlineStr">
        <is>
          <t>MER00764</t>
        </is>
      </c>
      <c r="C786">
        <f>XLOOKUP(B786,Merchants!$A$4:$A$1000,Merchants!$B$4:$B$1000,"Not found")</f>
        <v/>
      </c>
      <c r="D786">
        <f>XLOOKUP(A786,tblInvoices[invoice_id],tblInvoices[due_date])</f>
        <v/>
      </c>
      <c r="E786">
        <f>XLOOKUP(A786,tblInvoices[invoice_id],tblInvoices[total_invoice_amount])</f>
        <v/>
      </c>
      <c r="F786">
        <f>SUMIFS(tblPayments[payment_amount],tblPayments[invoice_id],A786,tblPayments[payment_status],"Success")</f>
        <v/>
      </c>
      <c r="G786">
        <f>MAX(0,E786-F786)</f>
        <v/>
      </c>
      <c r="H786">
        <f>DATE(2026,8,13)-D786</f>
        <v/>
      </c>
      <c r="I786">
        <f>IFS(G786=0,"Excluded (paid)",H786&lt;=0,"Current",H786&lt;=30,"1-30 days",H786&lt;=60,"31-60 days",H786&lt;=90,"61-90 days",TRUE,"90+ days")</f>
        <v/>
      </c>
    </row>
    <row r="787">
      <c r="A787" t="inlineStr">
        <is>
          <t>INV0016144</t>
        </is>
      </c>
      <c r="B787" t="inlineStr">
        <is>
          <t>MER00764</t>
        </is>
      </c>
      <c r="C787">
        <f>XLOOKUP(B787,Merchants!$A$4:$A$1000,Merchants!$B$4:$B$1000,"Not found")</f>
        <v/>
      </c>
      <c r="D787">
        <f>XLOOKUP(A787,tblInvoices[invoice_id],tblInvoices[due_date])</f>
        <v/>
      </c>
      <c r="E787">
        <f>XLOOKUP(A787,tblInvoices[invoice_id],tblInvoices[total_invoice_amount])</f>
        <v/>
      </c>
      <c r="F787">
        <f>SUMIFS(tblPayments[payment_amount],tblPayments[invoice_id],A787,tblPayments[payment_status],"Success")</f>
        <v/>
      </c>
      <c r="G787">
        <f>MAX(0,E787-F787)</f>
        <v/>
      </c>
      <c r="H787">
        <f>DATE(2026,8,13)-D787</f>
        <v/>
      </c>
      <c r="I787">
        <f>IFS(G787=0,"Excluded (paid)",H787&lt;=0,"Current",H787&lt;=30,"1-30 days",H787&lt;=60,"31-60 days",H787&lt;=90,"61-90 days",TRUE,"90+ days")</f>
        <v/>
      </c>
    </row>
    <row r="788">
      <c r="A788" t="inlineStr">
        <is>
          <t>INV0016145</t>
        </is>
      </c>
      <c r="B788" t="inlineStr">
        <is>
          <t>MER00764</t>
        </is>
      </c>
      <c r="C788">
        <f>XLOOKUP(B788,Merchants!$A$4:$A$1000,Merchants!$B$4:$B$1000,"Not found")</f>
        <v/>
      </c>
      <c r="D788">
        <f>XLOOKUP(A788,tblInvoices[invoice_id],tblInvoices[due_date])</f>
        <v/>
      </c>
      <c r="E788">
        <f>XLOOKUP(A788,tblInvoices[invoice_id],tblInvoices[total_invoice_amount])</f>
        <v/>
      </c>
      <c r="F788">
        <f>SUMIFS(tblPayments[payment_amount],tblPayments[invoice_id],A788,tblPayments[payment_status],"Success")</f>
        <v/>
      </c>
      <c r="G788">
        <f>MAX(0,E788-F788)</f>
        <v/>
      </c>
      <c r="H788">
        <f>DATE(2026,8,13)-D788</f>
        <v/>
      </c>
      <c r="I788">
        <f>IFS(G788=0,"Excluded (paid)",H788&lt;=0,"Current",H788&lt;=30,"1-30 days",H788&lt;=60,"31-60 days",H788&lt;=90,"61-90 days",TRUE,"90+ days")</f>
        <v/>
      </c>
    </row>
    <row r="789">
      <c r="A789" t="inlineStr">
        <is>
          <t>INV0016146</t>
        </is>
      </c>
      <c r="B789" t="inlineStr">
        <is>
          <t>MER00764</t>
        </is>
      </c>
      <c r="C789">
        <f>XLOOKUP(B789,Merchants!$A$4:$A$1000,Merchants!$B$4:$B$1000,"Not found")</f>
        <v/>
      </c>
      <c r="D789">
        <f>XLOOKUP(A789,tblInvoices[invoice_id],tblInvoices[due_date])</f>
        <v/>
      </c>
      <c r="E789">
        <f>XLOOKUP(A789,tblInvoices[invoice_id],tblInvoices[total_invoice_amount])</f>
        <v/>
      </c>
      <c r="F789">
        <f>SUMIFS(tblPayments[payment_amount],tblPayments[invoice_id],A789,tblPayments[payment_status],"Success")</f>
        <v/>
      </c>
      <c r="G789">
        <f>MAX(0,E789-F789)</f>
        <v/>
      </c>
      <c r="H789">
        <f>DATE(2026,8,13)-D789</f>
        <v/>
      </c>
      <c r="I789">
        <f>IFS(G789=0,"Excluded (paid)",H789&lt;=0,"Current",H789&lt;=30,"1-30 days",H789&lt;=60,"31-60 days",H789&lt;=90,"61-90 days",TRUE,"90+ days")</f>
        <v/>
      </c>
    </row>
    <row r="790">
      <c r="A790" t="inlineStr">
        <is>
          <t>INV0016147</t>
        </is>
      </c>
      <c r="B790" t="inlineStr">
        <is>
          <t>MER00764</t>
        </is>
      </c>
      <c r="C790">
        <f>XLOOKUP(B790,Merchants!$A$4:$A$1000,Merchants!$B$4:$B$1000,"Not found")</f>
        <v/>
      </c>
      <c r="D790">
        <f>XLOOKUP(A790,tblInvoices[invoice_id],tblInvoices[due_date])</f>
        <v/>
      </c>
      <c r="E790">
        <f>XLOOKUP(A790,tblInvoices[invoice_id],tblInvoices[total_invoice_amount])</f>
        <v/>
      </c>
      <c r="F790">
        <f>SUMIFS(tblPayments[payment_amount],tblPayments[invoice_id],A790,tblPayments[payment_status],"Success")</f>
        <v/>
      </c>
      <c r="G790">
        <f>MAX(0,E790-F790)</f>
        <v/>
      </c>
      <c r="H790">
        <f>DATE(2026,8,13)-D790</f>
        <v/>
      </c>
      <c r="I790">
        <f>IFS(G790=0,"Excluded (paid)",H790&lt;=0,"Current",H790&lt;=30,"1-30 days",H790&lt;=60,"31-60 days",H790&lt;=90,"61-90 days",TRUE,"90+ days")</f>
        <v/>
      </c>
    </row>
    <row r="791">
      <c r="A791" t="inlineStr">
        <is>
          <t>INV0016148</t>
        </is>
      </c>
      <c r="B791" t="inlineStr">
        <is>
          <t>MER00764</t>
        </is>
      </c>
      <c r="C791">
        <f>XLOOKUP(B791,Merchants!$A$4:$A$1000,Merchants!$B$4:$B$1000,"Not found")</f>
        <v/>
      </c>
      <c r="D791">
        <f>XLOOKUP(A791,tblInvoices[invoice_id],tblInvoices[due_date])</f>
        <v/>
      </c>
      <c r="E791">
        <f>XLOOKUP(A791,tblInvoices[invoice_id],tblInvoices[total_invoice_amount])</f>
        <v/>
      </c>
      <c r="F791">
        <f>SUMIFS(tblPayments[payment_amount],tblPayments[invoice_id],A791,tblPayments[payment_status],"Success")</f>
        <v/>
      </c>
      <c r="G791">
        <f>MAX(0,E791-F791)</f>
        <v/>
      </c>
      <c r="H791">
        <f>DATE(2026,8,13)-D791</f>
        <v/>
      </c>
      <c r="I791">
        <f>IFS(G791=0,"Excluded (paid)",H791&lt;=0,"Current",H791&lt;=30,"1-30 days",H791&lt;=60,"31-60 days",H791&lt;=90,"61-90 days",TRUE,"90+ days")</f>
        <v/>
      </c>
    </row>
    <row r="792">
      <c r="A792" t="inlineStr">
        <is>
          <t>INV0016149</t>
        </is>
      </c>
      <c r="B792" t="inlineStr">
        <is>
          <t>MER00764</t>
        </is>
      </c>
      <c r="C792">
        <f>XLOOKUP(B792,Merchants!$A$4:$A$1000,Merchants!$B$4:$B$1000,"Not found")</f>
        <v/>
      </c>
      <c r="D792">
        <f>XLOOKUP(A792,tblInvoices[invoice_id],tblInvoices[due_date])</f>
        <v/>
      </c>
      <c r="E792">
        <f>XLOOKUP(A792,tblInvoices[invoice_id],tblInvoices[total_invoice_amount])</f>
        <v/>
      </c>
      <c r="F792">
        <f>SUMIFS(tblPayments[payment_amount],tblPayments[invoice_id],A792,tblPayments[payment_status],"Success")</f>
        <v/>
      </c>
      <c r="G792">
        <f>MAX(0,E792-F792)</f>
        <v/>
      </c>
      <c r="H792">
        <f>DATE(2026,8,13)-D792</f>
        <v/>
      </c>
      <c r="I792">
        <f>IFS(G792=0,"Excluded (paid)",H792&lt;=0,"Current",H792&lt;=30,"1-30 days",H792&lt;=60,"31-60 days",H792&lt;=90,"61-90 days",TRUE,"90+ days")</f>
        <v/>
      </c>
    </row>
    <row r="793">
      <c r="A793" t="inlineStr">
        <is>
          <t>INV0016150</t>
        </is>
      </c>
      <c r="B793" t="inlineStr">
        <is>
          <t>MER00764</t>
        </is>
      </c>
      <c r="C793">
        <f>XLOOKUP(B793,Merchants!$A$4:$A$1000,Merchants!$B$4:$B$1000,"Not found")</f>
        <v/>
      </c>
      <c r="D793">
        <f>XLOOKUP(A793,tblInvoices[invoice_id],tblInvoices[due_date])</f>
        <v/>
      </c>
      <c r="E793">
        <f>XLOOKUP(A793,tblInvoices[invoice_id],tblInvoices[total_invoice_amount])</f>
        <v/>
      </c>
      <c r="F793">
        <f>SUMIFS(tblPayments[payment_amount],tblPayments[invoice_id],A793,tblPayments[payment_status],"Success")</f>
        <v/>
      </c>
      <c r="G793">
        <f>MAX(0,E793-F793)</f>
        <v/>
      </c>
      <c r="H793">
        <f>DATE(2026,8,13)-D793</f>
        <v/>
      </c>
      <c r="I793">
        <f>IFS(G793=0,"Excluded (paid)",H793&lt;=0,"Current",H793&lt;=30,"1-30 days",H793&lt;=60,"31-60 days",H793&lt;=90,"61-90 days",TRUE,"90+ days")</f>
        <v/>
      </c>
    </row>
    <row r="794">
      <c r="A794" t="inlineStr">
        <is>
          <t>INV0016151</t>
        </is>
      </c>
      <c r="B794" t="inlineStr">
        <is>
          <t>MER00764</t>
        </is>
      </c>
      <c r="C794">
        <f>XLOOKUP(B794,Merchants!$A$4:$A$1000,Merchants!$B$4:$B$1000,"Not found")</f>
        <v/>
      </c>
      <c r="D794">
        <f>XLOOKUP(A794,tblInvoices[invoice_id],tblInvoices[due_date])</f>
        <v/>
      </c>
      <c r="E794">
        <f>XLOOKUP(A794,tblInvoices[invoice_id],tblInvoices[total_invoice_amount])</f>
        <v/>
      </c>
      <c r="F794">
        <f>SUMIFS(tblPayments[payment_amount],tblPayments[invoice_id],A794,tblPayments[payment_status],"Success")</f>
        <v/>
      </c>
      <c r="G794">
        <f>MAX(0,E794-F794)</f>
        <v/>
      </c>
      <c r="H794">
        <f>DATE(2026,8,13)-D794</f>
        <v/>
      </c>
      <c r="I794">
        <f>IFS(G794=0,"Excluded (paid)",H794&lt;=0,"Current",H794&lt;=30,"1-30 days",H794&lt;=60,"31-60 days",H794&lt;=90,"61-90 days",TRUE,"90+ days")</f>
        <v/>
      </c>
    </row>
    <row r="795">
      <c r="A795" t="inlineStr">
        <is>
          <t>INV0016152</t>
        </is>
      </c>
      <c r="B795" t="inlineStr">
        <is>
          <t>MER00764</t>
        </is>
      </c>
      <c r="C795">
        <f>XLOOKUP(B795,Merchants!$A$4:$A$1000,Merchants!$B$4:$B$1000,"Not found")</f>
        <v/>
      </c>
      <c r="D795">
        <f>XLOOKUP(A795,tblInvoices[invoice_id],tblInvoices[due_date])</f>
        <v/>
      </c>
      <c r="E795">
        <f>XLOOKUP(A795,tblInvoices[invoice_id],tblInvoices[total_invoice_amount])</f>
        <v/>
      </c>
      <c r="F795">
        <f>SUMIFS(tblPayments[payment_amount],tblPayments[invoice_id],A795,tblPayments[payment_status],"Success")</f>
        <v/>
      </c>
      <c r="G795">
        <f>MAX(0,E795-F795)</f>
        <v/>
      </c>
      <c r="H795">
        <f>DATE(2026,8,13)-D795</f>
        <v/>
      </c>
      <c r="I795">
        <f>IFS(G795=0,"Excluded (paid)",H795&lt;=0,"Current",H795&lt;=30,"1-30 days",H795&lt;=60,"31-60 days",H795&lt;=90,"61-90 days",TRUE,"90+ days")</f>
        <v/>
      </c>
    </row>
    <row r="796">
      <c r="A796" t="inlineStr">
        <is>
          <t>INV0016153</t>
        </is>
      </c>
      <c r="B796" t="inlineStr">
        <is>
          <t>MER00764</t>
        </is>
      </c>
      <c r="C796">
        <f>XLOOKUP(B796,Merchants!$A$4:$A$1000,Merchants!$B$4:$B$1000,"Not found")</f>
        <v/>
      </c>
      <c r="D796">
        <f>XLOOKUP(A796,tblInvoices[invoice_id],tblInvoices[due_date])</f>
        <v/>
      </c>
      <c r="E796">
        <f>XLOOKUP(A796,tblInvoices[invoice_id],tblInvoices[total_invoice_amount])</f>
        <v/>
      </c>
      <c r="F796">
        <f>SUMIFS(tblPayments[payment_amount],tblPayments[invoice_id],A796,tblPayments[payment_status],"Success")</f>
        <v/>
      </c>
      <c r="G796">
        <f>MAX(0,E796-F796)</f>
        <v/>
      </c>
      <c r="H796">
        <f>DATE(2026,8,13)-D796</f>
        <v/>
      </c>
      <c r="I796">
        <f>IFS(G796=0,"Excluded (paid)",H796&lt;=0,"Current",H796&lt;=30,"1-30 days",H796&lt;=60,"31-60 days",H796&lt;=90,"61-90 days",TRUE,"90+ days")</f>
        <v/>
      </c>
    </row>
    <row r="797">
      <c r="A797" t="inlineStr">
        <is>
          <t>INV0016154</t>
        </is>
      </c>
      <c r="B797" t="inlineStr">
        <is>
          <t>MER00764</t>
        </is>
      </c>
      <c r="C797">
        <f>XLOOKUP(B797,Merchants!$A$4:$A$1000,Merchants!$B$4:$B$1000,"Not found")</f>
        <v/>
      </c>
      <c r="D797">
        <f>XLOOKUP(A797,tblInvoices[invoice_id],tblInvoices[due_date])</f>
        <v/>
      </c>
      <c r="E797">
        <f>XLOOKUP(A797,tblInvoices[invoice_id],tblInvoices[total_invoice_amount])</f>
        <v/>
      </c>
      <c r="F797">
        <f>SUMIFS(tblPayments[payment_amount],tblPayments[invoice_id],A797,tblPayments[payment_status],"Success")</f>
        <v/>
      </c>
      <c r="G797">
        <f>MAX(0,E797-F797)</f>
        <v/>
      </c>
      <c r="H797">
        <f>DATE(2026,8,13)-D797</f>
        <v/>
      </c>
      <c r="I797">
        <f>IFS(G797=0,"Excluded (paid)",H797&lt;=0,"Current",H797&lt;=30,"1-30 days",H797&lt;=60,"31-60 days",H797&lt;=90,"61-90 days",TRUE,"90+ days")</f>
        <v/>
      </c>
    </row>
    <row r="798">
      <c r="A798" t="inlineStr">
        <is>
          <t>INV0016155</t>
        </is>
      </c>
      <c r="B798" t="inlineStr">
        <is>
          <t>MER00764</t>
        </is>
      </c>
      <c r="C798">
        <f>XLOOKUP(B798,Merchants!$A$4:$A$1000,Merchants!$B$4:$B$1000,"Not found")</f>
        <v/>
      </c>
      <c r="D798">
        <f>XLOOKUP(A798,tblInvoices[invoice_id],tblInvoices[due_date])</f>
        <v/>
      </c>
      <c r="E798">
        <f>XLOOKUP(A798,tblInvoices[invoice_id],tblInvoices[total_invoice_amount])</f>
        <v/>
      </c>
      <c r="F798">
        <f>SUMIFS(tblPayments[payment_amount],tblPayments[invoice_id],A798,tblPayments[payment_status],"Success")</f>
        <v/>
      </c>
      <c r="G798">
        <f>MAX(0,E798-F798)</f>
        <v/>
      </c>
      <c r="H798">
        <f>DATE(2026,8,13)-D798</f>
        <v/>
      </c>
      <c r="I798">
        <f>IFS(G798=0,"Excluded (paid)",H798&lt;=0,"Current",H798&lt;=30,"1-30 days",H798&lt;=60,"31-60 days",H798&lt;=90,"61-90 days",TRUE,"90+ days")</f>
        <v/>
      </c>
    </row>
    <row r="799">
      <c r="A799" t="inlineStr">
        <is>
          <t>INV0016156</t>
        </is>
      </c>
      <c r="B799" t="inlineStr">
        <is>
          <t>MER00764</t>
        </is>
      </c>
      <c r="C799">
        <f>XLOOKUP(B799,Merchants!$A$4:$A$1000,Merchants!$B$4:$B$1000,"Not found")</f>
        <v/>
      </c>
      <c r="D799">
        <f>XLOOKUP(A799,tblInvoices[invoice_id],tblInvoices[due_date])</f>
        <v/>
      </c>
      <c r="E799">
        <f>XLOOKUP(A799,tblInvoices[invoice_id],tblInvoices[total_invoice_amount])</f>
        <v/>
      </c>
      <c r="F799">
        <f>SUMIFS(tblPayments[payment_amount],tblPayments[invoice_id],A799,tblPayments[payment_status],"Success")</f>
        <v/>
      </c>
      <c r="G799">
        <f>MAX(0,E799-F799)</f>
        <v/>
      </c>
      <c r="H799">
        <f>DATE(2026,8,13)-D799</f>
        <v/>
      </c>
      <c r="I799">
        <f>IFS(G799=0,"Excluded (paid)",H799&lt;=0,"Current",H799&lt;=30,"1-30 days",H799&lt;=60,"31-60 days",H799&lt;=90,"61-90 days",TRUE,"90+ days")</f>
        <v/>
      </c>
    </row>
    <row r="800">
      <c r="A800" t="inlineStr">
        <is>
          <t>INV0016157</t>
        </is>
      </c>
      <c r="B800" t="inlineStr">
        <is>
          <t>MER00764</t>
        </is>
      </c>
      <c r="C800">
        <f>XLOOKUP(B800,Merchants!$A$4:$A$1000,Merchants!$B$4:$B$1000,"Not found")</f>
        <v/>
      </c>
      <c r="D800">
        <f>XLOOKUP(A800,tblInvoices[invoice_id],tblInvoices[due_date])</f>
        <v/>
      </c>
      <c r="E800">
        <f>XLOOKUP(A800,tblInvoices[invoice_id],tblInvoices[total_invoice_amount])</f>
        <v/>
      </c>
      <c r="F800">
        <f>SUMIFS(tblPayments[payment_amount],tblPayments[invoice_id],A800,tblPayments[payment_status],"Success")</f>
        <v/>
      </c>
      <c r="G800">
        <f>MAX(0,E800-F800)</f>
        <v/>
      </c>
      <c r="H800">
        <f>DATE(2026,8,13)-D800</f>
        <v/>
      </c>
      <c r="I800">
        <f>IFS(G800=0,"Excluded (paid)",H800&lt;=0,"Current",H800&lt;=30,"1-30 days",H800&lt;=60,"31-60 days",H800&lt;=90,"61-90 days",TRUE,"90+ days")</f>
        <v/>
      </c>
    </row>
    <row r="801">
      <c r="A801" t="inlineStr">
        <is>
          <t>INV0016158</t>
        </is>
      </c>
      <c r="B801" t="inlineStr">
        <is>
          <t>MER00764</t>
        </is>
      </c>
      <c r="C801">
        <f>XLOOKUP(B801,Merchants!$A$4:$A$1000,Merchants!$B$4:$B$1000,"Not found")</f>
        <v/>
      </c>
      <c r="D801">
        <f>XLOOKUP(A801,tblInvoices[invoice_id],tblInvoices[due_date])</f>
        <v/>
      </c>
      <c r="E801">
        <f>XLOOKUP(A801,tblInvoices[invoice_id],tblInvoices[total_invoice_amount])</f>
        <v/>
      </c>
      <c r="F801">
        <f>SUMIFS(tblPayments[payment_amount],tblPayments[invoice_id],A801,tblPayments[payment_status],"Success")</f>
        <v/>
      </c>
      <c r="G801">
        <f>MAX(0,E801-F801)</f>
        <v/>
      </c>
      <c r="H801">
        <f>DATE(2026,8,13)-D801</f>
        <v/>
      </c>
      <c r="I801">
        <f>IFS(G801=0,"Excluded (paid)",H801&lt;=0,"Current",H801&lt;=30,"1-30 days",H801&lt;=60,"31-60 days",H801&lt;=90,"61-90 days",TRUE,"90+ days")</f>
        <v/>
      </c>
    </row>
    <row r="802">
      <c r="A802" t="inlineStr">
        <is>
          <t>INV0016159</t>
        </is>
      </c>
      <c r="B802" t="inlineStr">
        <is>
          <t>MER00764</t>
        </is>
      </c>
      <c r="C802">
        <f>XLOOKUP(B802,Merchants!$A$4:$A$1000,Merchants!$B$4:$B$1000,"Not found")</f>
        <v/>
      </c>
      <c r="D802">
        <f>XLOOKUP(A802,tblInvoices[invoice_id],tblInvoices[due_date])</f>
        <v/>
      </c>
      <c r="E802">
        <f>XLOOKUP(A802,tblInvoices[invoice_id],tblInvoices[total_invoice_amount])</f>
        <v/>
      </c>
      <c r="F802">
        <f>SUMIFS(tblPayments[payment_amount],tblPayments[invoice_id],A802,tblPayments[payment_status],"Success")</f>
        <v/>
      </c>
      <c r="G802">
        <f>MAX(0,E802-F802)</f>
        <v/>
      </c>
      <c r="H802">
        <f>DATE(2026,8,13)-D802</f>
        <v/>
      </c>
      <c r="I802">
        <f>IFS(G802=0,"Excluded (paid)",H802&lt;=0,"Current",H802&lt;=30,"1-30 days",H802&lt;=60,"31-60 days",H802&lt;=90,"61-90 days",TRUE,"90+ days")</f>
        <v/>
      </c>
    </row>
    <row r="803">
      <c r="A803" t="inlineStr">
        <is>
          <t>INV0016160</t>
        </is>
      </c>
      <c r="B803" t="inlineStr">
        <is>
          <t>MER00764</t>
        </is>
      </c>
      <c r="C803">
        <f>XLOOKUP(B803,Merchants!$A$4:$A$1000,Merchants!$B$4:$B$1000,"Not found")</f>
        <v/>
      </c>
      <c r="D803">
        <f>XLOOKUP(A803,tblInvoices[invoice_id],tblInvoices[due_date])</f>
        <v/>
      </c>
      <c r="E803">
        <f>XLOOKUP(A803,tblInvoices[invoice_id],tblInvoices[total_invoice_amount])</f>
        <v/>
      </c>
      <c r="F803">
        <f>SUMIFS(tblPayments[payment_amount],tblPayments[invoice_id],A803,tblPayments[payment_status],"Success")</f>
        <v/>
      </c>
      <c r="G803">
        <f>MAX(0,E803-F803)</f>
        <v/>
      </c>
      <c r="H803">
        <f>DATE(2026,8,13)-D803</f>
        <v/>
      </c>
      <c r="I803">
        <f>IFS(G803=0,"Excluded (paid)",H803&lt;=0,"Current",H803&lt;=30,"1-30 days",H803&lt;=60,"31-60 days",H803&lt;=90,"61-90 days",TRUE,"90+ days")</f>
        <v/>
      </c>
    </row>
    <row r="804">
      <c r="A804" t="inlineStr">
        <is>
          <t>INV0016161</t>
        </is>
      </c>
      <c r="B804" t="inlineStr">
        <is>
          <t>MER00764</t>
        </is>
      </c>
      <c r="C804">
        <f>XLOOKUP(B804,Merchants!$A$4:$A$1000,Merchants!$B$4:$B$1000,"Not found")</f>
        <v/>
      </c>
      <c r="D804">
        <f>XLOOKUP(A804,tblInvoices[invoice_id],tblInvoices[due_date])</f>
        <v/>
      </c>
      <c r="E804">
        <f>XLOOKUP(A804,tblInvoices[invoice_id],tblInvoices[total_invoice_amount])</f>
        <v/>
      </c>
      <c r="F804">
        <f>SUMIFS(tblPayments[payment_amount],tblPayments[invoice_id],A804,tblPayments[payment_status],"Success")</f>
        <v/>
      </c>
      <c r="G804">
        <f>MAX(0,E804-F804)</f>
        <v/>
      </c>
      <c r="H804">
        <f>DATE(2026,8,13)-D804</f>
        <v/>
      </c>
      <c r="I804">
        <f>IFS(G804=0,"Excluded (paid)",H804&lt;=0,"Current",H804&lt;=30,"1-30 days",H804&lt;=60,"31-60 days",H804&lt;=90,"61-90 days",TRUE,"90+ days")</f>
        <v/>
      </c>
    </row>
    <row r="805">
      <c r="A805" t="inlineStr">
        <is>
          <t>INV0016162</t>
        </is>
      </c>
      <c r="B805" t="inlineStr">
        <is>
          <t>MER00764</t>
        </is>
      </c>
      <c r="C805">
        <f>XLOOKUP(B805,Merchants!$A$4:$A$1000,Merchants!$B$4:$B$1000,"Not found")</f>
        <v/>
      </c>
      <c r="D805">
        <f>XLOOKUP(A805,tblInvoices[invoice_id],tblInvoices[due_date])</f>
        <v/>
      </c>
      <c r="E805">
        <f>XLOOKUP(A805,tblInvoices[invoice_id],tblInvoices[total_invoice_amount])</f>
        <v/>
      </c>
      <c r="F805">
        <f>SUMIFS(tblPayments[payment_amount],tblPayments[invoice_id],A805,tblPayments[payment_status],"Success")</f>
        <v/>
      </c>
      <c r="G805">
        <f>MAX(0,E805-F805)</f>
        <v/>
      </c>
      <c r="H805">
        <f>DATE(2026,8,13)-D805</f>
        <v/>
      </c>
      <c r="I805">
        <f>IFS(G805=0,"Excluded (paid)",H805&lt;=0,"Current",H805&lt;=30,"1-30 days",H805&lt;=60,"31-60 days",H805&lt;=90,"61-90 days",TRUE,"90+ days")</f>
        <v/>
      </c>
    </row>
    <row r="806">
      <c r="A806" t="inlineStr">
        <is>
          <t>INV0016163</t>
        </is>
      </c>
      <c r="B806" t="inlineStr">
        <is>
          <t>MER00764</t>
        </is>
      </c>
      <c r="C806">
        <f>XLOOKUP(B806,Merchants!$A$4:$A$1000,Merchants!$B$4:$B$1000,"Not found")</f>
        <v/>
      </c>
      <c r="D806">
        <f>XLOOKUP(A806,tblInvoices[invoice_id],tblInvoices[due_date])</f>
        <v/>
      </c>
      <c r="E806">
        <f>XLOOKUP(A806,tblInvoices[invoice_id],tblInvoices[total_invoice_amount])</f>
        <v/>
      </c>
      <c r="F806">
        <f>SUMIFS(tblPayments[payment_amount],tblPayments[invoice_id],A806,tblPayments[payment_status],"Success")</f>
        <v/>
      </c>
      <c r="G806">
        <f>MAX(0,E806-F806)</f>
        <v/>
      </c>
      <c r="H806">
        <f>DATE(2026,8,13)-D806</f>
        <v/>
      </c>
      <c r="I806">
        <f>IFS(G806=0,"Excluded (paid)",H806&lt;=0,"Current",H806&lt;=30,"1-30 days",H806&lt;=60,"31-60 days",H806&lt;=90,"61-90 days",TRUE,"90+ days")</f>
        <v/>
      </c>
    </row>
    <row r="807">
      <c r="A807" t="inlineStr">
        <is>
          <t>INV0016164</t>
        </is>
      </c>
      <c r="B807" t="inlineStr">
        <is>
          <t>MER00764</t>
        </is>
      </c>
      <c r="C807">
        <f>XLOOKUP(B807,Merchants!$A$4:$A$1000,Merchants!$B$4:$B$1000,"Not found")</f>
        <v/>
      </c>
      <c r="D807">
        <f>XLOOKUP(A807,tblInvoices[invoice_id],tblInvoices[due_date])</f>
        <v/>
      </c>
      <c r="E807">
        <f>XLOOKUP(A807,tblInvoices[invoice_id],tblInvoices[total_invoice_amount])</f>
        <v/>
      </c>
      <c r="F807">
        <f>SUMIFS(tblPayments[payment_amount],tblPayments[invoice_id],A807,tblPayments[payment_status],"Success")</f>
        <v/>
      </c>
      <c r="G807">
        <f>MAX(0,E807-F807)</f>
        <v/>
      </c>
      <c r="H807">
        <f>DATE(2026,8,13)-D807</f>
        <v/>
      </c>
      <c r="I807">
        <f>IFS(G807=0,"Excluded (paid)",H807&lt;=0,"Current",H807&lt;=30,"1-30 days",H807&lt;=60,"31-60 days",H807&lt;=90,"61-90 days",TRUE,"90+ days")</f>
        <v/>
      </c>
    </row>
    <row r="808">
      <c r="A808" t="inlineStr">
        <is>
          <t>INV0016165</t>
        </is>
      </c>
      <c r="B808" t="inlineStr">
        <is>
          <t>MER00764</t>
        </is>
      </c>
      <c r="C808">
        <f>XLOOKUP(B808,Merchants!$A$4:$A$1000,Merchants!$B$4:$B$1000,"Not found")</f>
        <v/>
      </c>
      <c r="D808">
        <f>XLOOKUP(A808,tblInvoices[invoice_id],tblInvoices[due_date])</f>
        <v/>
      </c>
      <c r="E808">
        <f>XLOOKUP(A808,tblInvoices[invoice_id],tblInvoices[total_invoice_amount])</f>
        <v/>
      </c>
      <c r="F808">
        <f>SUMIFS(tblPayments[payment_amount],tblPayments[invoice_id],A808,tblPayments[payment_status],"Success")</f>
        <v/>
      </c>
      <c r="G808">
        <f>MAX(0,E808-F808)</f>
        <v/>
      </c>
      <c r="H808">
        <f>DATE(2026,8,13)-D808</f>
        <v/>
      </c>
      <c r="I808">
        <f>IFS(G808=0,"Excluded (paid)",H808&lt;=0,"Current",H808&lt;=30,"1-30 days",H808&lt;=60,"31-60 days",H808&lt;=90,"61-90 days",TRUE,"90+ days")</f>
        <v/>
      </c>
    </row>
    <row r="809">
      <c r="A809" t="inlineStr">
        <is>
          <t>INV0018120</t>
        </is>
      </c>
      <c r="B809" t="inlineStr">
        <is>
          <t>MER00856</t>
        </is>
      </c>
      <c r="C809">
        <f>XLOOKUP(B809,Merchants!$A$4:$A$1000,Merchants!$B$4:$B$1000,"Not found")</f>
        <v/>
      </c>
      <c r="D809">
        <f>XLOOKUP(A809,tblInvoices[invoice_id],tblInvoices[due_date])</f>
        <v/>
      </c>
      <c r="E809">
        <f>XLOOKUP(A809,tblInvoices[invoice_id],tblInvoices[total_invoice_amount])</f>
        <v/>
      </c>
      <c r="F809">
        <f>SUMIFS(tblPayments[payment_amount],tblPayments[invoice_id],A809,tblPayments[payment_status],"Success")</f>
        <v/>
      </c>
      <c r="G809">
        <f>MAX(0,E809-F809)</f>
        <v/>
      </c>
      <c r="H809">
        <f>DATE(2026,8,13)-D809</f>
        <v/>
      </c>
      <c r="I809">
        <f>IFS(G809=0,"Excluded (paid)",H809&lt;=0,"Current",H809&lt;=30,"1-30 days",H809&lt;=60,"31-60 days",H809&lt;=90,"61-90 days",TRUE,"90+ days")</f>
        <v/>
      </c>
    </row>
    <row r="810">
      <c r="A810" t="inlineStr">
        <is>
          <t>INV0018121</t>
        </is>
      </c>
      <c r="B810" t="inlineStr">
        <is>
          <t>MER00856</t>
        </is>
      </c>
      <c r="C810">
        <f>XLOOKUP(B810,Merchants!$A$4:$A$1000,Merchants!$B$4:$B$1000,"Not found")</f>
        <v/>
      </c>
      <c r="D810">
        <f>XLOOKUP(A810,tblInvoices[invoice_id],tblInvoices[due_date])</f>
        <v/>
      </c>
      <c r="E810">
        <f>XLOOKUP(A810,tblInvoices[invoice_id],tblInvoices[total_invoice_amount])</f>
        <v/>
      </c>
      <c r="F810">
        <f>SUMIFS(tblPayments[payment_amount],tblPayments[invoice_id],A810,tblPayments[payment_status],"Success")</f>
        <v/>
      </c>
      <c r="G810">
        <f>MAX(0,E810-F810)</f>
        <v/>
      </c>
      <c r="H810">
        <f>DATE(2026,8,13)-D810</f>
        <v/>
      </c>
      <c r="I810">
        <f>IFS(G810=0,"Excluded (paid)",H810&lt;=0,"Current",H810&lt;=30,"1-30 days",H810&lt;=60,"31-60 days",H810&lt;=90,"61-90 days",TRUE,"90+ days")</f>
        <v/>
      </c>
    </row>
    <row r="811">
      <c r="A811" t="inlineStr">
        <is>
          <t>INV0018122</t>
        </is>
      </c>
      <c r="B811" t="inlineStr">
        <is>
          <t>MER00856</t>
        </is>
      </c>
      <c r="C811">
        <f>XLOOKUP(B811,Merchants!$A$4:$A$1000,Merchants!$B$4:$B$1000,"Not found")</f>
        <v/>
      </c>
      <c r="D811">
        <f>XLOOKUP(A811,tblInvoices[invoice_id],tblInvoices[due_date])</f>
        <v/>
      </c>
      <c r="E811">
        <f>XLOOKUP(A811,tblInvoices[invoice_id],tblInvoices[total_invoice_amount])</f>
        <v/>
      </c>
      <c r="F811">
        <f>SUMIFS(tblPayments[payment_amount],tblPayments[invoice_id],A811,tblPayments[payment_status],"Success")</f>
        <v/>
      </c>
      <c r="G811">
        <f>MAX(0,E811-F811)</f>
        <v/>
      </c>
      <c r="H811">
        <f>DATE(2026,8,13)-D811</f>
        <v/>
      </c>
      <c r="I811">
        <f>IFS(G811=0,"Excluded (paid)",H811&lt;=0,"Current",H811&lt;=30,"1-30 days",H811&lt;=60,"31-60 days",H811&lt;=90,"61-90 days",TRUE,"90+ days")</f>
        <v/>
      </c>
    </row>
    <row r="812">
      <c r="A812" t="inlineStr">
        <is>
          <t>INV0018123</t>
        </is>
      </c>
      <c r="B812" t="inlineStr">
        <is>
          <t>MER00856</t>
        </is>
      </c>
      <c r="C812">
        <f>XLOOKUP(B812,Merchants!$A$4:$A$1000,Merchants!$B$4:$B$1000,"Not found")</f>
        <v/>
      </c>
      <c r="D812">
        <f>XLOOKUP(A812,tblInvoices[invoice_id],tblInvoices[due_date])</f>
        <v/>
      </c>
      <c r="E812">
        <f>XLOOKUP(A812,tblInvoices[invoice_id],tblInvoices[total_invoice_amount])</f>
        <v/>
      </c>
      <c r="F812">
        <f>SUMIFS(tblPayments[payment_amount],tblPayments[invoice_id],A812,tblPayments[payment_status],"Success")</f>
        <v/>
      </c>
      <c r="G812">
        <f>MAX(0,E812-F812)</f>
        <v/>
      </c>
      <c r="H812">
        <f>DATE(2026,8,13)-D812</f>
        <v/>
      </c>
      <c r="I812">
        <f>IFS(G812=0,"Excluded (paid)",H812&lt;=0,"Current",H812&lt;=30,"1-30 days",H812&lt;=60,"31-60 days",H812&lt;=90,"61-90 days",TRUE,"90+ days")</f>
        <v/>
      </c>
    </row>
    <row r="813">
      <c r="A813" t="inlineStr">
        <is>
          <t>INV0018124</t>
        </is>
      </c>
      <c r="B813" t="inlineStr">
        <is>
          <t>MER00856</t>
        </is>
      </c>
      <c r="C813">
        <f>XLOOKUP(B813,Merchants!$A$4:$A$1000,Merchants!$B$4:$B$1000,"Not found")</f>
        <v/>
      </c>
      <c r="D813">
        <f>XLOOKUP(A813,tblInvoices[invoice_id],tblInvoices[due_date])</f>
        <v/>
      </c>
      <c r="E813">
        <f>XLOOKUP(A813,tblInvoices[invoice_id],tblInvoices[total_invoice_amount])</f>
        <v/>
      </c>
      <c r="F813">
        <f>SUMIFS(tblPayments[payment_amount],tblPayments[invoice_id],A813,tblPayments[payment_status],"Success")</f>
        <v/>
      </c>
      <c r="G813">
        <f>MAX(0,E813-F813)</f>
        <v/>
      </c>
      <c r="H813">
        <f>DATE(2026,8,13)-D813</f>
        <v/>
      </c>
      <c r="I813">
        <f>IFS(G813=0,"Excluded (paid)",H813&lt;=0,"Current",H813&lt;=30,"1-30 days",H813&lt;=60,"31-60 days",H813&lt;=90,"61-90 days",TRUE,"90+ days")</f>
        <v/>
      </c>
    </row>
    <row r="814">
      <c r="A814" t="inlineStr">
        <is>
          <t>INV0018125</t>
        </is>
      </c>
      <c r="B814" t="inlineStr">
        <is>
          <t>MER00856</t>
        </is>
      </c>
      <c r="C814">
        <f>XLOOKUP(B814,Merchants!$A$4:$A$1000,Merchants!$B$4:$B$1000,"Not found")</f>
        <v/>
      </c>
      <c r="D814">
        <f>XLOOKUP(A814,tblInvoices[invoice_id],tblInvoices[due_date])</f>
        <v/>
      </c>
      <c r="E814">
        <f>XLOOKUP(A814,tblInvoices[invoice_id],tblInvoices[total_invoice_amount])</f>
        <v/>
      </c>
      <c r="F814">
        <f>SUMIFS(tblPayments[payment_amount],tblPayments[invoice_id],A814,tblPayments[payment_status],"Success")</f>
        <v/>
      </c>
      <c r="G814">
        <f>MAX(0,E814-F814)</f>
        <v/>
      </c>
      <c r="H814">
        <f>DATE(2026,8,13)-D814</f>
        <v/>
      </c>
      <c r="I814">
        <f>IFS(G814=0,"Excluded (paid)",H814&lt;=0,"Current",H814&lt;=30,"1-30 days",H814&lt;=60,"31-60 days",H814&lt;=90,"61-90 days",TRUE,"90+ days")</f>
        <v/>
      </c>
    </row>
    <row r="815">
      <c r="A815" t="inlineStr">
        <is>
          <t>INV0018126</t>
        </is>
      </c>
      <c r="B815" t="inlineStr">
        <is>
          <t>MER00856</t>
        </is>
      </c>
      <c r="C815">
        <f>XLOOKUP(B815,Merchants!$A$4:$A$1000,Merchants!$B$4:$B$1000,"Not found")</f>
        <v/>
      </c>
      <c r="D815">
        <f>XLOOKUP(A815,tblInvoices[invoice_id],tblInvoices[due_date])</f>
        <v/>
      </c>
      <c r="E815">
        <f>XLOOKUP(A815,tblInvoices[invoice_id],tblInvoices[total_invoice_amount])</f>
        <v/>
      </c>
      <c r="F815">
        <f>SUMIFS(tblPayments[payment_amount],tblPayments[invoice_id],A815,tblPayments[payment_status],"Success")</f>
        <v/>
      </c>
      <c r="G815">
        <f>MAX(0,E815-F815)</f>
        <v/>
      </c>
      <c r="H815">
        <f>DATE(2026,8,13)-D815</f>
        <v/>
      </c>
      <c r="I815">
        <f>IFS(G815=0,"Excluded (paid)",H815&lt;=0,"Current",H815&lt;=30,"1-30 days",H815&lt;=60,"31-60 days",H815&lt;=90,"61-90 days",TRUE,"90+ days")</f>
        <v/>
      </c>
    </row>
    <row r="816">
      <c r="A816" t="inlineStr">
        <is>
          <t>INV0018127</t>
        </is>
      </c>
      <c r="B816" t="inlineStr">
        <is>
          <t>MER00856</t>
        </is>
      </c>
      <c r="C816">
        <f>XLOOKUP(B816,Merchants!$A$4:$A$1000,Merchants!$B$4:$B$1000,"Not found")</f>
        <v/>
      </c>
      <c r="D816">
        <f>XLOOKUP(A816,tblInvoices[invoice_id],tblInvoices[due_date])</f>
        <v/>
      </c>
      <c r="E816">
        <f>XLOOKUP(A816,tblInvoices[invoice_id],tblInvoices[total_invoice_amount])</f>
        <v/>
      </c>
      <c r="F816">
        <f>SUMIFS(tblPayments[payment_amount],tblPayments[invoice_id],A816,tblPayments[payment_status],"Success")</f>
        <v/>
      </c>
      <c r="G816">
        <f>MAX(0,E816-F816)</f>
        <v/>
      </c>
      <c r="H816">
        <f>DATE(2026,8,13)-D816</f>
        <v/>
      </c>
      <c r="I816">
        <f>IFS(G816=0,"Excluded (paid)",H816&lt;=0,"Current",H816&lt;=30,"1-30 days",H816&lt;=60,"31-60 days",H816&lt;=90,"61-90 days",TRUE,"90+ days")</f>
        <v/>
      </c>
    </row>
    <row r="817">
      <c r="A817" t="inlineStr">
        <is>
          <t>INV0018128</t>
        </is>
      </c>
      <c r="B817" t="inlineStr">
        <is>
          <t>MER00856</t>
        </is>
      </c>
      <c r="C817">
        <f>XLOOKUP(B817,Merchants!$A$4:$A$1000,Merchants!$B$4:$B$1000,"Not found")</f>
        <v/>
      </c>
      <c r="D817">
        <f>XLOOKUP(A817,tblInvoices[invoice_id],tblInvoices[due_date])</f>
        <v/>
      </c>
      <c r="E817">
        <f>XLOOKUP(A817,tblInvoices[invoice_id],tblInvoices[total_invoice_amount])</f>
        <v/>
      </c>
      <c r="F817">
        <f>SUMIFS(tblPayments[payment_amount],tblPayments[invoice_id],A817,tblPayments[payment_status],"Success")</f>
        <v/>
      </c>
      <c r="G817">
        <f>MAX(0,E817-F817)</f>
        <v/>
      </c>
      <c r="H817">
        <f>DATE(2026,8,13)-D817</f>
        <v/>
      </c>
      <c r="I817">
        <f>IFS(G817=0,"Excluded (paid)",H817&lt;=0,"Current",H817&lt;=30,"1-30 days",H817&lt;=60,"31-60 days",H817&lt;=90,"61-90 days",TRUE,"90+ days")</f>
        <v/>
      </c>
    </row>
    <row r="818">
      <c r="A818" t="inlineStr">
        <is>
          <t>INV0018129</t>
        </is>
      </c>
      <c r="B818" t="inlineStr">
        <is>
          <t>MER00856</t>
        </is>
      </c>
      <c r="C818">
        <f>XLOOKUP(B818,Merchants!$A$4:$A$1000,Merchants!$B$4:$B$1000,"Not found")</f>
        <v/>
      </c>
      <c r="D818">
        <f>XLOOKUP(A818,tblInvoices[invoice_id],tblInvoices[due_date])</f>
        <v/>
      </c>
      <c r="E818">
        <f>XLOOKUP(A818,tblInvoices[invoice_id],tblInvoices[total_invoice_amount])</f>
        <v/>
      </c>
      <c r="F818">
        <f>SUMIFS(tblPayments[payment_amount],tblPayments[invoice_id],A818,tblPayments[payment_status],"Success")</f>
        <v/>
      </c>
      <c r="G818">
        <f>MAX(0,E818-F818)</f>
        <v/>
      </c>
      <c r="H818">
        <f>DATE(2026,8,13)-D818</f>
        <v/>
      </c>
      <c r="I818">
        <f>IFS(G818=0,"Excluded (paid)",H818&lt;=0,"Current",H818&lt;=30,"1-30 days",H818&lt;=60,"31-60 days",H818&lt;=90,"61-90 days",TRUE,"90+ days")</f>
        <v/>
      </c>
    </row>
    <row r="819">
      <c r="A819" t="inlineStr">
        <is>
          <t>INV0018130</t>
        </is>
      </c>
      <c r="B819" t="inlineStr">
        <is>
          <t>MER00856</t>
        </is>
      </c>
      <c r="C819">
        <f>XLOOKUP(B819,Merchants!$A$4:$A$1000,Merchants!$B$4:$B$1000,"Not found")</f>
        <v/>
      </c>
      <c r="D819">
        <f>XLOOKUP(A819,tblInvoices[invoice_id],tblInvoices[due_date])</f>
        <v/>
      </c>
      <c r="E819">
        <f>XLOOKUP(A819,tblInvoices[invoice_id],tblInvoices[total_invoice_amount])</f>
        <v/>
      </c>
      <c r="F819">
        <f>SUMIFS(tblPayments[payment_amount],tblPayments[invoice_id],A819,tblPayments[payment_status],"Success")</f>
        <v/>
      </c>
      <c r="G819">
        <f>MAX(0,E819-F819)</f>
        <v/>
      </c>
      <c r="H819">
        <f>DATE(2026,8,13)-D819</f>
        <v/>
      </c>
      <c r="I819">
        <f>IFS(G819=0,"Excluded (paid)",H819&lt;=0,"Current",H819&lt;=30,"1-30 days",H819&lt;=60,"31-60 days",H819&lt;=90,"61-90 days",TRUE,"90+ days")</f>
        <v/>
      </c>
    </row>
    <row r="820">
      <c r="A820" t="inlineStr">
        <is>
          <t>INV0018131</t>
        </is>
      </c>
      <c r="B820" t="inlineStr">
        <is>
          <t>MER00856</t>
        </is>
      </c>
      <c r="C820">
        <f>XLOOKUP(B820,Merchants!$A$4:$A$1000,Merchants!$B$4:$B$1000,"Not found")</f>
        <v/>
      </c>
      <c r="D820">
        <f>XLOOKUP(A820,tblInvoices[invoice_id],tblInvoices[due_date])</f>
        <v/>
      </c>
      <c r="E820">
        <f>XLOOKUP(A820,tblInvoices[invoice_id],tblInvoices[total_invoice_amount])</f>
        <v/>
      </c>
      <c r="F820">
        <f>SUMIFS(tblPayments[payment_amount],tblPayments[invoice_id],A820,tblPayments[payment_status],"Success")</f>
        <v/>
      </c>
      <c r="G820">
        <f>MAX(0,E820-F820)</f>
        <v/>
      </c>
      <c r="H820">
        <f>DATE(2026,8,13)-D820</f>
        <v/>
      </c>
      <c r="I820">
        <f>IFS(G820=0,"Excluded (paid)",H820&lt;=0,"Current",H820&lt;=30,"1-30 days",H820&lt;=60,"31-60 days",H820&lt;=90,"61-90 days",TRUE,"90+ days")</f>
        <v/>
      </c>
    </row>
    <row r="821">
      <c r="A821" t="inlineStr">
        <is>
          <t>INV0018132</t>
        </is>
      </c>
      <c r="B821" t="inlineStr">
        <is>
          <t>MER00856</t>
        </is>
      </c>
      <c r="C821">
        <f>XLOOKUP(B821,Merchants!$A$4:$A$1000,Merchants!$B$4:$B$1000,"Not found")</f>
        <v/>
      </c>
      <c r="D821">
        <f>XLOOKUP(A821,tblInvoices[invoice_id],tblInvoices[due_date])</f>
        <v/>
      </c>
      <c r="E821">
        <f>XLOOKUP(A821,tblInvoices[invoice_id],tblInvoices[total_invoice_amount])</f>
        <v/>
      </c>
      <c r="F821">
        <f>SUMIFS(tblPayments[payment_amount],tblPayments[invoice_id],A821,tblPayments[payment_status],"Success")</f>
        <v/>
      </c>
      <c r="G821">
        <f>MAX(0,E821-F821)</f>
        <v/>
      </c>
      <c r="H821">
        <f>DATE(2026,8,13)-D821</f>
        <v/>
      </c>
      <c r="I821">
        <f>IFS(G821=0,"Excluded (paid)",H821&lt;=0,"Current",H821&lt;=30,"1-30 days",H821&lt;=60,"31-60 days",H821&lt;=90,"61-90 days",TRUE,"90+ days")</f>
        <v/>
      </c>
    </row>
    <row r="822">
      <c r="A822" t="inlineStr">
        <is>
          <t>INV0018133</t>
        </is>
      </c>
      <c r="B822" t="inlineStr">
        <is>
          <t>MER00856</t>
        </is>
      </c>
      <c r="C822">
        <f>XLOOKUP(B822,Merchants!$A$4:$A$1000,Merchants!$B$4:$B$1000,"Not found")</f>
        <v/>
      </c>
      <c r="D822">
        <f>XLOOKUP(A822,tblInvoices[invoice_id],tblInvoices[due_date])</f>
        <v/>
      </c>
      <c r="E822">
        <f>XLOOKUP(A822,tblInvoices[invoice_id],tblInvoices[total_invoice_amount])</f>
        <v/>
      </c>
      <c r="F822">
        <f>SUMIFS(tblPayments[payment_amount],tblPayments[invoice_id],A822,tblPayments[payment_status],"Success")</f>
        <v/>
      </c>
      <c r="G822">
        <f>MAX(0,E822-F822)</f>
        <v/>
      </c>
      <c r="H822">
        <f>DATE(2026,8,13)-D822</f>
        <v/>
      </c>
      <c r="I822">
        <f>IFS(G822=0,"Excluded (paid)",H822&lt;=0,"Current",H822&lt;=30,"1-30 days",H822&lt;=60,"31-60 days",H822&lt;=90,"61-90 days",TRUE,"90+ days")</f>
        <v/>
      </c>
    </row>
    <row r="823">
      <c r="A823" t="inlineStr">
        <is>
          <t>INV0018134</t>
        </is>
      </c>
      <c r="B823" t="inlineStr">
        <is>
          <t>MER00856</t>
        </is>
      </c>
      <c r="C823">
        <f>XLOOKUP(B823,Merchants!$A$4:$A$1000,Merchants!$B$4:$B$1000,"Not found")</f>
        <v/>
      </c>
      <c r="D823">
        <f>XLOOKUP(A823,tblInvoices[invoice_id],tblInvoices[due_date])</f>
        <v/>
      </c>
      <c r="E823">
        <f>XLOOKUP(A823,tblInvoices[invoice_id],tblInvoices[total_invoice_amount])</f>
        <v/>
      </c>
      <c r="F823">
        <f>SUMIFS(tblPayments[payment_amount],tblPayments[invoice_id],A823,tblPayments[payment_status],"Success")</f>
        <v/>
      </c>
      <c r="G823">
        <f>MAX(0,E823-F823)</f>
        <v/>
      </c>
      <c r="H823">
        <f>DATE(2026,8,13)-D823</f>
        <v/>
      </c>
      <c r="I823">
        <f>IFS(G823=0,"Excluded (paid)",H823&lt;=0,"Current",H823&lt;=30,"1-30 days",H823&lt;=60,"31-60 days",H823&lt;=90,"61-90 days",TRUE,"90+ days")</f>
        <v/>
      </c>
    </row>
    <row r="824">
      <c r="A824" t="inlineStr">
        <is>
          <t>INV0018135</t>
        </is>
      </c>
      <c r="B824" t="inlineStr">
        <is>
          <t>MER00856</t>
        </is>
      </c>
      <c r="C824">
        <f>XLOOKUP(B824,Merchants!$A$4:$A$1000,Merchants!$B$4:$B$1000,"Not found")</f>
        <v/>
      </c>
      <c r="D824">
        <f>XLOOKUP(A824,tblInvoices[invoice_id],tblInvoices[due_date])</f>
        <v/>
      </c>
      <c r="E824">
        <f>XLOOKUP(A824,tblInvoices[invoice_id],tblInvoices[total_invoice_amount])</f>
        <v/>
      </c>
      <c r="F824">
        <f>SUMIFS(tblPayments[payment_amount],tblPayments[invoice_id],A824,tblPayments[payment_status],"Success")</f>
        <v/>
      </c>
      <c r="G824">
        <f>MAX(0,E824-F824)</f>
        <v/>
      </c>
      <c r="H824">
        <f>DATE(2026,8,13)-D824</f>
        <v/>
      </c>
      <c r="I824">
        <f>IFS(G824=0,"Excluded (paid)",H824&lt;=0,"Current",H824&lt;=30,"1-30 days",H824&lt;=60,"31-60 days",H824&lt;=90,"61-90 days",TRUE,"90+ days")</f>
        <v/>
      </c>
    </row>
    <row r="825">
      <c r="A825" t="inlineStr">
        <is>
          <t>INV0018136</t>
        </is>
      </c>
      <c r="B825" t="inlineStr">
        <is>
          <t>MER00856</t>
        </is>
      </c>
      <c r="C825">
        <f>XLOOKUP(B825,Merchants!$A$4:$A$1000,Merchants!$B$4:$B$1000,"Not found")</f>
        <v/>
      </c>
      <c r="D825">
        <f>XLOOKUP(A825,tblInvoices[invoice_id],tblInvoices[due_date])</f>
        <v/>
      </c>
      <c r="E825">
        <f>XLOOKUP(A825,tblInvoices[invoice_id],tblInvoices[total_invoice_amount])</f>
        <v/>
      </c>
      <c r="F825">
        <f>SUMIFS(tblPayments[payment_amount],tblPayments[invoice_id],A825,tblPayments[payment_status],"Success")</f>
        <v/>
      </c>
      <c r="G825">
        <f>MAX(0,E825-F825)</f>
        <v/>
      </c>
      <c r="H825">
        <f>DATE(2026,8,13)-D825</f>
        <v/>
      </c>
      <c r="I825">
        <f>IFS(G825=0,"Excluded (paid)",H825&lt;=0,"Current",H825&lt;=30,"1-30 days",H825&lt;=60,"31-60 days",H825&lt;=90,"61-90 days",TRUE,"90+ days")</f>
        <v/>
      </c>
    </row>
    <row r="826">
      <c r="A826" t="inlineStr">
        <is>
          <t>INV0018137</t>
        </is>
      </c>
      <c r="B826" t="inlineStr">
        <is>
          <t>MER00856</t>
        </is>
      </c>
      <c r="C826">
        <f>XLOOKUP(B826,Merchants!$A$4:$A$1000,Merchants!$B$4:$B$1000,"Not found")</f>
        <v/>
      </c>
      <c r="D826">
        <f>XLOOKUP(A826,tblInvoices[invoice_id],tblInvoices[due_date])</f>
        <v/>
      </c>
      <c r="E826">
        <f>XLOOKUP(A826,tblInvoices[invoice_id],tblInvoices[total_invoice_amount])</f>
        <v/>
      </c>
      <c r="F826">
        <f>SUMIFS(tblPayments[payment_amount],tblPayments[invoice_id],A826,tblPayments[payment_status],"Success")</f>
        <v/>
      </c>
      <c r="G826">
        <f>MAX(0,E826-F826)</f>
        <v/>
      </c>
      <c r="H826">
        <f>DATE(2026,8,13)-D826</f>
        <v/>
      </c>
      <c r="I826">
        <f>IFS(G826=0,"Excluded (paid)",H826&lt;=0,"Current",H826&lt;=30,"1-30 days",H826&lt;=60,"31-60 days",H826&lt;=90,"61-90 days",TRUE,"90+ days")</f>
        <v/>
      </c>
    </row>
    <row r="827">
      <c r="A827" t="inlineStr">
        <is>
          <t>INV0018138</t>
        </is>
      </c>
      <c r="B827" t="inlineStr">
        <is>
          <t>MER00856</t>
        </is>
      </c>
      <c r="C827">
        <f>XLOOKUP(B827,Merchants!$A$4:$A$1000,Merchants!$B$4:$B$1000,"Not found")</f>
        <v/>
      </c>
      <c r="D827">
        <f>XLOOKUP(A827,tblInvoices[invoice_id],tblInvoices[due_date])</f>
        <v/>
      </c>
      <c r="E827">
        <f>XLOOKUP(A827,tblInvoices[invoice_id],tblInvoices[total_invoice_amount])</f>
        <v/>
      </c>
      <c r="F827">
        <f>SUMIFS(tblPayments[payment_amount],tblPayments[invoice_id],A827,tblPayments[payment_status],"Success")</f>
        <v/>
      </c>
      <c r="G827">
        <f>MAX(0,E827-F827)</f>
        <v/>
      </c>
      <c r="H827">
        <f>DATE(2026,8,13)-D827</f>
        <v/>
      </c>
      <c r="I827">
        <f>IFS(G827=0,"Excluded (paid)",H827&lt;=0,"Current",H827&lt;=30,"1-30 days",H827&lt;=60,"31-60 days",H827&lt;=90,"61-90 days",TRUE,"90+ days")</f>
        <v/>
      </c>
    </row>
    <row r="828">
      <c r="A828" t="inlineStr">
        <is>
          <t>INV0018139</t>
        </is>
      </c>
      <c r="B828" t="inlineStr">
        <is>
          <t>MER00856</t>
        </is>
      </c>
      <c r="C828">
        <f>XLOOKUP(B828,Merchants!$A$4:$A$1000,Merchants!$B$4:$B$1000,"Not found")</f>
        <v/>
      </c>
      <c r="D828">
        <f>XLOOKUP(A828,tblInvoices[invoice_id],tblInvoices[due_date])</f>
        <v/>
      </c>
      <c r="E828">
        <f>XLOOKUP(A828,tblInvoices[invoice_id],tblInvoices[total_invoice_amount])</f>
        <v/>
      </c>
      <c r="F828">
        <f>SUMIFS(tblPayments[payment_amount],tblPayments[invoice_id],A828,tblPayments[payment_status],"Success")</f>
        <v/>
      </c>
      <c r="G828">
        <f>MAX(0,E828-F828)</f>
        <v/>
      </c>
      <c r="H828">
        <f>DATE(2026,8,13)-D828</f>
        <v/>
      </c>
      <c r="I828">
        <f>IFS(G828=0,"Excluded (paid)",H828&lt;=0,"Current",H828&lt;=30,"1-30 days",H828&lt;=60,"31-60 days",H828&lt;=90,"61-90 days",TRUE,"90+ days")</f>
        <v/>
      </c>
    </row>
    <row r="829">
      <c r="A829" t="inlineStr">
        <is>
          <t>INV0018140</t>
        </is>
      </c>
      <c r="B829" t="inlineStr">
        <is>
          <t>MER00856</t>
        </is>
      </c>
      <c r="C829">
        <f>XLOOKUP(B829,Merchants!$A$4:$A$1000,Merchants!$B$4:$B$1000,"Not found")</f>
        <v/>
      </c>
      <c r="D829">
        <f>XLOOKUP(A829,tblInvoices[invoice_id],tblInvoices[due_date])</f>
        <v/>
      </c>
      <c r="E829">
        <f>XLOOKUP(A829,tblInvoices[invoice_id],tblInvoices[total_invoice_amount])</f>
        <v/>
      </c>
      <c r="F829">
        <f>SUMIFS(tblPayments[payment_amount],tblPayments[invoice_id],A829,tblPayments[payment_status],"Success")</f>
        <v/>
      </c>
      <c r="G829">
        <f>MAX(0,E829-F829)</f>
        <v/>
      </c>
      <c r="H829">
        <f>DATE(2026,8,13)-D829</f>
        <v/>
      </c>
      <c r="I829">
        <f>IFS(G829=0,"Excluded (paid)",H829&lt;=0,"Current",H829&lt;=30,"1-30 days",H829&lt;=60,"31-60 days",H829&lt;=90,"61-90 days",TRUE,"90+ days")</f>
        <v/>
      </c>
    </row>
    <row r="830">
      <c r="A830" t="inlineStr">
        <is>
          <t>INV0018141</t>
        </is>
      </c>
      <c r="B830" t="inlineStr">
        <is>
          <t>MER00856</t>
        </is>
      </c>
      <c r="C830">
        <f>XLOOKUP(B830,Merchants!$A$4:$A$1000,Merchants!$B$4:$B$1000,"Not found")</f>
        <v/>
      </c>
      <c r="D830">
        <f>XLOOKUP(A830,tblInvoices[invoice_id],tblInvoices[due_date])</f>
        <v/>
      </c>
      <c r="E830">
        <f>XLOOKUP(A830,tblInvoices[invoice_id],tblInvoices[total_invoice_amount])</f>
        <v/>
      </c>
      <c r="F830">
        <f>SUMIFS(tblPayments[payment_amount],tblPayments[invoice_id],A830,tblPayments[payment_status],"Success")</f>
        <v/>
      </c>
      <c r="G830">
        <f>MAX(0,E830-F830)</f>
        <v/>
      </c>
      <c r="H830">
        <f>DATE(2026,8,13)-D830</f>
        <v/>
      </c>
      <c r="I830">
        <f>IFS(G830=0,"Excluded (paid)",H830&lt;=0,"Current",H830&lt;=30,"1-30 days",H830&lt;=60,"31-60 days",H830&lt;=90,"61-90 days",TRUE,"90+ days")</f>
        <v/>
      </c>
    </row>
    <row r="831">
      <c r="A831" t="inlineStr">
        <is>
          <t>INV0018227</t>
        </is>
      </c>
      <c r="B831" t="inlineStr">
        <is>
          <t>MER00861</t>
        </is>
      </c>
      <c r="C831">
        <f>XLOOKUP(B831,Merchants!$A$4:$A$1000,Merchants!$B$4:$B$1000,"Not found")</f>
        <v/>
      </c>
      <c r="D831">
        <f>XLOOKUP(A831,tblInvoices[invoice_id],tblInvoices[due_date])</f>
        <v/>
      </c>
      <c r="E831">
        <f>XLOOKUP(A831,tblInvoices[invoice_id],tblInvoices[total_invoice_amount])</f>
        <v/>
      </c>
      <c r="F831">
        <f>SUMIFS(tblPayments[payment_amount],tblPayments[invoice_id],A831,tblPayments[payment_status],"Success")</f>
        <v/>
      </c>
      <c r="G831">
        <f>MAX(0,E831-F831)</f>
        <v/>
      </c>
      <c r="H831">
        <f>DATE(2026,8,13)-D831</f>
        <v/>
      </c>
      <c r="I831">
        <f>IFS(G831=0,"Excluded (paid)",H831&lt;=0,"Current",H831&lt;=30,"1-30 days",H831&lt;=60,"31-60 days",H831&lt;=90,"61-90 days",TRUE,"90+ days")</f>
        <v/>
      </c>
    </row>
    <row r="832">
      <c r="A832" t="inlineStr">
        <is>
          <t>INV0018228</t>
        </is>
      </c>
      <c r="B832" t="inlineStr">
        <is>
          <t>MER00861</t>
        </is>
      </c>
      <c r="C832">
        <f>XLOOKUP(B832,Merchants!$A$4:$A$1000,Merchants!$B$4:$B$1000,"Not found")</f>
        <v/>
      </c>
      <c r="D832">
        <f>XLOOKUP(A832,tblInvoices[invoice_id],tblInvoices[due_date])</f>
        <v/>
      </c>
      <c r="E832">
        <f>XLOOKUP(A832,tblInvoices[invoice_id],tblInvoices[total_invoice_amount])</f>
        <v/>
      </c>
      <c r="F832">
        <f>SUMIFS(tblPayments[payment_amount],tblPayments[invoice_id],A832,tblPayments[payment_status],"Success")</f>
        <v/>
      </c>
      <c r="G832">
        <f>MAX(0,E832-F832)</f>
        <v/>
      </c>
      <c r="H832">
        <f>DATE(2026,8,13)-D832</f>
        <v/>
      </c>
      <c r="I832">
        <f>IFS(G832=0,"Excluded (paid)",H832&lt;=0,"Current",H832&lt;=30,"1-30 days",H832&lt;=60,"31-60 days",H832&lt;=90,"61-90 days",TRUE,"90+ days")</f>
        <v/>
      </c>
    </row>
    <row r="833">
      <c r="A833" t="inlineStr">
        <is>
          <t>INV0018229</t>
        </is>
      </c>
      <c r="B833" t="inlineStr">
        <is>
          <t>MER00861</t>
        </is>
      </c>
      <c r="C833">
        <f>XLOOKUP(B833,Merchants!$A$4:$A$1000,Merchants!$B$4:$B$1000,"Not found")</f>
        <v/>
      </c>
      <c r="D833">
        <f>XLOOKUP(A833,tblInvoices[invoice_id],tblInvoices[due_date])</f>
        <v/>
      </c>
      <c r="E833">
        <f>XLOOKUP(A833,tblInvoices[invoice_id],tblInvoices[total_invoice_amount])</f>
        <v/>
      </c>
      <c r="F833">
        <f>SUMIFS(tblPayments[payment_amount],tblPayments[invoice_id],A833,tblPayments[payment_status],"Success")</f>
        <v/>
      </c>
      <c r="G833">
        <f>MAX(0,E833-F833)</f>
        <v/>
      </c>
      <c r="H833">
        <f>DATE(2026,8,13)-D833</f>
        <v/>
      </c>
      <c r="I833">
        <f>IFS(G833=0,"Excluded (paid)",H833&lt;=0,"Current",H833&lt;=30,"1-30 days",H833&lt;=60,"31-60 days",H833&lt;=90,"61-90 days",TRUE,"90+ days")</f>
        <v/>
      </c>
    </row>
    <row r="834">
      <c r="A834" t="inlineStr">
        <is>
          <t>INV0018230</t>
        </is>
      </c>
      <c r="B834" t="inlineStr">
        <is>
          <t>MER00861</t>
        </is>
      </c>
      <c r="C834">
        <f>XLOOKUP(B834,Merchants!$A$4:$A$1000,Merchants!$B$4:$B$1000,"Not found")</f>
        <v/>
      </c>
      <c r="D834">
        <f>XLOOKUP(A834,tblInvoices[invoice_id],tblInvoices[due_date])</f>
        <v/>
      </c>
      <c r="E834">
        <f>XLOOKUP(A834,tblInvoices[invoice_id],tblInvoices[total_invoice_amount])</f>
        <v/>
      </c>
      <c r="F834">
        <f>SUMIFS(tblPayments[payment_amount],tblPayments[invoice_id],A834,tblPayments[payment_status],"Success")</f>
        <v/>
      </c>
      <c r="G834">
        <f>MAX(0,E834-F834)</f>
        <v/>
      </c>
      <c r="H834">
        <f>DATE(2026,8,13)-D834</f>
        <v/>
      </c>
      <c r="I834">
        <f>IFS(G834=0,"Excluded (paid)",H834&lt;=0,"Current",H834&lt;=30,"1-30 days",H834&lt;=60,"31-60 days",H834&lt;=90,"61-90 days",TRUE,"90+ days")</f>
        <v/>
      </c>
    </row>
    <row r="835">
      <c r="A835" t="inlineStr">
        <is>
          <t>INV0018231</t>
        </is>
      </c>
      <c r="B835" t="inlineStr">
        <is>
          <t>MER00861</t>
        </is>
      </c>
      <c r="C835">
        <f>XLOOKUP(B835,Merchants!$A$4:$A$1000,Merchants!$B$4:$B$1000,"Not found")</f>
        <v/>
      </c>
      <c r="D835">
        <f>XLOOKUP(A835,tblInvoices[invoice_id],tblInvoices[due_date])</f>
        <v/>
      </c>
      <c r="E835">
        <f>XLOOKUP(A835,tblInvoices[invoice_id],tblInvoices[total_invoice_amount])</f>
        <v/>
      </c>
      <c r="F835">
        <f>SUMIFS(tblPayments[payment_amount],tblPayments[invoice_id],A835,tblPayments[payment_status],"Success")</f>
        <v/>
      </c>
      <c r="G835">
        <f>MAX(0,E835-F835)</f>
        <v/>
      </c>
      <c r="H835">
        <f>DATE(2026,8,13)-D835</f>
        <v/>
      </c>
      <c r="I835">
        <f>IFS(G835=0,"Excluded (paid)",H835&lt;=0,"Current",H835&lt;=30,"1-30 days",H835&lt;=60,"31-60 days",H835&lt;=90,"61-90 days",TRUE,"90+ days")</f>
        <v/>
      </c>
    </row>
    <row r="836">
      <c r="A836" t="inlineStr">
        <is>
          <t>INV0018232</t>
        </is>
      </c>
      <c r="B836" t="inlineStr">
        <is>
          <t>MER00861</t>
        </is>
      </c>
      <c r="C836">
        <f>XLOOKUP(B836,Merchants!$A$4:$A$1000,Merchants!$B$4:$B$1000,"Not found")</f>
        <v/>
      </c>
      <c r="D836">
        <f>XLOOKUP(A836,tblInvoices[invoice_id],tblInvoices[due_date])</f>
        <v/>
      </c>
      <c r="E836">
        <f>XLOOKUP(A836,tblInvoices[invoice_id],tblInvoices[total_invoice_amount])</f>
        <v/>
      </c>
      <c r="F836">
        <f>SUMIFS(tblPayments[payment_amount],tblPayments[invoice_id],A836,tblPayments[payment_status],"Success")</f>
        <v/>
      </c>
      <c r="G836">
        <f>MAX(0,E836-F836)</f>
        <v/>
      </c>
      <c r="H836">
        <f>DATE(2026,8,13)-D836</f>
        <v/>
      </c>
      <c r="I836">
        <f>IFS(G836=0,"Excluded (paid)",H836&lt;=0,"Current",H836&lt;=30,"1-30 days",H836&lt;=60,"31-60 days",H836&lt;=90,"61-90 days",TRUE,"90+ days")</f>
        <v/>
      </c>
    </row>
    <row r="837">
      <c r="A837" t="inlineStr">
        <is>
          <t>INV0018233</t>
        </is>
      </c>
      <c r="B837" t="inlineStr">
        <is>
          <t>MER00861</t>
        </is>
      </c>
      <c r="C837">
        <f>XLOOKUP(B837,Merchants!$A$4:$A$1000,Merchants!$B$4:$B$1000,"Not found")</f>
        <v/>
      </c>
      <c r="D837">
        <f>XLOOKUP(A837,tblInvoices[invoice_id],tblInvoices[due_date])</f>
        <v/>
      </c>
      <c r="E837">
        <f>XLOOKUP(A837,tblInvoices[invoice_id],tblInvoices[total_invoice_amount])</f>
        <v/>
      </c>
      <c r="F837">
        <f>SUMIFS(tblPayments[payment_amount],tblPayments[invoice_id],A837,tblPayments[payment_status],"Success")</f>
        <v/>
      </c>
      <c r="G837">
        <f>MAX(0,E837-F837)</f>
        <v/>
      </c>
      <c r="H837">
        <f>DATE(2026,8,13)-D837</f>
        <v/>
      </c>
      <c r="I837">
        <f>IFS(G837=0,"Excluded (paid)",H837&lt;=0,"Current",H837&lt;=30,"1-30 days",H837&lt;=60,"31-60 days",H837&lt;=90,"61-90 days",TRUE,"90+ days")</f>
        <v/>
      </c>
    </row>
    <row r="838">
      <c r="A838" t="inlineStr">
        <is>
          <t>INV0018234</t>
        </is>
      </c>
      <c r="B838" t="inlineStr">
        <is>
          <t>MER00861</t>
        </is>
      </c>
      <c r="C838">
        <f>XLOOKUP(B838,Merchants!$A$4:$A$1000,Merchants!$B$4:$B$1000,"Not found")</f>
        <v/>
      </c>
      <c r="D838">
        <f>XLOOKUP(A838,tblInvoices[invoice_id],tblInvoices[due_date])</f>
        <v/>
      </c>
      <c r="E838">
        <f>XLOOKUP(A838,tblInvoices[invoice_id],tblInvoices[total_invoice_amount])</f>
        <v/>
      </c>
      <c r="F838">
        <f>SUMIFS(tblPayments[payment_amount],tblPayments[invoice_id],A838,tblPayments[payment_status],"Success")</f>
        <v/>
      </c>
      <c r="G838">
        <f>MAX(0,E838-F838)</f>
        <v/>
      </c>
      <c r="H838">
        <f>DATE(2026,8,13)-D838</f>
        <v/>
      </c>
      <c r="I838">
        <f>IFS(G838=0,"Excluded (paid)",H838&lt;=0,"Current",H838&lt;=30,"1-30 days",H838&lt;=60,"31-60 days",H838&lt;=90,"61-90 days",TRUE,"90+ days")</f>
        <v/>
      </c>
    </row>
    <row r="839">
      <c r="A839" t="inlineStr">
        <is>
          <t>INV0018235</t>
        </is>
      </c>
      <c r="B839" t="inlineStr">
        <is>
          <t>MER00861</t>
        </is>
      </c>
      <c r="C839">
        <f>XLOOKUP(B839,Merchants!$A$4:$A$1000,Merchants!$B$4:$B$1000,"Not found")</f>
        <v/>
      </c>
      <c r="D839">
        <f>XLOOKUP(A839,tblInvoices[invoice_id],tblInvoices[due_date])</f>
        <v/>
      </c>
      <c r="E839">
        <f>XLOOKUP(A839,tblInvoices[invoice_id],tblInvoices[total_invoice_amount])</f>
        <v/>
      </c>
      <c r="F839">
        <f>SUMIFS(tblPayments[payment_amount],tblPayments[invoice_id],A839,tblPayments[payment_status],"Success")</f>
        <v/>
      </c>
      <c r="G839">
        <f>MAX(0,E839-F839)</f>
        <v/>
      </c>
      <c r="H839">
        <f>DATE(2026,8,13)-D839</f>
        <v/>
      </c>
      <c r="I839">
        <f>IFS(G839=0,"Excluded (paid)",H839&lt;=0,"Current",H839&lt;=30,"1-30 days",H839&lt;=60,"31-60 days",H839&lt;=90,"61-90 days",TRUE,"90+ days")</f>
        <v/>
      </c>
    </row>
    <row r="840">
      <c r="A840" t="inlineStr">
        <is>
          <t>INV0018236</t>
        </is>
      </c>
      <c r="B840" t="inlineStr">
        <is>
          <t>MER00861</t>
        </is>
      </c>
      <c r="C840">
        <f>XLOOKUP(B840,Merchants!$A$4:$A$1000,Merchants!$B$4:$B$1000,"Not found")</f>
        <v/>
      </c>
      <c r="D840">
        <f>XLOOKUP(A840,tblInvoices[invoice_id],tblInvoices[due_date])</f>
        <v/>
      </c>
      <c r="E840">
        <f>XLOOKUP(A840,tblInvoices[invoice_id],tblInvoices[total_invoice_amount])</f>
        <v/>
      </c>
      <c r="F840">
        <f>SUMIFS(tblPayments[payment_amount],tblPayments[invoice_id],A840,tblPayments[payment_status],"Success")</f>
        <v/>
      </c>
      <c r="G840">
        <f>MAX(0,E840-F840)</f>
        <v/>
      </c>
      <c r="H840">
        <f>DATE(2026,8,13)-D840</f>
        <v/>
      </c>
      <c r="I840">
        <f>IFS(G840=0,"Excluded (paid)",H840&lt;=0,"Current",H840&lt;=30,"1-30 days",H840&lt;=60,"31-60 days",H840&lt;=90,"61-90 days",TRUE,"90+ days")</f>
        <v/>
      </c>
    </row>
    <row r="841">
      <c r="A841" t="inlineStr">
        <is>
          <t>INV0018237</t>
        </is>
      </c>
      <c r="B841" t="inlineStr">
        <is>
          <t>MER00861</t>
        </is>
      </c>
      <c r="C841">
        <f>XLOOKUP(B841,Merchants!$A$4:$A$1000,Merchants!$B$4:$B$1000,"Not found")</f>
        <v/>
      </c>
      <c r="D841">
        <f>XLOOKUP(A841,tblInvoices[invoice_id],tblInvoices[due_date])</f>
        <v/>
      </c>
      <c r="E841">
        <f>XLOOKUP(A841,tblInvoices[invoice_id],tblInvoices[total_invoice_amount])</f>
        <v/>
      </c>
      <c r="F841">
        <f>SUMIFS(tblPayments[payment_amount],tblPayments[invoice_id],A841,tblPayments[payment_status],"Success")</f>
        <v/>
      </c>
      <c r="G841">
        <f>MAX(0,E841-F841)</f>
        <v/>
      </c>
      <c r="H841">
        <f>DATE(2026,8,13)-D841</f>
        <v/>
      </c>
      <c r="I841">
        <f>IFS(G841=0,"Excluded (paid)",H841&lt;=0,"Current",H841&lt;=30,"1-30 days",H841&lt;=60,"31-60 days",H841&lt;=90,"61-90 days",TRUE,"90+ days")</f>
        <v/>
      </c>
    </row>
    <row r="842">
      <c r="A842" t="inlineStr">
        <is>
          <t>INV0018238</t>
        </is>
      </c>
      <c r="B842" t="inlineStr">
        <is>
          <t>MER00861</t>
        </is>
      </c>
      <c r="C842">
        <f>XLOOKUP(B842,Merchants!$A$4:$A$1000,Merchants!$B$4:$B$1000,"Not found")</f>
        <v/>
      </c>
      <c r="D842">
        <f>XLOOKUP(A842,tblInvoices[invoice_id],tblInvoices[due_date])</f>
        <v/>
      </c>
      <c r="E842">
        <f>XLOOKUP(A842,tblInvoices[invoice_id],tblInvoices[total_invoice_amount])</f>
        <v/>
      </c>
      <c r="F842">
        <f>SUMIFS(tblPayments[payment_amount],tblPayments[invoice_id],A842,tblPayments[payment_status],"Success")</f>
        <v/>
      </c>
      <c r="G842">
        <f>MAX(0,E842-F842)</f>
        <v/>
      </c>
      <c r="H842">
        <f>DATE(2026,8,13)-D842</f>
        <v/>
      </c>
      <c r="I842">
        <f>IFS(G842=0,"Excluded (paid)",H842&lt;=0,"Current",H842&lt;=30,"1-30 days",H842&lt;=60,"31-60 days",H842&lt;=90,"61-90 days",TRUE,"90+ days")</f>
        <v/>
      </c>
    </row>
    <row r="843">
      <c r="A843" t="inlineStr">
        <is>
          <t>INV0018239</t>
        </is>
      </c>
      <c r="B843" t="inlineStr">
        <is>
          <t>MER00861</t>
        </is>
      </c>
      <c r="C843">
        <f>XLOOKUP(B843,Merchants!$A$4:$A$1000,Merchants!$B$4:$B$1000,"Not found")</f>
        <v/>
      </c>
      <c r="D843">
        <f>XLOOKUP(A843,tblInvoices[invoice_id],tblInvoices[due_date])</f>
        <v/>
      </c>
      <c r="E843">
        <f>XLOOKUP(A843,tblInvoices[invoice_id],tblInvoices[total_invoice_amount])</f>
        <v/>
      </c>
      <c r="F843">
        <f>SUMIFS(tblPayments[payment_amount],tblPayments[invoice_id],A843,tblPayments[payment_status],"Success")</f>
        <v/>
      </c>
      <c r="G843">
        <f>MAX(0,E843-F843)</f>
        <v/>
      </c>
      <c r="H843">
        <f>DATE(2026,8,13)-D843</f>
        <v/>
      </c>
      <c r="I843">
        <f>IFS(G843=0,"Excluded (paid)",H843&lt;=0,"Current",H843&lt;=30,"1-30 days",H843&lt;=60,"31-60 days",H843&lt;=90,"61-90 days",TRUE,"90+ days")</f>
        <v/>
      </c>
    </row>
    <row r="844">
      <c r="A844" t="inlineStr">
        <is>
          <t>INV0018240</t>
        </is>
      </c>
      <c r="B844" t="inlineStr">
        <is>
          <t>MER00861</t>
        </is>
      </c>
      <c r="C844">
        <f>XLOOKUP(B844,Merchants!$A$4:$A$1000,Merchants!$B$4:$B$1000,"Not found")</f>
        <v/>
      </c>
      <c r="D844">
        <f>XLOOKUP(A844,tblInvoices[invoice_id],tblInvoices[due_date])</f>
        <v/>
      </c>
      <c r="E844">
        <f>XLOOKUP(A844,tblInvoices[invoice_id],tblInvoices[total_invoice_amount])</f>
        <v/>
      </c>
      <c r="F844">
        <f>SUMIFS(tblPayments[payment_amount],tblPayments[invoice_id],A844,tblPayments[payment_status],"Success")</f>
        <v/>
      </c>
      <c r="G844">
        <f>MAX(0,E844-F844)</f>
        <v/>
      </c>
      <c r="H844">
        <f>DATE(2026,8,13)-D844</f>
        <v/>
      </c>
      <c r="I844">
        <f>IFS(G844=0,"Excluded (paid)",H844&lt;=0,"Current",H844&lt;=30,"1-30 days",H844&lt;=60,"31-60 days",H844&lt;=90,"61-90 days",TRUE,"90+ days")</f>
        <v/>
      </c>
    </row>
    <row r="845">
      <c r="A845" t="inlineStr">
        <is>
          <t>INV0018241</t>
        </is>
      </c>
      <c r="B845" t="inlineStr">
        <is>
          <t>MER00861</t>
        </is>
      </c>
      <c r="C845">
        <f>XLOOKUP(B845,Merchants!$A$4:$A$1000,Merchants!$B$4:$B$1000,"Not found")</f>
        <v/>
      </c>
      <c r="D845">
        <f>XLOOKUP(A845,tblInvoices[invoice_id],tblInvoices[due_date])</f>
        <v/>
      </c>
      <c r="E845">
        <f>XLOOKUP(A845,tblInvoices[invoice_id],tblInvoices[total_invoice_amount])</f>
        <v/>
      </c>
      <c r="F845">
        <f>SUMIFS(tblPayments[payment_amount],tblPayments[invoice_id],A845,tblPayments[payment_status],"Success")</f>
        <v/>
      </c>
      <c r="G845">
        <f>MAX(0,E845-F845)</f>
        <v/>
      </c>
      <c r="H845">
        <f>DATE(2026,8,13)-D845</f>
        <v/>
      </c>
      <c r="I845">
        <f>IFS(G845=0,"Excluded (paid)",H845&lt;=0,"Current",H845&lt;=30,"1-30 days",H845&lt;=60,"31-60 days",H845&lt;=90,"61-90 days",TRUE,"90+ days")</f>
        <v/>
      </c>
    </row>
    <row r="846">
      <c r="A846" t="inlineStr">
        <is>
          <t>INV0018242</t>
        </is>
      </c>
      <c r="B846" t="inlineStr">
        <is>
          <t>MER00861</t>
        </is>
      </c>
      <c r="C846">
        <f>XLOOKUP(B846,Merchants!$A$4:$A$1000,Merchants!$B$4:$B$1000,"Not found")</f>
        <v/>
      </c>
      <c r="D846">
        <f>XLOOKUP(A846,tblInvoices[invoice_id],tblInvoices[due_date])</f>
        <v/>
      </c>
      <c r="E846">
        <f>XLOOKUP(A846,tblInvoices[invoice_id],tblInvoices[total_invoice_amount])</f>
        <v/>
      </c>
      <c r="F846">
        <f>SUMIFS(tblPayments[payment_amount],tblPayments[invoice_id],A846,tblPayments[payment_status],"Success")</f>
        <v/>
      </c>
      <c r="G846">
        <f>MAX(0,E846-F846)</f>
        <v/>
      </c>
      <c r="H846">
        <f>DATE(2026,8,13)-D846</f>
        <v/>
      </c>
      <c r="I846">
        <f>IFS(G846=0,"Excluded (paid)",H846&lt;=0,"Current",H846&lt;=30,"1-30 days",H846&lt;=60,"31-60 days",H846&lt;=90,"61-90 days",TRUE,"90+ days")</f>
        <v/>
      </c>
    </row>
    <row r="847">
      <c r="A847" t="inlineStr">
        <is>
          <t>INV0018243</t>
        </is>
      </c>
      <c r="B847" t="inlineStr">
        <is>
          <t>MER00861</t>
        </is>
      </c>
      <c r="C847">
        <f>XLOOKUP(B847,Merchants!$A$4:$A$1000,Merchants!$B$4:$B$1000,"Not found")</f>
        <v/>
      </c>
      <c r="D847">
        <f>XLOOKUP(A847,tblInvoices[invoice_id],tblInvoices[due_date])</f>
        <v/>
      </c>
      <c r="E847">
        <f>XLOOKUP(A847,tblInvoices[invoice_id],tblInvoices[total_invoice_amount])</f>
        <v/>
      </c>
      <c r="F847">
        <f>SUMIFS(tblPayments[payment_amount],tblPayments[invoice_id],A847,tblPayments[payment_status],"Success")</f>
        <v/>
      </c>
      <c r="G847">
        <f>MAX(0,E847-F847)</f>
        <v/>
      </c>
      <c r="H847">
        <f>DATE(2026,8,13)-D847</f>
        <v/>
      </c>
      <c r="I847">
        <f>IFS(G847=0,"Excluded (paid)",H847&lt;=0,"Current",H847&lt;=30,"1-30 days",H847&lt;=60,"31-60 days",H847&lt;=90,"61-90 days",TRUE,"90+ days")</f>
        <v/>
      </c>
    </row>
    <row r="848">
      <c r="A848" t="inlineStr">
        <is>
          <t>INV0018244</t>
        </is>
      </c>
      <c r="B848" t="inlineStr">
        <is>
          <t>MER00861</t>
        </is>
      </c>
      <c r="C848">
        <f>XLOOKUP(B848,Merchants!$A$4:$A$1000,Merchants!$B$4:$B$1000,"Not found")</f>
        <v/>
      </c>
      <c r="D848">
        <f>XLOOKUP(A848,tblInvoices[invoice_id],tblInvoices[due_date])</f>
        <v/>
      </c>
      <c r="E848">
        <f>XLOOKUP(A848,tblInvoices[invoice_id],tblInvoices[total_invoice_amount])</f>
        <v/>
      </c>
      <c r="F848">
        <f>SUMIFS(tblPayments[payment_amount],tblPayments[invoice_id],A848,tblPayments[payment_status],"Success")</f>
        <v/>
      </c>
      <c r="G848">
        <f>MAX(0,E848-F848)</f>
        <v/>
      </c>
      <c r="H848">
        <f>DATE(2026,8,13)-D848</f>
        <v/>
      </c>
      <c r="I848">
        <f>IFS(G848=0,"Excluded (paid)",H848&lt;=0,"Current",H848&lt;=30,"1-30 days",H848&lt;=60,"31-60 days",H848&lt;=90,"61-90 days",TRUE,"90+ days")</f>
        <v/>
      </c>
    </row>
    <row r="849">
      <c r="A849" t="inlineStr">
        <is>
          <t>INV0018245</t>
        </is>
      </c>
      <c r="B849" t="inlineStr">
        <is>
          <t>MER00861</t>
        </is>
      </c>
      <c r="C849">
        <f>XLOOKUP(B849,Merchants!$A$4:$A$1000,Merchants!$B$4:$B$1000,"Not found")</f>
        <v/>
      </c>
      <c r="D849">
        <f>XLOOKUP(A849,tblInvoices[invoice_id],tblInvoices[due_date])</f>
        <v/>
      </c>
      <c r="E849">
        <f>XLOOKUP(A849,tblInvoices[invoice_id],tblInvoices[total_invoice_amount])</f>
        <v/>
      </c>
      <c r="F849">
        <f>SUMIFS(tblPayments[payment_amount],tblPayments[invoice_id],A849,tblPayments[payment_status],"Success")</f>
        <v/>
      </c>
      <c r="G849">
        <f>MAX(0,E849-F849)</f>
        <v/>
      </c>
      <c r="H849">
        <f>DATE(2026,8,13)-D849</f>
        <v/>
      </c>
      <c r="I849">
        <f>IFS(G849=0,"Excluded (paid)",H849&lt;=0,"Current",H849&lt;=30,"1-30 days",H849&lt;=60,"31-60 days",H849&lt;=90,"61-90 days",TRUE,"90+ days")</f>
        <v/>
      </c>
    </row>
    <row r="850">
      <c r="A850" t="inlineStr">
        <is>
          <t>INV0018246</t>
        </is>
      </c>
      <c r="B850" t="inlineStr">
        <is>
          <t>MER00861</t>
        </is>
      </c>
      <c r="C850">
        <f>XLOOKUP(B850,Merchants!$A$4:$A$1000,Merchants!$B$4:$B$1000,"Not found")</f>
        <v/>
      </c>
      <c r="D850">
        <f>XLOOKUP(A850,tblInvoices[invoice_id],tblInvoices[due_date])</f>
        <v/>
      </c>
      <c r="E850">
        <f>XLOOKUP(A850,tblInvoices[invoice_id],tblInvoices[total_invoice_amount])</f>
        <v/>
      </c>
      <c r="F850">
        <f>SUMIFS(tblPayments[payment_amount],tblPayments[invoice_id],A850,tblPayments[payment_status],"Success")</f>
        <v/>
      </c>
      <c r="G850">
        <f>MAX(0,E850-F850)</f>
        <v/>
      </c>
      <c r="H850">
        <f>DATE(2026,8,13)-D850</f>
        <v/>
      </c>
      <c r="I850">
        <f>IFS(G850=0,"Excluded (paid)",H850&lt;=0,"Current",H850&lt;=30,"1-30 days",H850&lt;=60,"31-60 days",H850&lt;=90,"61-90 days",TRUE,"90+ days")</f>
        <v/>
      </c>
    </row>
    <row r="851">
      <c r="A851" t="inlineStr">
        <is>
          <t>INV0018247</t>
        </is>
      </c>
      <c r="B851" t="inlineStr">
        <is>
          <t>MER00861</t>
        </is>
      </c>
      <c r="C851">
        <f>XLOOKUP(B851,Merchants!$A$4:$A$1000,Merchants!$B$4:$B$1000,"Not found")</f>
        <v/>
      </c>
      <c r="D851">
        <f>XLOOKUP(A851,tblInvoices[invoice_id],tblInvoices[due_date])</f>
        <v/>
      </c>
      <c r="E851">
        <f>XLOOKUP(A851,tblInvoices[invoice_id],tblInvoices[total_invoice_amount])</f>
        <v/>
      </c>
      <c r="F851">
        <f>SUMIFS(tblPayments[payment_amount],tblPayments[invoice_id],A851,tblPayments[payment_status],"Success")</f>
        <v/>
      </c>
      <c r="G851">
        <f>MAX(0,E851-F851)</f>
        <v/>
      </c>
      <c r="H851">
        <f>DATE(2026,8,13)-D851</f>
        <v/>
      </c>
      <c r="I851">
        <f>IFS(G851=0,"Excluded (paid)",H851&lt;=0,"Current",H851&lt;=30,"1-30 days",H851&lt;=60,"31-60 days",H851&lt;=90,"61-90 days",TRUE,"90+ days")</f>
        <v/>
      </c>
    </row>
    <row r="852">
      <c r="A852" t="inlineStr">
        <is>
          <t>INV0018248</t>
        </is>
      </c>
      <c r="B852" t="inlineStr">
        <is>
          <t>MER00861</t>
        </is>
      </c>
      <c r="C852">
        <f>XLOOKUP(B852,Merchants!$A$4:$A$1000,Merchants!$B$4:$B$1000,"Not found")</f>
        <v/>
      </c>
      <c r="D852">
        <f>XLOOKUP(A852,tblInvoices[invoice_id],tblInvoices[due_date])</f>
        <v/>
      </c>
      <c r="E852">
        <f>XLOOKUP(A852,tblInvoices[invoice_id],tblInvoices[total_invoice_amount])</f>
        <v/>
      </c>
      <c r="F852">
        <f>SUMIFS(tblPayments[payment_amount],tblPayments[invoice_id],A852,tblPayments[payment_status],"Success")</f>
        <v/>
      </c>
      <c r="G852">
        <f>MAX(0,E852-F852)</f>
        <v/>
      </c>
      <c r="H852">
        <f>DATE(2026,8,13)-D852</f>
        <v/>
      </c>
      <c r="I852">
        <f>IFS(G852=0,"Excluded (paid)",H852&lt;=0,"Current",H852&lt;=30,"1-30 days",H852&lt;=60,"31-60 days",H852&lt;=90,"61-90 days",TRUE,"90+ days")</f>
        <v/>
      </c>
    </row>
    <row r="853">
      <c r="A853" t="inlineStr">
        <is>
          <t>INV0018249</t>
        </is>
      </c>
      <c r="B853" t="inlineStr">
        <is>
          <t>MER00861</t>
        </is>
      </c>
      <c r="C853">
        <f>XLOOKUP(B853,Merchants!$A$4:$A$1000,Merchants!$B$4:$B$1000,"Not found")</f>
        <v/>
      </c>
      <c r="D853">
        <f>XLOOKUP(A853,tblInvoices[invoice_id],tblInvoices[due_date])</f>
        <v/>
      </c>
      <c r="E853">
        <f>XLOOKUP(A853,tblInvoices[invoice_id],tblInvoices[total_invoice_amount])</f>
        <v/>
      </c>
      <c r="F853">
        <f>SUMIFS(tblPayments[payment_amount],tblPayments[invoice_id],A853,tblPayments[payment_status],"Success")</f>
        <v/>
      </c>
      <c r="G853">
        <f>MAX(0,E853-F853)</f>
        <v/>
      </c>
      <c r="H853">
        <f>DATE(2026,8,13)-D853</f>
        <v/>
      </c>
      <c r="I853">
        <f>IFS(G853=0,"Excluded (paid)",H853&lt;=0,"Current",H853&lt;=30,"1-30 days",H853&lt;=60,"31-60 days",H853&lt;=90,"61-90 days",TRUE,"90+ days")</f>
        <v/>
      </c>
    </row>
    <row r="854">
      <c r="A854" t="inlineStr">
        <is>
          <t>INV0018250</t>
        </is>
      </c>
      <c r="B854" t="inlineStr">
        <is>
          <t>MER00861</t>
        </is>
      </c>
      <c r="C854">
        <f>XLOOKUP(B854,Merchants!$A$4:$A$1000,Merchants!$B$4:$B$1000,"Not found")</f>
        <v/>
      </c>
      <c r="D854">
        <f>XLOOKUP(A854,tblInvoices[invoice_id],tblInvoices[due_date])</f>
        <v/>
      </c>
      <c r="E854">
        <f>XLOOKUP(A854,tblInvoices[invoice_id],tblInvoices[total_invoice_amount])</f>
        <v/>
      </c>
      <c r="F854">
        <f>SUMIFS(tblPayments[payment_amount],tblPayments[invoice_id],A854,tblPayments[payment_status],"Success")</f>
        <v/>
      </c>
      <c r="G854">
        <f>MAX(0,E854-F854)</f>
        <v/>
      </c>
      <c r="H854">
        <f>DATE(2026,8,13)-D854</f>
        <v/>
      </c>
      <c r="I854">
        <f>IFS(G854=0,"Excluded (paid)",H854&lt;=0,"Current",H854&lt;=30,"1-30 days",H854&lt;=60,"31-60 days",H854&lt;=90,"61-90 days",TRUE,"90+ days")</f>
        <v/>
      </c>
    </row>
    <row r="855">
      <c r="A855" t="inlineStr">
        <is>
          <t>INV0018395</t>
        </is>
      </c>
      <c r="B855" t="inlineStr">
        <is>
          <t>MER00870</t>
        </is>
      </c>
      <c r="C855">
        <f>XLOOKUP(B855,Merchants!$A$4:$A$1000,Merchants!$B$4:$B$1000,"Not found")</f>
        <v/>
      </c>
      <c r="D855">
        <f>XLOOKUP(A855,tblInvoices[invoice_id],tblInvoices[due_date])</f>
        <v/>
      </c>
      <c r="E855">
        <f>XLOOKUP(A855,tblInvoices[invoice_id],tblInvoices[total_invoice_amount])</f>
        <v/>
      </c>
      <c r="F855">
        <f>SUMIFS(tblPayments[payment_amount],tblPayments[invoice_id],A855,tblPayments[payment_status],"Success")</f>
        <v/>
      </c>
      <c r="G855">
        <f>MAX(0,E855-F855)</f>
        <v/>
      </c>
      <c r="H855">
        <f>DATE(2026,8,13)-D855</f>
        <v/>
      </c>
      <c r="I855">
        <f>IFS(G855=0,"Excluded (paid)",H855&lt;=0,"Current",H855&lt;=30,"1-30 days",H855&lt;=60,"31-60 days",H855&lt;=90,"61-90 days",TRUE,"90+ days")</f>
        <v/>
      </c>
    </row>
    <row r="856">
      <c r="A856" t="inlineStr">
        <is>
          <t>INV0018396</t>
        </is>
      </c>
      <c r="B856" t="inlineStr">
        <is>
          <t>MER00870</t>
        </is>
      </c>
      <c r="C856">
        <f>XLOOKUP(B856,Merchants!$A$4:$A$1000,Merchants!$B$4:$B$1000,"Not found")</f>
        <v/>
      </c>
      <c r="D856">
        <f>XLOOKUP(A856,tblInvoices[invoice_id],tblInvoices[due_date])</f>
        <v/>
      </c>
      <c r="E856">
        <f>XLOOKUP(A856,tblInvoices[invoice_id],tblInvoices[total_invoice_amount])</f>
        <v/>
      </c>
      <c r="F856">
        <f>SUMIFS(tblPayments[payment_amount],tblPayments[invoice_id],A856,tblPayments[payment_status],"Success")</f>
        <v/>
      </c>
      <c r="G856">
        <f>MAX(0,E856-F856)</f>
        <v/>
      </c>
      <c r="H856">
        <f>DATE(2026,8,13)-D856</f>
        <v/>
      </c>
      <c r="I856">
        <f>IFS(G856=0,"Excluded (paid)",H856&lt;=0,"Current",H856&lt;=30,"1-30 days",H856&lt;=60,"31-60 days",H856&lt;=90,"61-90 days",TRUE,"90+ days")</f>
        <v/>
      </c>
    </row>
    <row r="857">
      <c r="A857" t="inlineStr">
        <is>
          <t>INV0018397</t>
        </is>
      </c>
      <c r="B857" t="inlineStr">
        <is>
          <t>MER00870</t>
        </is>
      </c>
      <c r="C857">
        <f>XLOOKUP(B857,Merchants!$A$4:$A$1000,Merchants!$B$4:$B$1000,"Not found")</f>
        <v/>
      </c>
      <c r="D857">
        <f>XLOOKUP(A857,tblInvoices[invoice_id],tblInvoices[due_date])</f>
        <v/>
      </c>
      <c r="E857">
        <f>XLOOKUP(A857,tblInvoices[invoice_id],tblInvoices[total_invoice_amount])</f>
        <v/>
      </c>
      <c r="F857">
        <f>SUMIFS(tblPayments[payment_amount],tblPayments[invoice_id],A857,tblPayments[payment_status],"Success")</f>
        <v/>
      </c>
      <c r="G857">
        <f>MAX(0,E857-F857)</f>
        <v/>
      </c>
      <c r="H857">
        <f>DATE(2026,8,13)-D857</f>
        <v/>
      </c>
      <c r="I857">
        <f>IFS(G857=0,"Excluded (paid)",H857&lt;=0,"Current",H857&lt;=30,"1-30 days",H857&lt;=60,"31-60 days",H857&lt;=90,"61-90 days",TRUE,"90+ days")</f>
        <v/>
      </c>
    </row>
    <row r="858">
      <c r="A858" t="inlineStr">
        <is>
          <t>INV0018398</t>
        </is>
      </c>
      <c r="B858" t="inlineStr">
        <is>
          <t>MER00870</t>
        </is>
      </c>
      <c r="C858">
        <f>XLOOKUP(B858,Merchants!$A$4:$A$1000,Merchants!$B$4:$B$1000,"Not found")</f>
        <v/>
      </c>
      <c r="D858">
        <f>XLOOKUP(A858,tblInvoices[invoice_id],tblInvoices[due_date])</f>
        <v/>
      </c>
      <c r="E858">
        <f>XLOOKUP(A858,tblInvoices[invoice_id],tblInvoices[total_invoice_amount])</f>
        <v/>
      </c>
      <c r="F858">
        <f>SUMIFS(tblPayments[payment_amount],tblPayments[invoice_id],A858,tblPayments[payment_status],"Success")</f>
        <v/>
      </c>
      <c r="G858">
        <f>MAX(0,E858-F858)</f>
        <v/>
      </c>
      <c r="H858">
        <f>DATE(2026,8,13)-D858</f>
        <v/>
      </c>
      <c r="I858">
        <f>IFS(G858=0,"Excluded (paid)",H858&lt;=0,"Current",H858&lt;=30,"1-30 days",H858&lt;=60,"31-60 days",H858&lt;=90,"61-90 days",TRUE,"90+ days")</f>
        <v/>
      </c>
    </row>
    <row r="859">
      <c r="A859" t="inlineStr">
        <is>
          <t>INV0018399</t>
        </is>
      </c>
      <c r="B859" t="inlineStr">
        <is>
          <t>MER00870</t>
        </is>
      </c>
      <c r="C859">
        <f>XLOOKUP(B859,Merchants!$A$4:$A$1000,Merchants!$B$4:$B$1000,"Not found")</f>
        <v/>
      </c>
      <c r="D859">
        <f>XLOOKUP(A859,tblInvoices[invoice_id],tblInvoices[due_date])</f>
        <v/>
      </c>
      <c r="E859">
        <f>XLOOKUP(A859,tblInvoices[invoice_id],tblInvoices[total_invoice_amount])</f>
        <v/>
      </c>
      <c r="F859">
        <f>SUMIFS(tblPayments[payment_amount],tblPayments[invoice_id],A859,tblPayments[payment_status],"Success")</f>
        <v/>
      </c>
      <c r="G859">
        <f>MAX(0,E859-F859)</f>
        <v/>
      </c>
      <c r="H859">
        <f>DATE(2026,8,13)-D859</f>
        <v/>
      </c>
      <c r="I859">
        <f>IFS(G859=0,"Excluded (paid)",H859&lt;=0,"Current",H859&lt;=30,"1-30 days",H859&lt;=60,"31-60 days",H859&lt;=90,"61-90 days",TRUE,"90+ days")</f>
        <v/>
      </c>
    </row>
    <row r="860">
      <c r="A860" t="inlineStr">
        <is>
          <t>INV0018400</t>
        </is>
      </c>
      <c r="B860" t="inlineStr">
        <is>
          <t>MER00870</t>
        </is>
      </c>
      <c r="C860">
        <f>XLOOKUP(B860,Merchants!$A$4:$A$1000,Merchants!$B$4:$B$1000,"Not found")</f>
        <v/>
      </c>
      <c r="D860">
        <f>XLOOKUP(A860,tblInvoices[invoice_id],tblInvoices[due_date])</f>
        <v/>
      </c>
      <c r="E860">
        <f>XLOOKUP(A860,tblInvoices[invoice_id],tblInvoices[total_invoice_amount])</f>
        <v/>
      </c>
      <c r="F860">
        <f>SUMIFS(tblPayments[payment_amount],tblPayments[invoice_id],A860,tblPayments[payment_status],"Success")</f>
        <v/>
      </c>
      <c r="G860">
        <f>MAX(0,E860-F860)</f>
        <v/>
      </c>
      <c r="H860">
        <f>DATE(2026,8,13)-D860</f>
        <v/>
      </c>
      <c r="I860">
        <f>IFS(G860=0,"Excluded (paid)",H860&lt;=0,"Current",H860&lt;=30,"1-30 days",H860&lt;=60,"31-60 days",H860&lt;=90,"61-90 days",TRUE,"90+ days")</f>
        <v/>
      </c>
    </row>
    <row r="861">
      <c r="A861" t="inlineStr">
        <is>
          <t>INV0018401</t>
        </is>
      </c>
      <c r="B861" t="inlineStr">
        <is>
          <t>MER00870</t>
        </is>
      </c>
      <c r="C861">
        <f>XLOOKUP(B861,Merchants!$A$4:$A$1000,Merchants!$B$4:$B$1000,"Not found")</f>
        <v/>
      </c>
      <c r="D861">
        <f>XLOOKUP(A861,tblInvoices[invoice_id],tblInvoices[due_date])</f>
        <v/>
      </c>
      <c r="E861">
        <f>XLOOKUP(A861,tblInvoices[invoice_id],tblInvoices[total_invoice_amount])</f>
        <v/>
      </c>
      <c r="F861">
        <f>SUMIFS(tblPayments[payment_amount],tblPayments[invoice_id],A861,tblPayments[payment_status],"Success")</f>
        <v/>
      </c>
      <c r="G861">
        <f>MAX(0,E861-F861)</f>
        <v/>
      </c>
      <c r="H861">
        <f>DATE(2026,8,13)-D861</f>
        <v/>
      </c>
      <c r="I861">
        <f>IFS(G861=0,"Excluded (paid)",H861&lt;=0,"Current",H861&lt;=30,"1-30 days",H861&lt;=60,"31-60 days",H861&lt;=90,"61-90 days",TRUE,"90+ days")</f>
        <v/>
      </c>
    </row>
    <row r="862">
      <c r="A862" t="inlineStr">
        <is>
          <t>INV0018402</t>
        </is>
      </c>
      <c r="B862" t="inlineStr">
        <is>
          <t>MER00870</t>
        </is>
      </c>
      <c r="C862">
        <f>XLOOKUP(B862,Merchants!$A$4:$A$1000,Merchants!$B$4:$B$1000,"Not found")</f>
        <v/>
      </c>
      <c r="D862">
        <f>XLOOKUP(A862,tblInvoices[invoice_id],tblInvoices[due_date])</f>
        <v/>
      </c>
      <c r="E862">
        <f>XLOOKUP(A862,tblInvoices[invoice_id],tblInvoices[total_invoice_amount])</f>
        <v/>
      </c>
      <c r="F862">
        <f>SUMIFS(tblPayments[payment_amount],tblPayments[invoice_id],A862,tblPayments[payment_status],"Success")</f>
        <v/>
      </c>
      <c r="G862">
        <f>MAX(0,E862-F862)</f>
        <v/>
      </c>
      <c r="H862">
        <f>DATE(2026,8,13)-D862</f>
        <v/>
      </c>
      <c r="I862">
        <f>IFS(G862=0,"Excluded (paid)",H862&lt;=0,"Current",H862&lt;=30,"1-30 days",H862&lt;=60,"31-60 days",H862&lt;=90,"61-90 days",TRUE,"90+ days")</f>
        <v/>
      </c>
    </row>
    <row r="863">
      <c r="A863" t="inlineStr">
        <is>
          <t>INV0018403</t>
        </is>
      </c>
      <c r="B863" t="inlineStr">
        <is>
          <t>MER00870</t>
        </is>
      </c>
      <c r="C863">
        <f>XLOOKUP(B863,Merchants!$A$4:$A$1000,Merchants!$B$4:$B$1000,"Not found")</f>
        <v/>
      </c>
      <c r="D863">
        <f>XLOOKUP(A863,tblInvoices[invoice_id],tblInvoices[due_date])</f>
        <v/>
      </c>
      <c r="E863">
        <f>XLOOKUP(A863,tblInvoices[invoice_id],tblInvoices[total_invoice_amount])</f>
        <v/>
      </c>
      <c r="F863">
        <f>SUMIFS(tblPayments[payment_amount],tblPayments[invoice_id],A863,tblPayments[payment_status],"Success")</f>
        <v/>
      </c>
      <c r="G863">
        <f>MAX(0,E863-F863)</f>
        <v/>
      </c>
      <c r="H863">
        <f>DATE(2026,8,13)-D863</f>
        <v/>
      </c>
      <c r="I863">
        <f>IFS(G863=0,"Excluded (paid)",H863&lt;=0,"Current",H863&lt;=30,"1-30 days",H863&lt;=60,"31-60 days",H863&lt;=90,"61-90 days",TRUE,"90+ days")</f>
        <v/>
      </c>
    </row>
    <row r="864">
      <c r="A864" t="inlineStr">
        <is>
          <t>INV0018404</t>
        </is>
      </c>
      <c r="B864" t="inlineStr">
        <is>
          <t>MER00870</t>
        </is>
      </c>
      <c r="C864">
        <f>XLOOKUP(B864,Merchants!$A$4:$A$1000,Merchants!$B$4:$B$1000,"Not found")</f>
        <v/>
      </c>
      <c r="D864">
        <f>XLOOKUP(A864,tblInvoices[invoice_id],tblInvoices[due_date])</f>
        <v/>
      </c>
      <c r="E864">
        <f>XLOOKUP(A864,tblInvoices[invoice_id],tblInvoices[total_invoice_amount])</f>
        <v/>
      </c>
      <c r="F864">
        <f>SUMIFS(tblPayments[payment_amount],tblPayments[invoice_id],A864,tblPayments[payment_status],"Success")</f>
        <v/>
      </c>
      <c r="G864">
        <f>MAX(0,E864-F864)</f>
        <v/>
      </c>
      <c r="H864">
        <f>DATE(2026,8,13)-D864</f>
        <v/>
      </c>
      <c r="I864">
        <f>IFS(G864=0,"Excluded (paid)",H864&lt;=0,"Current",H864&lt;=30,"1-30 days",H864&lt;=60,"31-60 days",H864&lt;=90,"61-90 days",TRUE,"90+ days")</f>
        <v/>
      </c>
    </row>
    <row r="865">
      <c r="A865" t="inlineStr">
        <is>
          <t>INV0018405</t>
        </is>
      </c>
      <c r="B865" t="inlineStr">
        <is>
          <t>MER00870</t>
        </is>
      </c>
      <c r="C865">
        <f>XLOOKUP(B865,Merchants!$A$4:$A$1000,Merchants!$B$4:$B$1000,"Not found")</f>
        <v/>
      </c>
      <c r="D865">
        <f>XLOOKUP(A865,tblInvoices[invoice_id],tblInvoices[due_date])</f>
        <v/>
      </c>
      <c r="E865">
        <f>XLOOKUP(A865,tblInvoices[invoice_id],tblInvoices[total_invoice_amount])</f>
        <v/>
      </c>
      <c r="F865">
        <f>SUMIFS(tblPayments[payment_amount],tblPayments[invoice_id],A865,tblPayments[payment_status],"Success")</f>
        <v/>
      </c>
      <c r="G865">
        <f>MAX(0,E865-F865)</f>
        <v/>
      </c>
      <c r="H865">
        <f>DATE(2026,8,13)-D865</f>
        <v/>
      </c>
      <c r="I865">
        <f>IFS(G865=0,"Excluded (paid)",H865&lt;=0,"Current",H865&lt;=30,"1-30 days",H865&lt;=60,"31-60 days",H865&lt;=90,"61-90 days",TRUE,"90+ days")</f>
        <v/>
      </c>
    </row>
    <row r="866">
      <c r="A866" t="inlineStr">
        <is>
          <t>INV0018406</t>
        </is>
      </c>
      <c r="B866" t="inlineStr">
        <is>
          <t>MER00870</t>
        </is>
      </c>
      <c r="C866">
        <f>XLOOKUP(B866,Merchants!$A$4:$A$1000,Merchants!$B$4:$B$1000,"Not found")</f>
        <v/>
      </c>
      <c r="D866">
        <f>XLOOKUP(A866,tblInvoices[invoice_id],tblInvoices[due_date])</f>
        <v/>
      </c>
      <c r="E866">
        <f>XLOOKUP(A866,tblInvoices[invoice_id],tblInvoices[total_invoice_amount])</f>
        <v/>
      </c>
      <c r="F866">
        <f>SUMIFS(tblPayments[payment_amount],tblPayments[invoice_id],A866,tblPayments[payment_status],"Success")</f>
        <v/>
      </c>
      <c r="G866">
        <f>MAX(0,E866-F866)</f>
        <v/>
      </c>
      <c r="H866">
        <f>DATE(2026,8,13)-D866</f>
        <v/>
      </c>
      <c r="I866">
        <f>IFS(G866=0,"Excluded (paid)",H866&lt;=0,"Current",H866&lt;=30,"1-30 days",H866&lt;=60,"31-60 days",H866&lt;=90,"61-90 days",TRUE,"90+ days")</f>
        <v/>
      </c>
    </row>
    <row r="867">
      <c r="A867" t="inlineStr">
        <is>
          <t>INV0018407</t>
        </is>
      </c>
      <c r="B867" t="inlineStr">
        <is>
          <t>MER00870</t>
        </is>
      </c>
      <c r="C867">
        <f>XLOOKUP(B867,Merchants!$A$4:$A$1000,Merchants!$B$4:$B$1000,"Not found")</f>
        <v/>
      </c>
      <c r="D867">
        <f>XLOOKUP(A867,tblInvoices[invoice_id],tblInvoices[due_date])</f>
        <v/>
      </c>
      <c r="E867">
        <f>XLOOKUP(A867,tblInvoices[invoice_id],tblInvoices[total_invoice_amount])</f>
        <v/>
      </c>
      <c r="F867">
        <f>SUMIFS(tblPayments[payment_amount],tblPayments[invoice_id],A867,tblPayments[payment_status],"Success")</f>
        <v/>
      </c>
      <c r="G867">
        <f>MAX(0,E867-F867)</f>
        <v/>
      </c>
      <c r="H867">
        <f>DATE(2026,8,13)-D867</f>
        <v/>
      </c>
      <c r="I867">
        <f>IFS(G867=0,"Excluded (paid)",H867&lt;=0,"Current",H867&lt;=30,"1-30 days",H867&lt;=60,"31-60 days",H867&lt;=90,"61-90 days",TRUE,"90+ days")</f>
        <v/>
      </c>
    </row>
    <row r="868">
      <c r="A868" t="inlineStr">
        <is>
          <t>INV0018408</t>
        </is>
      </c>
      <c r="B868" t="inlineStr">
        <is>
          <t>MER00870</t>
        </is>
      </c>
      <c r="C868">
        <f>XLOOKUP(B868,Merchants!$A$4:$A$1000,Merchants!$B$4:$B$1000,"Not found")</f>
        <v/>
      </c>
      <c r="D868">
        <f>XLOOKUP(A868,tblInvoices[invoice_id],tblInvoices[due_date])</f>
        <v/>
      </c>
      <c r="E868">
        <f>XLOOKUP(A868,tblInvoices[invoice_id],tblInvoices[total_invoice_amount])</f>
        <v/>
      </c>
      <c r="F868">
        <f>SUMIFS(tblPayments[payment_amount],tblPayments[invoice_id],A868,tblPayments[payment_status],"Success")</f>
        <v/>
      </c>
      <c r="G868">
        <f>MAX(0,E868-F868)</f>
        <v/>
      </c>
      <c r="H868">
        <f>DATE(2026,8,13)-D868</f>
        <v/>
      </c>
      <c r="I868">
        <f>IFS(G868=0,"Excluded (paid)",H868&lt;=0,"Current",H868&lt;=30,"1-30 days",H868&lt;=60,"31-60 days",H868&lt;=90,"61-90 days",TRUE,"90+ days")</f>
        <v/>
      </c>
    </row>
    <row r="869">
      <c r="A869" t="inlineStr">
        <is>
          <t>INV0018409</t>
        </is>
      </c>
      <c r="B869" t="inlineStr">
        <is>
          <t>MER00870</t>
        </is>
      </c>
      <c r="C869">
        <f>XLOOKUP(B869,Merchants!$A$4:$A$1000,Merchants!$B$4:$B$1000,"Not found")</f>
        <v/>
      </c>
      <c r="D869">
        <f>XLOOKUP(A869,tblInvoices[invoice_id],tblInvoices[due_date])</f>
        <v/>
      </c>
      <c r="E869">
        <f>XLOOKUP(A869,tblInvoices[invoice_id],tblInvoices[total_invoice_amount])</f>
        <v/>
      </c>
      <c r="F869">
        <f>SUMIFS(tblPayments[payment_amount],tblPayments[invoice_id],A869,tblPayments[payment_status],"Success")</f>
        <v/>
      </c>
      <c r="G869">
        <f>MAX(0,E869-F869)</f>
        <v/>
      </c>
      <c r="H869">
        <f>DATE(2026,8,13)-D869</f>
        <v/>
      </c>
      <c r="I869">
        <f>IFS(G869=0,"Excluded (paid)",H869&lt;=0,"Current",H869&lt;=30,"1-30 days",H869&lt;=60,"31-60 days",H869&lt;=90,"61-90 days",TRUE,"90+ days")</f>
        <v/>
      </c>
    </row>
    <row r="870">
      <c r="A870" t="inlineStr">
        <is>
          <t>INV0018410</t>
        </is>
      </c>
      <c r="B870" t="inlineStr">
        <is>
          <t>MER00870</t>
        </is>
      </c>
      <c r="C870">
        <f>XLOOKUP(B870,Merchants!$A$4:$A$1000,Merchants!$B$4:$B$1000,"Not found")</f>
        <v/>
      </c>
      <c r="D870">
        <f>XLOOKUP(A870,tblInvoices[invoice_id],tblInvoices[due_date])</f>
        <v/>
      </c>
      <c r="E870">
        <f>XLOOKUP(A870,tblInvoices[invoice_id],tblInvoices[total_invoice_amount])</f>
        <v/>
      </c>
      <c r="F870">
        <f>SUMIFS(tblPayments[payment_amount],tblPayments[invoice_id],A870,tblPayments[payment_status],"Success")</f>
        <v/>
      </c>
      <c r="G870">
        <f>MAX(0,E870-F870)</f>
        <v/>
      </c>
      <c r="H870">
        <f>DATE(2026,8,13)-D870</f>
        <v/>
      </c>
      <c r="I870">
        <f>IFS(G870=0,"Excluded (paid)",H870&lt;=0,"Current",H870&lt;=30,"1-30 days",H870&lt;=60,"31-60 days",H870&lt;=90,"61-90 days",TRUE,"90+ days")</f>
        <v/>
      </c>
    </row>
    <row r="871">
      <c r="A871" t="inlineStr">
        <is>
          <t>INV0018411</t>
        </is>
      </c>
      <c r="B871" t="inlineStr">
        <is>
          <t>MER00870</t>
        </is>
      </c>
      <c r="C871">
        <f>XLOOKUP(B871,Merchants!$A$4:$A$1000,Merchants!$B$4:$B$1000,"Not found")</f>
        <v/>
      </c>
      <c r="D871">
        <f>XLOOKUP(A871,tblInvoices[invoice_id],tblInvoices[due_date])</f>
        <v/>
      </c>
      <c r="E871">
        <f>XLOOKUP(A871,tblInvoices[invoice_id],tblInvoices[total_invoice_amount])</f>
        <v/>
      </c>
      <c r="F871">
        <f>SUMIFS(tblPayments[payment_amount],tblPayments[invoice_id],A871,tblPayments[payment_status],"Success")</f>
        <v/>
      </c>
      <c r="G871">
        <f>MAX(0,E871-F871)</f>
        <v/>
      </c>
      <c r="H871">
        <f>DATE(2026,8,13)-D871</f>
        <v/>
      </c>
      <c r="I871">
        <f>IFS(G871=0,"Excluded (paid)",H871&lt;=0,"Current",H871&lt;=30,"1-30 days",H871&lt;=60,"31-60 days",H871&lt;=90,"61-90 days",TRUE,"90+ days")</f>
        <v/>
      </c>
    </row>
    <row r="872">
      <c r="A872" t="inlineStr">
        <is>
          <t>INV0018412</t>
        </is>
      </c>
      <c r="B872" t="inlineStr">
        <is>
          <t>MER00870</t>
        </is>
      </c>
      <c r="C872">
        <f>XLOOKUP(B872,Merchants!$A$4:$A$1000,Merchants!$B$4:$B$1000,"Not found")</f>
        <v/>
      </c>
      <c r="D872">
        <f>XLOOKUP(A872,tblInvoices[invoice_id],tblInvoices[due_date])</f>
        <v/>
      </c>
      <c r="E872">
        <f>XLOOKUP(A872,tblInvoices[invoice_id],tblInvoices[total_invoice_amount])</f>
        <v/>
      </c>
      <c r="F872">
        <f>SUMIFS(tblPayments[payment_amount],tblPayments[invoice_id],A872,tblPayments[payment_status],"Success")</f>
        <v/>
      </c>
      <c r="G872">
        <f>MAX(0,E872-F872)</f>
        <v/>
      </c>
      <c r="H872">
        <f>DATE(2026,8,13)-D872</f>
        <v/>
      </c>
      <c r="I872">
        <f>IFS(G872=0,"Excluded (paid)",H872&lt;=0,"Current",H872&lt;=30,"1-30 days",H872&lt;=60,"31-60 days",H872&lt;=90,"61-90 days",TRUE,"90+ days")</f>
        <v/>
      </c>
    </row>
    <row r="873">
      <c r="A873" t="inlineStr">
        <is>
          <t>INV0018413</t>
        </is>
      </c>
      <c r="B873" t="inlineStr">
        <is>
          <t>MER00870</t>
        </is>
      </c>
      <c r="C873">
        <f>XLOOKUP(B873,Merchants!$A$4:$A$1000,Merchants!$B$4:$B$1000,"Not found")</f>
        <v/>
      </c>
      <c r="D873">
        <f>XLOOKUP(A873,tblInvoices[invoice_id],tblInvoices[due_date])</f>
        <v/>
      </c>
      <c r="E873">
        <f>XLOOKUP(A873,tblInvoices[invoice_id],tblInvoices[total_invoice_amount])</f>
        <v/>
      </c>
      <c r="F873">
        <f>SUMIFS(tblPayments[payment_amount],tblPayments[invoice_id],A873,tblPayments[payment_status],"Success")</f>
        <v/>
      </c>
      <c r="G873">
        <f>MAX(0,E873-F873)</f>
        <v/>
      </c>
      <c r="H873">
        <f>DATE(2026,8,13)-D873</f>
        <v/>
      </c>
      <c r="I873">
        <f>IFS(G873=0,"Excluded (paid)",H873&lt;=0,"Current",H873&lt;=30,"1-30 days",H873&lt;=60,"31-60 days",H873&lt;=90,"61-90 days",TRUE,"90+ days")</f>
        <v/>
      </c>
    </row>
    <row r="874">
      <c r="A874" t="inlineStr">
        <is>
          <t>INV0018414</t>
        </is>
      </c>
      <c r="B874" t="inlineStr">
        <is>
          <t>MER00870</t>
        </is>
      </c>
      <c r="C874">
        <f>XLOOKUP(B874,Merchants!$A$4:$A$1000,Merchants!$B$4:$B$1000,"Not found")</f>
        <v/>
      </c>
      <c r="D874">
        <f>XLOOKUP(A874,tblInvoices[invoice_id],tblInvoices[due_date])</f>
        <v/>
      </c>
      <c r="E874">
        <f>XLOOKUP(A874,tblInvoices[invoice_id],tblInvoices[total_invoice_amount])</f>
        <v/>
      </c>
      <c r="F874">
        <f>SUMIFS(tblPayments[payment_amount],tblPayments[invoice_id],A874,tblPayments[payment_status],"Success")</f>
        <v/>
      </c>
      <c r="G874">
        <f>MAX(0,E874-F874)</f>
        <v/>
      </c>
      <c r="H874">
        <f>DATE(2026,8,13)-D874</f>
        <v/>
      </c>
      <c r="I874">
        <f>IFS(G874=0,"Excluded (paid)",H874&lt;=0,"Current",H874&lt;=30,"1-30 days",H874&lt;=60,"31-60 days",H874&lt;=90,"61-90 days",TRUE,"90+ days")</f>
        <v/>
      </c>
    </row>
    <row r="875">
      <c r="A875" t="inlineStr">
        <is>
          <t>INV0018415</t>
        </is>
      </c>
      <c r="B875" t="inlineStr">
        <is>
          <t>MER00870</t>
        </is>
      </c>
      <c r="C875">
        <f>XLOOKUP(B875,Merchants!$A$4:$A$1000,Merchants!$B$4:$B$1000,"Not found")</f>
        <v/>
      </c>
      <c r="D875">
        <f>XLOOKUP(A875,tblInvoices[invoice_id],tblInvoices[due_date])</f>
        <v/>
      </c>
      <c r="E875">
        <f>XLOOKUP(A875,tblInvoices[invoice_id],tblInvoices[total_invoice_amount])</f>
        <v/>
      </c>
      <c r="F875">
        <f>SUMIFS(tblPayments[payment_amount],tblPayments[invoice_id],A875,tblPayments[payment_status],"Success")</f>
        <v/>
      </c>
      <c r="G875">
        <f>MAX(0,E875-F875)</f>
        <v/>
      </c>
      <c r="H875">
        <f>DATE(2026,8,13)-D875</f>
        <v/>
      </c>
      <c r="I875">
        <f>IFS(G875=0,"Excluded (paid)",H875&lt;=0,"Current",H875&lt;=30,"1-30 days",H875&lt;=60,"31-60 days",H875&lt;=90,"61-90 days",TRUE,"90+ days")</f>
        <v/>
      </c>
    </row>
    <row r="876">
      <c r="A876" t="inlineStr">
        <is>
          <t>INV0019117</t>
        </is>
      </c>
      <c r="B876" t="inlineStr">
        <is>
          <t>MER00902</t>
        </is>
      </c>
      <c r="C876">
        <f>XLOOKUP(B876,Merchants!$A$4:$A$1000,Merchants!$B$4:$B$1000,"Not found")</f>
        <v/>
      </c>
      <c r="D876">
        <f>XLOOKUP(A876,tblInvoices[invoice_id],tblInvoices[due_date])</f>
        <v/>
      </c>
      <c r="E876">
        <f>XLOOKUP(A876,tblInvoices[invoice_id],tblInvoices[total_invoice_amount])</f>
        <v/>
      </c>
      <c r="F876">
        <f>SUMIFS(tblPayments[payment_amount],tblPayments[invoice_id],A876,tblPayments[payment_status],"Success")</f>
        <v/>
      </c>
      <c r="G876">
        <f>MAX(0,E876-F876)</f>
        <v/>
      </c>
      <c r="H876">
        <f>DATE(2026,8,13)-D876</f>
        <v/>
      </c>
      <c r="I876">
        <f>IFS(G876=0,"Excluded (paid)",H876&lt;=0,"Current",H876&lt;=30,"1-30 days",H876&lt;=60,"31-60 days",H876&lt;=90,"61-90 days",TRUE,"90+ days")</f>
        <v/>
      </c>
    </row>
    <row r="877">
      <c r="A877" t="inlineStr">
        <is>
          <t>INV0019118</t>
        </is>
      </c>
      <c r="B877" t="inlineStr">
        <is>
          <t>MER00902</t>
        </is>
      </c>
      <c r="C877">
        <f>XLOOKUP(B877,Merchants!$A$4:$A$1000,Merchants!$B$4:$B$1000,"Not found")</f>
        <v/>
      </c>
      <c r="D877">
        <f>XLOOKUP(A877,tblInvoices[invoice_id],tblInvoices[due_date])</f>
        <v/>
      </c>
      <c r="E877">
        <f>XLOOKUP(A877,tblInvoices[invoice_id],tblInvoices[total_invoice_amount])</f>
        <v/>
      </c>
      <c r="F877">
        <f>SUMIFS(tblPayments[payment_amount],tblPayments[invoice_id],A877,tblPayments[payment_status],"Success")</f>
        <v/>
      </c>
      <c r="G877">
        <f>MAX(0,E877-F877)</f>
        <v/>
      </c>
      <c r="H877">
        <f>DATE(2026,8,13)-D877</f>
        <v/>
      </c>
      <c r="I877">
        <f>IFS(G877=0,"Excluded (paid)",H877&lt;=0,"Current",H877&lt;=30,"1-30 days",H877&lt;=60,"31-60 days",H877&lt;=90,"61-90 days",TRUE,"90+ days")</f>
        <v/>
      </c>
    </row>
    <row r="878">
      <c r="A878" t="inlineStr">
        <is>
          <t>INV0019119</t>
        </is>
      </c>
      <c r="B878" t="inlineStr">
        <is>
          <t>MER00902</t>
        </is>
      </c>
      <c r="C878">
        <f>XLOOKUP(B878,Merchants!$A$4:$A$1000,Merchants!$B$4:$B$1000,"Not found")</f>
        <v/>
      </c>
      <c r="D878">
        <f>XLOOKUP(A878,tblInvoices[invoice_id],tblInvoices[due_date])</f>
        <v/>
      </c>
      <c r="E878">
        <f>XLOOKUP(A878,tblInvoices[invoice_id],tblInvoices[total_invoice_amount])</f>
        <v/>
      </c>
      <c r="F878">
        <f>SUMIFS(tblPayments[payment_amount],tblPayments[invoice_id],A878,tblPayments[payment_status],"Success")</f>
        <v/>
      </c>
      <c r="G878">
        <f>MAX(0,E878-F878)</f>
        <v/>
      </c>
      <c r="H878">
        <f>DATE(2026,8,13)-D878</f>
        <v/>
      </c>
      <c r="I878">
        <f>IFS(G878=0,"Excluded (paid)",H878&lt;=0,"Current",H878&lt;=30,"1-30 days",H878&lt;=60,"31-60 days",H878&lt;=90,"61-90 days",TRUE,"90+ days")</f>
        <v/>
      </c>
    </row>
    <row r="879">
      <c r="A879" t="inlineStr">
        <is>
          <t>INV0019120</t>
        </is>
      </c>
      <c r="B879" t="inlineStr">
        <is>
          <t>MER00902</t>
        </is>
      </c>
      <c r="C879">
        <f>XLOOKUP(B879,Merchants!$A$4:$A$1000,Merchants!$B$4:$B$1000,"Not found")</f>
        <v/>
      </c>
      <c r="D879">
        <f>XLOOKUP(A879,tblInvoices[invoice_id],tblInvoices[due_date])</f>
        <v/>
      </c>
      <c r="E879">
        <f>XLOOKUP(A879,tblInvoices[invoice_id],tblInvoices[total_invoice_amount])</f>
        <v/>
      </c>
      <c r="F879">
        <f>SUMIFS(tblPayments[payment_amount],tblPayments[invoice_id],A879,tblPayments[payment_status],"Success")</f>
        <v/>
      </c>
      <c r="G879">
        <f>MAX(0,E879-F879)</f>
        <v/>
      </c>
      <c r="H879">
        <f>DATE(2026,8,13)-D879</f>
        <v/>
      </c>
      <c r="I879">
        <f>IFS(G879=0,"Excluded (paid)",H879&lt;=0,"Current",H879&lt;=30,"1-30 days",H879&lt;=60,"31-60 days",H879&lt;=90,"61-90 days",TRUE,"90+ days")</f>
        <v/>
      </c>
    </row>
    <row r="880">
      <c r="A880" t="inlineStr">
        <is>
          <t>INV0019121</t>
        </is>
      </c>
      <c r="B880" t="inlineStr">
        <is>
          <t>MER00902</t>
        </is>
      </c>
      <c r="C880">
        <f>XLOOKUP(B880,Merchants!$A$4:$A$1000,Merchants!$B$4:$B$1000,"Not found")</f>
        <v/>
      </c>
      <c r="D880">
        <f>XLOOKUP(A880,tblInvoices[invoice_id],tblInvoices[due_date])</f>
        <v/>
      </c>
      <c r="E880">
        <f>XLOOKUP(A880,tblInvoices[invoice_id],tblInvoices[total_invoice_amount])</f>
        <v/>
      </c>
      <c r="F880">
        <f>SUMIFS(tblPayments[payment_amount],tblPayments[invoice_id],A880,tblPayments[payment_status],"Success")</f>
        <v/>
      </c>
      <c r="G880">
        <f>MAX(0,E880-F880)</f>
        <v/>
      </c>
      <c r="H880">
        <f>DATE(2026,8,13)-D880</f>
        <v/>
      </c>
      <c r="I880">
        <f>IFS(G880=0,"Excluded (paid)",H880&lt;=0,"Current",H880&lt;=30,"1-30 days",H880&lt;=60,"31-60 days",H880&lt;=90,"61-90 days",TRUE,"90+ days")</f>
        <v/>
      </c>
    </row>
    <row r="881">
      <c r="A881" t="inlineStr">
        <is>
          <t>INV0019122</t>
        </is>
      </c>
      <c r="B881" t="inlineStr">
        <is>
          <t>MER00902</t>
        </is>
      </c>
      <c r="C881">
        <f>XLOOKUP(B881,Merchants!$A$4:$A$1000,Merchants!$B$4:$B$1000,"Not found")</f>
        <v/>
      </c>
      <c r="D881">
        <f>XLOOKUP(A881,tblInvoices[invoice_id],tblInvoices[due_date])</f>
        <v/>
      </c>
      <c r="E881">
        <f>XLOOKUP(A881,tblInvoices[invoice_id],tblInvoices[total_invoice_amount])</f>
        <v/>
      </c>
      <c r="F881">
        <f>SUMIFS(tblPayments[payment_amount],tblPayments[invoice_id],A881,tblPayments[payment_status],"Success")</f>
        <v/>
      </c>
      <c r="G881">
        <f>MAX(0,E881-F881)</f>
        <v/>
      </c>
      <c r="H881">
        <f>DATE(2026,8,13)-D881</f>
        <v/>
      </c>
      <c r="I881">
        <f>IFS(G881=0,"Excluded (paid)",H881&lt;=0,"Current",H881&lt;=30,"1-30 days",H881&lt;=60,"31-60 days",H881&lt;=90,"61-90 days",TRUE,"90+ days")</f>
        <v/>
      </c>
    </row>
    <row r="882">
      <c r="A882" t="inlineStr">
        <is>
          <t>INV0019123</t>
        </is>
      </c>
      <c r="B882" t="inlineStr">
        <is>
          <t>MER00902</t>
        </is>
      </c>
      <c r="C882">
        <f>XLOOKUP(B882,Merchants!$A$4:$A$1000,Merchants!$B$4:$B$1000,"Not found")</f>
        <v/>
      </c>
      <c r="D882">
        <f>XLOOKUP(A882,tblInvoices[invoice_id],tblInvoices[due_date])</f>
        <v/>
      </c>
      <c r="E882">
        <f>XLOOKUP(A882,tblInvoices[invoice_id],tblInvoices[total_invoice_amount])</f>
        <v/>
      </c>
      <c r="F882">
        <f>SUMIFS(tblPayments[payment_amount],tblPayments[invoice_id],A882,tblPayments[payment_status],"Success")</f>
        <v/>
      </c>
      <c r="G882">
        <f>MAX(0,E882-F882)</f>
        <v/>
      </c>
      <c r="H882">
        <f>DATE(2026,8,13)-D882</f>
        <v/>
      </c>
      <c r="I882">
        <f>IFS(G882=0,"Excluded (paid)",H882&lt;=0,"Current",H882&lt;=30,"1-30 days",H882&lt;=60,"31-60 days",H882&lt;=90,"61-90 days",TRUE,"90+ days")</f>
        <v/>
      </c>
    </row>
    <row r="883">
      <c r="A883" t="inlineStr">
        <is>
          <t>INV0019124</t>
        </is>
      </c>
      <c r="B883" t="inlineStr">
        <is>
          <t>MER00902</t>
        </is>
      </c>
      <c r="C883">
        <f>XLOOKUP(B883,Merchants!$A$4:$A$1000,Merchants!$B$4:$B$1000,"Not found")</f>
        <v/>
      </c>
      <c r="D883">
        <f>XLOOKUP(A883,tblInvoices[invoice_id],tblInvoices[due_date])</f>
        <v/>
      </c>
      <c r="E883">
        <f>XLOOKUP(A883,tblInvoices[invoice_id],tblInvoices[total_invoice_amount])</f>
        <v/>
      </c>
      <c r="F883">
        <f>SUMIFS(tblPayments[payment_amount],tblPayments[invoice_id],A883,tblPayments[payment_status],"Success")</f>
        <v/>
      </c>
      <c r="G883">
        <f>MAX(0,E883-F883)</f>
        <v/>
      </c>
      <c r="H883">
        <f>DATE(2026,8,13)-D883</f>
        <v/>
      </c>
      <c r="I883">
        <f>IFS(G883=0,"Excluded (paid)",H883&lt;=0,"Current",H883&lt;=30,"1-30 days",H883&lt;=60,"31-60 days",H883&lt;=90,"61-90 days",TRUE,"90+ days")</f>
        <v/>
      </c>
    </row>
    <row r="884">
      <c r="A884" t="inlineStr">
        <is>
          <t>INV0019125</t>
        </is>
      </c>
      <c r="B884" t="inlineStr">
        <is>
          <t>MER00902</t>
        </is>
      </c>
      <c r="C884">
        <f>XLOOKUP(B884,Merchants!$A$4:$A$1000,Merchants!$B$4:$B$1000,"Not found")</f>
        <v/>
      </c>
      <c r="D884">
        <f>XLOOKUP(A884,tblInvoices[invoice_id],tblInvoices[due_date])</f>
        <v/>
      </c>
      <c r="E884">
        <f>XLOOKUP(A884,tblInvoices[invoice_id],tblInvoices[total_invoice_amount])</f>
        <v/>
      </c>
      <c r="F884">
        <f>SUMIFS(tblPayments[payment_amount],tblPayments[invoice_id],A884,tblPayments[payment_status],"Success")</f>
        <v/>
      </c>
      <c r="G884">
        <f>MAX(0,E884-F884)</f>
        <v/>
      </c>
      <c r="H884">
        <f>DATE(2026,8,13)-D884</f>
        <v/>
      </c>
      <c r="I884">
        <f>IFS(G884=0,"Excluded (paid)",H884&lt;=0,"Current",H884&lt;=30,"1-30 days",H884&lt;=60,"31-60 days",H884&lt;=90,"61-90 days",TRUE,"90+ days")</f>
        <v/>
      </c>
    </row>
    <row r="885">
      <c r="A885" t="inlineStr">
        <is>
          <t>INV0019126</t>
        </is>
      </c>
      <c r="B885" t="inlineStr">
        <is>
          <t>MER00902</t>
        </is>
      </c>
      <c r="C885">
        <f>XLOOKUP(B885,Merchants!$A$4:$A$1000,Merchants!$B$4:$B$1000,"Not found")</f>
        <v/>
      </c>
      <c r="D885">
        <f>XLOOKUP(A885,tblInvoices[invoice_id],tblInvoices[due_date])</f>
        <v/>
      </c>
      <c r="E885">
        <f>XLOOKUP(A885,tblInvoices[invoice_id],tblInvoices[total_invoice_amount])</f>
        <v/>
      </c>
      <c r="F885">
        <f>SUMIFS(tblPayments[payment_amount],tblPayments[invoice_id],A885,tblPayments[payment_status],"Success")</f>
        <v/>
      </c>
      <c r="G885">
        <f>MAX(0,E885-F885)</f>
        <v/>
      </c>
      <c r="H885">
        <f>DATE(2026,8,13)-D885</f>
        <v/>
      </c>
      <c r="I885">
        <f>IFS(G885=0,"Excluded (paid)",H885&lt;=0,"Current",H885&lt;=30,"1-30 days",H885&lt;=60,"31-60 days",H885&lt;=90,"61-90 days",TRUE,"90+ days")</f>
        <v/>
      </c>
    </row>
    <row r="886">
      <c r="A886" t="inlineStr">
        <is>
          <t>INV0019127</t>
        </is>
      </c>
      <c r="B886" t="inlineStr">
        <is>
          <t>MER00902</t>
        </is>
      </c>
      <c r="C886">
        <f>XLOOKUP(B886,Merchants!$A$4:$A$1000,Merchants!$B$4:$B$1000,"Not found")</f>
        <v/>
      </c>
      <c r="D886">
        <f>XLOOKUP(A886,tblInvoices[invoice_id],tblInvoices[due_date])</f>
        <v/>
      </c>
      <c r="E886">
        <f>XLOOKUP(A886,tblInvoices[invoice_id],tblInvoices[total_invoice_amount])</f>
        <v/>
      </c>
      <c r="F886">
        <f>SUMIFS(tblPayments[payment_amount],tblPayments[invoice_id],A886,tblPayments[payment_status],"Success")</f>
        <v/>
      </c>
      <c r="G886">
        <f>MAX(0,E886-F886)</f>
        <v/>
      </c>
      <c r="H886">
        <f>DATE(2026,8,13)-D886</f>
        <v/>
      </c>
      <c r="I886">
        <f>IFS(G886=0,"Excluded (paid)",H886&lt;=0,"Current",H886&lt;=30,"1-30 days",H886&lt;=60,"31-60 days",H886&lt;=90,"61-90 days",TRUE,"90+ days")</f>
        <v/>
      </c>
    </row>
    <row r="887">
      <c r="A887" t="inlineStr">
        <is>
          <t>INV0019128</t>
        </is>
      </c>
      <c r="B887" t="inlineStr">
        <is>
          <t>MER00902</t>
        </is>
      </c>
      <c r="C887">
        <f>XLOOKUP(B887,Merchants!$A$4:$A$1000,Merchants!$B$4:$B$1000,"Not found")</f>
        <v/>
      </c>
      <c r="D887">
        <f>XLOOKUP(A887,tblInvoices[invoice_id],tblInvoices[due_date])</f>
        <v/>
      </c>
      <c r="E887">
        <f>XLOOKUP(A887,tblInvoices[invoice_id],tblInvoices[total_invoice_amount])</f>
        <v/>
      </c>
      <c r="F887">
        <f>SUMIFS(tblPayments[payment_amount],tblPayments[invoice_id],A887,tblPayments[payment_status],"Success")</f>
        <v/>
      </c>
      <c r="G887">
        <f>MAX(0,E887-F887)</f>
        <v/>
      </c>
      <c r="H887">
        <f>DATE(2026,8,13)-D887</f>
        <v/>
      </c>
      <c r="I887">
        <f>IFS(G887=0,"Excluded (paid)",H887&lt;=0,"Current",H887&lt;=30,"1-30 days",H887&lt;=60,"31-60 days",H887&lt;=90,"61-90 days",TRUE,"90+ days")</f>
        <v/>
      </c>
    </row>
    <row r="888">
      <c r="A888" t="inlineStr">
        <is>
          <t>INV0019129</t>
        </is>
      </c>
      <c r="B888" t="inlineStr">
        <is>
          <t>MER00902</t>
        </is>
      </c>
      <c r="C888">
        <f>XLOOKUP(B888,Merchants!$A$4:$A$1000,Merchants!$B$4:$B$1000,"Not found")</f>
        <v/>
      </c>
      <c r="D888">
        <f>XLOOKUP(A888,tblInvoices[invoice_id],tblInvoices[due_date])</f>
        <v/>
      </c>
      <c r="E888">
        <f>XLOOKUP(A888,tblInvoices[invoice_id],tblInvoices[total_invoice_amount])</f>
        <v/>
      </c>
      <c r="F888">
        <f>SUMIFS(tblPayments[payment_amount],tblPayments[invoice_id],A888,tblPayments[payment_status],"Success")</f>
        <v/>
      </c>
      <c r="G888">
        <f>MAX(0,E888-F888)</f>
        <v/>
      </c>
      <c r="H888">
        <f>DATE(2026,8,13)-D888</f>
        <v/>
      </c>
      <c r="I888">
        <f>IFS(G888=0,"Excluded (paid)",H888&lt;=0,"Current",H888&lt;=30,"1-30 days",H888&lt;=60,"31-60 days",H888&lt;=90,"61-90 days",TRUE,"90+ days")</f>
        <v/>
      </c>
    </row>
    <row r="889">
      <c r="A889" t="inlineStr">
        <is>
          <t>INV0019130</t>
        </is>
      </c>
      <c r="B889" t="inlineStr">
        <is>
          <t>MER00902</t>
        </is>
      </c>
      <c r="C889">
        <f>XLOOKUP(B889,Merchants!$A$4:$A$1000,Merchants!$B$4:$B$1000,"Not found")</f>
        <v/>
      </c>
      <c r="D889">
        <f>XLOOKUP(A889,tblInvoices[invoice_id],tblInvoices[due_date])</f>
        <v/>
      </c>
      <c r="E889">
        <f>XLOOKUP(A889,tblInvoices[invoice_id],tblInvoices[total_invoice_amount])</f>
        <v/>
      </c>
      <c r="F889">
        <f>SUMIFS(tblPayments[payment_amount],tblPayments[invoice_id],A889,tblPayments[payment_status],"Success")</f>
        <v/>
      </c>
      <c r="G889">
        <f>MAX(0,E889-F889)</f>
        <v/>
      </c>
      <c r="H889">
        <f>DATE(2026,8,13)-D889</f>
        <v/>
      </c>
      <c r="I889">
        <f>IFS(G889=0,"Excluded (paid)",H889&lt;=0,"Current",H889&lt;=30,"1-30 days",H889&lt;=60,"31-60 days",H889&lt;=90,"61-90 days",TRUE,"90+ days")</f>
        <v/>
      </c>
    </row>
    <row r="890">
      <c r="A890" t="inlineStr">
        <is>
          <t>INV0019131</t>
        </is>
      </c>
      <c r="B890" t="inlineStr">
        <is>
          <t>MER00902</t>
        </is>
      </c>
      <c r="C890">
        <f>XLOOKUP(B890,Merchants!$A$4:$A$1000,Merchants!$B$4:$B$1000,"Not found")</f>
        <v/>
      </c>
      <c r="D890">
        <f>XLOOKUP(A890,tblInvoices[invoice_id],tblInvoices[due_date])</f>
        <v/>
      </c>
      <c r="E890">
        <f>XLOOKUP(A890,tblInvoices[invoice_id],tblInvoices[total_invoice_amount])</f>
        <v/>
      </c>
      <c r="F890">
        <f>SUMIFS(tblPayments[payment_amount],tblPayments[invoice_id],A890,tblPayments[payment_status],"Success")</f>
        <v/>
      </c>
      <c r="G890">
        <f>MAX(0,E890-F890)</f>
        <v/>
      </c>
      <c r="H890">
        <f>DATE(2026,8,13)-D890</f>
        <v/>
      </c>
      <c r="I890">
        <f>IFS(G890=0,"Excluded (paid)",H890&lt;=0,"Current",H890&lt;=30,"1-30 days",H890&lt;=60,"31-60 days",H890&lt;=90,"61-90 days",TRUE,"90+ days")</f>
        <v/>
      </c>
    </row>
    <row r="891">
      <c r="A891" t="inlineStr">
        <is>
          <t>INV0019132</t>
        </is>
      </c>
      <c r="B891" t="inlineStr">
        <is>
          <t>MER00902</t>
        </is>
      </c>
      <c r="C891">
        <f>XLOOKUP(B891,Merchants!$A$4:$A$1000,Merchants!$B$4:$B$1000,"Not found")</f>
        <v/>
      </c>
      <c r="D891">
        <f>XLOOKUP(A891,tblInvoices[invoice_id],tblInvoices[due_date])</f>
        <v/>
      </c>
      <c r="E891">
        <f>XLOOKUP(A891,tblInvoices[invoice_id],tblInvoices[total_invoice_amount])</f>
        <v/>
      </c>
      <c r="F891">
        <f>SUMIFS(tblPayments[payment_amount],tblPayments[invoice_id],A891,tblPayments[payment_status],"Success")</f>
        <v/>
      </c>
      <c r="G891">
        <f>MAX(0,E891-F891)</f>
        <v/>
      </c>
      <c r="H891">
        <f>DATE(2026,8,13)-D891</f>
        <v/>
      </c>
      <c r="I891">
        <f>IFS(G891=0,"Excluded (paid)",H891&lt;=0,"Current",H891&lt;=30,"1-30 days",H891&lt;=60,"31-60 days",H891&lt;=90,"61-90 days",TRUE,"90+ days")</f>
        <v/>
      </c>
    </row>
    <row r="892">
      <c r="A892" t="inlineStr">
        <is>
          <t>INV0019133</t>
        </is>
      </c>
      <c r="B892" t="inlineStr">
        <is>
          <t>MER00902</t>
        </is>
      </c>
      <c r="C892">
        <f>XLOOKUP(B892,Merchants!$A$4:$A$1000,Merchants!$B$4:$B$1000,"Not found")</f>
        <v/>
      </c>
      <c r="D892">
        <f>XLOOKUP(A892,tblInvoices[invoice_id],tblInvoices[due_date])</f>
        <v/>
      </c>
      <c r="E892">
        <f>XLOOKUP(A892,tblInvoices[invoice_id],tblInvoices[total_invoice_amount])</f>
        <v/>
      </c>
      <c r="F892">
        <f>SUMIFS(tblPayments[payment_amount],tblPayments[invoice_id],A892,tblPayments[payment_status],"Success")</f>
        <v/>
      </c>
      <c r="G892">
        <f>MAX(0,E892-F892)</f>
        <v/>
      </c>
      <c r="H892">
        <f>DATE(2026,8,13)-D892</f>
        <v/>
      </c>
      <c r="I892">
        <f>IFS(G892=0,"Excluded (paid)",H892&lt;=0,"Current",H892&lt;=30,"1-30 days",H892&lt;=60,"31-60 days",H892&lt;=90,"61-90 days",TRUE,"90+ days")</f>
        <v/>
      </c>
    </row>
    <row r="893">
      <c r="A893" t="inlineStr">
        <is>
          <t>INV0019134</t>
        </is>
      </c>
      <c r="B893" t="inlineStr">
        <is>
          <t>MER00902</t>
        </is>
      </c>
      <c r="C893">
        <f>XLOOKUP(B893,Merchants!$A$4:$A$1000,Merchants!$B$4:$B$1000,"Not found")</f>
        <v/>
      </c>
      <c r="D893">
        <f>XLOOKUP(A893,tblInvoices[invoice_id],tblInvoices[due_date])</f>
        <v/>
      </c>
      <c r="E893">
        <f>XLOOKUP(A893,tblInvoices[invoice_id],tblInvoices[total_invoice_amount])</f>
        <v/>
      </c>
      <c r="F893">
        <f>SUMIFS(tblPayments[payment_amount],tblPayments[invoice_id],A893,tblPayments[payment_status],"Success")</f>
        <v/>
      </c>
      <c r="G893">
        <f>MAX(0,E893-F893)</f>
        <v/>
      </c>
      <c r="H893">
        <f>DATE(2026,8,13)-D893</f>
        <v/>
      </c>
      <c r="I893">
        <f>IFS(G893=0,"Excluded (paid)",H893&lt;=0,"Current",H893&lt;=30,"1-30 days",H893&lt;=60,"31-60 days",H893&lt;=90,"61-90 days",TRUE,"90+ days")</f>
        <v/>
      </c>
    </row>
    <row r="894">
      <c r="A894" t="inlineStr">
        <is>
          <t>INV0019135</t>
        </is>
      </c>
      <c r="B894" t="inlineStr">
        <is>
          <t>MER00902</t>
        </is>
      </c>
      <c r="C894">
        <f>XLOOKUP(B894,Merchants!$A$4:$A$1000,Merchants!$B$4:$B$1000,"Not found")</f>
        <v/>
      </c>
      <c r="D894">
        <f>XLOOKUP(A894,tblInvoices[invoice_id],tblInvoices[due_date])</f>
        <v/>
      </c>
      <c r="E894">
        <f>XLOOKUP(A894,tblInvoices[invoice_id],tblInvoices[total_invoice_amount])</f>
        <v/>
      </c>
      <c r="F894">
        <f>SUMIFS(tblPayments[payment_amount],tblPayments[invoice_id],A894,tblPayments[payment_status],"Success")</f>
        <v/>
      </c>
      <c r="G894">
        <f>MAX(0,E894-F894)</f>
        <v/>
      </c>
      <c r="H894">
        <f>DATE(2026,8,13)-D894</f>
        <v/>
      </c>
      <c r="I894">
        <f>IFS(G894=0,"Excluded (paid)",H894&lt;=0,"Current",H894&lt;=30,"1-30 days",H894&lt;=60,"31-60 days",H894&lt;=90,"61-90 days",TRUE,"90+ days")</f>
        <v/>
      </c>
    </row>
    <row r="895">
      <c r="A895" t="inlineStr">
        <is>
          <t>INV0019136</t>
        </is>
      </c>
      <c r="B895" t="inlineStr">
        <is>
          <t>MER00902</t>
        </is>
      </c>
      <c r="C895">
        <f>XLOOKUP(B895,Merchants!$A$4:$A$1000,Merchants!$B$4:$B$1000,"Not found")</f>
        <v/>
      </c>
      <c r="D895">
        <f>XLOOKUP(A895,tblInvoices[invoice_id],tblInvoices[due_date])</f>
        <v/>
      </c>
      <c r="E895">
        <f>XLOOKUP(A895,tblInvoices[invoice_id],tblInvoices[total_invoice_amount])</f>
        <v/>
      </c>
      <c r="F895">
        <f>SUMIFS(tblPayments[payment_amount],tblPayments[invoice_id],A895,tblPayments[payment_status],"Success")</f>
        <v/>
      </c>
      <c r="G895">
        <f>MAX(0,E895-F895)</f>
        <v/>
      </c>
      <c r="H895">
        <f>DATE(2026,8,13)-D895</f>
        <v/>
      </c>
      <c r="I895">
        <f>IFS(G895=0,"Excluded (paid)",H895&lt;=0,"Current",H895&lt;=30,"1-30 days",H895&lt;=60,"31-60 days",H895&lt;=90,"61-90 days",TRUE,"90+ days")</f>
        <v/>
      </c>
    </row>
    <row r="896">
      <c r="A896" t="inlineStr">
        <is>
          <t>INV0019137</t>
        </is>
      </c>
      <c r="B896" t="inlineStr">
        <is>
          <t>MER00902</t>
        </is>
      </c>
      <c r="C896">
        <f>XLOOKUP(B896,Merchants!$A$4:$A$1000,Merchants!$B$4:$B$1000,"Not found")</f>
        <v/>
      </c>
      <c r="D896">
        <f>XLOOKUP(A896,tblInvoices[invoice_id],tblInvoices[due_date])</f>
        <v/>
      </c>
      <c r="E896">
        <f>XLOOKUP(A896,tblInvoices[invoice_id],tblInvoices[total_invoice_amount])</f>
        <v/>
      </c>
      <c r="F896">
        <f>SUMIFS(tblPayments[payment_amount],tblPayments[invoice_id],A896,tblPayments[payment_status],"Success")</f>
        <v/>
      </c>
      <c r="G896">
        <f>MAX(0,E896-F896)</f>
        <v/>
      </c>
      <c r="H896">
        <f>DATE(2026,8,13)-D896</f>
        <v/>
      </c>
      <c r="I896">
        <f>IFS(G896=0,"Excluded (paid)",H896&lt;=0,"Current",H896&lt;=30,"1-30 days",H896&lt;=60,"31-60 days",H896&lt;=90,"61-90 days",TRUE,"90+ days")</f>
        <v/>
      </c>
    </row>
    <row r="897">
      <c r="A897" t="inlineStr">
        <is>
          <t>INV0019138</t>
        </is>
      </c>
      <c r="B897" t="inlineStr">
        <is>
          <t>MER00902</t>
        </is>
      </c>
      <c r="C897">
        <f>XLOOKUP(B897,Merchants!$A$4:$A$1000,Merchants!$B$4:$B$1000,"Not found")</f>
        <v/>
      </c>
      <c r="D897">
        <f>XLOOKUP(A897,tblInvoices[invoice_id],tblInvoices[due_date])</f>
        <v/>
      </c>
      <c r="E897">
        <f>XLOOKUP(A897,tblInvoices[invoice_id],tblInvoices[total_invoice_amount])</f>
        <v/>
      </c>
      <c r="F897">
        <f>SUMIFS(tblPayments[payment_amount],tblPayments[invoice_id],A897,tblPayments[payment_status],"Success")</f>
        <v/>
      </c>
      <c r="G897">
        <f>MAX(0,E897-F897)</f>
        <v/>
      </c>
      <c r="H897">
        <f>DATE(2026,8,13)-D897</f>
        <v/>
      </c>
      <c r="I897">
        <f>IFS(G897=0,"Excluded (paid)",H897&lt;=0,"Current",H897&lt;=30,"1-30 days",H897&lt;=60,"31-60 days",H897&lt;=90,"61-90 days",TRUE,"90+ days")</f>
        <v/>
      </c>
    </row>
    <row r="898">
      <c r="A898" t="inlineStr">
        <is>
          <t>INV0019139</t>
        </is>
      </c>
      <c r="B898" t="inlineStr">
        <is>
          <t>MER00902</t>
        </is>
      </c>
      <c r="C898">
        <f>XLOOKUP(B898,Merchants!$A$4:$A$1000,Merchants!$B$4:$B$1000,"Not found")</f>
        <v/>
      </c>
      <c r="D898">
        <f>XLOOKUP(A898,tblInvoices[invoice_id],tblInvoices[due_date])</f>
        <v/>
      </c>
      <c r="E898">
        <f>XLOOKUP(A898,tblInvoices[invoice_id],tblInvoices[total_invoice_amount])</f>
        <v/>
      </c>
      <c r="F898">
        <f>SUMIFS(tblPayments[payment_amount],tblPayments[invoice_id],A898,tblPayments[payment_status],"Success")</f>
        <v/>
      </c>
      <c r="G898">
        <f>MAX(0,E898-F898)</f>
        <v/>
      </c>
      <c r="H898">
        <f>DATE(2026,8,13)-D898</f>
        <v/>
      </c>
      <c r="I898">
        <f>IFS(G898=0,"Excluded (paid)",H898&lt;=0,"Current",H898&lt;=30,"1-30 days",H898&lt;=60,"31-60 days",H898&lt;=90,"61-90 days",TRUE,"90+ days")</f>
        <v/>
      </c>
    </row>
    <row r="899">
      <c r="A899" t="inlineStr">
        <is>
          <t>INV0019140</t>
        </is>
      </c>
      <c r="B899" t="inlineStr">
        <is>
          <t>MER00902</t>
        </is>
      </c>
      <c r="C899">
        <f>XLOOKUP(B899,Merchants!$A$4:$A$1000,Merchants!$B$4:$B$1000,"Not found")</f>
        <v/>
      </c>
      <c r="D899">
        <f>XLOOKUP(A899,tblInvoices[invoice_id],tblInvoices[due_date])</f>
        <v/>
      </c>
      <c r="E899">
        <f>XLOOKUP(A899,tblInvoices[invoice_id],tblInvoices[total_invoice_amount])</f>
        <v/>
      </c>
      <c r="F899">
        <f>SUMIFS(tblPayments[payment_amount],tblPayments[invoice_id],A899,tblPayments[payment_status],"Success")</f>
        <v/>
      </c>
      <c r="G899">
        <f>MAX(0,E899-F899)</f>
        <v/>
      </c>
      <c r="H899">
        <f>DATE(2026,8,13)-D899</f>
        <v/>
      </c>
      <c r="I899">
        <f>IFS(G899=0,"Excluded (paid)",H899&lt;=0,"Current",H899&lt;=30,"1-30 days",H899&lt;=60,"31-60 days",H899&lt;=90,"61-90 days",TRUE,"90+ days")</f>
        <v/>
      </c>
    </row>
    <row r="902">
      <c r="A902" s="6" t="inlineStr">
        <is>
          <t>Aging Summary</t>
        </is>
      </c>
    </row>
    <row r="903">
      <c r="A903" t="inlineStr">
        <is>
          <t>Bucket</t>
        </is>
      </c>
      <c r="B903" t="inlineStr">
        <is>
          <t>Invoice Count</t>
        </is>
      </c>
      <c r="C903" t="inlineStr">
        <is>
          <t>Total Outstanding</t>
        </is>
      </c>
    </row>
    <row r="904">
      <c r="A904" t="inlineStr">
        <is>
          <t>Current</t>
        </is>
      </c>
      <c r="B904">
        <f>COUNTIFS(I5:I899,A904)</f>
        <v/>
      </c>
      <c r="C904">
        <f>SUMIFS(G5:G899,I5:I899,A904)</f>
        <v/>
      </c>
    </row>
    <row r="905">
      <c r="A905" t="inlineStr">
        <is>
          <t>1-30 days</t>
        </is>
      </c>
      <c r="B905">
        <f>COUNTIFS(I5:I899,A905)</f>
        <v/>
      </c>
      <c r="C905">
        <f>SUMIFS(G5:G899,I5:I899,A905)</f>
        <v/>
      </c>
    </row>
    <row r="906">
      <c r="A906" t="inlineStr">
        <is>
          <t>31-60 days</t>
        </is>
      </c>
      <c r="B906">
        <f>COUNTIFS(I5:I899,A906)</f>
        <v/>
      </c>
      <c r="C906">
        <f>SUMIFS(G5:G899,I5:I899,A906)</f>
        <v/>
      </c>
    </row>
    <row r="907">
      <c r="A907" t="inlineStr">
        <is>
          <t>61-90 days</t>
        </is>
      </c>
      <c r="B907">
        <f>COUNTIFS(I5:I899,A907)</f>
        <v/>
      </c>
      <c r="C907">
        <f>SUMIFS(G5:G899,I5:I899,A907)</f>
        <v/>
      </c>
    </row>
    <row r="908">
      <c r="A908" t="inlineStr">
        <is>
          <t>90+ days</t>
        </is>
      </c>
      <c r="B908">
        <f>COUNTIFS(I5:I899,A908)</f>
        <v/>
      </c>
      <c r="C908">
        <f>SUMIFS(G5:G899,I5:I899,A908)</f>
        <v/>
      </c>
    </row>
  </sheetData>
  <conditionalFormatting sqref="G5:G899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6" customWidth="1" min="8" max="8"/>
    <col width="12" customWidth="1" min="9" max="9"/>
    <col width="11" customWidth="1" min="10" max="10"/>
    <col width="28" customWidth="1" min="11" max="11"/>
  </cols>
  <sheetData>
    <row r="1">
      <c r="A1" s="6" t="inlineStr">
        <is>
          <t>Collection Activity - with outcome-effectiveness SUMIFS/COUNTIFS summary</t>
        </is>
      </c>
    </row>
    <row r="3">
      <c r="A3" s="7" t="inlineStr">
        <is>
          <t>collection_id</t>
        </is>
      </c>
      <c r="B3" s="7" t="inlineStr">
        <is>
          <t>merchant_id</t>
        </is>
      </c>
      <c r="C3" s="7" t="inlineStr">
        <is>
          <t>invoice_id</t>
        </is>
      </c>
      <c r="D3" s="7" t="inlineStr">
        <is>
          <t>activity_date</t>
        </is>
      </c>
      <c r="E3" s="7" t="inlineStr">
        <is>
          <t>activity_type</t>
        </is>
      </c>
      <c r="F3" s="7" t="inlineStr">
        <is>
          <t>contact_channel</t>
        </is>
      </c>
      <c r="G3" s="7" t="inlineStr">
        <is>
          <t>collector</t>
        </is>
      </c>
      <c r="H3" s="7" t="inlineStr">
        <is>
          <t>outcome</t>
        </is>
      </c>
      <c r="I3" s="7" t="inlineStr">
        <is>
          <t>promised_payment_date</t>
        </is>
      </c>
      <c r="J3" s="7" t="inlineStr">
        <is>
          <t>promised_amount</t>
        </is>
      </c>
      <c r="K3" s="7" t="inlineStr">
        <is>
          <t>notes</t>
        </is>
      </c>
    </row>
    <row r="4">
      <c r="A4" t="inlineStr">
        <is>
          <t>COL0000558</t>
        </is>
      </c>
      <c r="B4" t="inlineStr">
        <is>
          <t>MER00055</t>
        </is>
      </c>
      <c r="C4" t="inlineStr">
        <is>
          <t>INV0001101</t>
        </is>
      </c>
      <c r="D4" s="8" t="n">
        <v>45570</v>
      </c>
      <c r="E4" t="inlineStr">
        <is>
          <t>Reminder</t>
        </is>
      </c>
      <c r="F4" t="inlineStr">
        <is>
          <t>Email</t>
        </is>
      </c>
      <c r="G4" t="inlineStr">
        <is>
          <t>Nandini Rajan</t>
        </is>
      </c>
      <c r="H4" t="inlineStr">
        <is>
          <t>No Response</t>
        </is>
      </c>
      <c r="I4" s="8" t="n"/>
      <c r="J4" t="n">
        <v/>
      </c>
      <c r="K4" t="inlineStr">
        <is>
          <t>Automated reminder sent for invoice INV0001101 due 2024-10-02.</t>
        </is>
      </c>
    </row>
    <row r="5">
      <c r="A5" t="inlineStr">
        <is>
          <t>COL0000559</t>
        </is>
      </c>
      <c r="B5" t="inlineStr">
        <is>
          <t>MER00055</t>
        </is>
      </c>
      <c r="C5" t="inlineStr">
        <is>
          <t>INV0001101</t>
        </is>
      </c>
      <c r="D5" s="8" t="n">
        <v>45583</v>
      </c>
      <c r="E5" t="inlineStr">
        <is>
          <t>Email</t>
        </is>
      </c>
      <c r="F5" t="inlineStr">
        <is>
          <t>Email</t>
        </is>
      </c>
      <c r="G5" t="inlineStr">
        <is>
          <t>Vivek Nair</t>
        </is>
      </c>
      <c r="H5" t="inlineStr">
        <is>
          <t>No Response</t>
        </is>
      </c>
      <c r="I5" s="8" t="n"/>
      <c r="J5" t="n">
        <v/>
      </c>
      <c r="K5" t="inlineStr">
        <is>
          <t>Followed up via email regarding outstanding invoice INV0001101.</t>
        </is>
      </c>
    </row>
    <row r="6">
      <c r="A6" t="inlineStr">
        <is>
          <t>COL0000560</t>
        </is>
      </c>
      <c r="B6" t="inlineStr">
        <is>
          <t>MER00055</t>
        </is>
      </c>
      <c r="C6" t="inlineStr">
        <is>
          <t>INV0001101</t>
        </is>
      </c>
      <c r="D6" s="8" t="n">
        <v>45589</v>
      </c>
      <c r="E6" t="inlineStr">
        <is>
          <t>Phone</t>
        </is>
      </c>
      <c r="F6" t="inlineStr">
        <is>
          <t>Phone</t>
        </is>
      </c>
      <c r="G6" t="inlineStr">
        <is>
          <t>Amit Saxena</t>
        </is>
      </c>
      <c r="H6" t="inlineStr">
        <is>
          <t>No Response</t>
        </is>
      </c>
      <c r="I6" s="8" t="n"/>
      <c r="J6" t="n">
        <v/>
      </c>
      <c r="K6" t="inlineStr">
        <is>
          <t>Called merchant to discuss overdue invoice INV0001101.</t>
        </is>
      </c>
    </row>
    <row r="7">
      <c r="A7" t="inlineStr">
        <is>
          <t>COL0000561</t>
        </is>
      </c>
      <c r="B7" t="inlineStr">
        <is>
          <t>MER00055</t>
        </is>
      </c>
      <c r="C7" t="inlineStr">
        <is>
          <t>INV0001101</t>
        </is>
      </c>
      <c r="D7" s="8" t="n">
        <v>45599</v>
      </c>
      <c r="E7" t="inlineStr">
        <is>
          <t>Escalation</t>
        </is>
      </c>
      <c r="F7" t="inlineStr">
        <is>
          <t>Phone</t>
        </is>
      </c>
      <c r="G7" t="inlineStr">
        <is>
          <t>Ritu Bansal</t>
        </is>
      </c>
      <c r="H7" t="inlineStr">
        <is>
          <t>Escalated</t>
        </is>
      </c>
      <c r="I7" s="8" t="n"/>
      <c r="J7" t="n">
        <v/>
      </c>
      <c r="K7" t="inlineStr">
        <is>
          <t>Escalated invoice INV0001101 to account manager for non-payment.</t>
        </is>
      </c>
    </row>
    <row r="8">
      <c r="A8" t="inlineStr">
        <is>
          <t>COL0000562</t>
        </is>
      </c>
      <c r="B8" t="inlineStr">
        <is>
          <t>MER00055</t>
        </is>
      </c>
      <c r="C8" t="inlineStr">
        <is>
          <t>INV0001102</t>
        </is>
      </c>
      <c r="D8" s="8" t="n">
        <v>45603</v>
      </c>
      <c r="E8" t="inlineStr">
        <is>
          <t>Reminder</t>
        </is>
      </c>
      <c r="F8" t="inlineStr">
        <is>
          <t>Email</t>
        </is>
      </c>
      <c r="G8" t="inlineStr">
        <is>
          <t>Farhan Sheikh</t>
        </is>
      </c>
      <c r="H8" t="inlineStr">
        <is>
          <t>No Response</t>
        </is>
      </c>
      <c r="I8" s="8" t="n"/>
      <c r="J8" t="n">
        <v/>
      </c>
      <c r="K8" t="inlineStr">
        <is>
          <t>Automated reminder sent for invoice INV0001102 due 2024-11-01.</t>
        </is>
      </c>
    </row>
    <row r="9">
      <c r="A9" t="inlineStr">
        <is>
          <t>COL0000563</t>
        </is>
      </c>
      <c r="B9" t="inlineStr">
        <is>
          <t>MER00055</t>
        </is>
      </c>
      <c r="C9" t="inlineStr">
        <is>
          <t>INV0001102</t>
        </is>
      </c>
      <c r="D9" s="8" t="n">
        <v>45616</v>
      </c>
      <c r="E9" t="inlineStr">
        <is>
          <t>Email</t>
        </is>
      </c>
      <c r="F9" t="inlineStr">
        <is>
          <t>Email</t>
        </is>
      </c>
      <c r="G9" t="inlineStr">
        <is>
          <t>Shweta Gupta</t>
        </is>
      </c>
      <c r="H9" t="inlineStr">
        <is>
          <t>No Response</t>
        </is>
      </c>
      <c r="I9" s="8" t="n"/>
      <c r="J9" t="n">
        <v/>
      </c>
      <c r="K9" t="inlineStr">
        <is>
          <t>Followed up via email regarding outstanding invoice INV0001102.</t>
        </is>
      </c>
    </row>
    <row r="10">
      <c r="A10" t="inlineStr">
        <is>
          <t>COL0000564</t>
        </is>
      </c>
      <c r="B10" t="inlineStr">
        <is>
          <t>MER00055</t>
        </is>
      </c>
      <c r="C10" t="inlineStr">
        <is>
          <t>INV0001102</t>
        </is>
      </c>
      <c r="D10" s="8" t="n">
        <v>45628</v>
      </c>
      <c r="E10" t="inlineStr">
        <is>
          <t>Phone</t>
        </is>
      </c>
      <c r="F10" t="inlineStr">
        <is>
          <t>Phone</t>
        </is>
      </c>
      <c r="G10" t="inlineStr">
        <is>
          <t>Shweta Gupta</t>
        </is>
      </c>
      <c r="H10" t="inlineStr">
        <is>
          <t>No Response</t>
        </is>
      </c>
      <c r="I10" s="8" t="n"/>
      <c r="J10" t="n">
        <v/>
      </c>
      <c r="K10" t="inlineStr">
        <is>
          <t>Called merchant to discuss overdue invoice INV0001102.</t>
        </is>
      </c>
    </row>
    <row r="11">
      <c r="A11" t="inlineStr">
        <is>
          <t>COL0000565</t>
        </is>
      </c>
      <c r="B11" t="inlineStr">
        <is>
          <t>MER00055</t>
        </is>
      </c>
      <c r="C11" t="inlineStr">
        <is>
          <t>INV0001102</t>
        </is>
      </c>
      <c r="D11" s="8" t="n">
        <v>45634</v>
      </c>
      <c r="E11" t="inlineStr">
        <is>
          <t>Escalation</t>
        </is>
      </c>
      <c r="F11" t="inlineStr">
        <is>
          <t>Phone</t>
        </is>
      </c>
      <c r="G11" t="inlineStr">
        <is>
          <t>Ritu Bansal</t>
        </is>
      </c>
      <c r="H11" t="inlineStr">
        <is>
          <t>Escalated</t>
        </is>
      </c>
      <c r="I11" s="8" t="n"/>
      <c r="J11" t="n">
        <v/>
      </c>
      <c r="K11" t="inlineStr">
        <is>
          <t>Escalated invoice INV0001102 to account manager for non-payment.</t>
        </is>
      </c>
    </row>
    <row r="12">
      <c r="A12" t="inlineStr">
        <is>
          <t>COL0000566</t>
        </is>
      </c>
      <c r="B12" t="inlineStr">
        <is>
          <t>MER00055</t>
        </is>
      </c>
      <c r="C12" t="inlineStr">
        <is>
          <t>INV0001102</t>
        </is>
      </c>
      <c r="D12" s="8" t="n">
        <v>45642</v>
      </c>
      <c r="E12" t="inlineStr">
        <is>
          <t>Payment Promise</t>
        </is>
      </c>
      <c r="F12" t="inlineStr">
        <is>
          <t>WhatsApp</t>
        </is>
      </c>
      <c r="G12" t="inlineStr">
        <is>
          <t>Ritu Bansal</t>
        </is>
      </c>
      <c r="H12" t="inlineStr">
        <is>
          <t>No Response</t>
        </is>
      </c>
      <c r="I12" s="8" t="n">
        <v>45651</v>
      </c>
      <c r="J12" t="n">
        <v>614.61</v>
      </c>
      <c r="K12" t="inlineStr">
        <is>
          <t>Merchant committed to paying invoice INV0001102 by 2024-12-25.</t>
        </is>
      </c>
    </row>
    <row r="13">
      <c r="A13" t="inlineStr">
        <is>
          <t>COL0000567</t>
        </is>
      </c>
      <c r="B13" t="inlineStr">
        <is>
          <t>MER00055</t>
        </is>
      </c>
      <c r="C13" t="inlineStr">
        <is>
          <t>INV0001103</t>
        </is>
      </c>
      <c r="D13" s="8" t="n">
        <v>45637</v>
      </c>
      <c r="E13" t="inlineStr">
        <is>
          <t>Reminder</t>
        </is>
      </c>
      <c r="F13" t="inlineStr">
        <is>
          <t>Email</t>
        </is>
      </c>
      <c r="G13" t="inlineStr">
        <is>
          <t>Farhan Sheikh</t>
        </is>
      </c>
      <c r="H13" t="inlineStr">
        <is>
          <t>No Response</t>
        </is>
      </c>
      <c r="I13" s="8" t="n"/>
      <c r="J13" t="n">
        <v/>
      </c>
      <c r="K13" t="inlineStr">
        <is>
          <t>Automated reminder sent for invoice INV0001103 due 2024-12-02.</t>
        </is>
      </c>
    </row>
    <row r="14">
      <c r="A14" t="inlineStr">
        <is>
          <t>COL0000568</t>
        </is>
      </c>
      <c r="B14" t="inlineStr">
        <is>
          <t>MER00055</t>
        </is>
      </c>
      <c r="C14" t="inlineStr">
        <is>
          <t>INV0001103</t>
        </is>
      </c>
      <c r="D14" s="8" t="n">
        <v>45649</v>
      </c>
      <c r="E14" t="inlineStr">
        <is>
          <t>Email</t>
        </is>
      </c>
      <c r="F14" t="inlineStr">
        <is>
          <t>Email</t>
        </is>
      </c>
      <c r="G14" t="inlineStr">
        <is>
          <t>Amit Saxena</t>
        </is>
      </c>
      <c r="H14" t="inlineStr">
        <is>
          <t>Promise to Pay</t>
        </is>
      </c>
      <c r="I14" s="8" t="n">
        <v>45657</v>
      </c>
      <c r="J14" t="n">
        <v>718.84</v>
      </c>
      <c r="K14" t="inlineStr">
        <is>
          <t>Followed up via email regarding outstanding invoice INV0001103.</t>
        </is>
      </c>
    </row>
    <row r="15">
      <c r="A15" t="inlineStr">
        <is>
          <t>COL0000569</t>
        </is>
      </c>
      <c r="B15" t="inlineStr">
        <is>
          <t>MER00055</t>
        </is>
      </c>
      <c r="C15" t="inlineStr">
        <is>
          <t>INV0001103</t>
        </is>
      </c>
      <c r="D15" s="8" t="n">
        <v>45663</v>
      </c>
      <c r="E15" t="inlineStr">
        <is>
          <t>Phone</t>
        </is>
      </c>
      <c r="F15" t="inlineStr">
        <is>
          <t>Phone</t>
        </is>
      </c>
      <c r="G15" t="inlineStr">
        <is>
          <t>Amit Saxena</t>
        </is>
      </c>
      <c r="H15" t="inlineStr">
        <is>
          <t>Promise to Pay</t>
        </is>
      </c>
      <c r="I15" s="8" t="n">
        <v>45668</v>
      </c>
      <c r="J15" t="n">
        <v>1216.84</v>
      </c>
      <c r="K15" t="inlineStr">
        <is>
          <t>Called merchant to discuss overdue invoice INV0001103.</t>
        </is>
      </c>
    </row>
    <row r="16">
      <c r="A16" t="inlineStr">
        <is>
          <t>COL0000570</t>
        </is>
      </c>
      <c r="B16" t="inlineStr">
        <is>
          <t>MER00055</t>
        </is>
      </c>
      <c r="C16" t="inlineStr">
        <is>
          <t>INV0001103</t>
        </is>
      </c>
      <c r="D16" s="8" t="n">
        <v>45677</v>
      </c>
      <c r="E16" t="inlineStr">
        <is>
          <t>Escalation</t>
        </is>
      </c>
      <c r="F16" t="inlineStr">
        <is>
          <t>Phone</t>
        </is>
      </c>
      <c r="G16" t="inlineStr">
        <is>
          <t>Amit Saxena</t>
        </is>
      </c>
      <c r="H16" t="inlineStr">
        <is>
          <t>No Response</t>
        </is>
      </c>
      <c r="I16" s="8" t="n"/>
      <c r="J16" t="n">
        <v/>
      </c>
      <c r="K16" t="inlineStr">
        <is>
          <t>Escalated invoice INV0001103 to account manager for non-payment.</t>
        </is>
      </c>
    </row>
    <row r="17">
      <c r="A17" t="inlineStr">
        <is>
          <t>COL0000571</t>
        </is>
      </c>
      <c r="B17" t="inlineStr">
        <is>
          <t>MER00055</t>
        </is>
      </c>
      <c r="C17" t="inlineStr">
        <is>
          <t>INV0001103</t>
        </is>
      </c>
      <c r="D17" s="8" t="n">
        <v>45682</v>
      </c>
      <c r="E17" t="inlineStr">
        <is>
          <t>Payment Promise</t>
        </is>
      </c>
      <c r="F17" t="inlineStr">
        <is>
          <t>WhatsApp</t>
        </is>
      </c>
      <c r="G17" t="inlineStr">
        <is>
          <t>Shweta Gupta</t>
        </is>
      </c>
      <c r="H17" t="inlineStr">
        <is>
          <t>Promise to Pay</t>
        </is>
      </c>
      <c r="I17" s="8" t="n">
        <v>45688</v>
      </c>
      <c r="J17" t="n">
        <v>888.13</v>
      </c>
      <c r="K17" t="inlineStr">
        <is>
          <t>Merchant committed to paying invoice INV0001103 by 2025-01-31.</t>
        </is>
      </c>
    </row>
    <row r="18">
      <c r="A18" t="inlineStr">
        <is>
          <t>COL0000572</t>
        </is>
      </c>
      <c r="B18" t="inlineStr">
        <is>
          <t>MER00055</t>
        </is>
      </c>
      <c r="C18" t="inlineStr">
        <is>
          <t>INV0001109</t>
        </is>
      </c>
      <c r="D18" s="8" t="n">
        <v>45846</v>
      </c>
      <c r="E18" t="inlineStr">
        <is>
          <t>Reminder</t>
        </is>
      </c>
      <c r="F18" t="inlineStr">
        <is>
          <t>Email</t>
        </is>
      </c>
      <c r="G18" t="inlineStr">
        <is>
          <t>Sanjay Kumar</t>
        </is>
      </c>
      <c r="H18" t="inlineStr">
        <is>
          <t>No Response</t>
        </is>
      </c>
      <c r="I18" s="8" t="n"/>
      <c r="J18" t="n">
        <v/>
      </c>
      <c r="K18" t="inlineStr">
        <is>
          <t>Automated reminder sent for invoice INV0001109 due 2025-07-02.</t>
        </is>
      </c>
    </row>
    <row r="19">
      <c r="A19" t="inlineStr">
        <is>
          <t>COL0000573</t>
        </is>
      </c>
      <c r="B19" t="inlineStr">
        <is>
          <t>MER00055</t>
        </is>
      </c>
      <c r="C19" t="inlineStr">
        <is>
          <t>INV0001109</t>
        </is>
      </c>
      <c r="D19" s="8" t="n">
        <v>45853</v>
      </c>
      <c r="E19" t="inlineStr">
        <is>
          <t>Email</t>
        </is>
      </c>
      <c r="F19" t="inlineStr">
        <is>
          <t>Email</t>
        </is>
      </c>
      <c r="G19" t="inlineStr">
        <is>
          <t>Manish Tiwari</t>
        </is>
      </c>
      <c r="H19" t="inlineStr">
        <is>
          <t>No Response</t>
        </is>
      </c>
      <c r="I19" s="8" t="n"/>
      <c r="J19" t="n">
        <v/>
      </c>
      <c r="K19" t="inlineStr">
        <is>
          <t>Followed up via email regarding outstanding invoice INV0001109.</t>
        </is>
      </c>
    </row>
    <row r="20">
      <c r="A20" t="inlineStr">
        <is>
          <t>COL0000574</t>
        </is>
      </c>
      <c r="B20" t="inlineStr">
        <is>
          <t>MER00055</t>
        </is>
      </c>
      <c r="C20" t="inlineStr">
        <is>
          <t>INV0001109</t>
        </is>
      </c>
      <c r="D20" s="8" t="n">
        <v>45866</v>
      </c>
      <c r="E20" t="inlineStr">
        <is>
          <t>Phone</t>
        </is>
      </c>
      <c r="F20" t="inlineStr">
        <is>
          <t>Phone</t>
        </is>
      </c>
      <c r="G20" t="inlineStr">
        <is>
          <t>Anjali Desai</t>
        </is>
      </c>
      <c r="H20" t="inlineStr">
        <is>
          <t>No Response</t>
        </is>
      </c>
      <c r="I20" s="8" t="n"/>
      <c r="J20" t="n">
        <v/>
      </c>
      <c r="K20" t="inlineStr">
        <is>
          <t>Called merchant to discuss overdue invoice INV0001109.</t>
        </is>
      </c>
    </row>
    <row r="21">
      <c r="A21" t="inlineStr">
        <is>
          <t>COL0000575</t>
        </is>
      </c>
      <c r="B21" t="inlineStr">
        <is>
          <t>MER00055</t>
        </is>
      </c>
      <c r="C21" t="inlineStr">
        <is>
          <t>INV0001109</t>
        </is>
      </c>
      <c r="D21" s="8" t="n">
        <v>45871</v>
      </c>
      <c r="E21" t="inlineStr">
        <is>
          <t>Escalation</t>
        </is>
      </c>
      <c r="F21" t="inlineStr">
        <is>
          <t>Phone</t>
        </is>
      </c>
      <c r="G21" t="inlineStr">
        <is>
          <t>Farhan Sheikh</t>
        </is>
      </c>
      <c r="H21" t="inlineStr">
        <is>
          <t>No Response</t>
        </is>
      </c>
      <c r="I21" s="8" t="n"/>
      <c r="J21" t="n">
        <v/>
      </c>
      <c r="K21" t="inlineStr">
        <is>
          <t>Escalated invoice INV0001109 to account manager for non-payment.</t>
        </is>
      </c>
    </row>
    <row r="22">
      <c r="A22" t="inlineStr">
        <is>
          <t>COL0000576</t>
        </is>
      </c>
      <c r="B22" t="inlineStr">
        <is>
          <t>MER00055</t>
        </is>
      </c>
      <c r="C22" t="inlineStr">
        <is>
          <t>INV0001110</t>
        </is>
      </c>
      <c r="D22" s="8" t="n">
        <v>45875</v>
      </c>
      <c r="E22" t="inlineStr">
        <is>
          <t>Reminder</t>
        </is>
      </c>
      <c r="F22" t="inlineStr">
        <is>
          <t>Email</t>
        </is>
      </c>
      <c r="G22" t="inlineStr">
        <is>
          <t>Vivek Nair</t>
        </is>
      </c>
      <c r="H22" t="inlineStr">
        <is>
          <t>No Response</t>
        </is>
      </c>
      <c r="I22" s="8" t="n"/>
      <c r="J22" t="n">
        <v/>
      </c>
      <c r="K22" t="inlineStr">
        <is>
          <t>Automated reminder sent for invoice INV0001110 due 2025-08-01.</t>
        </is>
      </c>
    </row>
    <row r="23">
      <c r="A23" t="inlineStr">
        <is>
          <t>COL0000577</t>
        </is>
      </c>
      <c r="B23" t="inlineStr">
        <is>
          <t>MER00055</t>
        </is>
      </c>
      <c r="C23" t="inlineStr">
        <is>
          <t>INV0001110</t>
        </is>
      </c>
      <c r="D23" s="8" t="n">
        <v>45880</v>
      </c>
      <c r="E23" t="inlineStr">
        <is>
          <t>Email</t>
        </is>
      </c>
      <c r="F23" t="inlineStr">
        <is>
          <t>Email</t>
        </is>
      </c>
      <c r="G23" t="inlineStr">
        <is>
          <t>Shweta Gupta</t>
        </is>
      </c>
      <c r="H23" t="inlineStr">
        <is>
          <t>Promise to Pay</t>
        </is>
      </c>
      <c r="I23" s="8" t="n">
        <v>45894</v>
      </c>
      <c r="J23" t="n">
        <v>475.4</v>
      </c>
      <c r="K23" t="inlineStr">
        <is>
          <t>Followed up via email regarding outstanding invoice INV0001110.</t>
        </is>
      </c>
    </row>
    <row r="24">
      <c r="A24" t="inlineStr">
        <is>
          <t>COL0000578</t>
        </is>
      </c>
      <c r="B24" t="inlineStr">
        <is>
          <t>MER00055</t>
        </is>
      </c>
      <c r="C24" t="inlineStr">
        <is>
          <t>INV0001110</t>
        </is>
      </c>
      <c r="D24" s="8" t="n">
        <v>45891</v>
      </c>
      <c r="E24" t="inlineStr">
        <is>
          <t>Phone</t>
        </is>
      </c>
      <c r="F24" t="inlineStr">
        <is>
          <t>Phone</t>
        </is>
      </c>
      <c r="G24" t="inlineStr">
        <is>
          <t>Farhan Sheikh</t>
        </is>
      </c>
      <c r="H24" t="inlineStr">
        <is>
          <t>Disputed</t>
        </is>
      </c>
      <c r="I24" s="8" t="n"/>
      <c r="J24" t="n">
        <v/>
      </c>
      <c r="K24" t="inlineStr">
        <is>
          <t>Called merchant to discuss overdue invoice INV0001110.</t>
        </is>
      </c>
    </row>
    <row r="25">
      <c r="A25" t="inlineStr">
        <is>
          <t>COL0000579</t>
        </is>
      </c>
      <c r="B25" t="inlineStr">
        <is>
          <t>MER00055</t>
        </is>
      </c>
      <c r="C25" t="inlineStr">
        <is>
          <t>INV0001110</t>
        </is>
      </c>
      <c r="D25" s="8" t="n">
        <v>45902</v>
      </c>
      <c r="E25" t="inlineStr">
        <is>
          <t>Escalation</t>
        </is>
      </c>
      <c r="F25" t="inlineStr">
        <is>
          <t>Phone</t>
        </is>
      </c>
      <c r="G25" t="inlineStr">
        <is>
          <t>Shweta Gupta</t>
        </is>
      </c>
      <c r="H25" t="inlineStr">
        <is>
          <t>Payment Received</t>
        </is>
      </c>
      <c r="I25" s="8" t="n"/>
      <c r="J25" t="n">
        <v/>
      </c>
      <c r="K25" t="inlineStr">
        <is>
          <t>Escalated invoice INV0001110 to account manager for non-payment.</t>
        </is>
      </c>
    </row>
    <row r="26">
      <c r="A26" t="inlineStr">
        <is>
          <t>COL0000580</t>
        </is>
      </c>
      <c r="B26" t="inlineStr">
        <is>
          <t>MER00055</t>
        </is>
      </c>
      <c r="C26" t="inlineStr">
        <is>
          <t>INV0001112</t>
        </is>
      </c>
      <c r="D26" s="8" t="n">
        <v>45938</v>
      </c>
      <c r="E26" t="inlineStr">
        <is>
          <t>Reminder</t>
        </is>
      </c>
      <c r="F26" t="inlineStr">
        <is>
          <t>Email</t>
        </is>
      </c>
      <c r="G26" t="inlineStr">
        <is>
          <t>Manish Tiwari</t>
        </is>
      </c>
      <c r="H26" t="inlineStr">
        <is>
          <t>No Response</t>
        </is>
      </c>
      <c r="I26" s="8" t="n"/>
      <c r="J26" t="n">
        <v/>
      </c>
      <c r="K26" t="inlineStr">
        <is>
          <t>Automated reminder sent for invoice INV0001112 due 2025-10-02.</t>
        </is>
      </c>
    </row>
    <row r="27">
      <c r="A27" t="inlineStr">
        <is>
          <t>COL0000581</t>
        </is>
      </c>
      <c r="B27" t="inlineStr">
        <is>
          <t>MER00055</t>
        </is>
      </c>
      <c r="C27" t="inlineStr">
        <is>
          <t>INV0001112</t>
        </is>
      </c>
      <c r="D27" s="8" t="n">
        <v>45948</v>
      </c>
      <c r="E27" t="inlineStr">
        <is>
          <t>Email</t>
        </is>
      </c>
      <c r="F27" t="inlineStr">
        <is>
          <t>Email</t>
        </is>
      </c>
      <c r="G27" t="inlineStr">
        <is>
          <t>Vivek Nair</t>
        </is>
      </c>
      <c r="H27" t="inlineStr">
        <is>
          <t>Promise to Pay</t>
        </is>
      </c>
      <c r="I27" s="8" t="n">
        <v>45959</v>
      </c>
      <c r="J27" t="n">
        <v>666.58</v>
      </c>
      <c r="K27" t="inlineStr">
        <is>
          <t>Followed up via email regarding outstanding invoice INV0001112.</t>
        </is>
      </c>
    </row>
    <row r="28">
      <c r="A28" t="inlineStr">
        <is>
          <t>COL0000582</t>
        </is>
      </c>
      <c r="B28" t="inlineStr">
        <is>
          <t>MER00055</t>
        </is>
      </c>
      <c r="C28" t="inlineStr">
        <is>
          <t>INV0001112</t>
        </is>
      </c>
      <c r="D28" s="8" t="n">
        <v>45956</v>
      </c>
      <c r="E28" t="inlineStr">
        <is>
          <t>Phone</t>
        </is>
      </c>
      <c r="F28" t="inlineStr">
        <is>
          <t>Phone</t>
        </is>
      </c>
      <c r="G28" t="inlineStr">
        <is>
          <t>Nandini Rajan</t>
        </is>
      </c>
      <c r="H28" t="inlineStr">
        <is>
          <t>No Response</t>
        </is>
      </c>
      <c r="I28" s="8" t="n"/>
      <c r="J28" t="n">
        <v/>
      </c>
      <c r="K28" t="inlineStr">
        <is>
          <t>Called merchant to discuss overdue invoice INV0001112.</t>
        </is>
      </c>
    </row>
    <row r="29">
      <c r="A29" t="inlineStr">
        <is>
          <t>COL0000583</t>
        </is>
      </c>
      <c r="B29" t="inlineStr">
        <is>
          <t>MER00055</t>
        </is>
      </c>
      <c r="C29" t="inlineStr">
        <is>
          <t>INV0001112</t>
        </is>
      </c>
      <c r="D29" s="8" t="n">
        <v>45966</v>
      </c>
      <c r="E29" t="inlineStr">
        <is>
          <t>Escalation</t>
        </is>
      </c>
      <c r="F29" t="inlineStr">
        <is>
          <t>Phone</t>
        </is>
      </c>
      <c r="G29" t="inlineStr">
        <is>
          <t>Ritu Bansal</t>
        </is>
      </c>
      <c r="H29" t="inlineStr">
        <is>
          <t>Disputed</t>
        </is>
      </c>
      <c r="I29" s="8" t="n"/>
      <c r="J29" t="n">
        <v/>
      </c>
      <c r="K29" t="inlineStr">
        <is>
          <t>Escalated invoice INV0001112 to account manager for non-payment.</t>
        </is>
      </c>
    </row>
    <row r="30">
      <c r="A30" t="inlineStr">
        <is>
          <t>COL0000584</t>
        </is>
      </c>
      <c r="B30" t="inlineStr">
        <is>
          <t>MER00055</t>
        </is>
      </c>
      <c r="C30" t="inlineStr">
        <is>
          <t>INV0001112</t>
        </is>
      </c>
      <c r="D30" s="8" t="n">
        <v>45978</v>
      </c>
      <c r="E30" t="inlineStr">
        <is>
          <t>Payment Promise</t>
        </is>
      </c>
      <c r="F30" t="inlineStr">
        <is>
          <t>WhatsApp</t>
        </is>
      </c>
      <c r="G30" t="inlineStr">
        <is>
          <t>Vivek Nair</t>
        </is>
      </c>
      <c r="H30" t="inlineStr">
        <is>
          <t>No Response</t>
        </is>
      </c>
      <c r="I30" s="8" t="n">
        <v>45984</v>
      </c>
      <c r="J30" t="n">
        <v>910.27</v>
      </c>
      <c r="K30" t="inlineStr">
        <is>
          <t>Merchant committed to paying invoice INV0001112 by 2025-11-23.</t>
        </is>
      </c>
    </row>
    <row r="31">
      <c r="A31" t="inlineStr">
        <is>
          <t>COL0000585</t>
        </is>
      </c>
      <c r="B31" t="inlineStr">
        <is>
          <t>MER00055</t>
        </is>
      </c>
      <c r="C31" t="inlineStr">
        <is>
          <t>INV0001114</t>
        </is>
      </c>
      <c r="D31" s="8" t="n">
        <v>46002</v>
      </c>
      <c r="E31" t="inlineStr">
        <is>
          <t>Reminder</t>
        </is>
      </c>
      <c r="F31" t="inlineStr">
        <is>
          <t>Email</t>
        </is>
      </c>
      <c r="G31" t="inlineStr">
        <is>
          <t>Farhan Sheikh</t>
        </is>
      </c>
      <c r="H31" t="inlineStr">
        <is>
          <t>Promise to Pay</t>
        </is>
      </c>
      <c r="I31" s="8" t="n">
        <v>46014</v>
      </c>
      <c r="J31" t="n">
        <v>851.88</v>
      </c>
      <c r="K31" t="inlineStr">
        <is>
          <t>Automated reminder sent for invoice INV0001114 due 2025-12-02.</t>
        </is>
      </c>
    </row>
    <row r="32">
      <c r="A32" t="inlineStr">
        <is>
          <t>COL0000586</t>
        </is>
      </c>
      <c r="B32" t="inlineStr">
        <is>
          <t>MER00055</t>
        </is>
      </c>
      <c r="C32" t="inlineStr">
        <is>
          <t>INV0001114</t>
        </is>
      </c>
      <c r="D32" s="8" t="n">
        <v>46013</v>
      </c>
      <c r="E32" t="inlineStr">
        <is>
          <t>Email</t>
        </is>
      </c>
      <c r="F32" t="inlineStr">
        <is>
          <t>Email</t>
        </is>
      </c>
      <c r="G32" t="inlineStr">
        <is>
          <t>Anjali Desai</t>
        </is>
      </c>
      <c r="H32" t="inlineStr">
        <is>
          <t>No Response</t>
        </is>
      </c>
      <c r="I32" s="8" t="n"/>
      <c r="J32" t="n">
        <v/>
      </c>
      <c r="K32" t="inlineStr">
        <is>
          <t>Followed up via email regarding outstanding invoice INV0001114.</t>
        </is>
      </c>
    </row>
    <row r="33">
      <c r="A33" t="inlineStr">
        <is>
          <t>COL0000587</t>
        </is>
      </c>
      <c r="B33" t="inlineStr">
        <is>
          <t>MER00055</t>
        </is>
      </c>
      <c r="C33" t="inlineStr">
        <is>
          <t>INV0001114</t>
        </is>
      </c>
      <c r="D33" s="8" t="n">
        <v>46023</v>
      </c>
      <c r="E33" t="inlineStr">
        <is>
          <t>Phone</t>
        </is>
      </c>
      <c r="F33" t="inlineStr">
        <is>
          <t>Phone</t>
        </is>
      </c>
      <c r="G33" t="inlineStr">
        <is>
          <t>Anjali Desai</t>
        </is>
      </c>
      <c r="H33" t="inlineStr">
        <is>
          <t>No Response</t>
        </is>
      </c>
      <c r="I33" s="8" t="n"/>
      <c r="J33" t="n">
        <v/>
      </c>
      <c r="K33" t="inlineStr">
        <is>
          <t>Called merchant to discuss overdue invoice INV0001114.</t>
        </is>
      </c>
    </row>
    <row r="34">
      <c r="A34" t="inlineStr">
        <is>
          <t>COL0000588</t>
        </is>
      </c>
      <c r="B34" t="inlineStr">
        <is>
          <t>MER00055</t>
        </is>
      </c>
      <c r="C34" t="inlineStr">
        <is>
          <t>INV0001120</t>
        </is>
      </c>
      <c r="D34" s="8" t="n">
        <v>46181</v>
      </c>
      <c r="E34" t="inlineStr">
        <is>
          <t>Reminder</t>
        </is>
      </c>
      <c r="F34" t="inlineStr">
        <is>
          <t>Email</t>
        </is>
      </c>
      <c r="G34" t="inlineStr">
        <is>
          <t>Manish Tiwari</t>
        </is>
      </c>
      <c r="H34" t="inlineStr">
        <is>
          <t>Promise to Pay</t>
        </is>
      </c>
      <c r="I34" s="8" t="n">
        <v>46185</v>
      </c>
      <c r="J34" t="n">
        <v>1301.11</v>
      </c>
      <c r="K34" t="inlineStr">
        <is>
          <t>Automated reminder sent for invoice INV0001120 due 2026-06-01.</t>
        </is>
      </c>
    </row>
    <row r="35">
      <c r="A35" t="inlineStr">
        <is>
          <t>COL0000589</t>
        </is>
      </c>
      <c r="B35" t="inlineStr">
        <is>
          <t>MER00055</t>
        </is>
      </c>
      <c r="C35" t="inlineStr">
        <is>
          <t>INV0001120</t>
        </is>
      </c>
      <c r="D35" s="8" t="n">
        <v>46189</v>
      </c>
      <c r="E35" t="inlineStr">
        <is>
          <t>Email</t>
        </is>
      </c>
      <c r="F35" t="inlineStr">
        <is>
          <t>Email</t>
        </is>
      </c>
      <c r="G35" t="inlineStr">
        <is>
          <t>Manish Tiwari</t>
        </is>
      </c>
      <c r="H35" t="inlineStr">
        <is>
          <t>Promise to Pay</t>
        </is>
      </c>
      <c r="I35" s="8" t="n">
        <v>46201</v>
      </c>
      <c r="J35" t="n">
        <v>1222.28</v>
      </c>
      <c r="K35" t="inlineStr">
        <is>
          <t>Followed up via email regarding outstanding invoice INV0001120.</t>
        </is>
      </c>
    </row>
    <row r="36">
      <c r="A36" t="inlineStr">
        <is>
          <t>COL0000590</t>
        </is>
      </c>
      <c r="B36" t="inlineStr">
        <is>
          <t>MER00055</t>
        </is>
      </c>
      <c r="C36" t="inlineStr">
        <is>
          <t>INV0001120</t>
        </is>
      </c>
      <c r="D36" s="8" t="n">
        <v>46196</v>
      </c>
      <c r="E36" t="inlineStr">
        <is>
          <t>Phone</t>
        </is>
      </c>
      <c r="F36" t="inlineStr">
        <is>
          <t>Phone</t>
        </is>
      </c>
      <c r="G36" t="inlineStr">
        <is>
          <t>Shweta Gupta</t>
        </is>
      </c>
      <c r="H36" t="inlineStr">
        <is>
          <t>No Response</t>
        </is>
      </c>
      <c r="I36" s="8" t="n"/>
      <c r="J36" t="n">
        <v/>
      </c>
      <c r="K36" t="inlineStr">
        <is>
          <t>Called merchant to discuss overdue invoice INV0001120.</t>
        </is>
      </c>
    </row>
    <row r="37">
      <c r="A37" t="inlineStr">
        <is>
          <t>COL0000591</t>
        </is>
      </c>
      <c r="B37" t="inlineStr">
        <is>
          <t>MER00055</t>
        </is>
      </c>
      <c r="C37" t="inlineStr">
        <is>
          <t>INV0001120</t>
        </is>
      </c>
      <c r="D37" s="8" t="n">
        <v>46205</v>
      </c>
      <c r="E37" t="inlineStr">
        <is>
          <t>Escalation</t>
        </is>
      </c>
      <c r="F37" t="inlineStr">
        <is>
          <t>Phone</t>
        </is>
      </c>
      <c r="G37" t="inlineStr">
        <is>
          <t>Shweta Gupta</t>
        </is>
      </c>
      <c r="H37" t="inlineStr">
        <is>
          <t>Disputed</t>
        </is>
      </c>
      <c r="I37" s="8" t="n"/>
      <c r="J37" t="n">
        <v/>
      </c>
      <c r="K37" t="inlineStr">
        <is>
          <t>Escalated invoice INV0001120 to account manager for non-payment.</t>
        </is>
      </c>
    </row>
    <row r="38">
      <c r="A38" t="inlineStr">
        <is>
          <t>COL0000592</t>
        </is>
      </c>
      <c r="B38" t="inlineStr">
        <is>
          <t>MER00055</t>
        </is>
      </c>
      <c r="C38" t="inlineStr">
        <is>
          <t>INV0001122</t>
        </is>
      </c>
      <c r="D38" s="8" t="n">
        <v>46241</v>
      </c>
      <c r="E38" t="inlineStr">
        <is>
          <t>Reminder</t>
        </is>
      </c>
      <c r="F38" t="inlineStr">
        <is>
          <t>Email</t>
        </is>
      </c>
      <c r="G38" t="inlineStr">
        <is>
          <t>Shweta Gupta</t>
        </is>
      </c>
      <c r="H38" t="inlineStr">
        <is>
          <t>Promise to Pay</t>
        </is>
      </c>
      <c r="I38" s="8" t="n">
        <v>46244</v>
      </c>
      <c r="J38" t="n">
        <v>1609.59</v>
      </c>
      <c r="K38" t="inlineStr">
        <is>
          <t>Automated reminder sent for invoice INV0001122 due 2026-08-01.</t>
        </is>
      </c>
    </row>
    <row r="39">
      <c r="A39" t="inlineStr">
        <is>
          <t>COL0000593</t>
        </is>
      </c>
      <c r="B39" t="inlineStr">
        <is>
          <t>MER00055</t>
        </is>
      </c>
      <c r="C39" t="inlineStr">
        <is>
          <t>INV0001122</t>
        </is>
      </c>
      <c r="D39" s="8" t="n">
        <v>46249</v>
      </c>
      <c r="E39" t="inlineStr">
        <is>
          <t>Email</t>
        </is>
      </c>
      <c r="F39" t="inlineStr">
        <is>
          <t>Email</t>
        </is>
      </c>
      <c r="G39" t="inlineStr">
        <is>
          <t>Nandini Rajan</t>
        </is>
      </c>
      <c r="H39" t="inlineStr">
        <is>
          <t>No Response</t>
        </is>
      </c>
      <c r="I39" s="8" t="n"/>
      <c r="J39" t="n">
        <v/>
      </c>
      <c r="K39" t="inlineStr">
        <is>
          <t>Followed up via email regarding outstanding invoice INV0001122.</t>
        </is>
      </c>
    </row>
    <row r="40">
      <c r="A40" t="inlineStr">
        <is>
          <t>COL0000594</t>
        </is>
      </c>
      <c r="B40" t="inlineStr">
        <is>
          <t>MER00055</t>
        </is>
      </c>
      <c r="C40" t="inlineStr">
        <is>
          <t>INV0001122</t>
        </is>
      </c>
      <c r="D40" s="8" t="n">
        <v>46257</v>
      </c>
      <c r="E40" t="inlineStr">
        <is>
          <t>Phone</t>
        </is>
      </c>
      <c r="F40" t="inlineStr">
        <is>
          <t>Phone</t>
        </is>
      </c>
      <c r="G40" t="inlineStr">
        <is>
          <t>Sanjay Kumar</t>
        </is>
      </c>
      <c r="H40" t="inlineStr">
        <is>
          <t>No Response</t>
        </is>
      </c>
      <c r="I40" s="8" t="n"/>
      <c r="J40" t="n">
        <v/>
      </c>
      <c r="K40" t="inlineStr">
        <is>
          <t>Called merchant to discuss overdue invoice INV0001122.</t>
        </is>
      </c>
    </row>
    <row r="41">
      <c r="A41" t="inlineStr">
        <is>
          <t>COL0000595</t>
        </is>
      </c>
      <c r="B41" t="inlineStr">
        <is>
          <t>MER00055</t>
        </is>
      </c>
      <c r="C41" t="inlineStr">
        <is>
          <t>INV0001122</t>
        </is>
      </c>
      <c r="D41" s="8" t="n">
        <v>46264</v>
      </c>
      <c r="E41" t="inlineStr">
        <is>
          <t>Escalation</t>
        </is>
      </c>
      <c r="F41" t="inlineStr">
        <is>
          <t>Phone</t>
        </is>
      </c>
      <c r="G41" t="inlineStr">
        <is>
          <t>Anjali Desai</t>
        </is>
      </c>
      <c r="H41" t="inlineStr">
        <is>
          <t>Disputed</t>
        </is>
      </c>
      <c r="I41" s="8" t="n"/>
      <c r="J41" t="n">
        <v/>
      </c>
      <c r="K41" t="inlineStr">
        <is>
          <t>Escalated invoice INV0001122 to account manager for non-payment.</t>
        </is>
      </c>
    </row>
    <row r="42">
      <c r="A42" t="inlineStr">
        <is>
          <t>COL0000596</t>
        </is>
      </c>
      <c r="B42" t="inlineStr">
        <is>
          <t>MER00055</t>
        </is>
      </c>
      <c r="C42" t="inlineStr">
        <is>
          <t>INV0001122</t>
        </is>
      </c>
      <c r="D42" s="8" t="n">
        <v>46274</v>
      </c>
      <c r="E42" t="inlineStr">
        <is>
          <t>Payment Promise</t>
        </is>
      </c>
      <c r="F42" t="inlineStr">
        <is>
          <t>WhatsApp</t>
        </is>
      </c>
      <c r="G42" t="inlineStr">
        <is>
          <t>Farhan Sheikh</t>
        </is>
      </c>
      <c r="H42" t="inlineStr">
        <is>
          <t>No Response</t>
        </is>
      </c>
      <c r="I42" s="8" t="n">
        <v>46288</v>
      </c>
      <c r="J42" t="n">
        <v>921.1799999999999</v>
      </c>
      <c r="K42" t="inlineStr">
        <is>
          <t>Merchant committed to paying invoice INV0001122 by 2026-09-23.</t>
        </is>
      </c>
    </row>
    <row r="43">
      <c r="A43" t="inlineStr">
        <is>
          <t>COL0000774</t>
        </is>
      </c>
      <c r="B43" t="inlineStr">
        <is>
          <t>MER00074</t>
        </is>
      </c>
      <c r="C43" t="inlineStr">
        <is>
          <t>INV0001548</t>
        </is>
      </c>
      <c r="D43" s="8" t="n">
        <v>45858</v>
      </c>
      <c r="E43" t="inlineStr">
        <is>
          <t>Reminder</t>
        </is>
      </c>
      <c r="F43" t="inlineStr">
        <is>
          <t>Email</t>
        </is>
      </c>
      <c r="G43" t="inlineStr">
        <is>
          <t>Anjali Desai</t>
        </is>
      </c>
      <c r="H43" t="inlineStr">
        <is>
          <t>No Response</t>
        </is>
      </c>
      <c r="I43" s="8" t="n"/>
      <c r="J43" t="n">
        <v/>
      </c>
      <c r="K43" t="inlineStr">
        <is>
          <t>Automated reminder sent for invoice INV0001548 due 2025-07-17.</t>
        </is>
      </c>
    </row>
    <row r="44">
      <c r="A44" t="inlineStr">
        <is>
          <t>COL0000775</t>
        </is>
      </c>
      <c r="B44" t="inlineStr">
        <is>
          <t>MER00074</t>
        </is>
      </c>
      <c r="C44" t="inlineStr">
        <is>
          <t>INV0001548</t>
        </is>
      </c>
      <c r="D44" s="8" t="n">
        <v>45872</v>
      </c>
      <c r="E44" t="inlineStr">
        <is>
          <t>Email</t>
        </is>
      </c>
      <c r="F44" t="inlineStr">
        <is>
          <t>Email</t>
        </is>
      </c>
      <c r="G44" t="inlineStr">
        <is>
          <t>Anjali Desai</t>
        </is>
      </c>
      <c r="H44" t="inlineStr">
        <is>
          <t>Promise to Pay</t>
        </is>
      </c>
      <c r="I44" s="8" t="n">
        <v>45883</v>
      </c>
      <c r="J44" t="n">
        <v>1244.7</v>
      </c>
      <c r="K44" t="inlineStr">
        <is>
          <t>Followed up via email regarding outstanding invoice INV0001548.</t>
        </is>
      </c>
    </row>
    <row r="45">
      <c r="A45" t="inlineStr">
        <is>
          <t>COL0000776</t>
        </is>
      </c>
      <c r="B45" t="inlineStr">
        <is>
          <t>MER00074</t>
        </is>
      </c>
      <c r="C45" t="inlineStr">
        <is>
          <t>INV0001550</t>
        </is>
      </c>
      <c r="D45" s="8" t="n">
        <v>45925</v>
      </c>
      <c r="E45" t="inlineStr">
        <is>
          <t>Reminder</t>
        </is>
      </c>
      <c r="F45" t="inlineStr">
        <is>
          <t>Email</t>
        </is>
      </c>
      <c r="G45" t="inlineStr">
        <is>
          <t>Sanjay Kumar</t>
        </is>
      </c>
      <c r="H45" t="inlineStr">
        <is>
          <t>No Response</t>
        </is>
      </c>
      <c r="I45" s="8" t="n"/>
      <c r="J45" t="n">
        <v/>
      </c>
      <c r="K45" t="inlineStr">
        <is>
          <t>Automated reminder sent for invoice INV0001550 due 2025-09-16.</t>
        </is>
      </c>
    </row>
    <row r="46">
      <c r="A46" t="inlineStr">
        <is>
          <t>COL0000777</t>
        </is>
      </c>
      <c r="B46" t="inlineStr">
        <is>
          <t>MER00074</t>
        </is>
      </c>
      <c r="C46" t="inlineStr">
        <is>
          <t>INV0001550</t>
        </is>
      </c>
      <c r="D46" s="8" t="n">
        <v>45937</v>
      </c>
      <c r="E46" t="inlineStr">
        <is>
          <t>Email</t>
        </is>
      </c>
      <c r="F46" t="inlineStr">
        <is>
          <t>Email</t>
        </is>
      </c>
      <c r="G46" t="inlineStr">
        <is>
          <t>Nandini Rajan</t>
        </is>
      </c>
      <c r="H46" t="inlineStr">
        <is>
          <t>No Response</t>
        </is>
      </c>
      <c r="I46" s="8" t="n"/>
      <c r="J46" t="n">
        <v/>
      </c>
      <c r="K46" t="inlineStr">
        <is>
          <t>Followed up via email regarding outstanding invoice INV0001550.</t>
        </is>
      </c>
    </row>
    <row r="47">
      <c r="A47" t="inlineStr">
        <is>
          <t>COL0000778</t>
        </is>
      </c>
      <c r="B47" t="inlineStr">
        <is>
          <t>MER00074</t>
        </is>
      </c>
      <c r="C47" t="inlineStr">
        <is>
          <t>INV0001550</t>
        </is>
      </c>
      <c r="D47" s="8" t="n">
        <v>45951</v>
      </c>
      <c r="E47" t="inlineStr">
        <is>
          <t>Phone</t>
        </is>
      </c>
      <c r="F47" t="inlineStr">
        <is>
          <t>Phone</t>
        </is>
      </c>
      <c r="G47" t="inlineStr">
        <is>
          <t>Ritu Bansal</t>
        </is>
      </c>
      <c r="H47" t="inlineStr">
        <is>
          <t>Promise to Pay</t>
        </is>
      </c>
      <c r="I47" s="8" t="n">
        <v>45962</v>
      </c>
      <c r="J47" t="n">
        <v>852.79</v>
      </c>
      <c r="K47" t="inlineStr">
        <is>
          <t>Called merchant to discuss overdue invoice INV0001550.</t>
        </is>
      </c>
    </row>
    <row r="48">
      <c r="A48" t="inlineStr">
        <is>
          <t>COL0000779</t>
        </is>
      </c>
      <c r="B48" t="inlineStr">
        <is>
          <t>MER00074</t>
        </is>
      </c>
      <c r="C48" t="inlineStr">
        <is>
          <t>INV0001557</t>
        </is>
      </c>
      <c r="D48" s="8" t="n">
        <v>46136</v>
      </c>
      <c r="E48" t="inlineStr">
        <is>
          <t>Reminder</t>
        </is>
      </c>
      <c r="F48" t="inlineStr">
        <is>
          <t>Email</t>
        </is>
      </c>
      <c r="G48" t="inlineStr">
        <is>
          <t>Manish Tiwari</t>
        </is>
      </c>
      <c r="H48" t="inlineStr">
        <is>
          <t>Promise to Pay</t>
        </is>
      </c>
      <c r="I48" s="8" t="n">
        <v>46147</v>
      </c>
      <c r="J48" t="n">
        <v>1654.33</v>
      </c>
      <c r="K48" t="inlineStr">
        <is>
          <t>Automated reminder sent for invoice INV0001557 due 2026-04-16.</t>
        </is>
      </c>
    </row>
    <row r="49">
      <c r="A49" t="inlineStr">
        <is>
          <t>COL0000791</t>
        </is>
      </c>
      <c r="B49" t="inlineStr">
        <is>
          <t>MER00077</t>
        </is>
      </c>
      <c r="C49" t="inlineStr">
        <is>
          <t>INV0001630</t>
        </is>
      </c>
      <c r="D49" s="8" t="n">
        <v>46163</v>
      </c>
      <c r="E49" t="inlineStr">
        <is>
          <t>Reminder</t>
        </is>
      </c>
      <c r="F49" t="inlineStr">
        <is>
          <t>Email</t>
        </is>
      </c>
      <c r="G49" t="inlineStr">
        <is>
          <t>Nandini Rajan</t>
        </is>
      </c>
      <c r="H49" t="inlineStr">
        <is>
          <t>Promise to Pay</t>
        </is>
      </c>
      <c r="I49" s="8" t="n">
        <v>46166</v>
      </c>
      <c r="J49" t="n">
        <v>351.39</v>
      </c>
      <c r="K49" t="inlineStr">
        <is>
          <t>Automated reminder sent for invoice INV0001630 due 2026-05-17.</t>
        </is>
      </c>
    </row>
    <row r="50">
      <c r="A50" t="inlineStr">
        <is>
          <t>COL0001466</t>
        </is>
      </c>
      <c r="B50" t="inlineStr">
        <is>
          <t>MER00139</t>
        </is>
      </c>
      <c r="C50" t="inlineStr">
        <is>
          <t>INV0002949</t>
        </is>
      </c>
      <c r="D50" s="8" t="n">
        <v>45692</v>
      </c>
      <c r="E50" t="inlineStr">
        <is>
          <t>Reminder</t>
        </is>
      </c>
      <c r="F50" t="inlineStr">
        <is>
          <t>Email</t>
        </is>
      </c>
      <c r="G50" t="inlineStr">
        <is>
          <t>Farhan Sheikh</t>
        </is>
      </c>
      <c r="H50" t="inlineStr">
        <is>
          <t>No Response</t>
        </is>
      </c>
      <c r="I50" s="8" t="n"/>
      <c r="J50" t="n">
        <v/>
      </c>
      <c r="K50" t="inlineStr">
        <is>
          <t>Automated reminder sent for invoice INV0002949 due 2025-01-31.</t>
        </is>
      </c>
    </row>
    <row r="51">
      <c r="A51" t="inlineStr">
        <is>
          <t>COL0001467</t>
        </is>
      </c>
      <c r="B51" t="inlineStr">
        <is>
          <t>MER00139</t>
        </is>
      </c>
      <c r="C51" t="inlineStr">
        <is>
          <t>INV0002949</t>
        </is>
      </c>
      <c r="D51" s="8" t="n">
        <v>45698</v>
      </c>
      <c r="E51" t="inlineStr">
        <is>
          <t>Email</t>
        </is>
      </c>
      <c r="F51" t="inlineStr">
        <is>
          <t>Email</t>
        </is>
      </c>
      <c r="G51" t="inlineStr">
        <is>
          <t>Farhan Sheikh</t>
        </is>
      </c>
      <c r="H51" t="inlineStr">
        <is>
          <t>No Response</t>
        </is>
      </c>
      <c r="I51" s="8" t="n"/>
      <c r="J51" t="n">
        <v/>
      </c>
      <c r="K51" t="inlineStr">
        <is>
          <t>Followed up via email regarding outstanding invoice INV0002949.</t>
        </is>
      </c>
    </row>
    <row r="52">
      <c r="A52" t="inlineStr">
        <is>
          <t>COL0001468</t>
        </is>
      </c>
      <c r="B52" t="inlineStr">
        <is>
          <t>MER00139</t>
        </is>
      </c>
      <c r="C52" t="inlineStr">
        <is>
          <t>INV0002949</t>
        </is>
      </c>
      <c r="D52" s="8" t="n">
        <v>45709</v>
      </c>
      <c r="E52" t="inlineStr">
        <is>
          <t>Phone</t>
        </is>
      </c>
      <c r="F52" t="inlineStr">
        <is>
          <t>Phone</t>
        </is>
      </c>
      <c r="G52" t="inlineStr">
        <is>
          <t>Amit Saxena</t>
        </is>
      </c>
      <c r="H52" t="inlineStr">
        <is>
          <t>No Response</t>
        </is>
      </c>
      <c r="I52" s="8" t="n"/>
      <c r="J52" t="n">
        <v/>
      </c>
      <c r="K52" t="inlineStr">
        <is>
          <t>Called merchant to discuss overdue invoice INV0002949.</t>
        </is>
      </c>
    </row>
    <row r="53">
      <c r="A53" t="inlineStr">
        <is>
          <t>COL0001469</t>
        </is>
      </c>
      <c r="B53" t="inlineStr">
        <is>
          <t>MER00139</t>
        </is>
      </c>
      <c r="C53" t="inlineStr">
        <is>
          <t>INV0002957</t>
        </is>
      </c>
      <c r="D53" s="8" t="n">
        <v>45971</v>
      </c>
      <c r="E53" t="inlineStr">
        <is>
          <t>Reminder</t>
        </is>
      </c>
      <c r="F53" t="inlineStr">
        <is>
          <t>Email</t>
        </is>
      </c>
      <c r="G53" t="inlineStr">
        <is>
          <t>Ritu Bansal</t>
        </is>
      </c>
      <c r="H53" t="inlineStr">
        <is>
          <t>No Response</t>
        </is>
      </c>
      <c r="I53" s="8" t="n"/>
      <c r="J53" t="n">
        <v/>
      </c>
      <c r="K53" t="inlineStr">
        <is>
          <t>Automated reminder sent for invoice INV0002957 due 2025-11-01.</t>
        </is>
      </c>
    </row>
    <row r="54">
      <c r="A54" t="inlineStr">
        <is>
          <t>COL0001470</t>
        </is>
      </c>
      <c r="B54" t="inlineStr">
        <is>
          <t>MER00139</t>
        </is>
      </c>
      <c r="C54" t="inlineStr">
        <is>
          <t>INV0002957</t>
        </is>
      </c>
      <c r="D54" s="8" t="n">
        <v>45985</v>
      </c>
      <c r="E54" t="inlineStr">
        <is>
          <t>Email</t>
        </is>
      </c>
      <c r="F54" t="inlineStr">
        <is>
          <t>Email</t>
        </is>
      </c>
      <c r="G54" t="inlineStr">
        <is>
          <t>Vivek Nair</t>
        </is>
      </c>
      <c r="H54" t="inlineStr">
        <is>
          <t>No Response</t>
        </is>
      </c>
      <c r="I54" s="8" t="n"/>
      <c r="J54" t="n">
        <v/>
      </c>
      <c r="K54" t="inlineStr">
        <is>
          <t>Followed up via email regarding outstanding invoice INV0002957.</t>
        </is>
      </c>
    </row>
    <row r="55">
      <c r="A55" t="inlineStr">
        <is>
          <t>COL0001471</t>
        </is>
      </c>
      <c r="B55" t="inlineStr">
        <is>
          <t>MER00139</t>
        </is>
      </c>
      <c r="C55" t="inlineStr">
        <is>
          <t>INV0002957</t>
        </is>
      </c>
      <c r="D55" s="8" t="n">
        <v>45991</v>
      </c>
      <c r="E55" t="inlineStr">
        <is>
          <t>Phone</t>
        </is>
      </c>
      <c r="F55" t="inlineStr">
        <is>
          <t>Phone</t>
        </is>
      </c>
      <c r="G55" t="inlineStr">
        <is>
          <t>Amit Saxena</t>
        </is>
      </c>
      <c r="H55" t="inlineStr">
        <is>
          <t>Promise to Pay</t>
        </is>
      </c>
      <c r="I55" s="8" t="n">
        <v>46000</v>
      </c>
      <c r="J55" t="n">
        <v>1381.46</v>
      </c>
      <c r="K55" t="inlineStr">
        <is>
          <t>Called merchant to discuss overdue invoice INV0002957.</t>
        </is>
      </c>
    </row>
    <row r="56">
      <c r="A56" t="inlineStr">
        <is>
          <t>COL0001472</t>
        </is>
      </c>
      <c r="B56" t="inlineStr">
        <is>
          <t>MER00139</t>
        </is>
      </c>
      <c r="C56" t="inlineStr">
        <is>
          <t>INV0002958</t>
        </is>
      </c>
      <c r="D56" s="8" t="n">
        <v>45998</v>
      </c>
      <c r="E56" t="inlineStr">
        <is>
          <t>Reminder</t>
        </is>
      </c>
      <c r="F56" t="inlineStr">
        <is>
          <t>Email</t>
        </is>
      </c>
      <c r="G56" t="inlineStr">
        <is>
          <t>Manish Tiwari</t>
        </is>
      </c>
      <c r="H56" t="inlineStr">
        <is>
          <t>No Response</t>
        </is>
      </c>
      <c r="I56" s="8" t="n"/>
      <c r="J56" t="n">
        <v/>
      </c>
      <c r="K56" t="inlineStr">
        <is>
          <t>Automated reminder sent for invoice INV0002958 due 2025-12-01.</t>
        </is>
      </c>
    </row>
    <row r="57">
      <c r="A57" t="inlineStr">
        <is>
          <t>COL0001473</t>
        </is>
      </c>
      <c r="B57" t="inlineStr">
        <is>
          <t>MER00139</t>
        </is>
      </c>
      <c r="C57" t="inlineStr">
        <is>
          <t>INV0002958</t>
        </is>
      </c>
      <c r="D57" s="8" t="n">
        <v>46011</v>
      </c>
      <c r="E57" t="inlineStr">
        <is>
          <t>Email</t>
        </is>
      </c>
      <c r="F57" t="inlineStr">
        <is>
          <t>Email</t>
        </is>
      </c>
      <c r="G57" t="inlineStr">
        <is>
          <t>Anjali Desai</t>
        </is>
      </c>
      <c r="H57" t="inlineStr">
        <is>
          <t>No Response</t>
        </is>
      </c>
      <c r="I57" s="8" t="n"/>
      <c r="J57" t="n">
        <v/>
      </c>
      <c r="K57" t="inlineStr">
        <is>
          <t>Followed up via email regarding outstanding invoice INV0002958.</t>
        </is>
      </c>
    </row>
    <row r="58">
      <c r="A58" t="inlineStr">
        <is>
          <t>COL0001474</t>
        </is>
      </c>
      <c r="B58" t="inlineStr">
        <is>
          <t>MER00139</t>
        </is>
      </c>
      <c r="C58" t="inlineStr">
        <is>
          <t>INV0002958</t>
        </is>
      </c>
      <c r="D58" s="8" t="n">
        <v>46021</v>
      </c>
      <c r="E58" t="inlineStr">
        <is>
          <t>Phone</t>
        </is>
      </c>
      <c r="F58" t="inlineStr">
        <is>
          <t>Phone</t>
        </is>
      </c>
      <c r="G58" t="inlineStr">
        <is>
          <t>Farhan Sheikh</t>
        </is>
      </c>
      <c r="H58" t="inlineStr">
        <is>
          <t>Promise to Pay</t>
        </is>
      </c>
      <c r="I58" s="8" t="n">
        <v>46030</v>
      </c>
      <c r="J58" t="n">
        <v>758.1</v>
      </c>
      <c r="K58" t="inlineStr">
        <is>
          <t>Called merchant to discuss overdue invoice INV0002958.</t>
        </is>
      </c>
    </row>
    <row r="59">
      <c r="A59" t="inlineStr">
        <is>
          <t>COL0001475</t>
        </is>
      </c>
      <c r="B59" t="inlineStr">
        <is>
          <t>MER00139</t>
        </is>
      </c>
      <c r="C59" t="inlineStr">
        <is>
          <t>INV0002958</t>
        </is>
      </c>
      <c r="D59" s="8" t="n">
        <v>46030</v>
      </c>
      <c r="E59" t="inlineStr">
        <is>
          <t>Escalation</t>
        </is>
      </c>
      <c r="F59" t="inlineStr">
        <is>
          <t>Phone</t>
        </is>
      </c>
      <c r="G59" t="inlineStr">
        <is>
          <t>Ritu Bansal</t>
        </is>
      </c>
      <c r="H59" t="inlineStr">
        <is>
          <t>Escalated</t>
        </is>
      </c>
      <c r="I59" s="8" t="n"/>
      <c r="J59" t="n">
        <v/>
      </c>
      <c r="K59" t="inlineStr">
        <is>
          <t>Escalated invoice INV0002958 to account manager for non-payment.</t>
        </is>
      </c>
    </row>
    <row r="60">
      <c r="A60" t="inlineStr">
        <is>
          <t>COL0001476</t>
        </is>
      </c>
      <c r="B60" t="inlineStr">
        <is>
          <t>MER00139</t>
        </is>
      </c>
      <c r="C60" t="inlineStr">
        <is>
          <t>INV0002959</t>
        </is>
      </c>
      <c r="D60" s="8" t="n">
        <v>46032</v>
      </c>
      <c r="E60" t="inlineStr">
        <is>
          <t>Reminder</t>
        </is>
      </c>
      <c r="F60" t="inlineStr">
        <is>
          <t>Email</t>
        </is>
      </c>
      <c r="G60" t="inlineStr">
        <is>
          <t>Manish Tiwari</t>
        </is>
      </c>
      <c r="H60" t="inlineStr">
        <is>
          <t>No Response</t>
        </is>
      </c>
      <c r="I60" s="8" t="n"/>
      <c r="J60" t="n">
        <v/>
      </c>
      <c r="K60" t="inlineStr">
        <is>
          <t>Automated reminder sent for invoice INV0002959 due 2026-01-01.</t>
        </is>
      </c>
    </row>
    <row r="61">
      <c r="A61" t="inlineStr">
        <is>
          <t>COL0001477</t>
        </is>
      </c>
      <c r="B61" t="inlineStr">
        <is>
          <t>MER00139</t>
        </is>
      </c>
      <c r="C61" t="inlineStr">
        <is>
          <t>INV0002959</t>
        </is>
      </c>
      <c r="D61" s="8" t="n">
        <v>46038</v>
      </c>
      <c r="E61" t="inlineStr">
        <is>
          <t>Email</t>
        </is>
      </c>
      <c r="F61" t="inlineStr">
        <is>
          <t>Email</t>
        </is>
      </c>
      <c r="G61" t="inlineStr">
        <is>
          <t>Manish Tiwari</t>
        </is>
      </c>
      <c r="H61" t="inlineStr">
        <is>
          <t>Promise to Pay</t>
        </is>
      </c>
      <c r="I61" s="8" t="n">
        <v>46047</v>
      </c>
      <c r="J61" t="n">
        <v>1358.56</v>
      </c>
      <c r="K61" t="inlineStr">
        <is>
          <t>Followed up via email regarding outstanding invoice INV0002959.</t>
        </is>
      </c>
    </row>
    <row r="62">
      <c r="A62" t="inlineStr">
        <is>
          <t>COL0001478</t>
        </is>
      </c>
      <c r="B62" t="inlineStr">
        <is>
          <t>MER00139</t>
        </is>
      </c>
      <c r="C62" t="inlineStr">
        <is>
          <t>INV0002959</t>
        </is>
      </c>
      <c r="D62" s="8" t="n">
        <v>46045</v>
      </c>
      <c r="E62" t="inlineStr">
        <is>
          <t>Phone</t>
        </is>
      </c>
      <c r="F62" t="inlineStr">
        <is>
          <t>Phone</t>
        </is>
      </c>
      <c r="G62" t="inlineStr">
        <is>
          <t>Sanjay Kumar</t>
        </is>
      </c>
      <c r="H62" t="inlineStr">
        <is>
          <t>Promise to Pay</t>
        </is>
      </c>
      <c r="I62" s="8" t="n">
        <v>46055</v>
      </c>
      <c r="J62" t="n">
        <v>1539.21</v>
      </c>
      <c r="K62" t="inlineStr">
        <is>
          <t>Called merchant to discuss overdue invoice INV0002959.</t>
        </is>
      </c>
    </row>
    <row r="63">
      <c r="A63" t="inlineStr">
        <is>
          <t>COL0001479</t>
        </is>
      </c>
      <c r="B63" t="inlineStr">
        <is>
          <t>MER00140</t>
        </is>
      </c>
      <c r="C63" t="inlineStr">
        <is>
          <t>INV0002975</t>
        </is>
      </c>
      <c r="D63" s="8" t="n">
        <v>45736</v>
      </c>
      <c r="E63" t="inlineStr">
        <is>
          <t>Reminder</t>
        </is>
      </c>
      <c r="F63" t="inlineStr">
        <is>
          <t>Email</t>
        </is>
      </c>
      <c r="G63" t="inlineStr">
        <is>
          <t>Anjali Desai</t>
        </is>
      </c>
      <c r="H63" t="inlineStr">
        <is>
          <t>No Response</t>
        </is>
      </c>
      <c r="I63" s="8" t="n"/>
      <c r="J63" t="n">
        <v/>
      </c>
      <c r="K63" t="inlineStr">
        <is>
          <t>Automated reminder sent for invoice INV0002975 due 2025-03-17.</t>
        </is>
      </c>
    </row>
    <row r="64">
      <c r="A64" t="inlineStr">
        <is>
          <t>COL0001480</t>
        </is>
      </c>
      <c r="B64" t="inlineStr">
        <is>
          <t>MER00140</t>
        </is>
      </c>
      <c r="C64" t="inlineStr">
        <is>
          <t>INV0002975</t>
        </is>
      </c>
      <c r="D64" s="8" t="n">
        <v>45744</v>
      </c>
      <c r="E64" t="inlineStr">
        <is>
          <t>Email</t>
        </is>
      </c>
      <c r="F64" t="inlineStr">
        <is>
          <t>Email</t>
        </is>
      </c>
      <c r="G64" t="inlineStr">
        <is>
          <t>Sanjay Kumar</t>
        </is>
      </c>
      <c r="H64" t="inlineStr">
        <is>
          <t>No Response</t>
        </is>
      </c>
      <c r="I64" s="8" t="n"/>
      <c r="J64" t="n">
        <v/>
      </c>
      <c r="K64" t="inlineStr">
        <is>
          <t>Followed up via email regarding outstanding invoice INV0002975.</t>
        </is>
      </c>
    </row>
    <row r="65">
      <c r="A65" t="inlineStr">
        <is>
          <t>COL0001481</t>
        </is>
      </c>
      <c r="B65" t="inlineStr">
        <is>
          <t>MER00140</t>
        </is>
      </c>
      <c r="C65" t="inlineStr">
        <is>
          <t>INV0002975</t>
        </is>
      </c>
      <c r="D65" s="8" t="n">
        <v>45749</v>
      </c>
      <c r="E65" t="inlineStr">
        <is>
          <t>Phone</t>
        </is>
      </c>
      <c r="F65" t="inlineStr">
        <is>
          <t>Phone</t>
        </is>
      </c>
      <c r="G65" t="inlineStr">
        <is>
          <t>Sanjay Kumar</t>
        </is>
      </c>
      <c r="H65" t="inlineStr">
        <is>
          <t>No Response</t>
        </is>
      </c>
      <c r="I65" s="8" t="n"/>
      <c r="J65" t="n">
        <v/>
      </c>
      <c r="K65" t="inlineStr">
        <is>
          <t>Called merchant to discuss overdue invoice INV0002975.</t>
        </is>
      </c>
    </row>
    <row r="66">
      <c r="A66" t="inlineStr">
        <is>
          <t>COL0001482</t>
        </is>
      </c>
      <c r="B66" t="inlineStr">
        <is>
          <t>MER00140</t>
        </is>
      </c>
      <c r="C66" t="inlineStr">
        <is>
          <t>INV0002976</t>
        </is>
      </c>
      <c r="D66" s="8" t="n">
        <v>45768</v>
      </c>
      <c r="E66" t="inlineStr">
        <is>
          <t>Reminder</t>
        </is>
      </c>
      <c r="F66" t="inlineStr">
        <is>
          <t>Email</t>
        </is>
      </c>
      <c r="G66" t="inlineStr">
        <is>
          <t>Farhan Sheikh</t>
        </is>
      </c>
      <c r="H66" t="inlineStr">
        <is>
          <t>Promise to Pay</t>
        </is>
      </c>
      <c r="I66" s="8" t="n">
        <v>45782</v>
      </c>
      <c r="J66" t="n">
        <v>207.42</v>
      </c>
      <c r="K66" t="inlineStr">
        <is>
          <t>Automated reminder sent for invoice INV0002976 due 2025-04-17.</t>
        </is>
      </c>
    </row>
    <row r="67">
      <c r="A67" t="inlineStr">
        <is>
          <t>COL0001483</t>
        </is>
      </c>
      <c r="B67" t="inlineStr">
        <is>
          <t>MER00140</t>
        </is>
      </c>
      <c r="C67" t="inlineStr">
        <is>
          <t>INV0002976</t>
        </is>
      </c>
      <c r="D67" s="8" t="n">
        <v>45774</v>
      </c>
      <c r="E67" t="inlineStr">
        <is>
          <t>Email</t>
        </is>
      </c>
      <c r="F67" t="inlineStr">
        <is>
          <t>Email</t>
        </is>
      </c>
      <c r="G67" t="inlineStr">
        <is>
          <t>Farhan Sheikh</t>
        </is>
      </c>
      <c r="H67" t="inlineStr">
        <is>
          <t>No Response</t>
        </is>
      </c>
      <c r="I67" s="8" t="n"/>
      <c r="J67" t="n">
        <v/>
      </c>
      <c r="K67" t="inlineStr">
        <is>
          <t>Followed up via email regarding outstanding invoice INV0002976.</t>
        </is>
      </c>
    </row>
    <row r="68">
      <c r="A68" t="inlineStr">
        <is>
          <t>COL0001484</t>
        </is>
      </c>
      <c r="B68" t="inlineStr">
        <is>
          <t>MER00140</t>
        </is>
      </c>
      <c r="C68" t="inlineStr">
        <is>
          <t>INV0002976</t>
        </is>
      </c>
      <c r="D68" s="8" t="n">
        <v>45784</v>
      </c>
      <c r="E68" t="inlineStr">
        <is>
          <t>Phone</t>
        </is>
      </c>
      <c r="F68" t="inlineStr">
        <is>
          <t>Phone</t>
        </is>
      </c>
      <c r="G68" t="inlineStr">
        <is>
          <t>Nandini Rajan</t>
        </is>
      </c>
      <c r="H68" t="inlineStr">
        <is>
          <t>No Response</t>
        </is>
      </c>
      <c r="I68" s="8" t="n"/>
      <c r="J68" t="n">
        <v/>
      </c>
      <c r="K68" t="inlineStr">
        <is>
          <t>Called merchant to discuss overdue invoice INV0002976.</t>
        </is>
      </c>
    </row>
    <row r="69">
      <c r="A69" t="inlineStr">
        <is>
          <t>COL0001485</t>
        </is>
      </c>
      <c r="B69" t="inlineStr">
        <is>
          <t>MER00140</t>
        </is>
      </c>
      <c r="C69" t="inlineStr">
        <is>
          <t>INV0002976</t>
        </is>
      </c>
      <c r="D69" s="8" t="n">
        <v>45798</v>
      </c>
      <c r="E69" t="inlineStr">
        <is>
          <t>Escalation</t>
        </is>
      </c>
      <c r="F69" t="inlineStr">
        <is>
          <t>Phone</t>
        </is>
      </c>
      <c r="G69" t="inlineStr">
        <is>
          <t>Ritu Bansal</t>
        </is>
      </c>
      <c r="H69" t="inlineStr">
        <is>
          <t>Escalated</t>
        </is>
      </c>
      <c r="I69" s="8" t="n"/>
      <c r="J69" t="n">
        <v/>
      </c>
      <c r="K69" t="inlineStr">
        <is>
          <t>Escalated invoice INV0002976 to account manager for non-payment.</t>
        </is>
      </c>
    </row>
    <row r="70">
      <c r="A70" t="inlineStr">
        <is>
          <t>COL0001486</t>
        </is>
      </c>
      <c r="B70" t="inlineStr">
        <is>
          <t>MER00140</t>
        </is>
      </c>
      <c r="C70" t="inlineStr">
        <is>
          <t>INV0002976</t>
        </is>
      </c>
      <c r="D70" s="8" t="n">
        <v>45807</v>
      </c>
      <c r="E70" t="inlineStr">
        <is>
          <t>Payment Promise</t>
        </is>
      </c>
      <c r="F70" t="inlineStr">
        <is>
          <t>WhatsApp</t>
        </is>
      </c>
      <c r="G70" t="inlineStr">
        <is>
          <t>Manish Tiwari</t>
        </is>
      </c>
      <c r="H70" t="inlineStr">
        <is>
          <t>Payment Received</t>
        </is>
      </c>
      <c r="I70" s="8" t="n">
        <v>45819</v>
      </c>
      <c r="J70" t="n">
        <v>211.28</v>
      </c>
      <c r="K70" t="inlineStr">
        <is>
          <t>Merchant committed to paying invoice INV0002976 by 2025-06-11.</t>
        </is>
      </c>
    </row>
    <row r="71">
      <c r="A71" t="inlineStr">
        <is>
          <t>COL0001487</t>
        </is>
      </c>
      <c r="B71" t="inlineStr">
        <is>
          <t>MER00140</t>
        </is>
      </c>
      <c r="C71" t="inlineStr">
        <is>
          <t>INV0002977</t>
        </is>
      </c>
      <c r="D71" s="8" t="n">
        <v>45803</v>
      </c>
      <c r="E71" t="inlineStr">
        <is>
          <t>Reminder</t>
        </is>
      </c>
      <c r="F71" t="inlineStr">
        <is>
          <t>Email</t>
        </is>
      </c>
      <c r="G71" t="inlineStr">
        <is>
          <t>Nandini Rajan</t>
        </is>
      </c>
      <c r="H71" t="inlineStr">
        <is>
          <t>No Response</t>
        </is>
      </c>
      <c r="I71" s="8" t="n"/>
      <c r="J71" t="n">
        <v/>
      </c>
      <c r="K71" t="inlineStr">
        <is>
          <t>Automated reminder sent for invoice INV0002977 due 2025-05-17.</t>
        </is>
      </c>
    </row>
    <row r="72">
      <c r="A72" t="inlineStr">
        <is>
          <t>COL0001488</t>
        </is>
      </c>
      <c r="B72" t="inlineStr">
        <is>
          <t>MER00140</t>
        </is>
      </c>
      <c r="C72" t="inlineStr">
        <is>
          <t>INV0002977</t>
        </is>
      </c>
      <c r="D72" s="8" t="n">
        <v>45811</v>
      </c>
      <c r="E72" t="inlineStr">
        <is>
          <t>Email</t>
        </is>
      </c>
      <c r="F72" t="inlineStr">
        <is>
          <t>Email</t>
        </is>
      </c>
      <c r="G72" t="inlineStr">
        <is>
          <t>Ritu Bansal</t>
        </is>
      </c>
      <c r="H72" t="inlineStr">
        <is>
          <t>No Response</t>
        </is>
      </c>
      <c r="I72" s="8" t="n"/>
      <c r="J72" t="n">
        <v/>
      </c>
      <c r="K72" t="inlineStr">
        <is>
          <t>Followed up via email regarding outstanding invoice INV0002977.</t>
        </is>
      </c>
    </row>
    <row r="73">
      <c r="A73" t="inlineStr">
        <is>
          <t>COL0001489</t>
        </is>
      </c>
      <c r="B73" t="inlineStr">
        <is>
          <t>MER00140</t>
        </is>
      </c>
      <c r="C73" t="inlineStr">
        <is>
          <t>INV0002977</t>
        </is>
      </c>
      <c r="D73" s="8" t="n">
        <v>45824</v>
      </c>
      <c r="E73" t="inlineStr">
        <is>
          <t>Phone</t>
        </is>
      </c>
      <c r="F73" t="inlineStr">
        <is>
          <t>Phone</t>
        </is>
      </c>
      <c r="G73" t="inlineStr">
        <is>
          <t>Anjali Desai</t>
        </is>
      </c>
      <c r="H73" t="inlineStr">
        <is>
          <t>No Response</t>
        </is>
      </c>
      <c r="I73" s="8" t="n"/>
      <c r="J73" t="n">
        <v/>
      </c>
      <c r="K73" t="inlineStr">
        <is>
          <t>Called merchant to discuss overdue invoice INV0002977.</t>
        </is>
      </c>
    </row>
    <row r="74">
      <c r="A74" t="inlineStr">
        <is>
          <t>COL0001490</t>
        </is>
      </c>
      <c r="B74" t="inlineStr">
        <is>
          <t>MER00140</t>
        </is>
      </c>
      <c r="C74" t="inlineStr">
        <is>
          <t>INV0002979</t>
        </is>
      </c>
      <c r="D74" s="8" t="n">
        <v>45861</v>
      </c>
      <c r="E74" t="inlineStr">
        <is>
          <t>Reminder</t>
        </is>
      </c>
      <c r="F74" t="inlineStr">
        <is>
          <t>Email</t>
        </is>
      </c>
      <c r="G74" t="inlineStr">
        <is>
          <t>Anjali Desai</t>
        </is>
      </c>
      <c r="H74" t="inlineStr">
        <is>
          <t>No Response</t>
        </is>
      </c>
      <c r="I74" s="8" t="n"/>
      <c r="J74" t="n">
        <v/>
      </c>
      <c r="K74" t="inlineStr">
        <is>
          <t>Automated reminder sent for invoice INV0002979 due 2025-07-17.</t>
        </is>
      </c>
    </row>
    <row r="75">
      <c r="A75" t="inlineStr">
        <is>
          <t>COL0001491</t>
        </is>
      </c>
      <c r="B75" t="inlineStr">
        <is>
          <t>MER00140</t>
        </is>
      </c>
      <c r="C75" t="inlineStr">
        <is>
          <t>INV0002979</t>
        </is>
      </c>
      <c r="D75" s="8" t="n">
        <v>45875</v>
      </c>
      <c r="E75" t="inlineStr">
        <is>
          <t>Email</t>
        </is>
      </c>
      <c r="F75" t="inlineStr">
        <is>
          <t>Email</t>
        </is>
      </c>
      <c r="G75" t="inlineStr">
        <is>
          <t>Amit Saxena</t>
        </is>
      </c>
      <c r="H75" t="inlineStr">
        <is>
          <t>Promise to Pay</t>
        </is>
      </c>
      <c r="I75" s="8" t="n">
        <v>45880</v>
      </c>
      <c r="J75" t="n">
        <v>172.05</v>
      </c>
      <c r="K75" t="inlineStr">
        <is>
          <t>Followed up via email regarding outstanding invoice INV0002979.</t>
        </is>
      </c>
    </row>
    <row r="76">
      <c r="A76" t="inlineStr">
        <is>
          <t>COL0001492</t>
        </is>
      </c>
      <c r="B76" t="inlineStr">
        <is>
          <t>MER00140</t>
        </is>
      </c>
      <c r="C76" t="inlineStr">
        <is>
          <t>INV0002979</t>
        </is>
      </c>
      <c r="D76" s="8" t="n">
        <v>45882</v>
      </c>
      <c r="E76" t="inlineStr">
        <is>
          <t>Phone</t>
        </is>
      </c>
      <c r="F76" t="inlineStr">
        <is>
          <t>Phone</t>
        </is>
      </c>
      <c r="G76" t="inlineStr">
        <is>
          <t>Anjali Desai</t>
        </is>
      </c>
      <c r="H76" t="inlineStr">
        <is>
          <t>Disputed</t>
        </is>
      </c>
      <c r="I76" s="8" t="n"/>
      <c r="J76" t="n">
        <v/>
      </c>
      <c r="K76" t="inlineStr">
        <is>
          <t>Called merchant to discuss overdue invoice INV0002979.</t>
        </is>
      </c>
    </row>
    <row r="77">
      <c r="A77" t="inlineStr">
        <is>
          <t>COL0001493</t>
        </is>
      </c>
      <c r="B77" t="inlineStr">
        <is>
          <t>MER00140</t>
        </is>
      </c>
      <c r="C77" t="inlineStr">
        <is>
          <t>INV0002979</t>
        </is>
      </c>
      <c r="D77" s="8" t="n">
        <v>45892</v>
      </c>
      <c r="E77" t="inlineStr">
        <is>
          <t>Escalation</t>
        </is>
      </c>
      <c r="F77" t="inlineStr">
        <is>
          <t>Phone</t>
        </is>
      </c>
      <c r="G77" t="inlineStr">
        <is>
          <t>Anjali Desai</t>
        </is>
      </c>
      <c r="H77" t="inlineStr">
        <is>
          <t>Escalated</t>
        </is>
      </c>
      <c r="I77" s="8" t="n"/>
      <c r="J77" t="n">
        <v/>
      </c>
      <c r="K77" t="inlineStr">
        <is>
          <t>Escalated invoice INV0002979 to account manager for non-payment.</t>
        </is>
      </c>
    </row>
    <row r="78">
      <c r="A78" t="inlineStr">
        <is>
          <t>COL0001494</t>
        </is>
      </c>
      <c r="B78" t="inlineStr">
        <is>
          <t>MER00140</t>
        </is>
      </c>
      <c r="C78" t="inlineStr">
        <is>
          <t>INV0002979</t>
        </is>
      </c>
      <c r="D78" s="8" t="n">
        <v>45902</v>
      </c>
      <c r="E78" t="inlineStr">
        <is>
          <t>Payment Promise</t>
        </is>
      </c>
      <c r="F78" t="inlineStr">
        <is>
          <t>WhatsApp</t>
        </is>
      </c>
      <c r="G78" t="inlineStr">
        <is>
          <t>Farhan Sheikh</t>
        </is>
      </c>
      <c r="H78" t="inlineStr">
        <is>
          <t>No Response</t>
        </is>
      </c>
      <c r="I78" s="8" t="n">
        <v>45915</v>
      </c>
      <c r="J78" t="n">
        <v>196.65</v>
      </c>
      <c r="K78" t="inlineStr">
        <is>
          <t>Merchant committed to paying invoice INV0002979 by 2025-09-15.</t>
        </is>
      </c>
    </row>
    <row r="79">
      <c r="A79" t="inlineStr">
        <is>
          <t>COL0001495</t>
        </is>
      </c>
      <c r="B79" t="inlineStr">
        <is>
          <t>MER00140</t>
        </is>
      </c>
      <c r="C79" t="inlineStr">
        <is>
          <t>INV0002982</t>
        </is>
      </c>
      <c r="D79" s="8" t="n">
        <v>45954</v>
      </c>
      <c r="E79" t="inlineStr">
        <is>
          <t>Reminder</t>
        </is>
      </c>
      <c r="F79" t="inlineStr">
        <is>
          <t>Email</t>
        </is>
      </c>
      <c r="G79" t="inlineStr">
        <is>
          <t>Anjali Desai</t>
        </is>
      </c>
      <c r="H79" t="inlineStr">
        <is>
          <t>No Response</t>
        </is>
      </c>
      <c r="I79" s="8" t="n"/>
      <c r="J79" t="n">
        <v/>
      </c>
      <c r="K79" t="inlineStr">
        <is>
          <t>Automated reminder sent for invoice INV0002982 due 2025-10-17.</t>
        </is>
      </c>
    </row>
    <row r="80">
      <c r="A80" t="inlineStr">
        <is>
          <t>COL0001496</t>
        </is>
      </c>
      <c r="B80" t="inlineStr">
        <is>
          <t>MER00140</t>
        </is>
      </c>
      <c r="C80" t="inlineStr">
        <is>
          <t>INV0002982</t>
        </is>
      </c>
      <c r="D80" s="8" t="n">
        <v>45963</v>
      </c>
      <c r="E80" t="inlineStr">
        <is>
          <t>Email</t>
        </is>
      </c>
      <c r="F80" t="inlineStr">
        <is>
          <t>Email</t>
        </is>
      </c>
      <c r="G80" t="inlineStr">
        <is>
          <t>Shweta Gupta</t>
        </is>
      </c>
      <c r="H80" t="inlineStr">
        <is>
          <t>Promise to Pay</t>
        </is>
      </c>
      <c r="I80" s="8" t="n">
        <v>45970</v>
      </c>
      <c r="J80" t="n">
        <v>120.7</v>
      </c>
      <c r="K80" t="inlineStr">
        <is>
          <t>Followed up via email regarding outstanding invoice INV0002982.</t>
        </is>
      </c>
    </row>
    <row r="81">
      <c r="A81" t="inlineStr">
        <is>
          <t>COL0001497</t>
        </is>
      </c>
      <c r="B81" t="inlineStr">
        <is>
          <t>MER00140</t>
        </is>
      </c>
      <c r="C81" t="inlineStr">
        <is>
          <t>INV0002982</t>
        </is>
      </c>
      <c r="D81" s="8" t="n">
        <v>45976</v>
      </c>
      <c r="E81" t="inlineStr">
        <is>
          <t>Phone</t>
        </is>
      </c>
      <c r="F81" t="inlineStr">
        <is>
          <t>Phone</t>
        </is>
      </c>
      <c r="G81" t="inlineStr">
        <is>
          <t>Nandini Rajan</t>
        </is>
      </c>
      <c r="H81" t="inlineStr">
        <is>
          <t>No Response</t>
        </is>
      </c>
      <c r="I81" s="8" t="n"/>
      <c r="J81" t="n">
        <v/>
      </c>
      <c r="K81" t="inlineStr">
        <is>
          <t>Called merchant to discuss overdue invoice INV0002982.</t>
        </is>
      </c>
    </row>
    <row r="82">
      <c r="A82" t="inlineStr">
        <is>
          <t>COL0001498</t>
        </is>
      </c>
      <c r="B82" t="inlineStr">
        <is>
          <t>MER00140</t>
        </is>
      </c>
      <c r="C82" t="inlineStr">
        <is>
          <t>INV0002982</t>
        </is>
      </c>
      <c r="D82" s="8" t="n">
        <v>45982</v>
      </c>
      <c r="E82" t="inlineStr">
        <is>
          <t>Escalation</t>
        </is>
      </c>
      <c r="F82" t="inlineStr">
        <is>
          <t>Phone</t>
        </is>
      </c>
      <c r="G82" t="inlineStr">
        <is>
          <t>Sanjay Kumar</t>
        </is>
      </c>
      <c r="H82" t="inlineStr">
        <is>
          <t>Escalated</t>
        </is>
      </c>
      <c r="I82" s="8" t="n"/>
      <c r="J82" t="n">
        <v/>
      </c>
      <c r="K82" t="inlineStr">
        <is>
          <t>Escalated invoice INV0002982 to account manager for non-payment.</t>
        </is>
      </c>
    </row>
    <row r="83">
      <c r="A83" t="inlineStr">
        <is>
          <t>COL0001499</t>
        </is>
      </c>
      <c r="B83" t="inlineStr">
        <is>
          <t>MER00140</t>
        </is>
      </c>
      <c r="C83" t="inlineStr">
        <is>
          <t>INV0002985</t>
        </is>
      </c>
      <c r="D83" s="8" t="n">
        <v>46046</v>
      </c>
      <c r="E83" t="inlineStr">
        <is>
          <t>Reminder</t>
        </is>
      </c>
      <c r="F83" t="inlineStr">
        <is>
          <t>Email</t>
        </is>
      </c>
      <c r="G83" t="inlineStr">
        <is>
          <t>Manish Tiwari</t>
        </is>
      </c>
      <c r="H83" t="inlineStr">
        <is>
          <t>No Response</t>
        </is>
      </c>
      <c r="I83" s="8" t="n"/>
      <c r="J83" t="n">
        <v/>
      </c>
      <c r="K83" t="inlineStr">
        <is>
          <t>Automated reminder sent for invoice INV0002985 due 2026-01-17.</t>
        </is>
      </c>
    </row>
    <row r="84">
      <c r="A84" t="inlineStr">
        <is>
          <t>COL0001500</t>
        </is>
      </c>
      <c r="B84" t="inlineStr">
        <is>
          <t>MER00140</t>
        </is>
      </c>
      <c r="C84" t="inlineStr">
        <is>
          <t>INV0002985</t>
        </is>
      </c>
      <c r="D84" s="8" t="n">
        <v>46057</v>
      </c>
      <c r="E84" t="inlineStr">
        <is>
          <t>Email</t>
        </is>
      </c>
      <c r="F84" t="inlineStr">
        <is>
          <t>Email</t>
        </is>
      </c>
      <c r="G84" t="inlineStr">
        <is>
          <t>Nandini Rajan</t>
        </is>
      </c>
      <c r="H84" t="inlineStr">
        <is>
          <t>No Response</t>
        </is>
      </c>
      <c r="I84" s="8" t="n"/>
      <c r="J84" t="n">
        <v/>
      </c>
      <c r="K84" t="inlineStr">
        <is>
          <t>Followed up via email regarding outstanding invoice INV0002985.</t>
        </is>
      </c>
    </row>
    <row r="85">
      <c r="A85" t="inlineStr">
        <is>
          <t>COL0001501</t>
        </is>
      </c>
      <c r="B85" t="inlineStr">
        <is>
          <t>MER00140</t>
        </is>
      </c>
      <c r="C85" t="inlineStr">
        <is>
          <t>INV0002985</t>
        </is>
      </c>
      <c r="D85" s="8" t="n">
        <v>46067</v>
      </c>
      <c r="E85" t="inlineStr">
        <is>
          <t>Phone</t>
        </is>
      </c>
      <c r="F85" t="inlineStr">
        <is>
          <t>Phone</t>
        </is>
      </c>
      <c r="G85" t="inlineStr">
        <is>
          <t>Manish Tiwari</t>
        </is>
      </c>
      <c r="H85" t="inlineStr">
        <is>
          <t>Promise to Pay</t>
        </is>
      </c>
      <c r="I85" s="8" t="n">
        <v>46071</v>
      </c>
      <c r="J85" t="n">
        <v>388.51</v>
      </c>
      <c r="K85" t="inlineStr">
        <is>
          <t>Called merchant to discuss overdue invoice INV0002985.</t>
        </is>
      </c>
    </row>
    <row r="86">
      <c r="A86" t="inlineStr">
        <is>
          <t>COL0001502</t>
        </is>
      </c>
      <c r="B86" t="inlineStr">
        <is>
          <t>MER00140</t>
        </is>
      </c>
      <c r="C86" t="inlineStr">
        <is>
          <t>INV0002985</t>
        </is>
      </c>
      <c r="D86" s="8" t="n">
        <v>46078</v>
      </c>
      <c r="E86" t="inlineStr">
        <is>
          <t>Escalation</t>
        </is>
      </c>
      <c r="F86" t="inlineStr">
        <is>
          <t>Phone</t>
        </is>
      </c>
      <c r="G86" t="inlineStr">
        <is>
          <t>Nandini Rajan</t>
        </is>
      </c>
      <c r="H86" t="inlineStr">
        <is>
          <t>Disputed</t>
        </is>
      </c>
      <c r="I86" s="8" t="n"/>
      <c r="J86" t="n">
        <v/>
      </c>
      <c r="K86" t="inlineStr">
        <is>
          <t>Escalated invoice INV0002985 to account manager for non-payment.</t>
        </is>
      </c>
    </row>
    <row r="87">
      <c r="A87" t="inlineStr">
        <is>
          <t>COL0001503</t>
        </is>
      </c>
      <c r="B87" t="inlineStr">
        <is>
          <t>MER00140</t>
        </is>
      </c>
      <c r="C87" t="inlineStr">
        <is>
          <t>INV0002985</t>
        </is>
      </c>
      <c r="D87" s="8" t="n">
        <v>46083</v>
      </c>
      <c r="E87" t="inlineStr">
        <is>
          <t>Payment Promise</t>
        </is>
      </c>
      <c r="F87" t="inlineStr">
        <is>
          <t>WhatsApp</t>
        </is>
      </c>
      <c r="G87" t="inlineStr">
        <is>
          <t>Nandini Rajan</t>
        </is>
      </c>
      <c r="H87" t="inlineStr">
        <is>
          <t>Promise to Pay</t>
        </is>
      </c>
      <c r="I87" s="8" t="n">
        <v>46086</v>
      </c>
      <c r="J87" t="n">
        <v>368.09</v>
      </c>
      <c r="K87" t="inlineStr">
        <is>
          <t>Merchant committed to paying invoice INV0002985 by 2026-03-05.</t>
        </is>
      </c>
    </row>
    <row r="88">
      <c r="A88" t="inlineStr">
        <is>
          <t>COL0001504</t>
        </is>
      </c>
      <c r="B88" t="inlineStr">
        <is>
          <t>MER00140</t>
        </is>
      </c>
      <c r="C88" t="inlineStr">
        <is>
          <t>INV0002990</t>
        </is>
      </c>
      <c r="D88" s="8" t="n">
        <v>46223</v>
      </c>
      <c r="E88" t="inlineStr">
        <is>
          <t>Reminder</t>
        </is>
      </c>
      <c r="F88" t="inlineStr">
        <is>
          <t>Email</t>
        </is>
      </c>
      <c r="G88" t="inlineStr">
        <is>
          <t>Sanjay Kumar</t>
        </is>
      </c>
      <c r="H88" t="inlineStr">
        <is>
          <t>Promise to Pay</t>
        </is>
      </c>
      <c r="I88" s="8" t="n">
        <v>46226</v>
      </c>
      <c r="J88" t="n">
        <v>474.59</v>
      </c>
      <c r="K88" t="inlineStr">
        <is>
          <t>Automated reminder sent for invoice INV0002990 due 2026-07-17.</t>
        </is>
      </c>
    </row>
    <row r="89">
      <c r="A89" t="inlineStr">
        <is>
          <t>COL0001505</t>
        </is>
      </c>
      <c r="B89" t="inlineStr">
        <is>
          <t>MER00140</t>
        </is>
      </c>
      <c r="C89" t="inlineStr">
        <is>
          <t>INV0002990</t>
        </is>
      </c>
      <c r="D89" s="8" t="n">
        <v>46235</v>
      </c>
      <c r="E89" t="inlineStr">
        <is>
          <t>Email</t>
        </is>
      </c>
      <c r="F89" t="inlineStr">
        <is>
          <t>Email</t>
        </is>
      </c>
      <c r="G89" t="inlineStr">
        <is>
          <t>Sanjay Kumar</t>
        </is>
      </c>
      <c r="H89" t="inlineStr">
        <is>
          <t>No Response</t>
        </is>
      </c>
      <c r="I89" s="8" t="n"/>
      <c r="J89" t="n">
        <v/>
      </c>
      <c r="K89" t="inlineStr">
        <is>
          <t>Followed up via email regarding outstanding invoice INV0002990.</t>
        </is>
      </c>
    </row>
    <row r="90">
      <c r="A90" t="inlineStr">
        <is>
          <t>COL0001506</t>
        </is>
      </c>
      <c r="B90" t="inlineStr">
        <is>
          <t>MER00140</t>
        </is>
      </c>
      <c r="C90" t="inlineStr">
        <is>
          <t>INV0002990</t>
        </is>
      </c>
      <c r="D90" s="8" t="n">
        <v>46244</v>
      </c>
      <c r="E90" t="inlineStr">
        <is>
          <t>Phone</t>
        </is>
      </c>
      <c r="F90" t="inlineStr">
        <is>
          <t>Phone</t>
        </is>
      </c>
      <c r="G90" t="inlineStr">
        <is>
          <t>Nandini Rajan</t>
        </is>
      </c>
      <c r="H90" t="inlineStr">
        <is>
          <t>Disputed</t>
        </is>
      </c>
      <c r="I90" s="8" t="n"/>
      <c r="J90" t="n">
        <v/>
      </c>
      <c r="K90" t="inlineStr">
        <is>
          <t>Called merchant to discuss overdue invoice INV0002990.</t>
        </is>
      </c>
    </row>
    <row r="91">
      <c r="A91" t="inlineStr">
        <is>
          <t>COL0001507</t>
        </is>
      </c>
      <c r="B91" t="inlineStr">
        <is>
          <t>MER00140</t>
        </is>
      </c>
      <c r="C91" t="inlineStr">
        <is>
          <t>INV0002990</t>
        </is>
      </c>
      <c r="D91" s="8" t="n">
        <v>46258</v>
      </c>
      <c r="E91" t="inlineStr">
        <is>
          <t>Escalation</t>
        </is>
      </c>
      <c r="F91" t="inlineStr">
        <is>
          <t>Phone</t>
        </is>
      </c>
      <c r="G91" t="inlineStr">
        <is>
          <t>Manish Tiwari</t>
        </is>
      </c>
      <c r="H91" t="inlineStr">
        <is>
          <t>Escalated</t>
        </is>
      </c>
      <c r="I91" s="8" t="n"/>
      <c r="J91" t="n">
        <v/>
      </c>
      <c r="K91" t="inlineStr">
        <is>
          <t>Escalated invoice INV0002990 to account manager for non-payment.</t>
        </is>
      </c>
    </row>
    <row r="92">
      <c r="A92" t="inlineStr">
        <is>
          <t>COL0001602</t>
        </is>
      </c>
      <c r="B92" t="inlineStr">
        <is>
          <t>MER00156</t>
        </is>
      </c>
      <c r="C92" t="inlineStr">
        <is>
          <t>INV0003311</t>
        </is>
      </c>
      <c r="D92" s="8" t="n">
        <v>45907</v>
      </c>
      <c r="E92" t="inlineStr">
        <is>
          <t>Reminder</t>
        </is>
      </c>
      <c r="F92" t="inlineStr">
        <is>
          <t>Email</t>
        </is>
      </c>
      <c r="G92" t="inlineStr">
        <is>
          <t>Vivek Nair</t>
        </is>
      </c>
      <c r="H92" t="inlineStr">
        <is>
          <t>No Response</t>
        </is>
      </c>
      <c r="I92" s="8" t="n"/>
      <c r="J92" t="n">
        <v/>
      </c>
      <c r="K92" t="inlineStr">
        <is>
          <t>Automated reminder sent for invoice INV0003311 due 2025-09-01.</t>
        </is>
      </c>
    </row>
    <row r="93">
      <c r="A93" t="inlineStr">
        <is>
          <t>COL0001603</t>
        </is>
      </c>
      <c r="B93" t="inlineStr">
        <is>
          <t>MER00156</t>
        </is>
      </c>
      <c r="C93" t="inlineStr">
        <is>
          <t>INV0003311</t>
        </is>
      </c>
      <c r="D93" s="8" t="n">
        <v>45916</v>
      </c>
      <c r="E93" t="inlineStr">
        <is>
          <t>Email</t>
        </is>
      </c>
      <c r="F93" t="inlineStr">
        <is>
          <t>Email</t>
        </is>
      </c>
      <c r="G93" t="inlineStr">
        <is>
          <t>Manish Tiwari</t>
        </is>
      </c>
      <c r="H93" t="inlineStr">
        <is>
          <t>No Response</t>
        </is>
      </c>
      <c r="I93" s="8" t="n"/>
      <c r="J93" t="n">
        <v/>
      </c>
      <c r="K93" t="inlineStr">
        <is>
          <t>Followed up via email regarding outstanding invoice INV0003311.</t>
        </is>
      </c>
    </row>
    <row r="94">
      <c r="A94" t="inlineStr">
        <is>
          <t>COL0001604</t>
        </is>
      </c>
      <c r="B94" t="inlineStr">
        <is>
          <t>MER00156</t>
        </is>
      </c>
      <c r="C94" t="inlineStr">
        <is>
          <t>INV0003311</t>
        </is>
      </c>
      <c r="D94" s="8" t="n">
        <v>45923</v>
      </c>
      <c r="E94" t="inlineStr">
        <is>
          <t>Phone</t>
        </is>
      </c>
      <c r="F94" t="inlineStr">
        <is>
          <t>Phone</t>
        </is>
      </c>
      <c r="G94" t="inlineStr">
        <is>
          <t>Shweta Gupta</t>
        </is>
      </c>
      <c r="H94" t="inlineStr">
        <is>
          <t>Promise to Pay</t>
        </is>
      </c>
      <c r="I94" s="8" t="n">
        <v>45926</v>
      </c>
      <c r="J94" t="n">
        <v>200.03</v>
      </c>
      <c r="K94" t="inlineStr">
        <is>
          <t>Called merchant to discuss overdue invoice INV0003311.</t>
        </is>
      </c>
    </row>
    <row r="95">
      <c r="A95" t="inlineStr">
        <is>
          <t>COL0001605</t>
        </is>
      </c>
      <c r="B95" t="inlineStr">
        <is>
          <t>MER00156</t>
        </is>
      </c>
      <c r="C95" t="inlineStr">
        <is>
          <t>INV0003313</t>
        </is>
      </c>
      <c r="D95" s="8" t="n">
        <v>45966</v>
      </c>
      <c r="E95" t="inlineStr">
        <is>
          <t>Reminder</t>
        </is>
      </c>
      <c r="F95" t="inlineStr">
        <is>
          <t>Email</t>
        </is>
      </c>
      <c r="G95" t="inlineStr">
        <is>
          <t>Amit Saxena</t>
        </is>
      </c>
      <c r="H95" t="inlineStr">
        <is>
          <t>No Response</t>
        </is>
      </c>
      <c r="I95" s="8" t="n"/>
      <c r="J95" t="n">
        <v/>
      </c>
      <c r="K95" t="inlineStr">
        <is>
          <t>Automated reminder sent for invoice INV0003313 due 2025-11-01.</t>
        </is>
      </c>
    </row>
    <row r="96">
      <c r="A96" t="inlineStr">
        <is>
          <t>COL0001606</t>
        </is>
      </c>
      <c r="B96" t="inlineStr">
        <is>
          <t>MER00156</t>
        </is>
      </c>
      <c r="C96" t="inlineStr">
        <is>
          <t>INV0003313</t>
        </is>
      </c>
      <c r="D96" s="8" t="n">
        <v>45977</v>
      </c>
      <c r="E96" t="inlineStr">
        <is>
          <t>Email</t>
        </is>
      </c>
      <c r="F96" t="inlineStr">
        <is>
          <t>Email</t>
        </is>
      </c>
      <c r="G96" t="inlineStr">
        <is>
          <t>Amit Saxena</t>
        </is>
      </c>
      <c r="H96" t="inlineStr">
        <is>
          <t>Disputed</t>
        </is>
      </c>
      <c r="I96" s="8" t="n"/>
      <c r="J96" t="n">
        <v/>
      </c>
      <c r="K96" t="inlineStr">
        <is>
          <t>Followed up via email regarding outstanding invoice INV0003313.</t>
        </is>
      </c>
    </row>
    <row r="97">
      <c r="A97" t="inlineStr">
        <is>
          <t>COL0001607</t>
        </is>
      </c>
      <c r="B97" t="inlineStr">
        <is>
          <t>MER00156</t>
        </is>
      </c>
      <c r="C97" t="inlineStr">
        <is>
          <t>INV0003313</t>
        </is>
      </c>
      <c r="D97" s="8" t="n">
        <v>45985</v>
      </c>
      <c r="E97" t="inlineStr">
        <is>
          <t>Phone</t>
        </is>
      </c>
      <c r="F97" t="inlineStr">
        <is>
          <t>Phone</t>
        </is>
      </c>
      <c r="G97" t="inlineStr">
        <is>
          <t>Anjali Desai</t>
        </is>
      </c>
      <c r="H97" t="inlineStr">
        <is>
          <t>No Response</t>
        </is>
      </c>
      <c r="I97" s="8" t="n"/>
      <c r="J97" t="n">
        <v/>
      </c>
      <c r="K97" t="inlineStr">
        <is>
          <t>Called merchant to discuss overdue invoice INV0003313.</t>
        </is>
      </c>
    </row>
    <row r="98">
      <c r="A98" t="inlineStr">
        <is>
          <t>COL0001608</t>
        </is>
      </c>
      <c r="B98" t="inlineStr">
        <is>
          <t>MER00156</t>
        </is>
      </c>
      <c r="C98" t="inlineStr">
        <is>
          <t>INV0003314</t>
        </is>
      </c>
      <c r="D98" s="8" t="n">
        <v>45996</v>
      </c>
      <c r="E98" t="inlineStr">
        <is>
          <t>Reminder</t>
        </is>
      </c>
      <c r="F98" t="inlineStr">
        <is>
          <t>Email</t>
        </is>
      </c>
      <c r="G98" t="inlineStr">
        <is>
          <t>Vivek Nair</t>
        </is>
      </c>
      <c r="H98" t="inlineStr">
        <is>
          <t>Promise to Pay</t>
        </is>
      </c>
      <c r="I98" s="8" t="n">
        <v>46006</v>
      </c>
      <c r="J98" t="n">
        <v>136.44</v>
      </c>
      <c r="K98" t="inlineStr">
        <is>
          <t>Automated reminder sent for invoice INV0003314 due 2025-12-02.</t>
        </is>
      </c>
    </row>
    <row r="99">
      <c r="A99" t="inlineStr">
        <is>
          <t>COL0001609</t>
        </is>
      </c>
      <c r="B99" t="inlineStr">
        <is>
          <t>MER00156</t>
        </is>
      </c>
      <c r="C99" t="inlineStr">
        <is>
          <t>INV0003314</t>
        </is>
      </c>
      <c r="D99" s="8" t="n">
        <v>46009</v>
      </c>
      <c r="E99" t="inlineStr">
        <is>
          <t>Email</t>
        </is>
      </c>
      <c r="F99" t="inlineStr">
        <is>
          <t>Email</t>
        </is>
      </c>
      <c r="G99" t="inlineStr">
        <is>
          <t>Nandini Rajan</t>
        </is>
      </c>
      <c r="H99" t="inlineStr">
        <is>
          <t>No Response</t>
        </is>
      </c>
      <c r="I99" s="8" t="n"/>
      <c r="J99" t="n">
        <v/>
      </c>
      <c r="K99" t="inlineStr">
        <is>
          <t>Followed up via email regarding outstanding invoice INV0003314.</t>
        </is>
      </c>
    </row>
    <row r="100">
      <c r="A100" t="inlineStr">
        <is>
          <t>COL0001610</t>
        </is>
      </c>
      <c r="B100" t="inlineStr">
        <is>
          <t>MER00156</t>
        </is>
      </c>
      <c r="C100" t="inlineStr">
        <is>
          <t>INV0003314</t>
        </is>
      </c>
      <c r="D100" s="8" t="n">
        <v>46017</v>
      </c>
      <c r="E100" t="inlineStr">
        <is>
          <t>Phone</t>
        </is>
      </c>
      <c r="F100" t="inlineStr">
        <is>
          <t>Phone</t>
        </is>
      </c>
      <c r="G100" t="inlineStr">
        <is>
          <t>Vivek Nair</t>
        </is>
      </c>
      <c r="H100" t="inlineStr">
        <is>
          <t>Promise to Pay</t>
        </is>
      </c>
      <c r="I100" s="8" t="n">
        <v>46030</v>
      </c>
      <c r="J100" t="n">
        <v>136.88</v>
      </c>
      <c r="K100" t="inlineStr">
        <is>
          <t>Called merchant to discuss overdue invoice INV0003314.</t>
        </is>
      </c>
    </row>
    <row r="101">
      <c r="A101" t="inlineStr">
        <is>
          <t>COL0001611</t>
        </is>
      </c>
      <c r="B101" t="inlineStr">
        <is>
          <t>MER00156</t>
        </is>
      </c>
      <c r="C101" t="inlineStr">
        <is>
          <t>INV0003318</t>
        </is>
      </c>
      <c r="D101" s="8" t="n">
        <v>46119</v>
      </c>
      <c r="E101" t="inlineStr">
        <is>
          <t>Reminder</t>
        </is>
      </c>
      <c r="F101" t="inlineStr">
        <is>
          <t>Email</t>
        </is>
      </c>
      <c r="G101" t="inlineStr">
        <is>
          <t>Ritu Bansal</t>
        </is>
      </c>
      <c r="H101" t="inlineStr">
        <is>
          <t>No Response</t>
        </is>
      </c>
      <c r="I101" s="8" t="n"/>
      <c r="J101" t="n">
        <v/>
      </c>
      <c r="K101" t="inlineStr">
        <is>
          <t>Automated reminder sent for invoice INV0003318 due 2026-04-01.</t>
        </is>
      </c>
    </row>
    <row r="102">
      <c r="A102" t="inlineStr">
        <is>
          <t>COL0001612</t>
        </is>
      </c>
      <c r="B102" t="inlineStr">
        <is>
          <t>MER00156</t>
        </is>
      </c>
      <c r="C102" t="inlineStr">
        <is>
          <t>INV0003318</t>
        </is>
      </c>
      <c r="D102" s="8" t="n">
        <v>46127</v>
      </c>
      <c r="E102" t="inlineStr">
        <is>
          <t>Email</t>
        </is>
      </c>
      <c r="F102" t="inlineStr">
        <is>
          <t>Email</t>
        </is>
      </c>
      <c r="G102" t="inlineStr">
        <is>
          <t>Vivek Nair</t>
        </is>
      </c>
      <c r="H102" t="inlineStr">
        <is>
          <t>Promise to Pay</t>
        </is>
      </c>
      <c r="I102" s="8" t="n">
        <v>46130</v>
      </c>
      <c r="J102" t="n">
        <v>123.99</v>
      </c>
      <c r="K102" t="inlineStr">
        <is>
          <t>Followed up via email regarding outstanding invoice INV0003318.</t>
        </is>
      </c>
    </row>
    <row r="103">
      <c r="A103" t="inlineStr">
        <is>
          <t>COL0001613</t>
        </is>
      </c>
      <c r="B103" t="inlineStr">
        <is>
          <t>MER00156</t>
        </is>
      </c>
      <c r="C103" t="inlineStr">
        <is>
          <t>INV0003318</t>
        </is>
      </c>
      <c r="D103" s="8" t="n">
        <v>46132</v>
      </c>
      <c r="E103" t="inlineStr">
        <is>
          <t>Phone</t>
        </is>
      </c>
      <c r="F103" t="inlineStr">
        <is>
          <t>Phone</t>
        </is>
      </c>
      <c r="G103" t="inlineStr">
        <is>
          <t>Vivek Nair</t>
        </is>
      </c>
      <c r="H103" t="inlineStr">
        <is>
          <t>Promise to Pay</t>
        </is>
      </c>
      <c r="I103" s="8" t="n">
        <v>46135</v>
      </c>
      <c r="J103" t="n">
        <v>82.95999999999999</v>
      </c>
      <c r="K103" t="inlineStr">
        <is>
          <t>Called merchant to discuss overdue invoice INV0003318.</t>
        </is>
      </c>
    </row>
    <row r="104">
      <c r="A104" t="inlineStr">
        <is>
          <t>COL0001614</t>
        </is>
      </c>
      <c r="B104" t="inlineStr">
        <is>
          <t>MER00156</t>
        </is>
      </c>
      <c r="C104" t="inlineStr">
        <is>
          <t>INV0003318</t>
        </is>
      </c>
      <c r="D104" s="8" t="n">
        <v>46139</v>
      </c>
      <c r="E104" t="inlineStr">
        <is>
          <t>Escalation</t>
        </is>
      </c>
      <c r="F104" t="inlineStr">
        <is>
          <t>Phone</t>
        </is>
      </c>
      <c r="G104" t="inlineStr">
        <is>
          <t>Ritu Bansal</t>
        </is>
      </c>
      <c r="H104" t="inlineStr">
        <is>
          <t>No Response</t>
        </is>
      </c>
      <c r="I104" s="8" t="n"/>
      <c r="J104" t="n">
        <v/>
      </c>
      <c r="K104" t="inlineStr">
        <is>
          <t>Escalated invoice INV0003318 to account manager for non-payment.</t>
        </is>
      </c>
    </row>
    <row r="105">
      <c r="A105" t="inlineStr">
        <is>
          <t>COL0001615</t>
        </is>
      </c>
      <c r="B105" t="inlineStr">
        <is>
          <t>MER00156</t>
        </is>
      </c>
      <c r="C105" t="inlineStr">
        <is>
          <t>INV0003318</t>
        </is>
      </c>
      <c r="D105" s="8" t="n">
        <v>46144</v>
      </c>
      <c r="E105" t="inlineStr">
        <is>
          <t>Payment Promise</t>
        </is>
      </c>
      <c r="F105" t="inlineStr">
        <is>
          <t>WhatsApp</t>
        </is>
      </c>
      <c r="G105" t="inlineStr">
        <is>
          <t>Amit Saxena</t>
        </is>
      </c>
      <c r="H105" t="inlineStr">
        <is>
          <t>No Response</t>
        </is>
      </c>
      <c r="I105" s="8" t="n">
        <v>46148</v>
      </c>
      <c r="J105" t="n">
        <v>110.81</v>
      </c>
      <c r="K105" t="inlineStr">
        <is>
          <t>Merchant committed to paying invoice INV0003318 by 2026-05-06.</t>
        </is>
      </c>
    </row>
    <row r="106">
      <c r="A106" t="inlineStr">
        <is>
          <t>COL0001616</t>
        </is>
      </c>
      <c r="B106" t="inlineStr">
        <is>
          <t>MER00156</t>
        </is>
      </c>
      <c r="C106" t="inlineStr">
        <is>
          <t>INV0003319</t>
        </is>
      </c>
      <c r="D106" s="8" t="n">
        <v>46147</v>
      </c>
      <c r="E106" t="inlineStr">
        <is>
          <t>Reminder</t>
        </is>
      </c>
      <c r="F106" t="inlineStr">
        <is>
          <t>Email</t>
        </is>
      </c>
      <c r="G106" t="inlineStr">
        <is>
          <t>Farhan Sheikh</t>
        </is>
      </c>
      <c r="H106" t="inlineStr">
        <is>
          <t>Disputed</t>
        </is>
      </c>
      <c r="I106" s="8" t="n"/>
      <c r="J106" t="n">
        <v/>
      </c>
      <c r="K106" t="inlineStr">
        <is>
          <t>Automated reminder sent for invoice INV0003319 due 2026-05-02.</t>
        </is>
      </c>
    </row>
    <row r="107">
      <c r="A107" t="inlineStr">
        <is>
          <t>COL0001617</t>
        </is>
      </c>
      <c r="B107" t="inlineStr">
        <is>
          <t>MER00156</t>
        </is>
      </c>
      <c r="C107" t="inlineStr">
        <is>
          <t>INV0003319</t>
        </is>
      </c>
      <c r="D107" s="8" t="n">
        <v>46153</v>
      </c>
      <c r="E107" t="inlineStr">
        <is>
          <t>Email</t>
        </is>
      </c>
      <c r="F107" t="inlineStr">
        <is>
          <t>Email</t>
        </is>
      </c>
      <c r="G107" t="inlineStr">
        <is>
          <t>Amit Saxena</t>
        </is>
      </c>
      <c r="H107" t="inlineStr">
        <is>
          <t>Promise to Pay</t>
        </is>
      </c>
      <c r="I107" s="8" t="n">
        <v>46163</v>
      </c>
      <c r="J107" t="n">
        <v>118.49</v>
      </c>
      <c r="K107" t="inlineStr">
        <is>
          <t>Followed up via email regarding outstanding invoice INV0003319.</t>
        </is>
      </c>
    </row>
    <row r="108">
      <c r="A108" t="inlineStr">
        <is>
          <t>COL0001618</t>
        </is>
      </c>
      <c r="B108" t="inlineStr">
        <is>
          <t>MER00156</t>
        </is>
      </c>
      <c r="C108" t="inlineStr">
        <is>
          <t>INV0003319</t>
        </is>
      </c>
      <c r="D108" s="8" t="n">
        <v>46167</v>
      </c>
      <c r="E108" t="inlineStr">
        <is>
          <t>Phone</t>
        </is>
      </c>
      <c r="F108" t="inlineStr">
        <is>
          <t>Phone</t>
        </is>
      </c>
      <c r="G108" t="inlineStr">
        <is>
          <t>Vivek Nair</t>
        </is>
      </c>
      <c r="H108" t="inlineStr">
        <is>
          <t>No Response</t>
        </is>
      </c>
      <c r="I108" s="8" t="n"/>
      <c r="J108" t="n">
        <v/>
      </c>
      <c r="K108" t="inlineStr">
        <is>
          <t>Called merchant to discuss overdue invoice INV0003319.</t>
        </is>
      </c>
    </row>
    <row r="109">
      <c r="A109" t="inlineStr">
        <is>
          <t>COL0001619</t>
        </is>
      </c>
      <c r="B109" t="inlineStr">
        <is>
          <t>MER00156</t>
        </is>
      </c>
      <c r="C109" t="inlineStr">
        <is>
          <t>INV0003319</t>
        </is>
      </c>
      <c r="D109" s="8" t="n">
        <v>46180</v>
      </c>
      <c r="E109" t="inlineStr">
        <is>
          <t>Escalation</t>
        </is>
      </c>
      <c r="F109" t="inlineStr">
        <is>
          <t>Phone</t>
        </is>
      </c>
      <c r="G109" t="inlineStr">
        <is>
          <t>Nandini Rajan</t>
        </is>
      </c>
      <c r="H109" t="inlineStr">
        <is>
          <t>Escalated</t>
        </is>
      </c>
      <c r="I109" s="8" t="n"/>
      <c r="J109" t="n">
        <v/>
      </c>
      <c r="K109" t="inlineStr">
        <is>
          <t>Escalated invoice INV0003319 to account manager for non-payment.</t>
        </is>
      </c>
    </row>
    <row r="110">
      <c r="A110" t="inlineStr">
        <is>
          <t>COL0001620</t>
        </is>
      </c>
      <c r="B110" t="inlineStr">
        <is>
          <t>MER00156</t>
        </is>
      </c>
      <c r="C110" t="inlineStr">
        <is>
          <t>INV0003319</t>
        </is>
      </c>
      <c r="D110" s="8" t="n">
        <v>46189</v>
      </c>
      <c r="E110" t="inlineStr">
        <is>
          <t>Payment Promise</t>
        </is>
      </c>
      <c r="F110" t="inlineStr">
        <is>
          <t>WhatsApp</t>
        </is>
      </c>
      <c r="G110" t="inlineStr">
        <is>
          <t>Ritu Bansal</t>
        </is>
      </c>
      <c r="H110" t="inlineStr">
        <is>
          <t>Promise to Pay</t>
        </is>
      </c>
      <c r="I110" s="8" t="n">
        <v>46192</v>
      </c>
      <c r="J110" t="n">
        <v>100.06</v>
      </c>
      <c r="K110" t="inlineStr">
        <is>
          <t>Merchant committed to paying invoice INV0003319 by 2026-06-19.</t>
        </is>
      </c>
    </row>
    <row r="111">
      <c r="A111" t="inlineStr">
        <is>
          <t>COL0001621</t>
        </is>
      </c>
      <c r="B111" t="inlineStr">
        <is>
          <t>MER00156</t>
        </is>
      </c>
      <c r="C111" t="inlineStr">
        <is>
          <t>INV0003320</t>
        </is>
      </c>
      <c r="D111" s="8" t="n">
        <v>46182</v>
      </c>
      <c r="E111" t="inlineStr">
        <is>
          <t>Reminder</t>
        </is>
      </c>
      <c r="F111" t="inlineStr">
        <is>
          <t>Email</t>
        </is>
      </c>
      <c r="G111" t="inlineStr">
        <is>
          <t>Sanjay Kumar</t>
        </is>
      </c>
      <c r="H111" t="inlineStr">
        <is>
          <t>Promise to Pay</t>
        </is>
      </c>
      <c r="I111" s="8" t="n">
        <v>46189</v>
      </c>
      <c r="J111" t="n">
        <v>180.29</v>
      </c>
      <c r="K111" t="inlineStr">
        <is>
          <t>Automated reminder sent for invoice INV0003320 due 2026-06-01.</t>
        </is>
      </c>
    </row>
    <row r="112">
      <c r="A112" t="inlineStr">
        <is>
          <t>COL0001622</t>
        </is>
      </c>
      <c r="B112" t="inlineStr">
        <is>
          <t>MER00156</t>
        </is>
      </c>
      <c r="C112" t="inlineStr">
        <is>
          <t>INV0003320</t>
        </is>
      </c>
      <c r="D112" s="8" t="n">
        <v>46193</v>
      </c>
      <c r="E112" t="inlineStr">
        <is>
          <t>Email</t>
        </is>
      </c>
      <c r="F112" t="inlineStr">
        <is>
          <t>Email</t>
        </is>
      </c>
      <c r="G112" t="inlineStr">
        <is>
          <t>Ritu Bansal</t>
        </is>
      </c>
      <c r="H112" t="inlineStr">
        <is>
          <t>No Response</t>
        </is>
      </c>
      <c r="I112" s="8" t="n"/>
      <c r="J112" t="n">
        <v/>
      </c>
      <c r="K112" t="inlineStr">
        <is>
          <t>Followed up via email regarding outstanding invoice INV0003320.</t>
        </is>
      </c>
    </row>
    <row r="113">
      <c r="A113" t="inlineStr">
        <is>
          <t>COL0001623</t>
        </is>
      </c>
      <c r="B113" t="inlineStr">
        <is>
          <t>MER00156</t>
        </is>
      </c>
      <c r="C113" t="inlineStr">
        <is>
          <t>INV0003320</t>
        </is>
      </c>
      <c r="D113" s="8" t="n">
        <v>46206</v>
      </c>
      <c r="E113" t="inlineStr">
        <is>
          <t>Phone</t>
        </is>
      </c>
      <c r="F113" t="inlineStr">
        <is>
          <t>Phone</t>
        </is>
      </c>
      <c r="G113" t="inlineStr">
        <is>
          <t>Anjali Desai</t>
        </is>
      </c>
      <c r="H113" t="inlineStr">
        <is>
          <t>Disputed</t>
        </is>
      </c>
      <c r="I113" s="8" t="n"/>
      <c r="J113" t="n">
        <v/>
      </c>
      <c r="K113" t="inlineStr">
        <is>
          <t>Called merchant to discuss overdue invoice INV0003320.</t>
        </is>
      </c>
    </row>
    <row r="114">
      <c r="A114" t="inlineStr">
        <is>
          <t>COL0001624</t>
        </is>
      </c>
      <c r="B114" t="inlineStr">
        <is>
          <t>MER00156</t>
        </is>
      </c>
      <c r="C114" t="inlineStr">
        <is>
          <t>INV0003320</t>
        </is>
      </c>
      <c r="D114" s="8" t="n">
        <v>46211</v>
      </c>
      <c r="E114" t="inlineStr">
        <is>
          <t>Escalation</t>
        </is>
      </c>
      <c r="F114" t="inlineStr">
        <is>
          <t>Phone</t>
        </is>
      </c>
      <c r="G114" t="inlineStr">
        <is>
          <t>Nandini Rajan</t>
        </is>
      </c>
      <c r="H114" t="inlineStr">
        <is>
          <t>Disputed</t>
        </is>
      </c>
      <c r="I114" s="8" t="n"/>
      <c r="J114" t="n">
        <v/>
      </c>
      <c r="K114" t="inlineStr">
        <is>
          <t>Escalated invoice INV0003320 to account manager for non-payment.</t>
        </is>
      </c>
    </row>
    <row r="115">
      <c r="A115" t="inlineStr">
        <is>
          <t>COL0002148</t>
        </is>
      </c>
      <c r="B115" t="inlineStr">
        <is>
          <t>MER00184</t>
        </is>
      </c>
      <c r="C115" t="inlineStr">
        <is>
          <t>INV0003907</t>
        </is>
      </c>
      <c r="D115" s="8" t="n">
        <v>45697</v>
      </c>
      <c r="E115" t="inlineStr">
        <is>
          <t>Reminder</t>
        </is>
      </c>
      <c r="F115" t="inlineStr">
        <is>
          <t>Email</t>
        </is>
      </c>
      <c r="G115" t="inlineStr">
        <is>
          <t>Nandini Rajan</t>
        </is>
      </c>
      <c r="H115" t="inlineStr">
        <is>
          <t>Promise to Pay</t>
        </is>
      </c>
      <c r="I115" s="8" t="n">
        <v>45711</v>
      </c>
      <c r="J115" t="n">
        <v>359.56</v>
      </c>
      <c r="K115" t="inlineStr">
        <is>
          <t>Automated reminder sent for invoice INV0003907 due 2025-02-01.</t>
        </is>
      </c>
    </row>
    <row r="116">
      <c r="A116" t="inlineStr">
        <is>
          <t>COL0002149</t>
        </is>
      </c>
      <c r="B116" t="inlineStr">
        <is>
          <t>MER00184</t>
        </is>
      </c>
      <c r="C116" t="inlineStr">
        <is>
          <t>INV0003907</t>
        </is>
      </c>
      <c r="D116" s="8" t="n">
        <v>45707</v>
      </c>
      <c r="E116" t="inlineStr">
        <is>
          <t>Email</t>
        </is>
      </c>
      <c r="F116" t="inlineStr">
        <is>
          <t>Email</t>
        </is>
      </c>
      <c r="G116" t="inlineStr">
        <is>
          <t>Sanjay Kumar</t>
        </is>
      </c>
      <c r="H116" t="inlineStr">
        <is>
          <t>No Response</t>
        </is>
      </c>
      <c r="I116" s="8" t="n"/>
      <c r="J116" t="n">
        <v/>
      </c>
      <c r="K116" t="inlineStr">
        <is>
          <t>Followed up via email regarding outstanding invoice INV0003907.</t>
        </is>
      </c>
    </row>
    <row r="117">
      <c r="A117" t="inlineStr">
        <is>
          <t>COL0002150</t>
        </is>
      </c>
      <c r="B117" t="inlineStr">
        <is>
          <t>MER00184</t>
        </is>
      </c>
      <c r="C117" t="inlineStr">
        <is>
          <t>INV0003907</t>
        </is>
      </c>
      <c r="D117" s="8" t="n">
        <v>45715</v>
      </c>
      <c r="E117" t="inlineStr">
        <is>
          <t>Phone</t>
        </is>
      </c>
      <c r="F117" t="inlineStr">
        <is>
          <t>Phone</t>
        </is>
      </c>
      <c r="G117" t="inlineStr">
        <is>
          <t>Manish Tiwari</t>
        </is>
      </c>
      <c r="H117" t="inlineStr">
        <is>
          <t>Disputed</t>
        </is>
      </c>
      <c r="I117" s="8" t="n"/>
      <c r="J117" t="n">
        <v/>
      </c>
      <c r="K117" t="inlineStr">
        <is>
          <t>Called merchant to discuss overdue invoice INV0003907.</t>
        </is>
      </c>
    </row>
    <row r="118">
      <c r="A118" t="inlineStr">
        <is>
          <t>COL0002151</t>
        </is>
      </c>
      <c r="B118" t="inlineStr">
        <is>
          <t>MER00184</t>
        </is>
      </c>
      <c r="C118" t="inlineStr">
        <is>
          <t>INV0003908</t>
        </is>
      </c>
      <c r="D118" s="8" t="n">
        <v>45729</v>
      </c>
      <c r="E118" t="inlineStr">
        <is>
          <t>Reminder</t>
        </is>
      </c>
      <c r="F118" t="inlineStr">
        <is>
          <t>Email</t>
        </is>
      </c>
      <c r="G118" t="inlineStr">
        <is>
          <t>Ritu Bansal</t>
        </is>
      </c>
      <c r="H118" t="inlineStr">
        <is>
          <t>Promise to Pay</t>
        </is>
      </c>
      <c r="I118" s="8" t="n">
        <v>45743</v>
      </c>
      <c r="J118" t="n">
        <v>427.97</v>
      </c>
      <c r="K118" t="inlineStr">
        <is>
          <t>Automated reminder sent for invoice INV0003908 due 2025-03-04.</t>
        </is>
      </c>
    </row>
    <row r="119">
      <c r="A119" t="inlineStr">
        <is>
          <t>COL0002152</t>
        </is>
      </c>
      <c r="B119" t="inlineStr">
        <is>
          <t>MER00184</t>
        </is>
      </c>
      <c r="C119" t="inlineStr">
        <is>
          <t>INV0003908</t>
        </is>
      </c>
      <c r="D119" s="8" t="n">
        <v>45736</v>
      </c>
      <c r="E119" t="inlineStr">
        <is>
          <t>Email</t>
        </is>
      </c>
      <c r="F119" t="inlineStr">
        <is>
          <t>Email</t>
        </is>
      </c>
      <c r="G119" t="inlineStr">
        <is>
          <t>Sanjay Kumar</t>
        </is>
      </c>
      <c r="H119" t="inlineStr">
        <is>
          <t>No Response</t>
        </is>
      </c>
      <c r="I119" s="8" t="n"/>
      <c r="J119" t="n">
        <v/>
      </c>
      <c r="K119" t="inlineStr">
        <is>
          <t>Followed up via email regarding outstanding invoice INV0003908.</t>
        </is>
      </c>
    </row>
    <row r="120">
      <c r="A120" t="inlineStr">
        <is>
          <t>COL0002153</t>
        </is>
      </c>
      <c r="B120" t="inlineStr">
        <is>
          <t>MER00184</t>
        </is>
      </c>
      <c r="C120" t="inlineStr">
        <is>
          <t>INV0003908</t>
        </is>
      </c>
      <c r="D120" s="8" t="n">
        <v>45750</v>
      </c>
      <c r="E120" t="inlineStr">
        <is>
          <t>Phone</t>
        </is>
      </c>
      <c r="F120" t="inlineStr">
        <is>
          <t>Phone</t>
        </is>
      </c>
      <c r="G120" t="inlineStr">
        <is>
          <t>Sanjay Kumar</t>
        </is>
      </c>
      <c r="H120" t="inlineStr">
        <is>
          <t>No Response</t>
        </is>
      </c>
      <c r="I120" s="8" t="n"/>
      <c r="J120" t="n">
        <v/>
      </c>
      <c r="K120" t="inlineStr">
        <is>
          <t>Called merchant to discuss overdue invoice INV0003908.</t>
        </is>
      </c>
    </row>
    <row r="121">
      <c r="A121" t="inlineStr">
        <is>
          <t>COL0002154</t>
        </is>
      </c>
      <c r="B121" t="inlineStr">
        <is>
          <t>MER00184</t>
        </is>
      </c>
      <c r="C121" t="inlineStr">
        <is>
          <t>INV0003910</t>
        </is>
      </c>
      <c r="D121" s="8" t="n">
        <v>45784</v>
      </c>
      <c r="E121" t="inlineStr">
        <is>
          <t>Reminder</t>
        </is>
      </c>
      <c r="F121" t="inlineStr">
        <is>
          <t>Email</t>
        </is>
      </c>
      <c r="G121" t="inlineStr">
        <is>
          <t>Anjali Desai</t>
        </is>
      </c>
      <c r="H121" t="inlineStr">
        <is>
          <t>Promise to Pay</t>
        </is>
      </c>
      <c r="I121" s="8" t="n">
        <v>45794</v>
      </c>
      <c r="J121" t="n">
        <v>518.92</v>
      </c>
      <c r="K121" t="inlineStr">
        <is>
          <t>Automated reminder sent for invoice INV0003910 due 2025-05-02.</t>
        </is>
      </c>
    </row>
    <row r="122">
      <c r="A122" t="inlineStr">
        <is>
          <t>COL0002155</t>
        </is>
      </c>
      <c r="B122" t="inlineStr">
        <is>
          <t>MER00184</t>
        </is>
      </c>
      <c r="C122" t="inlineStr">
        <is>
          <t>INV0003910</t>
        </is>
      </c>
      <c r="D122" s="8" t="n">
        <v>45798</v>
      </c>
      <c r="E122" t="inlineStr">
        <is>
          <t>Email</t>
        </is>
      </c>
      <c r="F122" t="inlineStr">
        <is>
          <t>Email</t>
        </is>
      </c>
      <c r="G122" t="inlineStr">
        <is>
          <t>Shweta Gupta</t>
        </is>
      </c>
      <c r="H122" t="inlineStr">
        <is>
          <t>No Response</t>
        </is>
      </c>
      <c r="I122" s="8" t="n"/>
      <c r="J122" t="n">
        <v/>
      </c>
      <c r="K122" t="inlineStr">
        <is>
          <t>Followed up via email regarding outstanding invoice INV0003910.</t>
        </is>
      </c>
    </row>
    <row r="123">
      <c r="A123" t="inlineStr">
        <is>
          <t>COL0002156</t>
        </is>
      </c>
      <c r="B123" t="inlineStr">
        <is>
          <t>MER00184</t>
        </is>
      </c>
      <c r="C123" t="inlineStr">
        <is>
          <t>INV0003910</t>
        </is>
      </c>
      <c r="D123" s="8" t="n">
        <v>45804</v>
      </c>
      <c r="E123" t="inlineStr">
        <is>
          <t>Phone</t>
        </is>
      </c>
      <c r="F123" t="inlineStr">
        <is>
          <t>Phone</t>
        </is>
      </c>
      <c r="G123" t="inlineStr">
        <is>
          <t>Nandini Rajan</t>
        </is>
      </c>
      <c r="H123" t="inlineStr">
        <is>
          <t>Promise to Pay</t>
        </is>
      </c>
      <c r="I123" s="8" t="n">
        <v>45817</v>
      </c>
      <c r="J123" t="n">
        <v>811.23</v>
      </c>
      <c r="K123" t="inlineStr">
        <is>
          <t>Called merchant to discuss overdue invoice INV0003910.</t>
        </is>
      </c>
    </row>
    <row r="124">
      <c r="A124" t="inlineStr">
        <is>
          <t>COL0002157</t>
        </is>
      </c>
      <c r="B124" t="inlineStr">
        <is>
          <t>MER00184</t>
        </is>
      </c>
      <c r="C124" t="inlineStr">
        <is>
          <t>INV0003910</t>
        </is>
      </c>
      <c r="D124" s="8" t="n">
        <v>45812</v>
      </c>
      <c r="E124" t="inlineStr">
        <is>
          <t>Escalation</t>
        </is>
      </c>
      <c r="F124" t="inlineStr">
        <is>
          <t>Phone</t>
        </is>
      </c>
      <c r="G124" t="inlineStr">
        <is>
          <t>Manish Tiwari</t>
        </is>
      </c>
      <c r="H124" t="inlineStr">
        <is>
          <t>Disputed</t>
        </is>
      </c>
      <c r="I124" s="8" t="n"/>
      <c r="J124" t="n">
        <v/>
      </c>
      <c r="K124" t="inlineStr">
        <is>
          <t>Escalated invoice INV0003910 to account manager for non-payment.</t>
        </is>
      </c>
    </row>
    <row r="125">
      <c r="A125" t="inlineStr">
        <is>
          <t>COL0002158</t>
        </is>
      </c>
      <c r="B125" t="inlineStr">
        <is>
          <t>MER00184</t>
        </is>
      </c>
      <c r="C125" t="inlineStr">
        <is>
          <t>INV0003910</t>
        </is>
      </c>
      <c r="D125" s="8" t="n">
        <v>45817</v>
      </c>
      <c r="E125" t="inlineStr">
        <is>
          <t>Payment Promise</t>
        </is>
      </c>
      <c r="F125" t="inlineStr">
        <is>
          <t>WhatsApp</t>
        </is>
      </c>
      <c r="G125" t="inlineStr">
        <is>
          <t>Farhan Sheikh</t>
        </is>
      </c>
      <c r="H125" t="inlineStr">
        <is>
          <t>No Response</t>
        </is>
      </c>
      <c r="I125" s="8" t="n">
        <v>45831</v>
      </c>
      <c r="J125" t="n">
        <v>514.34</v>
      </c>
      <c r="K125" t="inlineStr">
        <is>
          <t>Merchant committed to paying invoice INV0003910 by 2025-06-23.</t>
        </is>
      </c>
    </row>
    <row r="126">
      <c r="A126" t="inlineStr">
        <is>
          <t>COL0002159</t>
        </is>
      </c>
      <c r="B126" t="inlineStr">
        <is>
          <t>MER00184</t>
        </is>
      </c>
      <c r="C126" t="inlineStr">
        <is>
          <t>INV0003912</t>
        </is>
      </c>
      <c r="D126" s="8" t="n">
        <v>45849</v>
      </c>
      <c r="E126" t="inlineStr">
        <is>
          <t>Reminder</t>
        </is>
      </c>
      <c r="F126" t="inlineStr">
        <is>
          <t>Email</t>
        </is>
      </c>
      <c r="G126" t="inlineStr">
        <is>
          <t>Anjali Desai</t>
        </is>
      </c>
      <c r="H126" t="inlineStr">
        <is>
          <t>No Response</t>
        </is>
      </c>
      <c r="I126" s="8" t="n"/>
      <c r="J126" t="n">
        <v/>
      </c>
      <c r="K126" t="inlineStr">
        <is>
          <t>Automated reminder sent for invoice INV0003912 due 2025-07-02.</t>
        </is>
      </c>
    </row>
    <row r="127">
      <c r="A127" t="inlineStr">
        <is>
          <t>COL0002160</t>
        </is>
      </c>
      <c r="B127" t="inlineStr">
        <is>
          <t>MER00184</t>
        </is>
      </c>
      <c r="C127" t="inlineStr">
        <is>
          <t>INV0003912</t>
        </is>
      </c>
      <c r="D127" s="8" t="n">
        <v>45862</v>
      </c>
      <c r="E127" t="inlineStr">
        <is>
          <t>Email</t>
        </is>
      </c>
      <c r="F127" t="inlineStr">
        <is>
          <t>Email</t>
        </is>
      </c>
      <c r="G127" t="inlineStr">
        <is>
          <t>Amit Saxena</t>
        </is>
      </c>
      <c r="H127" t="inlineStr">
        <is>
          <t>No Response</t>
        </is>
      </c>
      <c r="I127" s="8" t="n"/>
      <c r="J127" t="n">
        <v/>
      </c>
      <c r="K127" t="inlineStr">
        <is>
          <t>Followed up via email regarding outstanding invoice INV0003912.</t>
        </is>
      </c>
    </row>
    <row r="128">
      <c r="A128" t="inlineStr">
        <is>
          <t>COL0002161</t>
        </is>
      </c>
      <c r="B128" t="inlineStr">
        <is>
          <t>MER00184</t>
        </is>
      </c>
      <c r="C128" t="inlineStr">
        <is>
          <t>INV0003912</t>
        </is>
      </c>
      <c r="D128" s="8" t="n">
        <v>45871</v>
      </c>
      <c r="E128" t="inlineStr">
        <is>
          <t>Phone</t>
        </is>
      </c>
      <c r="F128" t="inlineStr">
        <is>
          <t>Phone</t>
        </is>
      </c>
      <c r="G128" t="inlineStr">
        <is>
          <t>Anjali Desai</t>
        </is>
      </c>
      <c r="H128" t="inlineStr">
        <is>
          <t>Promise to Pay</t>
        </is>
      </c>
      <c r="I128" s="8" t="n">
        <v>45881</v>
      </c>
      <c r="J128" t="n">
        <v>762.37</v>
      </c>
      <c r="K128" t="inlineStr">
        <is>
          <t>Called merchant to discuss overdue invoice INV0003912.</t>
        </is>
      </c>
    </row>
    <row r="129">
      <c r="A129" t="inlineStr">
        <is>
          <t>COL0002162</t>
        </is>
      </c>
      <c r="B129" t="inlineStr">
        <is>
          <t>MER00184</t>
        </is>
      </c>
      <c r="C129" t="inlineStr">
        <is>
          <t>INV0003912</t>
        </is>
      </c>
      <c r="D129" s="8" t="n">
        <v>45877</v>
      </c>
      <c r="E129" t="inlineStr">
        <is>
          <t>Escalation</t>
        </is>
      </c>
      <c r="F129" t="inlineStr">
        <is>
          <t>Phone</t>
        </is>
      </c>
      <c r="G129" t="inlineStr">
        <is>
          <t>Ritu Bansal</t>
        </is>
      </c>
      <c r="H129" t="inlineStr">
        <is>
          <t>Escalated</t>
        </is>
      </c>
      <c r="I129" s="8" t="n"/>
      <c r="J129" t="n">
        <v/>
      </c>
      <c r="K129" t="inlineStr">
        <is>
          <t>Escalated invoice INV0003912 to account manager for non-payment.</t>
        </is>
      </c>
    </row>
    <row r="130">
      <c r="A130" t="inlineStr">
        <is>
          <t>COL0002163</t>
        </is>
      </c>
      <c r="B130" t="inlineStr">
        <is>
          <t>MER00184</t>
        </is>
      </c>
      <c r="C130" t="inlineStr">
        <is>
          <t>INV0003912</t>
        </is>
      </c>
      <c r="D130" s="8" t="n">
        <v>45888</v>
      </c>
      <c r="E130" t="inlineStr">
        <is>
          <t>Payment Promise</t>
        </is>
      </c>
      <c r="F130" t="inlineStr">
        <is>
          <t>WhatsApp</t>
        </is>
      </c>
      <c r="G130" t="inlineStr">
        <is>
          <t>Nandini Rajan</t>
        </is>
      </c>
      <c r="H130" t="inlineStr">
        <is>
          <t>No Response</t>
        </is>
      </c>
      <c r="I130" s="8" t="n">
        <v>45895</v>
      </c>
      <c r="J130" t="n">
        <v>779.11</v>
      </c>
      <c r="K130" t="inlineStr">
        <is>
          <t>Merchant committed to paying invoice INV0003912 by 2025-08-26.</t>
        </is>
      </c>
    </row>
    <row r="131">
      <c r="A131" t="inlineStr">
        <is>
          <t>COL0002164</t>
        </is>
      </c>
      <c r="B131" t="inlineStr">
        <is>
          <t>MER00184</t>
        </is>
      </c>
      <c r="C131" t="inlineStr">
        <is>
          <t>INV0003913</t>
        </is>
      </c>
      <c r="D131" s="8" t="n">
        <v>45877</v>
      </c>
      <c r="E131" t="inlineStr">
        <is>
          <t>Reminder</t>
        </is>
      </c>
      <c r="F131" t="inlineStr">
        <is>
          <t>Email</t>
        </is>
      </c>
      <c r="G131" t="inlineStr">
        <is>
          <t>Nandini Rajan</t>
        </is>
      </c>
      <c r="H131" t="inlineStr">
        <is>
          <t>Promise to Pay</t>
        </is>
      </c>
      <c r="I131" s="8" t="n">
        <v>45882</v>
      </c>
      <c r="J131" t="n">
        <v>488.9</v>
      </c>
      <c r="K131" t="inlineStr">
        <is>
          <t>Automated reminder sent for invoice INV0003913 due 2025-08-01.</t>
        </is>
      </c>
    </row>
    <row r="132">
      <c r="A132" t="inlineStr">
        <is>
          <t>COL0002165</t>
        </is>
      </c>
      <c r="B132" t="inlineStr">
        <is>
          <t>MER00184</t>
        </is>
      </c>
      <c r="C132" t="inlineStr">
        <is>
          <t>INV0003913</t>
        </is>
      </c>
      <c r="D132" s="8" t="n">
        <v>45889</v>
      </c>
      <c r="E132" t="inlineStr">
        <is>
          <t>Email</t>
        </is>
      </c>
      <c r="F132" t="inlineStr">
        <is>
          <t>Email</t>
        </is>
      </c>
      <c r="G132" t="inlineStr">
        <is>
          <t>Vivek Nair</t>
        </is>
      </c>
      <c r="H132" t="inlineStr">
        <is>
          <t>Promise to Pay</t>
        </is>
      </c>
      <c r="I132" s="8" t="n">
        <v>45897</v>
      </c>
      <c r="J132" t="n">
        <v>554.12</v>
      </c>
      <c r="K132" t="inlineStr">
        <is>
          <t>Followed up via email regarding outstanding invoice INV0003913.</t>
        </is>
      </c>
    </row>
    <row r="133">
      <c r="A133" t="inlineStr">
        <is>
          <t>COL0002166</t>
        </is>
      </c>
      <c r="B133" t="inlineStr">
        <is>
          <t>MER00184</t>
        </is>
      </c>
      <c r="C133" t="inlineStr">
        <is>
          <t>INV0003913</t>
        </is>
      </c>
      <c r="D133" s="8" t="n">
        <v>45895</v>
      </c>
      <c r="E133" t="inlineStr">
        <is>
          <t>Phone</t>
        </is>
      </c>
      <c r="F133" t="inlineStr">
        <is>
          <t>Phone</t>
        </is>
      </c>
      <c r="G133" t="inlineStr">
        <is>
          <t>Shweta Gupta</t>
        </is>
      </c>
      <c r="H133" t="inlineStr">
        <is>
          <t>Promise to Pay</t>
        </is>
      </c>
      <c r="I133" s="8" t="n">
        <v>45909</v>
      </c>
      <c r="J133" t="n">
        <v>768.13</v>
      </c>
      <c r="K133" t="inlineStr">
        <is>
          <t>Called merchant to discuss overdue invoice INV0003913.</t>
        </is>
      </c>
    </row>
    <row r="134">
      <c r="A134" t="inlineStr">
        <is>
          <t>COL0002167</t>
        </is>
      </c>
      <c r="B134" t="inlineStr">
        <is>
          <t>MER00184</t>
        </is>
      </c>
      <c r="C134" t="inlineStr">
        <is>
          <t>INV0003913</t>
        </is>
      </c>
      <c r="D134" s="8" t="n">
        <v>45904</v>
      </c>
      <c r="E134" t="inlineStr">
        <is>
          <t>Escalation</t>
        </is>
      </c>
      <c r="F134" t="inlineStr">
        <is>
          <t>Phone</t>
        </is>
      </c>
      <c r="G134" t="inlineStr">
        <is>
          <t>Vivek Nair</t>
        </is>
      </c>
      <c r="H134" t="inlineStr">
        <is>
          <t>Escalated</t>
        </is>
      </c>
      <c r="I134" s="8" t="n"/>
      <c r="J134" t="n">
        <v/>
      </c>
      <c r="K134" t="inlineStr">
        <is>
          <t>Escalated invoice INV0003913 to account manager for non-payment.</t>
        </is>
      </c>
    </row>
    <row r="135">
      <c r="A135" t="inlineStr">
        <is>
          <t>COL0002262</t>
        </is>
      </c>
      <c r="B135" t="inlineStr">
        <is>
          <t>MER00189</t>
        </is>
      </c>
      <c r="C135" t="inlineStr">
        <is>
          <t>INV0004011</t>
        </is>
      </c>
      <c r="D135" s="8" t="n">
        <v>45560</v>
      </c>
      <c r="E135" t="inlineStr">
        <is>
          <t>Reminder</t>
        </is>
      </c>
      <c r="F135" t="inlineStr">
        <is>
          <t>Email</t>
        </is>
      </c>
      <c r="G135" t="inlineStr">
        <is>
          <t>Nandini Rajan</t>
        </is>
      </c>
      <c r="H135" t="inlineStr">
        <is>
          <t>No Response</t>
        </is>
      </c>
      <c r="I135" s="8" t="n"/>
      <c r="J135" t="n">
        <v/>
      </c>
      <c r="K135" t="inlineStr">
        <is>
          <t>Automated reminder sent for invoice INV0004011 due 2024-09-17.</t>
        </is>
      </c>
    </row>
    <row r="136">
      <c r="A136" t="inlineStr">
        <is>
          <t>COL0002263</t>
        </is>
      </c>
      <c r="B136" t="inlineStr">
        <is>
          <t>MER00189</t>
        </is>
      </c>
      <c r="C136" t="inlineStr">
        <is>
          <t>INV0004011</t>
        </is>
      </c>
      <c r="D136" s="8" t="n">
        <v>45573</v>
      </c>
      <c r="E136" t="inlineStr">
        <is>
          <t>Email</t>
        </is>
      </c>
      <c r="F136" t="inlineStr">
        <is>
          <t>Email</t>
        </is>
      </c>
      <c r="G136" t="inlineStr">
        <is>
          <t>Manish Tiwari</t>
        </is>
      </c>
      <c r="H136" t="inlineStr">
        <is>
          <t>Promise to Pay</t>
        </is>
      </c>
      <c r="I136" s="8" t="n">
        <v>45577</v>
      </c>
      <c r="J136" t="n">
        <v>22.64</v>
      </c>
      <c r="K136" t="inlineStr">
        <is>
          <t>Followed up via email regarding outstanding invoice INV0004011.</t>
        </is>
      </c>
    </row>
    <row r="137">
      <c r="A137" t="inlineStr">
        <is>
          <t>COL0002264</t>
        </is>
      </c>
      <c r="B137" t="inlineStr">
        <is>
          <t>MER00189</t>
        </is>
      </c>
      <c r="C137" t="inlineStr">
        <is>
          <t>INV0004011</t>
        </is>
      </c>
      <c r="D137" s="8" t="n">
        <v>45586</v>
      </c>
      <c r="E137" t="inlineStr">
        <is>
          <t>Phone</t>
        </is>
      </c>
      <c r="F137" t="inlineStr">
        <is>
          <t>Phone</t>
        </is>
      </c>
      <c r="G137" t="inlineStr">
        <is>
          <t>Ritu Bansal</t>
        </is>
      </c>
      <c r="H137" t="inlineStr">
        <is>
          <t>No Response</t>
        </is>
      </c>
      <c r="I137" s="8" t="n"/>
      <c r="J137" t="n">
        <v/>
      </c>
      <c r="K137" t="inlineStr">
        <is>
          <t>Called merchant to discuss overdue invoice INV0004011.</t>
        </is>
      </c>
    </row>
    <row r="138">
      <c r="A138" t="inlineStr">
        <is>
          <t>COL0002265</t>
        </is>
      </c>
      <c r="B138" t="inlineStr">
        <is>
          <t>MER00189</t>
        </is>
      </c>
      <c r="C138" t="inlineStr">
        <is>
          <t>INV0004011</t>
        </is>
      </c>
      <c r="D138" s="8" t="n">
        <v>45600</v>
      </c>
      <c r="E138" t="inlineStr">
        <is>
          <t>Escalation</t>
        </is>
      </c>
      <c r="F138" t="inlineStr">
        <is>
          <t>Phone</t>
        </is>
      </c>
      <c r="G138" t="inlineStr">
        <is>
          <t>Ritu Bansal</t>
        </is>
      </c>
      <c r="H138" t="inlineStr">
        <is>
          <t>No Response</t>
        </is>
      </c>
      <c r="I138" s="8" t="n"/>
      <c r="J138" t="n">
        <v/>
      </c>
      <c r="K138" t="inlineStr">
        <is>
          <t>Escalated invoice INV0004011 to account manager for non-payment.</t>
        </is>
      </c>
    </row>
    <row r="139">
      <c r="A139" t="inlineStr">
        <is>
          <t>COL0002266</t>
        </is>
      </c>
      <c r="B139" t="inlineStr">
        <is>
          <t>MER00189</t>
        </is>
      </c>
      <c r="C139" t="inlineStr">
        <is>
          <t>INV0004011</t>
        </is>
      </c>
      <c r="D139" s="8" t="n">
        <v>45610</v>
      </c>
      <c r="E139" t="inlineStr">
        <is>
          <t>Payment Promise</t>
        </is>
      </c>
      <c r="F139" t="inlineStr">
        <is>
          <t>WhatsApp</t>
        </is>
      </c>
      <c r="G139" t="inlineStr">
        <is>
          <t>Anjali Desai</t>
        </is>
      </c>
      <c r="H139" t="inlineStr">
        <is>
          <t>No Response</t>
        </is>
      </c>
      <c r="I139" s="8" t="n">
        <v>45617</v>
      </c>
      <c r="J139" t="n">
        <v>24.45</v>
      </c>
      <c r="K139" t="inlineStr">
        <is>
          <t>Merchant committed to paying invoice INV0004011 by 2024-11-21.</t>
        </is>
      </c>
    </row>
    <row r="140">
      <c r="A140" t="inlineStr">
        <is>
          <t>COL0002267</t>
        </is>
      </c>
      <c r="B140" t="inlineStr">
        <is>
          <t>MER00189</t>
        </is>
      </c>
      <c r="C140" t="inlineStr">
        <is>
          <t>INV0004013</t>
        </is>
      </c>
      <c r="D140" s="8" t="n">
        <v>45618</v>
      </c>
      <c r="E140" t="inlineStr">
        <is>
          <t>Reminder</t>
        </is>
      </c>
      <c r="F140" t="inlineStr">
        <is>
          <t>Email</t>
        </is>
      </c>
      <c r="G140" t="inlineStr">
        <is>
          <t>Amit Saxena</t>
        </is>
      </c>
      <c r="H140" t="inlineStr">
        <is>
          <t>No Response</t>
        </is>
      </c>
      <c r="I140" s="8" t="n"/>
      <c r="J140" t="n">
        <v/>
      </c>
      <c r="K140" t="inlineStr">
        <is>
          <t>Automated reminder sent for invoice INV0004013 due 2024-11-17.</t>
        </is>
      </c>
    </row>
    <row r="141">
      <c r="A141" t="inlineStr">
        <is>
          <t>COL0002268</t>
        </is>
      </c>
      <c r="B141" t="inlineStr">
        <is>
          <t>MER00189</t>
        </is>
      </c>
      <c r="C141" t="inlineStr">
        <is>
          <t>INV0004013</t>
        </is>
      </c>
      <c r="D141" s="8" t="n">
        <v>45626</v>
      </c>
      <c r="E141" t="inlineStr">
        <is>
          <t>Email</t>
        </is>
      </c>
      <c r="F141" t="inlineStr">
        <is>
          <t>Email</t>
        </is>
      </c>
      <c r="G141" t="inlineStr">
        <is>
          <t>Vivek Nair</t>
        </is>
      </c>
      <c r="H141" t="inlineStr">
        <is>
          <t>No Response</t>
        </is>
      </c>
      <c r="I141" s="8" t="n"/>
      <c r="J141" t="n">
        <v/>
      </c>
      <c r="K141" t="inlineStr">
        <is>
          <t>Followed up via email regarding outstanding invoice INV0004013.</t>
        </is>
      </c>
    </row>
    <row r="142">
      <c r="A142" t="inlineStr">
        <is>
          <t>COL0002269</t>
        </is>
      </c>
      <c r="B142" t="inlineStr">
        <is>
          <t>MER00189</t>
        </is>
      </c>
      <c r="C142" t="inlineStr">
        <is>
          <t>INV0004013</t>
        </is>
      </c>
      <c r="D142" s="8" t="n">
        <v>45640</v>
      </c>
      <c r="E142" t="inlineStr">
        <is>
          <t>Phone</t>
        </is>
      </c>
      <c r="F142" t="inlineStr">
        <is>
          <t>Phone</t>
        </is>
      </c>
      <c r="G142" t="inlineStr">
        <is>
          <t>Manish Tiwari</t>
        </is>
      </c>
      <c r="H142" t="inlineStr">
        <is>
          <t>Disputed</t>
        </is>
      </c>
      <c r="I142" s="8" t="n"/>
      <c r="J142" t="n">
        <v/>
      </c>
      <c r="K142" t="inlineStr">
        <is>
          <t>Called merchant to discuss overdue invoice INV0004013.</t>
        </is>
      </c>
    </row>
    <row r="143">
      <c r="A143" t="inlineStr">
        <is>
          <t>COL0002270</t>
        </is>
      </c>
      <c r="B143" t="inlineStr">
        <is>
          <t>MER00189</t>
        </is>
      </c>
      <c r="C143" t="inlineStr">
        <is>
          <t>INV0004013</t>
        </is>
      </c>
      <c r="D143" s="8" t="n">
        <v>45647</v>
      </c>
      <c r="E143" t="inlineStr">
        <is>
          <t>Escalation</t>
        </is>
      </c>
      <c r="F143" t="inlineStr">
        <is>
          <t>Phone</t>
        </is>
      </c>
      <c r="G143" t="inlineStr">
        <is>
          <t>Ritu Bansal</t>
        </is>
      </c>
      <c r="H143" t="inlineStr">
        <is>
          <t>Disputed</t>
        </is>
      </c>
      <c r="I143" s="8" t="n"/>
      <c r="J143" t="n">
        <v/>
      </c>
      <c r="K143" t="inlineStr">
        <is>
          <t>Escalated invoice INV0004013 to account manager for non-payment.</t>
        </is>
      </c>
    </row>
    <row r="144">
      <c r="A144" t="inlineStr">
        <is>
          <t>COL0002271</t>
        </is>
      </c>
      <c r="B144" t="inlineStr">
        <is>
          <t>MER00189</t>
        </is>
      </c>
      <c r="C144" t="inlineStr">
        <is>
          <t>INV0004013</t>
        </is>
      </c>
      <c r="D144" s="8" t="n">
        <v>45658</v>
      </c>
      <c r="E144" t="inlineStr">
        <is>
          <t>Payment Promise</t>
        </is>
      </c>
      <c r="F144" t="inlineStr">
        <is>
          <t>WhatsApp</t>
        </is>
      </c>
      <c r="G144" t="inlineStr">
        <is>
          <t>Sanjay Kumar</t>
        </is>
      </c>
      <c r="H144" t="inlineStr">
        <is>
          <t>No Response</t>
        </is>
      </c>
      <c r="I144" s="8" t="n">
        <v>45667</v>
      </c>
      <c r="J144" t="n">
        <v>135.91</v>
      </c>
      <c r="K144" t="inlineStr">
        <is>
          <t>Merchant committed to paying invoice INV0004013 by 2025-01-10.</t>
        </is>
      </c>
    </row>
    <row r="145">
      <c r="A145" t="inlineStr">
        <is>
          <t>COL0002272</t>
        </is>
      </c>
      <c r="B145" t="inlineStr">
        <is>
          <t>MER00189</t>
        </is>
      </c>
      <c r="C145" t="inlineStr">
        <is>
          <t>INV0004015</t>
        </is>
      </c>
      <c r="D145" s="8" t="n">
        <v>45679</v>
      </c>
      <c r="E145" t="inlineStr">
        <is>
          <t>Reminder</t>
        </is>
      </c>
      <c r="F145" t="inlineStr">
        <is>
          <t>Email</t>
        </is>
      </c>
      <c r="G145" t="inlineStr">
        <is>
          <t>Shweta Gupta</t>
        </is>
      </c>
      <c r="H145" t="inlineStr">
        <is>
          <t>Promise to Pay</t>
        </is>
      </c>
      <c r="I145" s="8" t="n">
        <v>45693</v>
      </c>
      <c r="J145" t="n">
        <v>79.3</v>
      </c>
      <c r="K145" t="inlineStr">
        <is>
          <t>Automated reminder sent for invoice INV0004015 due 2025-01-17.</t>
        </is>
      </c>
    </row>
    <row r="146">
      <c r="A146" t="inlineStr">
        <is>
          <t>COL0002273</t>
        </is>
      </c>
      <c r="B146" t="inlineStr">
        <is>
          <t>MER00189</t>
        </is>
      </c>
      <c r="C146" t="inlineStr">
        <is>
          <t>INV0004015</t>
        </is>
      </c>
      <c r="D146" s="8" t="n">
        <v>45691</v>
      </c>
      <c r="E146" t="inlineStr">
        <is>
          <t>Email</t>
        </is>
      </c>
      <c r="F146" t="inlineStr">
        <is>
          <t>Email</t>
        </is>
      </c>
      <c r="G146" t="inlineStr">
        <is>
          <t>Manish Tiwari</t>
        </is>
      </c>
      <c r="H146" t="inlineStr">
        <is>
          <t>No Response</t>
        </is>
      </c>
      <c r="I146" s="8" t="n"/>
      <c r="J146" t="n">
        <v/>
      </c>
      <c r="K146" t="inlineStr">
        <is>
          <t>Followed up via email regarding outstanding invoice INV0004015.</t>
        </is>
      </c>
    </row>
    <row r="147">
      <c r="A147" t="inlineStr">
        <is>
          <t>COL0002274</t>
        </is>
      </c>
      <c r="B147" t="inlineStr">
        <is>
          <t>MER00189</t>
        </is>
      </c>
      <c r="C147" t="inlineStr">
        <is>
          <t>INV0004015</t>
        </is>
      </c>
      <c r="D147" s="8" t="n">
        <v>45697</v>
      </c>
      <c r="E147" t="inlineStr">
        <is>
          <t>Phone</t>
        </is>
      </c>
      <c r="F147" t="inlineStr">
        <is>
          <t>Phone</t>
        </is>
      </c>
      <c r="G147" t="inlineStr">
        <is>
          <t>Sanjay Kumar</t>
        </is>
      </c>
      <c r="H147" t="inlineStr">
        <is>
          <t>No Response</t>
        </is>
      </c>
      <c r="I147" s="8" t="n"/>
      <c r="J147" t="n">
        <v/>
      </c>
      <c r="K147" t="inlineStr">
        <is>
          <t>Called merchant to discuss overdue invoice INV0004015.</t>
        </is>
      </c>
    </row>
    <row r="148">
      <c r="A148" t="inlineStr">
        <is>
          <t>COL0002275</t>
        </is>
      </c>
      <c r="B148" t="inlineStr">
        <is>
          <t>MER00189</t>
        </is>
      </c>
      <c r="C148" t="inlineStr">
        <is>
          <t>INV0004015</t>
        </is>
      </c>
      <c r="D148" s="8" t="n">
        <v>45707</v>
      </c>
      <c r="E148" t="inlineStr">
        <is>
          <t>Escalation</t>
        </is>
      </c>
      <c r="F148" t="inlineStr">
        <is>
          <t>Phone</t>
        </is>
      </c>
      <c r="G148" t="inlineStr">
        <is>
          <t>Anjali Desai</t>
        </is>
      </c>
      <c r="H148" t="inlineStr">
        <is>
          <t>Escalated</t>
        </is>
      </c>
      <c r="I148" s="8" t="n"/>
      <c r="J148" t="n">
        <v/>
      </c>
      <c r="K148" t="inlineStr">
        <is>
          <t>Escalated invoice INV0004015 to account manager for non-payment.</t>
        </is>
      </c>
    </row>
    <row r="149">
      <c r="A149" t="inlineStr">
        <is>
          <t>COL0002276</t>
        </is>
      </c>
      <c r="B149" t="inlineStr">
        <is>
          <t>MER00189</t>
        </is>
      </c>
      <c r="C149" t="inlineStr">
        <is>
          <t>INV0004015</t>
        </is>
      </c>
      <c r="D149" s="8" t="n">
        <v>45715</v>
      </c>
      <c r="E149" t="inlineStr">
        <is>
          <t>Payment Promise</t>
        </is>
      </c>
      <c r="F149" t="inlineStr">
        <is>
          <t>WhatsApp</t>
        </is>
      </c>
      <c r="G149" t="inlineStr">
        <is>
          <t>Ritu Bansal</t>
        </is>
      </c>
      <c r="H149" t="inlineStr">
        <is>
          <t>No Response</t>
        </is>
      </c>
      <c r="I149" s="8" t="n">
        <v>45724</v>
      </c>
      <c r="J149" t="n">
        <v>88.59</v>
      </c>
      <c r="K149" t="inlineStr">
        <is>
          <t>Merchant committed to paying invoice INV0004015 by 2025-03-08.</t>
        </is>
      </c>
    </row>
    <row r="150">
      <c r="A150" t="inlineStr">
        <is>
          <t>COL0002277</t>
        </is>
      </c>
      <c r="B150" t="inlineStr">
        <is>
          <t>MER00189</t>
        </is>
      </c>
      <c r="C150" t="inlineStr">
        <is>
          <t>INV0004018</t>
        </is>
      </c>
      <c r="D150" s="8" t="n">
        <v>45773</v>
      </c>
      <c r="E150" t="inlineStr">
        <is>
          <t>Reminder</t>
        </is>
      </c>
      <c r="F150" t="inlineStr">
        <is>
          <t>Email</t>
        </is>
      </c>
      <c r="G150" t="inlineStr">
        <is>
          <t>Vivek Nair</t>
        </is>
      </c>
      <c r="H150" t="inlineStr">
        <is>
          <t>Disputed</t>
        </is>
      </c>
      <c r="I150" s="8" t="n"/>
      <c r="J150" t="n">
        <v/>
      </c>
      <c r="K150" t="inlineStr">
        <is>
          <t>Automated reminder sent for invoice INV0004018 due 2025-04-17.</t>
        </is>
      </c>
    </row>
    <row r="151">
      <c r="A151" t="inlineStr">
        <is>
          <t>COL0002278</t>
        </is>
      </c>
      <c r="B151" t="inlineStr">
        <is>
          <t>MER00189</t>
        </is>
      </c>
      <c r="C151" t="inlineStr">
        <is>
          <t>INV0004018</t>
        </is>
      </c>
      <c r="D151" s="8" t="n">
        <v>45785</v>
      </c>
      <c r="E151" t="inlineStr">
        <is>
          <t>Email</t>
        </is>
      </c>
      <c r="F151" t="inlineStr">
        <is>
          <t>Email</t>
        </is>
      </c>
      <c r="G151" t="inlineStr">
        <is>
          <t>Vivek Nair</t>
        </is>
      </c>
      <c r="H151" t="inlineStr">
        <is>
          <t>Promise to Pay</t>
        </is>
      </c>
      <c r="I151" s="8" t="n">
        <v>45798</v>
      </c>
      <c r="J151" t="n">
        <v>9.460000000000001</v>
      </c>
      <c r="K151" t="inlineStr">
        <is>
          <t>Followed up via email regarding outstanding invoice INV0004018.</t>
        </is>
      </c>
    </row>
    <row r="152">
      <c r="A152" t="inlineStr">
        <is>
          <t>COL0002279</t>
        </is>
      </c>
      <c r="B152" t="inlineStr">
        <is>
          <t>MER00189</t>
        </is>
      </c>
      <c r="C152" t="inlineStr">
        <is>
          <t>INV0004018</t>
        </is>
      </c>
      <c r="D152" s="8" t="n">
        <v>45791</v>
      </c>
      <c r="E152" t="inlineStr">
        <is>
          <t>Phone</t>
        </is>
      </c>
      <c r="F152" t="inlineStr">
        <is>
          <t>Phone</t>
        </is>
      </c>
      <c r="G152" t="inlineStr">
        <is>
          <t>Shweta Gupta</t>
        </is>
      </c>
      <c r="H152" t="inlineStr">
        <is>
          <t>No Response</t>
        </is>
      </c>
      <c r="I152" s="8" t="n"/>
      <c r="J152" t="n">
        <v/>
      </c>
      <c r="K152" t="inlineStr">
        <is>
          <t>Called merchant to discuss overdue invoice INV0004018.</t>
        </is>
      </c>
    </row>
    <row r="153">
      <c r="A153" t="inlineStr">
        <is>
          <t>COL0002280</t>
        </is>
      </c>
      <c r="B153" t="inlineStr">
        <is>
          <t>MER00189</t>
        </is>
      </c>
      <c r="C153" t="inlineStr">
        <is>
          <t>INV0004021</t>
        </is>
      </c>
      <c r="D153" s="8" t="n">
        <v>45858</v>
      </c>
      <c r="E153" t="inlineStr">
        <is>
          <t>Reminder</t>
        </is>
      </c>
      <c r="F153" t="inlineStr">
        <is>
          <t>Email</t>
        </is>
      </c>
      <c r="G153" t="inlineStr">
        <is>
          <t>Shweta Gupta</t>
        </is>
      </c>
      <c r="H153" t="inlineStr">
        <is>
          <t>No Response</t>
        </is>
      </c>
      <c r="I153" s="8" t="n"/>
      <c r="J153" t="n">
        <v/>
      </c>
      <c r="K153" t="inlineStr">
        <is>
          <t>Automated reminder sent for invoice INV0004021 due 2025-07-17.</t>
        </is>
      </c>
    </row>
    <row r="154">
      <c r="A154" t="inlineStr">
        <is>
          <t>COL0002281</t>
        </is>
      </c>
      <c r="B154" t="inlineStr">
        <is>
          <t>MER00189</t>
        </is>
      </c>
      <c r="C154" t="inlineStr">
        <is>
          <t>INV0004021</t>
        </is>
      </c>
      <c r="D154" s="8" t="n">
        <v>45867</v>
      </c>
      <c r="E154" t="inlineStr">
        <is>
          <t>Email</t>
        </is>
      </c>
      <c r="F154" t="inlineStr">
        <is>
          <t>Email</t>
        </is>
      </c>
      <c r="G154" t="inlineStr">
        <is>
          <t>Anjali Desai</t>
        </is>
      </c>
      <c r="H154" t="inlineStr">
        <is>
          <t>Promise to Pay</t>
        </is>
      </c>
      <c r="I154" s="8" t="n">
        <v>45873</v>
      </c>
      <c r="J154" t="n">
        <v>231.5</v>
      </c>
      <c r="K154" t="inlineStr">
        <is>
          <t>Followed up via email regarding outstanding invoice INV0004021.</t>
        </is>
      </c>
    </row>
    <row r="155">
      <c r="A155" t="inlineStr">
        <is>
          <t>COL0002282</t>
        </is>
      </c>
      <c r="B155" t="inlineStr">
        <is>
          <t>MER00189</t>
        </is>
      </c>
      <c r="C155" t="inlineStr">
        <is>
          <t>INV0004021</t>
        </is>
      </c>
      <c r="D155" s="8" t="n">
        <v>45877</v>
      </c>
      <c r="E155" t="inlineStr">
        <is>
          <t>Phone</t>
        </is>
      </c>
      <c r="F155" t="inlineStr">
        <is>
          <t>Phone</t>
        </is>
      </c>
      <c r="G155" t="inlineStr">
        <is>
          <t>Ritu Bansal</t>
        </is>
      </c>
      <c r="H155" t="inlineStr">
        <is>
          <t>No Response</t>
        </is>
      </c>
      <c r="I155" s="8" t="n"/>
      <c r="J155" t="n">
        <v/>
      </c>
      <c r="K155" t="inlineStr">
        <is>
          <t>Called merchant to discuss overdue invoice INV0004021.</t>
        </is>
      </c>
    </row>
    <row r="156">
      <c r="A156" t="inlineStr">
        <is>
          <t>COL0002283</t>
        </is>
      </c>
      <c r="B156" t="inlineStr">
        <is>
          <t>MER00189</t>
        </is>
      </c>
      <c r="C156" t="inlineStr">
        <is>
          <t>INV0004021</t>
        </is>
      </c>
      <c r="D156" s="8" t="n">
        <v>45889</v>
      </c>
      <c r="E156" t="inlineStr">
        <is>
          <t>Escalation</t>
        </is>
      </c>
      <c r="F156" t="inlineStr">
        <is>
          <t>Phone</t>
        </is>
      </c>
      <c r="G156" t="inlineStr">
        <is>
          <t>Sanjay Kumar</t>
        </is>
      </c>
      <c r="H156" t="inlineStr">
        <is>
          <t>Disputed</t>
        </is>
      </c>
      <c r="I156" s="8" t="n"/>
      <c r="J156" t="n">
        <v/>
      </c>
      <c r="K156" t="inlineStr">
        <is>
          <t>Escalated invoice INV0004021 to account manager for non-payment.</t>
        </is>
      </c>
    </row>
    <row r="157">
      <c r="A157" t="inlineStr">
        <is>
          <t>COL0002284</t>
        </is>
      </c>
      <c r="B157" t="inlineStr">
        <is>
          <t>MER00189</t>
        </is>
      </c>
      <c r="C157" t="inlineStr">
        <is>
          <t>INV0004021</t>
        </is>
      </c>
      <c r="D157" s="8" t="n">
        <v>45894</v>
      </c>
      <c r="E157" t="inlineStr">
        <is>
          <t>Payment Promise</t>
        </is>
      </c>
      <c r="F157" t="inlineStr">
        <is>
          <t>WhatsApp</t>
        </is>
      </c>
      <c r="G157" t="inlineStr">
        <is>
          <t>Amit Saxena</t>
        </is>
      </c>
      <c r="H157" t="inlineStr">
        <is>
          <t>No Response</t>
        </is>
      </c>
      <c r="I157" s="8" t="n">
        <v>45901</v>
      </c>
      <c r="J157" t="n">
        <v>253.68</v>
      </c>
      <c r="K157" t="inlineStr">
        <is>
          <t>Merchant committed to paying invoice INV0004021 by 2025-09-01.</t>
        </is>
      </c>
    </row>
    <row r="158">
      <c r="A158" t="inlineStr">
        <is>
          <t>COL0002285</t>
        </is>
      </c>
      <c r="B158" t="inlineStr">
        <is>
          <t>MER00189</t>
        </is>
      </c>
      <c r="C158" t="inlineStr">
        <is>
          <t>INV0004022</t>
        </is>
      </c>
      <c r="D158" s="8" t="n">
        <v>45895</v>
      </c>
      <c r="E158" t="inlineStr">
        <is>
          <t>Reminder</t>
        </is>
      </c>
      <c r="F158" t="inlineStr">
        <is>
          <t>Email</t>
        </is>
      </c>
      <c r="G158" t="inlineStr">
        <is>
          <t>Farhan Sheikh</t>
        </is>
      </c>
      <c r="H158" t="inlineStr">
        <is>
          <t>Promise to Pay</t>
        </is>
      </c>
      <c r="I158" s="8" t="n">
        <v>45906</v>
      </c>
      <c r="J158" t="n">
        <v>27.64</v>
      </c>
      <c r="K158" t="inlineStr">
        <is>
          <t>Automated reminder sent for invoice INV0004022 due 2025-08-17.</t>
        </is>
      </c>
    </row>
    <row r="159">
      <c r="A159" t="inlineStr">
        <is>
          <t>COL0002286</t>
        </is>
      </c>
      <c r="B159" t="inlineStr">
        <is>
          <t>MER00189</t>
        </is>
      </c>
      <c r="C159" t="inlineStr">
        <is>
          <t>INV0004022</t>
        </is>
      </c>
      <c r="D159" s="8" t="n">
        <v>45902</v>
      </c>
      <c r="E159" t="inlineStr">
        <is>
          <t>Email</t>
        </is>
      </c>
      <c r="F159" t="inlineStr">
        <is>
          <t>Email</t>
        </is>
      </c>
      <c r="G159" t="inlineStr">
        <is>
          <t>Sanjay Kumar</t>
        </is>
      </c>
      <c r="H159" t="inlineStr">
        <is>
          <t>No Response</t>
        </is>
      </c>
      <c r="I159" s="8" t="n"/>
      <c r="J159" t="n">
        <v/>
      </c>
      <c r="K159" t="inlineStr">
        <is>
          <t>Followed up via email regarding outstanding invoice INV0004022.</t>
        </is>
      </c>
    </row>
    <row r="160">
      <c r="A160" t="inlineStr">
        <is>
          <t>COL0002287</t>
        </is>
      </c>
      <c r="B160" t="inlineStr">
        <is>
          <t>MER00189</t>
        </is>
      </c>
      <c r="C160" t="inlineStr">
        <is>
          <t>INV0004022</t>
        </is>
      </c>
      <c r="D160" s="8" t="n">
        <v>45914</v>
      </c>
      <c r="E160" t="inlineStr">
        <is>
          <t>Phone</t>
        </is>
      </c>
      <c r="F160" t="inlineStr">
        <is>
          <t>Phone</t>
        </is>
      </c>
      <c r="G160" t="inlineStr">
        <is>
          <t>Farhan Sheikh</t>
        </is>
      </c>
      <c r="H160" t="inlineStr">
        <is>
          <t>Promise to Pay</t>
        </is>
      </c>
      <c r="I160" s="8" t="n">
        <v>45922</v>
      </c>
      <c r="J160" t="n">
        <v>21.55</v>
      </c>
      <c r="K160" t="inlineStr">
        <is>
          <t>Called merchant to discuss overdue invoice INV0004022.</t>
        </is>
      </c>
    </row>
    <row r="161">
      <c r="A161" t="inlineStr">
        <is>
          <t>COL0002288</t>
        </is>
      </c>
      <c r="B161" t="inlineStr">
        <is>
          <t>MER00189</t>
        </is>
      </c>
      <c r="C161" t="inlineStr">
        <is>
          <t>INV0004028</t>
        </is>
      </c>
      <c r="D161" s="8" t="n">
        <v>46075</v>
      </c>
      <c r="E161" t="inlineStr">
        <is>
          <t>Reminder</t>
        </is>
      </c>
      <c r="F161" t="inlineStr">
        <is>
          <t>Email</t>
        </is>
      </c>
      <c r="G161" t="inlineStr">
        <is>
          <t>Shweta Gupta</t>
        </is>
      </c>
      <c r="H161" t="inlineStr">
        <is>
          <t>Promise to Pay</t>
        </is>
      </c>
      <c r="I161" s="8" t="n">
        <v>46082</v>
      </c>
      <c r="J161" t="n">
        <v>128</v>
      </c>
      <c r="K161" t="inlineStr">
        <is>
          <t>Automated reminder sent for invoice INV0004028 due 2026-02-17.</t>
        </is>
      </c>
    </row>
    <row r="162">
      <c r="A162" t="inlineStr">
        <is>
          <t>COL0002289</t>
        </is>
      </c>
      <c r="B162" t="inlineStr">
        <is>
          <t>MER00189</t>
        </is>
      </c>
      <c r="C162" t="inlineStr">
        <is>
          <t>INV0004028</t>
        </is>
      </c>
      <c r="D162" s="8" t="n">
        <v>46082</v>
      </c>
      <c r="E162" t="inlineStr">
        <is>
          <t>Email</t>
        </is>
      </c>
      <c r="F162" t="inlineStr">
        <is>
          <t>Email</t>
        </is>
      </c>
      <c r="G162" t="inlineStr">
        <is>
          <t>Nandini Rajan</t>
        </is>
      </c>
      <c r="H162" t="inlineStr">
        <is>
          <t>Promise to Pay</t>
        </is>
      </c>
      <c r="I162" s="8" t="n">
        <v>46086</v>
      </c>
      <c r="J162" t="n">
        <v>83.31999999999999</v>
      </c>
      <c r="K162" t="inlineStr">
        <is>
          <t>Followed up via email regarding outstanding invoice INV0004028.</t>
        </is>
      </c>
    </row>
    <row r="163">
      <c r="A163" t="inlineStr">
        <is>
          <t>COL0002290</t>
        </is>
      </c>
      <c r="B163" t="inlineStr">
        <is>
          <t>MER00189</t>
        </is>
      </c>
      <c r="C163" t="inlineStr">
        <is>
          <t>INV0004028</t>
        </is>
      </c>
      <c r="D163" s="8" t="n">
        <v>46094</v>
      </c>
      <c r="E163" t="inlineStr">
        <is>
          <t>Phone</t>
        </is>
      </c>
      <c r="F163" t="inlineStr">
        <is>
          <t>Phone</t>
        </is>
      </c>
      <c r="G163" t="inlineStr">
        <is>
          <t>Ritu Bansal</t>
        </is>
      </c>
      <c r="H163" t="inlineStr">
        <is>
          <t>Promise to Pay</t>
        </is>
      </c>
      <c r="I163" s="8" t="n">
        <v>46098</v>
      </c>
      <c r="J163" t="n">
        <v>81.95</v>
      </c>
      <c r="K163" t="inlineStr">
        <is>
          <t>Called merchant to discuss overdue invoice INV0004028.</t>
        </is>
      </c>
    </row>
    <row r="164">
      <c r="A164" t="inlineStr">
        <is>
          <t>COL0002456</t>
        </is>
      </c>
      <c r="B164" t="inlineStr">
        <is>
          <t>MER00203</t>
        </is>
      </c>
      <c r="C164" t="inlineStr">
        <is>
          <t>INV0004316</t>
        </is>
      </c>
      <c r="D164" s="8" t="n">
        <v>45662</v>
      </c>
      <c r="E164" t="inlineStr">
        <is>
          <t>Reminder</t>
        </is>
      </c>
      <c r="F164" t="inlineStr">
        <is>
          <t>Email</t>
        </is>
      </c>
      <c r="G164" t="inlineStr">
        <is>
          <t>Nandini Rajan</t>
        </is>
      </c>
      <c r="H164" t="inlineStr">
        <is>
          <t>No Response</t>
        </is>
      </c>
      <c r="I164" s="8" t="n"/>
      <c r="J164" t="n">
        <v/>
      </c>
      <c r="K164" t="inlineStr">
        <is>
          <t>Automated reminder sent for invoice INV0004316 due 2025-01-01.</t>
        </is>
      </c>
    </row>
    <row r="165">
      <c r="A165" t="inlineStr">
        <is>
          <t>COL0002457</t>
        </is>
      </c>
      <c r="B165" t="inlineStr">
        <is>
          <t>MER00203</t>
        </is>
      </c>
      <c r="C165" t="inlineStr">
        <is>
          <t>INV0004316</t>
        </is>
      </c>
      <c r="D165" s="8" t="n">
        <v>45676</v>
      </c>
      <c r="E165" t="inlineStr">
        <is>
          <t>Email</t>
        </is>
      </c>
      <c r="F165" t="inlineStr">
        <is>
          <t>Email</t>
        </is>
      </c>
      <c r="G165" t="inlineStr">
        <is>
          <t>Manish Tiwari</t>
        </is>
      </c>
      <c r="H165" t="inlineStr">
        <is>
          <t>No Response</t>
        </is>
      </c>
      <c r="I165" s="8" t="n"/>
      <c r="J165" t="n">
        <v/>
      </c>
      <c r="K165" t="inlineStr">
        <is>
          <t>Followed up via email regarding outstanding invoice INV0004316.</t>
        </is>
      </c>
    </row>
    <row r="166">
      <c r="A166" t="inlineStr">
        <is>
          <t>COL0002458</t>
        </is>
      </c>
      <c r="B166" t="inlineStr">
        <is>
          <t>MER00203</t>
        </is>
      </c>
      <c r="C166" t="inlineStr">
        <is>
          <t>INV0004316</t>
        </is>
      </c>
      <c r="D166" s="8" t="n">
        <v>45682</v>
      </c>
      <c r="E166" t="inlineStr">
        <is>
          <t>Phone</t>
        </is>
      </c>
      <c r="F166" t="inlineStr">
        <is>
          <t>Phone</t>
        </is>
      </c>
      <c r="G166" t="inlineStr">
        <is>
          <t>Shweta Gupta</t>
        </is>
      </c>
      <c r="H166" t="inlineStr">
        <is>
          <t>Promise to Pay</t>
        </is>
      </c>
      <c r="I166" s="8" t="n">
        <v>45693</v>
      </c>
      <c r="J166" t="n">
        <v>1029.65</v>
      </c>
      <c r="K166" t="inlineStr">
        <is>
          <t>Called merchant to discuss overdue invoice INV0004316.</t>
        </is>
      </c>
    </row>
    <row r="167">
      <c r="A167" t="inlineStr">
        <is>
          <t>COL0002459</t>
        </is>
      </c>
      <c r="B167" t="inlineStr">
        <is>
          <t>MER00203</t>
        </is>
      </c>
      <c r="C167" t="inlineStr">
        <is>
          <t>INV0004316</t>
        </is>
      </c>
      <c r="D167" s="8" t="n">
        <v>45688</v>
      </c>
      <c r="E167" t="inlineStr">
        <is>
          <t>Escalation</t>
        </is>
      </c>
      <c r="F167" t="inlineStr">
        <is>
          <t>Phone</t>
        </is>
      </c>
      <c r="G167" t="inlineStr">
        <is>
          <t>Amit Saxena</t>
        </is>
      </c>
      <c r="H167" t="inlineStr">
        <is>
          <t>No Response</t>
        </is>
      </c>
      <c r="I167" s="8" t="n"/>
      <c r="J167" t="n">
        <v/>
      </c>
      <c r="K167" t="inlineStr">
        <is>
          <t>Escalated invoice INV0004316 to account manager for non-payment.</t>
        </is>
      </c>
    </row>
    <row r="168">
      <c r="A168" t="inlineStr">
        <is>
          <t>COL0002460</t>
        </is>
      </c>
      <c r="B168" t="inlineStr">
        <is>
          <t>MER00203</t>
        </is>
      </c>
      <c r="C168" t="inlineStr">
        <is>
          <t>INV0004316</t>
        </is>
      </c>
      <c r="D168" s="8" t="n">
        <v>45700</v>
      </c>
      <c r="E168" t="inlineStr">
        <is>
          <t>Payment Promise</t>
        </is>
      </c>
      <c r="F168" t="inlineStr">
        <is>
          <t>WhatsApp</t>
        </is>
      </c>
      <c r="G168" t="inlineStr">
        <is>
          <t>Ritu Bansal</t>
        </is>
      </c>
      <c r="H168" t="inlineStr">
        <is>
          <t>No Response</t>
        </is>
      </c>
      <c r="I168" s="8" t="n">
        <v>45705</v>
      </c>
      <c r="J168" t="n">
        <v>1800.95</v>
      </c>
      <c r="K168" t="inlineStr">
        <is>
          <t>Merchant committed to paying invoice INV0004316 by 2025-02-17.</t>
        </is>
      </c>
    </row>
    <row r="169">
      <c r="A169" t="inlineStr">
        <is>
          <t>COL0002461</t>
        </is>
      </c>
      <c r="B169" t="inlineStr">
        <is>
          <t>MER00203</t>
        </is>
      </c>
      <c r="C169" t="inlineStr">
        <is>
          <t>INV0004318</t>
        </is>
      </c>
      <c r="D169" s="8" t="n">
        <v>45727</v>
      </c>
      <c r="E169" t="inlineStr">
        <is>
          <t>Reminder</t>
        </is>
      </c>
      <c r="F169" t="inlineStr">
        <is>
          <t>Email</t>
        </is>
      </c>
      <c r="G169" t="inlineStr">
        <is>
          <t>Shweta Gupta</t>
        </is>
      </c>
      <c r="H169" t="inlineStr">
        <is>
          <t>No Response</t>
        </is>
      </c>
      <c r="I169" s="8" t="n"/>
      <c r="J169" t="n">
        <v/>
      </c>
      <c r="K169" t="inlineStr">
        <is>
          <t>Automated reminder sent for invoice INV0004318 due 2025-03-04.</t>
        </is>
      </c>
    </row>
    <row r="170">
      <c r="A170" t="inlineStr">
        <is>
          <t>COL0002462</t>
        </is>
      </c>
      <c r="B170" t="inlineStr">
        <is>
          <t>MER00203</t>
        </is>
      </c>
      <c r="C170" t="inlineStr">
        <is>
          <t>INV0004318</t>
        </is>
      </c>
      <c r="D170" s="8" t="n">
        <v>45732</v>
      </c>
      <c r="E170" t="inlineStr">
        <is>
          <t>Email</t>
        </is>
      </c>
      <c r="F170" t="inlineStr">
        <is>
          <t>Email</t>
        </is>
      </c>
      <c r="G170" t="inlineStr">
        <is>
          <t>Amit Saxena</t>
        </is>
      </c>
      <c r="H170" t="inlineStr">
        <is>
          <t>Disputed</t>
        </is>
      </c>
      <c r="I170" s="8" t="n"/>
      <c r="J170" t="n">
        <v/>
      </c>
      <c r="K170" t="inlineStr">
        <is>
          <t>Followed up via email regarding outstanding invoice INV0004318.</t>
        </is>
      </c>
    </row>
    <row r="171">
      <c r="A171" t="inlineStr">
        <is>
          <t>COL0002463</t>
        </is>
      </c>
      <c r="B171" t="inlineStr">
        <is>
          <t>MER00203</t>
        </is>
      </c>
      <c r="C171" t="inlineStr">
        <is>
          <t>INV0004318</t>
        </is>
      </c>
      <c r="D171" s="8" t="n">
        <v>45742</v>
      </c>
      <c r="E171" t="inlineStr">
        <is>
          <t>Phone</t>
        </is>
      </c>
      <c r="F171" t="inlineStr">
        <is>
          <t>Phone</t>
        </is>
      </c>
      <c r="G171" t="inlineStr">
        <is>
          <t>Ritu Bansal</t>
        </is>
      </c>
      <c r="H171" t="inlineStr">
        <is>
          <t>Payment Received</t>
        </is>
      </c>
      <c r="I171" s="8" t="n"/>
      <c r="J171" t="n">
        <v/>
      </c>
      <c r="K171" t="inlineStr">
        <is>
          <t>Called merchant to discuss overdue invoice INV0004318.</t>
        </is>
      </c>
    </row>
    <row r="172">
      <c r="A172" t="inlineStr">
        <is>
          <t>COL0002464</t>
        </is>
      </c>
      <c r="B172" t="inlineStr">
        <is>
          <t>MER00203</t>
        </is>
      </c>
      <c r="C172" t="inlineStr">
        <is>
          <t>INV0004319</t>
        </is>
      </c>
      <c r="D172" s="8" t="n">
        <v>45754</v>
      </c>
      <c r="E172" t="inlineStr">
        <is>
          <t>Reminder</t>
        </is>
      </c>
      <c r="F172" t="inlineStr">
        <is>
          <t>Email</t>
        </is>
      </c>
      <c r="G172" t="inlineStr">
        <is>
          <t>Anjali Desai</t>
        </is>
      </c>
      <c r="H172" t="inlineStr">
        <is>
          <t>No Response</t>
        </is>
      </c>
      <c r="I172" s="8" t="n"/>
      <c r="J172" t="n">
        <v/>
      </c>
      <c r="K172" t="inlineStr">
        <is>
          <t>Automated reminder sent for invoice INV0004319 due 2025-04-01.</t>
        </is>
      </c>
    </row>
    <row r="173">
      <c r="A173" t="inlineStr">
        <is>
          <t>COL0002465</t>
        </is>
      </c>
      <c r="B173" t="inlineStr">
        <is>
          <t>MER00203</t>
        </is>
      </c>
      <c r="C173" t="inlineStr">
        <is>
          <t>INV0004319</t>
        </is>
      </c>
      <c r="D173" s="8" t="n">
        <v>45760</v>
      </c>
      <c r="E173" t="inlineStr">
        <is>
          <t>Email</t>
        </is>
      </c>
      <c r="F173" t="inlineStr">
        <is>
          <t>Email</t>
        </is>
      </c>
      <c r="G173" t="inlineStr">
        <is>
          <t>Shweta Gupta</t>
        </is>
      </c>
      <c r="H173" t="inlineStr">
        <is>
          <t>No Response</t>
        </is>
      </c>
      <c r="I173" s="8" t="n"/>
      <c r="J173" t="n">
        <v/>
      </c>
      <c r="K173" t="inlineStr">
        <is>
          <t>Followed up via email regarding outstanding invoice INV0004319.</t>
        </is>
      </c>
    </row>
    <row r="174">
      <c r="A174" t="inlineStr">
        <is>
          <t>COL0002466</t>
        </is>
      </c>
      <c r="B174" t="inlineStr">
        <is>
          <t>MER00203</t>
        </is>
      </c>
      <c r="C174" t="inlineStr">
        <is>
          <t>INV0004319</t>
        </is>
      </c>
      <c r="D174" s="8" t="n">
        <v>45773</v>
      </c>
      <c r="E174" t="inlineStr">
        <is>
          <t>Phone</t>
        </is>
      </c>
      <c r="F174" t="inlineStr">
        <is>
          <t>Phone</t>
        </is>
      </c>
      <c r="G174" t="inlineStr">
        <is>
          <t>Shweta Gupta</t>
        </is>
      </c>
      <c r="H174" t="inlineStr">
        <is>
          <t>No Response</t>
        </is>
      </c>
      <c r="I174" s="8" t="n"/>
      <c r="J174" t="n">
        <v/>
      </c>
      <c r="K174" t="inlineStr">
        <is>
          <t>Called merchant to discuss overdue invoice INV0004319.</t>
        </is>
      </c>
    </row>
    <row r="175">
      <c r="A175" t="inlineStr">
        <is>
          <t>COL0002467</t>
        </is>
      </c>
      <c r="B175" t="inlineStr">
        <is>
          <t>MER00203</t>
        </is>
      </c>
      <c r="C175" t="inlineStr">
        <is>
          <t>INV0004319</t>
        </is>
      </c>
      <c r="D175" s="8" t="n">
        <v>45785</v>
      </c>
      <c r="E175" t="inlineStr">
        <is>
          <t>Escalation</t>
        </is>
      </c>
      <c r="F175" t="inlineStr">
        <is>
          <t>Phone</t>
        </is>
      </c>
      <c r="G175" t="inlineStr">
        <is>
          <t>Nandini Rajan</t>
        </is>
      </c>
      <c r="H175" t="inlineStr">
        <is>
          <t>No Response</t>
        </is>
      </c>
      <c r="I175" s="8" t="n"/>
      <c r="J175" t="n">
        <v/>
      </c>
      <c r="K175" t="inlineStr">
        <is>
          <t>Escalated invoice INV0004319 to account manager for non-payment.</t>
        </is>
      </c>
    </row>
    <row r="176">
      <c r="A176" t="inlineStr">
        <is>
          <t>COL0002468</t>
        </is>
      </c>
      <c r="B176" t="inlineStr">
        <is>
          <t>MER00203</t>
        </is>
      </c>
      <c r="C176" t="inlineStr">
        <is>
          <t>INV0004319</t>
        </is>
      </c>
      <c r="D176" s="8" t="n">
        <v>45790</v>
      </c>
      <c r="E176" t="inlineStr">
        <is>
          <t>Payment Promise</t>
        </is>
      </c>
      <c r="F176" t="inlineStr">
        <is>
          <t>WhatsApp</t>
        </is>
      </c>
      <c r="G176" t="inlineStr">
        <is>
          <t>Nandini Rajan</t>
        </is>
      </c>
      <c r="H176" t="inlineStr">
        <is>
          <t>No Response</t>
        </is>
      </c>
      <c r="I176" s="8" t="n">
        <v>45801</v>
      </c>
      <c r="J176" t="n">
        <v>1153.71</v>
      </c>
      <c r="K176" t="inlineStr">
        <is>
          <t>Merchant committed to paying invoice INV0004319 by 2025-05-24.</t>
        </is>
      </c>
    </row>
    <row r="177">
      <c r="A177" t="inlineStr">
        <is>
          <t>COL0002469</t>
        </is>
      </c>
      <c r="B177" t="inlineStr">
        <is>
          <t>MER00203</t>
        </is>
      </c>
      <c r="C177" t="inlineStr">
        <is>
          <t>INV0004320</t>
        </is>
      </c>
      <c r="D177" s="8" t="n">
        <v>45785</v>
      </c>
      <c r="E177" t="inlineStr">
        <is>
          <t>Reminder</t>
        </is>
      </c>
      <c r="F177" t="inlineStr">
        <is>
          <t>Email</t>
        </is>
      </c>
      <c r="G177" t="inlineStr">
        <is>
          <t>Ritu Bansal</t>
        </is>
      </c>
      <c r="H177" t="inlineStr">
        <is>
          <t>Promise to Pay</t>
        </is>
      </c>
      <c r="I177" s="8" t="n">
        <v>45795</v>
      </c>
      <c r="J177" t="n">
        <v>1030.31</v>
      </c>
      <c r="K177" t="inlineStr">
        <is>
          <t>Automated reminder sent for invoice INV0004320 due 2025-05-02.</t>
        </is>
      </c>
    </row>
    <row r="178">
      <c r="A178" t="inlineStr">
        <is>
          <t>COL0002470</t>
        </is>
      </c>
      <c r="B178" t="inlineStr">
        <is>
          <t>MER00203</t>
        </is>
      </c>
      <c r="C178" t="inlineStr">
        <is>
          <t>INV0004320</t>
        </is>
      </c>
      <c r="D178" s="8" t="n">
        <v>45791</v>
      </c>
      <c r="E178" t="inlineStr">
        <is>
          <t>Email</t>
        </is>
      </c>
      <c r="F178" t="inlineStr">
        <is>
          <t>Email</t>
        </is>
      </c>
      <c r="G178" t="inlineStr">
        <is>
          <t>Manish Tiwari</t>
        </is>
      </c>
      <c r="H178" t="inlineStr">
        <is>
          <t>Promise to Pay</t>
        </is>
      </c>
      <c r="I178" s="8" t="n">
        <v>45804</v>
      </c>
      <c r="J178" t="n">
        <v>1269.64</v>
      </c>
      <c r="K178" t="inlineStr">
        <is>
          <t>Followed up via email regarding outstanding invoice INV0004320.</t>
        </is>
      </c>
    </row>
    <row r="179">
      <c r="A179" t="inlineStr">
        <is>
          <t>COL0002471</t>
        </is>
      </c>
      <c r="B179" t="inlineStr">
        <is>
          <t>MER00203</t>
        </is>
      </c>
      <c r="C179" t="inlineStr">
        <is>
          <t>INV0004320</t>
        </is>
      </c>
      <c r="D179" s="8" t="n">
        <v>45801</v>
      </c>
      <c r="E179" t="inlineStr">
        <is>
          <t>Phone</t>
        </is>
      </c>
      <c r="F179" t="inlineStr">
        <is>
          <t>Phone</t>
        </is>
      </c>
      <c r="G179" t="inlineStr">
        <is>
          <t>Vivek Nair</t>
        </is>
      </c>
      <c r="H179" t="inlineStr">
        <is>
          <t>No Response</t>
        </is>
      </c>
      <c r="I179" s="8" t="n"/>
      <c r="J179" t="n">
        <v/>
      </c>
      <c r="K179" t="inlineStr">
        <is>
          <t>Called merchant to discuss overdue invoice INV0004320.</t>
        </is>
      </c>
    </row>
    <row r="180">
      <c r="A180" t="inlineStr">
        <is>
          <t>COL0002472</t>
        </is>
      </c>
      <c r="B180" t="inlineStr">
        <is>
          <t>MER00203</t>
        </is>
      </c>
      <c r="C180" t="inlineStr">
        <is>
          <t>INV0004320</t>
        </is>
      </c>
      <c r="D180" s="8" t="n">
        <v>45813</v>
      </c>
      <c r="E180" t="inlineStr">
        <is>
          <t>Escalation</t>
        </is>
      </c>
      <c r="F180" t="inlineStr">
        <is>
          <t>Phone</t>
        </is>
      </c>
      <c r="G180" t="inlineStr">
        <is>
          <t>Anjali Desai</t>
        </is>
      </c>
      <c r="H180" t="inlineStr">
        <is>
          <t>No Response</t>
        </is>
      </c>
      <c r="I180" s="8" t="n"/>
      <c r="J180" t="n">
        <v/>
      </c>
      <c r="K180" t="inlineStr">
        <is>
          <t>Escalated invoice INV0004320 to account manager for non-payment.</t>
        </is>
      </c>
    </row>
    <row r="181">
      <c r="A181" t="inlineStr">
        <is>
          <t>COL0002473</t>
        </is>
      </c>
      <c r="B181" t="inlineStr">
        <is>
          <t>MER00203</t>
        </is>
      </c>
      <c r="C181" t="inlineStr">
        <is>
          <t>INV0004320</t>
        </is>
      </c>
      <c r="D181" s="8" t="n">
        <v>45821</v>
      </c>
      <c r="E181" t="inlineStr">
        <is>
          <t>Payment Promise</t>
        </is>
      </c>
      <c r="F181" t="inlineStr">
        <is>
          <t>WhatsApp</t>
        </is>
      </c>
      <c r="G181" t="inlineStr">
        <is>
          <t>Shweta Gupta</t>
        </is>
      </c>
      <c r="H181" t="inlineStr">
        <is>
          <t>No Response</t>
        </is>
      </c>
      <c r="I181" s="8" t="n">
        <v>45825</v>
      </c>
      <c r="J181" t="n">
        <v>884.22</v>
      </c>
      <c r="K181" t="inlineStr">
        <is>
          <t>Merchant committed to paying invoice INV0004320 by 2025-06-17.</t>
        </is>
      </c>
    </row>
    <row r="182">
      <c r="A182" t="inlineStr">
        <is>
          <t>COL0002474</t>
        </is>
      </c>
      <c r="B182" t="inlineStr">
        <is>
          <t>MER00203</t>
        </is>
      </c>
      <c r="C182" t="inlineStr">
        <is>
          <t>INV0004321</t>
        </is>
      </c>
      <c r="D182" s="8" t="n">
        <v>45816</v>
      </c>
      <c r="E182" t="inlineStr">
        <is>
          <t>Reminder</t>
        </is>
      </c>
      <c r="F182" t="inlineStr">
        <is>
          <t>Email</t>
        </is>
      </c>
      <c r="G182" t="inlineStr">
        <is>
          <t>Sanjay Kumar</t>
        </is>
      </c>
      <c r="H182" t="inlineStr">
        <is>
          <t>Promise to Pay</t>
        </is>
      </c>
      <c r="I182" s="8" t="n">
        <v>45819</v>
      </c>
      <c r="J182" t="n">
        <v>1713.53</v>
      </c>
      <c r="K182" t="inlineStr">
        <is>
          <t>Automated reminder sent for invoice INV0004321 due 2025-06-01.</t>
        </is>
      </c>
    </row>
    <row r="183">
      <c r="A183" t="inlineStr">
        <is>
          <t>COL0002475</t>
        </is>
      </c>
      <c r="B183" t="inlineStr">
        <is>
          <t>MER00203</t>
        </is>
      </c>
      <c r="C183" t="inlineStr">
        <is>
          <t>INV0004321</t>
        </is>
      </c>
      <c r="D183" s="8" t="n">
        <v>45821</v>
      </c>
      <c r="E183" t="inlineStr">
        <is>
          <t>Email</t>
        </is>
      </c>
      <c r="F183" t="inlineStr">
        <is>
          <t>Email</t>
        </is>
      </c>
      <c r="G183" t="inlineStr">
        <is>
          <t>Vivek Nair</t>
        </is>
      </c>
      <c r="H183" t="inlineStr">
        <is>
          <t>Promise to Pay</t>
        </is>
      </c>
      <c r="I183" s="8" t="n">
        <v>45824</v>
      </c>
      <c r="J183" t="n">
        <v>1639.45</v>
      </c>
      <c r="K183" t="inlineStr">
        <is>
          <t>Followed up via email regarding outstanding invoice INV0004321.</t>
        </is>
      </c>
    </row>
    <row r="184">
      <c r="A184" t="inlineStr">
        <is>
          <t>COL0002476</t>
        </is>
      </c>
      <c r="B184" t="inlineStr">
        <is>
          <t>MER00203</t>
        </is>
      </c>
      <c r="C184" t="inlineStr">
        <is>
          <t>INV0004321</t>
        </is>
      </c>
      <c r="D184" s="8" t="n">
        <v>45835</v>
      </c>
      <c r="E184" t="inlineStr">
        <is>
          <t>Phone</t>
        </is>
      </c>
      <c r="F184" t="inlineStr">
        <is>
          <t>Phone</t>
        </is>
      </c>
      <c r="G184" t="inlineStr">
        <is>
          <t>Nandini Rajan</t>
        </is>
      </c>
      <c r="H184" t="inlineStr">
        <is>
          <t>No Response</t>
        </is>
      </c>
      <c r="I184" s="8" t="n"/>
      <c r="J184" t="n">
        <v/>
      </c>
      <c r="K184" t="inlineStr">
        <is>
          <t>Called merchant to discuss overdue invoice INV0004321.</t>
        </is>
      </c>
    </row>
    <row r="185">
      <c r="A185" t="inlineStr">
        <is>
          <t>COL0002477</t>
        </is>
      </c>
      <c r="B185" t="inlineStr">
        <is>
          <t>MER00203</t>
        </is>
      </c>
      <c r="C185" t="inlineStr">
        <is>
          <t>INV0004321</t>
        </is>
      </c>
      <c r="D185" s="8" t="n">
        <v>45845</v>
      </c>
      <c r="E185" t="inlineStr">
        <is>
          <t>Escalation</t>
        </is>
      </c>
      <c r="F185" t="inlineStr">
        <is>
          <t>Phone</t>
        </is>
      </c>
      <c r="G185" t="inlineStr">
        <is>
          <t>Vivek Nair</t>
        </is>
      </c>
      <c r="H185" t="inlineStr">
        <is>
          <t>Escalated</t>
        </is>
      </c>
      <c r="I185" s="8" t="n"/>
      <c r="J185" t="n">
        <v/>
      </c>
      <c r="K185" t="inlineStr">
        <is>
          <t>Escalated invoice INV0004321 to account manager for non-payment.</t>
        </is>
      </c>
    </row>
    <row r="186">
      <c r="A186" t="inlineStr">
        <is>
          <t>COL0002478</t>
        </is>
      </c>
      <c r="B186" t="inlineStr">
        <is>
          <t>MER00203</t>
        </is>
      </c>
      <c r="C186" t="inlineStr">
        <is>
          <t>INV0004322</t>
        </is>
      </c>
      <c r="D186" s="8" t="n">
        <v>45847</v>
      </c>
      <c r="E186" t="inlineStr">
        <is>
          <t>Reminder</t>
        </is>
      </c>
      <c r="F186" t="inlineStr">
        <is>
          <t>Email</t>
        </is>
      </c>
      <c r="G186" t="inlineStr">
        <is>
          <t>Vivek Nair</t>
        </is>
      </c>
      <c r="H186" t="inlineStr">
        <is>
          <t>No Response</t>
        </is>
      </c>
      <c r="I186" s="8" t="n"/>
      <c r="J186" t="n">
        <v/>
      </c>
      <c r="K186" t="inlineStr">
        <is>
          <t>Automated reminder sent for invoice INV0004322 due 2025-07-02.</t>
        </is>
      </c>
    </row>
    <row r="187">
      <c r="A187" t="inlineStr">
        <is>
          <t>COL0002479</t>
        </is>
      </c>
      <c r="B187" t="inlineStr">
        <is>
          <t>MER00203</t>
        </is>
      </c>
      <c r="C187" t="inlineStr">
        <is>
          <t>INV0004322</t>
        </is>
      </c>
      <c r="D187" s="8" t="n">
        <v>45852</v>
      </c>
      <c r="E187" t="inlineStr">
        <is>
          <t>Email</t>
        </is>
      </c>
      <c r="F187" t="inlineStr">
        <is>
          <t>Email</t>
        </is>
      </c>
      <c r="G187" t="inlineStr">
        <is>
          <t>Shweta Gupta</t>
        </is>
      </c>
      <c r="H187" t="inlineStr">
        <is>
          <t>Promise to Pay</t>
        </is>
      </c>
      <c r="I187" s="8" t="n">
        <v>45866</v>
      </c>
      <c r="J187" t="n">
        <v>2399.48</v>
      </c>
      <c r="K187" t="inlineStr">
        <is>
          <t>Followed up via email regarding outstanding invoice INV0004322.</t>
        </is>
      </c>
    </row>
    <row r="188">
      <c r="A188" t="inlineStr">
        <is>
          <t>COL0002480</t>
        </is>
      </c>
      <c r="B188" t="inlineStr">
        <is>
          <t>MER00203</t>
        </is>
      </c>
      <c r="C188" t="inlineStr">
        <is>
          <t>INV0004322</t>
        </is>
      </c>
      <c r="D188" s="8" t="n">
        <v>45857</v>
      </c>
      <c r="E188" t="inlineStr">
        <is>
          <t>Phone</t>
        </is>
      </c>
      <c r="F188" t="inlineStr">
        <is>
          <t>Phone</t>
        </is>
      </c>
      <c r="G188" t="inlineStr">
        <is>
          <t>Ritu Bansal</t>
        </is>
      </c>
      <c r="H188" t="inlineStr">
        <is>
          <t>Promise to Pay</t>
        </is>
      </c>
      <c r="I188" s="8" t="n">
        <v>45864</v>
      </c>
      <c r="J188" t="n">
        <v>2630.49</v>
      </c>
      <c r="K188" t="inlineStr">
        <is>
          <t>Called merchant to discuss overdue invoice INV0004322.</t>
        </is>
      </c>
    </row>
    <row r="189">
      <c r="A189" t="inlineStr">
        <is>
          <t>COL0002481</t>
        </is>
      </c>
      <c r="B189" t="inlineStr">
        <is>
          <t>MER00203</t>
        </is>
      </c>
      <c r="C189" t="inlineStr">
        <is>
          <t>INV0004322</t>
        </is>
      </c>
      <c r="D189" s="8" t="n">
        <v>45870</v>
      </c>
      <c r="E189" t="inlineStr">
        <is>
          <t>Escalation</t>
        </is>
      </c>
      <c r="F189" t="inlineStr">
        <is>
          <t>Phone</t>
        </is>
      </c>
      <c r="G189" t="inlineStr">
        <is>
          <t>Farhan Sheikh</t>
        </is>
      </c>
      <c r="H189" t="inlineStr">
        <is>
          <t>Escalated</t>
        </is>
      </c>
      <c r="I189" s="8" t="n"/>
      <c r="J189" t="n">
        <v/>
      </c>
      <c r="K189" t="inlineStr">
        <is>
          <t>Escalated invoice INV0004322 to account manager for non-payment.</t>
        </is>
      </c>
    </row>
    <row r="190">
      <c r="A190" t="inlineStr">
        <is>
          <t>COL0002482</t>
        </is>
      </c>
      <c r="B190" t="inlineStr">
        <is>
          <t>MER00203</t>
        </is>
      </c>
      <c r="C190" t="inlineStr">
        <is>
          <t>INV0004322</t>
        </is>
      </c>
      <c r="D190" s="8" t="n">
        <v>45879</v>
      </c>
      <c r="E190" t="inlineStr">
        <is>
          <t>Payment Promise</t>
        </is>
      </c>
      <c r="F190" t="inlineStr">
        <is>
          <t>WhatsApp</t>
        </is>
      </c>
      <c r="G190" t="inlineStr">
        <is>
          <t>Amit Saxena</t>
        </is>
      </c>
      <c r="H190" t="inlineStr">
        <is>
          <t>No Response</t>
        </is>
      </c>
      <c r="I190" s="8" t="n">
        <v>45891</v>
      </c>
      <c r="J190" t="n">
        <v>1582.36</v>
      </c>
      <c r="K190" t="inlineStr">
        <is>
          <t>Merchant committed to paying invoice INV0004322 by 2025-08-22.</t>
        </is>
      </c>
    </row>
    <row r="191">
      <c r="A191" t="inlineStr">
        <is>
          <t>COL0002483</t>
        </is>
      </c>
      <c r="B191" t="inlineStr">
        <is>
          <t>MER00203</t>
        </is>
      </c>
      <c r="C191" t="inlineStr">
        <is>
          <t>INV0004324</t>
        </is>
      </c>
      <c r="D191" s="8" t="n">
        <v>45907</v>
      </c>
      <c r="E191" t="inlineStr">
        <is>
          <t>Reminder</t>
        </is>
      </c>
      <c r="F191" t="inlineStr">
        <is>
          <t>Email</t>
        </is>
      </c>
      <c r="G191" t="inlineStr">
        <is>
          <t>Farhan Sheikh</t>
        </is>
      </c>
      <c r="H191" t="inlineStr">
        <is>
          <t>No Response</t>
        </is>
      </c>
      <c r="I191" s="8" t="n"/>
      <c r="J191" t="n">
        <v/>
      </c>
      <c r="K191" t="inlineStr">
        <is>
          <t>Automated reminder sent for invoice INV0004324 due 2025-09-01.</t>
        </is>
      </c>
    </row>
    <row r="192">
      <c r="A192" t="inlineStr">
        <is>
          <t>COL0002484</t>
        </is>
      </c>
      <c r="B192" t="inlineStr">
        <is>
          <t>MER00203</t>
        </is>
      </c>
      <c r="C192" t="inlineStr">
        <is>
          <t>INV0004324</t>
        </is>
      </c>
      <c r="D192" s="8" t="n">
        <v>45920</v>
      </c>
      <c r="E192" t="inlineStr">
        <is>
          <t>Email</t>
        </is>
      </c>
      <c r="F192" t="inlineStr">
        <is>
          <t>Email</t>
        </is>
      </c>
      <c r="G192" t="inlineStr">
        <is>
          <t>Amit Saxena</t>
        </is>
      </c>
      <c r="H192" t="inlineStr">
        <is>
          <t>Promise to Pay</t>
        </is>
      </c>
      <c r="I192" s="8" t="n">
        <v>45930</v>
      </c>
      <c r="J192" t="n">
        <v>1169.53</v>
      </c>
      <c r="K192" t="inlineStr">
        <is>
          <t>Followed up via email regarding outstanding invoice INV0004324.</t>
        </is>
      </c>
    </row>
    <row r="193">
      <c r="A193" t="inlineStr">
        <is>
          <t>COL0002485</t>
        </is>
      </c>
      <c r="B193" t="inlineStr">
        <is>
          <t>MER00203</t>
        </is>
      </c>
      <c r="C193" t="inlineStr">
        <is>
          <t>INV0004324</t>
        </is>
      </c>
      <c r="D193" s="8" t="n">
        <v>45929</v>
      </c>
      <c r="E193" t="inlineStr">
        <is>
          <t>Phone</t>
        </is>
      </c>
      <c r="F193" t="inlineStr">
        <is>
          <t>Phone</t>
        </is>
      </c>
      <c r="G193" t="inlineStr">
        <is>
          <t>Shweta Gupta</t>
        </is>
      </c>
      <c r="H193" t="inlineStr">
        <is>
          <t>No Response</t>
        </is>
      </c>
      <c r="I193" s="8" t="n"/>
      <c r="J193" t="n">
        <v/>
      </c>
      <c r="K193" t="inlineStr">
        <is>
          <t>Called merchant to discuss overdue invoice INV0004324.</t>
        </is>
      </c>
    </row>
    <row r="194">
      <c r="A194" t="inlineStr">
        <is>
          <t>COL0002486</t>
        </is>
      </c>
      <c r="B194" t="inlineStr">
        <is>
          <t>MER00203</t>
        </is>
      </c>
      <c r="C194" t="inlineStr">
        <is>
          <t>INV0004324</t>
        </is>
      </c>
      <c r="D194" s="8" t="n">
        <v>45934</v>
      </c>
      <c r="E194" t="inlineStr">
        <is>
          <t>Escalation</t>
        </is>
      </c>
      <c r="F194" t="inlineStr">
        <is>
          <t>Phone</t>
        </is>
      </c>
      <c r="G194" t="inlineStr">
        <is>
          <t>Shweta Gupta</t>
        </is>
      </c>
      <c r="H194" t="inlineStr">
        <is>
          <t>Escalated</t>
        </is>
      </c>
      <c r="I194" s="8" t="n"/>
      <c r="J194" t="n">
        <v/>
      </c>
      <c r="K194" t="inlineStr">
        <is>
          <t>Escalated invoice INV0004324 to account manager for non-payment.</t>
        </is>
      </c>
    </row>
    <row r="195">
      <c r="A195" t="inlineStr">
        <is>
          <t>COL0002487</t>
        </is>
      </c>
      <c r="B195" t="inlineStr">
        <is>
          <t>MER00203</t>
        </is>
      </c>
      <c r="C195" t="inlineStr">
        <is>
          <t>INV0004324</t>
        </is>
      </c>
      <c r="D195" s="8" t="n">
        <v>45943</v>
      </c>
      <c r="E195" t="inlineStr">
        <is>
          <t>Payment Promise</t>
        </is>
      </c>
      <c r="F195" t="inlineStr">
        <is>
          <t>WhatsApp</t>
        </is>
      </c>
      <c r="G195" t="inlineStr">
        <is>
          <t>Shweta Gupta</t>
        </is>
      </c>
      <c r="H195" t="inlineStr">
        <is>
          <t>No Response</t>
        </is>
      </c>
      <c r="I195" s="8" t="n">
        <v>45956</v>
      </c>
      <c r="J195" t="n">
        <v>1280.76</v>
      </c>
      <c r="K195" t="inlineStr">
        <is>
          <t>Merchant committed to paying invoice INV0004324 by 2025-10-26.</t>
        </is>
      </c>
    </row>
    <row r="196">
      <c r="A196" t="inlineStr">
        <is>
          <t>COL0002488</t>
        </is>
      </c>
      <c r="B196" t="inlineStr">
        <is>
          <t>MER00203</t>
        </is>
      </c>
      <c r="C196" t="inlineStr">
        <is>
          <t>INV0004325</t>
        </is>
      </c>
      <c r="D196" s="8" t="n">
        <v>45935</v>
      </c>
      <c r="E196" t="inlineStr">
        <is>
          <t>Reminder</t>
        </is>
      </c>
      <c r="F196" t="inlineStr">
        <is>
          <t>Email</t>
        </is>
      </c>
      <c r="G196" t="inlineStr">
        <is>
          <t>Amit Saxena</t>
        </is>
      </c>
      <c r="H196" t="inlineStr">
        <is>
          <t>No Response</t>
        </is>
      </c>
      <c r="I196" s="8" t="n"/>
      <c r="J196" t="n">
        <v/>
      </c>
      <c r="K196" t="inlineStr">
        <is>
          <t>Automated reminder sent for invoice INV0004325 due 2025-10-02.</t>
        </is>
      </c>
    </row>
    <row r="197">
      <c r="A197" t="inlineStr">
        <is>
          <t>COL0002489</t>
        </is>
      </c>
      <c r="B197" t="inlineStr">
        <is>
          <t>MER00203</t>
        </is>
      </c>
      <c r="C197" t="inlineStr">
        <is>
          <t>INV0004325</t>
        </is>
      </c>
      <c r="D197" s="8" t="n">
        <v>45949</v>
      </c>
      <c r="E197" t="inlineStr">
        <is>
          <t>Email</t>
        </is>
      </c>
      <c r="F197" t="inlineStr">
        <is>
          <t>Email</t>
        </is>
      </c>
      <c r="G197" t="inlineStr">
        <is>
          <t>Ritu Bansal</t>
        </is>
      </c>
      <c r="H197" t="inlineStr">
        <is>
          <t>No Response</t>
        </is>
      </c>
      <c r="I197" s="8" t="n"/>
      <c r="J197" t="n">
        <v/>
      </c>
      <c r="K197" t="inlineStr">
        <is>
          <t>Followed up via email regarding outstanding invoice INV0004325.</t>
        </is>
      </c>
    </row>
    <row r="198">
      <c r="A198" t="inlineStr">
        <is>
          <t>COL0002490</t>
        </is>
      </c>
      <c r="B198" t="inlineStr">
        <is>
          <t>MER00203</t>
        </is>
      </c>
      <c r="C198" t="inlineStr">
        <is>
          <t>INV0004325</t>
        </is>
      </c>
      <c r="D198" s="8" t="n">
        <v>45955</v>
      </c>
      <c r="E198" t="inlineStr">
        <is>
          <t>Phone</t>
        </is>
      </c>
      <c r="F198" t="inlineStr">
        <is>
          <t>Phone</t>
        </is>
      </c>
      <c r="G198" t="inlineStr">
        <is>
          <t>Farhan Sheikh</t>
        </is>
      </c>
      <c r="H198" t="inlineStr">
        <is>
          <t>Promise to Pay</t>
        </is>
      </c>
      <c r="I198" s="8" t="n">
        <v>45967</v>
      </c>
      <c r="J198" t="n">
        <v>1771.11</v>
      </c>
      <c r="K198" t="inlineStr">
        <is>
          <t>Called merchant to discuss overdue invoice INV0004325.</t>
        </is>
      </c>
    </row>
    <row r="199">
      <c r="A199" t="inlineStr">
        <is>
          <t>COL0002491</t>
        </is>
      </c>
      <c r="B199" t="inlineStr">
        <is>
          <t>MER00203</t>
        </is>
      </c>
      <c r="C199" t="inlineStr">
        <is>
          <t>INV0004325</t>
        </is>
      </c>
      <c r="D199" s="8" t="n">
        <v>45969</v>
      </c>
      <c r="E199" t="inlineStr">
        <is>
          <t>Escalation</t>
        </is>
      </c>
      <c r="F199" t="inlineStr">
        <is>
          <t>Phone</t>
        </is>
      </c>
      <c r="G199" t="inlineStr">
        <is>
          <t>Vivek Nair</t>
        </is>
      </c>
      <c r="H199" t="inlineStr">
        <is>
          <t>Disputed</t>
        </is>
      </c>
      <c r="I199" s="8" t="n"/>
      <c r="J199" t="n">
        <v/>
      </c>
      <c r="K199" t="inlineStr">
        <is>
          <t>Escalated invoice INV0004325 to account manager for non-payment.</t>
        </is>
      </c>
    </row>
    <row r="200">
      <c r="A200" t="inlineStr">
        <is>
          <t>COL0002492</t>
        </is>
      </c>
      <c r="B200" t="inlineStr">
        <is>
          <t>MER00203</t>
        </is>
      </c>
      <c r="C200" t="inlineStr">
        <is>
          <t>INV0004325</t>
        </is>
      </c>
      <c r="D200" s="8" t="n">
        <v>45974</v>
      </c>
      <c r="E200" t="inlineStr">
        <is>
          <t>Payment Promise</t>
        </is>
      </c>
      <c r="F200" t="inlineStr">
        <is>
          <t>WhatsApp</t>
        </is>
      </c>
      <c r="G200" t="inlineStr">
        <is>
          <t>Shweta Gupta</t>
        </is>
      </c>
      <c r="H200" t="inlineStr">
        <is>
          <t>No Response</t>
        </is>
      </c>
      <c r="I200" s="8" t="n">
        <v>45978</v>
      </c>
      <c r="J200" t="n">
        <v>1883.65</v>
      </c>
      <c r="K200" t="inlineStr">
        <is>
          <t>Merchant committed to paying invoice INV0004325 by 2025-11-17.</t>
        </is>
      </c>
    </row>
    <row r="201">
      <c r="A201" t="inlineStr">
        <is>
          <t>COL0002493</t>
        </is>
      </c>
      <c r="B201" t="inlineStr">
        <is>
          <t>MER00203</t>
        </is>
      </c>
      <c r="C201" t="inlineStr">
        <is>
          <t>INV0004327</t>
        </is>
      </c>
      <c r="D201" s="8" t="n">
        <v>45996</v>
      </c>
      <c r="E201" t="inlineStr">
        <is>
          <t>Reminder</t>
        </is>
      </c>
      <c r="F201" t="inlineStr">
        <is>
          <t>Email</t>
        </is>
      </c>
      <c r="G201" t="inlineStr">
        <is>
          <t>Nandini Rajan</t>
        </is>
      </c>
      <c r="H201" t="inlineStr">
        <is>
          <t>No Response</t>
        </is>
      </c>
      <c r="I201" s="8" t="n"/>
      <c r="J201" t="n">
        <v/>
      </c>
      <c r="K201" t="inlineStr">
        <is>
          <t>Automated reminder sent for invoice INV0004327 due 2025-12-02.</t>
        </is>
      </c>
    </row>
    <row r="202">
      <c r="A202" t="inlineStr">
        <is>
          <t>COL0002494</t>
        </is>
      </c>
      <c r="B202" t="inlineStr">
        <is>
          <t>MER00203</t>
        </is>
      </c>
      <c r="C202" t="inlineStr">
        <is>
          <t>INV0004327</t>
        </is>
      </c>
      <c r="D202" s="8" t="n">
        <v>46006</v>
      </c>
      <c r="E202" t="inlineStr">
        <is>
          <t>Email</t>
        </is>
      </c>
      <c r="F202" t="inlineStr">
        <is>
          <t>Email</t>
        </is>
      </c>
      <c r="G202" t="inlineStr">
        <is>
          <t>Amit Saxena</t>
        </is>
      </c>
      <c r="H202" t="inlineStr">
        <is>
          <t>Promise to Pay</t>
        </is>
      </c>
      <c r="I202" s="8" t="n">
        <v>46012</v>
      </c>
      <c r="J202" t="n">
        <v>2481.63</v>
      </c>
      <c r="K202" t="inlineStr">
        <is>
          <t>Followed up via email regarding outstanding invoice INV0004327.</t>
        </is>
      </c>
    </row>
    <row r="203">
      <c r="A203" t="inlineStr">
        <is>
          <t>COL0002495</t>
        </is>
      </c>
      <c r="B203" t="inlineStr">
        <is>
          <t>MER00203</t>
        </is>
      </c>
      <c r="C203" t="inlineStr">
        <is>
          <t>INV0004327</t>
        </is>
      </c>
      <c r="D203" s="8" t="n">
        <v>46012</v>
      </c>
      <c r="E203" t="inlineStr">
        <is>
          <t>Phone</t>
        </is>
      </c>
      <c r="F203" t="inlineStr">
        <is>
          <t>Phone</t>
        </is>
      </c>
      <c r="G203" t="inlineStr">
        <is>
          <t>Manish Tiwari</t>
        </is>
      </c>
      <c r="H203" t="inlineStr">
        <is>
          <t>Disputed</t>
        </is>
      </c>
      <c r="I203" s="8" t="n"/>
      <c r="J203" t="n">
        <v/>
      </c>
      <c r="K203" t="inlineStr">
        <is>
          <t>Called merchant to discuss overdue invoice INV0004327.</t>
        </is>
      </c>
    </row>
    <row r="204">
      <c r="A204" t="inlineStr">
        <is>
          <t>COL0002496</t>
        </is>
      </c>
      <c r="B204" t="inlineStr">
        <is>
          <t>MER00203</t>
        </is>
      </c>
      <c r="C204" t="inlineStr">
        <is>
          <t>INV0004327</t>
        </is>
      </c>
      <c r="D204" s="8" t="n">
        <v>46022</v>
      </c>
      <c r="E204" t="inlineStr">
        <is>
          <t>Escalation</t>
        </is>
      </c>
      <c r="F204" t="inlineStr">
        <is>
          <t>Phone</t>
        </is>
      </c>
      <c r="G204" t="inlineStr">
        <is>
          <t>Sanjay Kumar</t>
        </is>
      </c>
      <c r="H204" t="inlineStr">
        <is>
          <t>Escalated</t>
        </is>
      </c>
      <c r="I204" s="8" t="n"/>
      <c r="J204" t="n">
        <v/>
      </c>
      <c r="K204" t="inlineStr">
        <is>
          <t>Escalated invoice INV0004327 to account manager for non-payment.</t>
        </is>
      </c>
    </row>
    <row r="205">
      <c r="A205" t="inlineStr">
        <is>
          <t>COL0002497</t>
        </is>
      </c>
      <c r="B205" t="inlineStr">
        <is>
          <t>MER00203</t>
        </is>
      </c>
      <c r="C205" t="inlineStr">
        <is>
          <t>INV0004327</t>
        </is>
      </c>
      <c r="D205" s="8" t="n">
        <v>46035</v>
      </c>
      <c r="E205" t="inlineStr">
        <is>
          <t>Payment Promise</t>
        </is>
      </c>
      <c r="F205" t="inlineStr">
        <is>
          <t>WhatsApp</t>
        </is>
      </c>
      <c r="G205" t="inlineStr">
        <is>
          <t>Ritu Bansal</t>
        </is>
      </c>
      <c r="H205" t="inlineStr">
        <is>
          <t>No Response</t>
        </is>
      </c>
      <c r="I205" s="8" t="n">
        <v>46047</v>
      </c>
      <c r="J205" t="n">
        <v>1844.85</v>
      </c>
      <c r="K205" t="inlineStr">
        <is>
          <t>Merchant committed to paying invoice INV0004327 by 2026-01-25.</t>
        </is>
      </c>
    </row>
    <row r="206">
      <c r="A206" t="inlineStr">
        <is>
          <t>COL0002498</t>
        </is>
      </c>
      <c r="B206" t="inlineStr">
        <is>
          <t>MER00203</t>
        </is>
      </c>
      <c r="C206" t="inlineStr">
        <is>
          <t>INV0004332</t>
        </is>
      </c>
      <c r="D206" s="8" t="n">
        <v>46152</v>
      </c>
      <c r="E206" t="inlineStr">
        <is>
          <t>Reminder</t>
        </is>
      </c>
      <c r="F206" t="inlineStr">
        <is>
          <t>Email</t>
        </is>
      </c>
      <c r="G206" t="inlineStr">
        <is>
          <t>Manish Tiwari</t>
        </is>
      </c>
      <c r="H206" t="inlineStr">
        <is>
          <t>Promise to Pay</t>
        </is>
      </c>
      <c r="I206" s="8" t="n">
        <v>46161</v>
      </c>
      <c r="J206" t="n">
        <v>1624.14</v>
      </c>
      <c r="K206" t="inlineStr">
        <is>
          <t>Automated reminder sent for invoice INV0004332 due 2026-05-02.</t>
        </is>
      </c>
    </row>
    <row r="207">
      <c r="A207" t="inlineStr">
        <is>
          <t>COL0002499</t>
        </is>
      </c>
      <c r="B207" t="inlineStr">
        <is>
          <t>MER00203</t>
        </is>
      </c>
      <c r="C207" t="inlineStr">
        <is>
          <t>INV0004332</t>
        </is>
      </c>
      <c r="D207" s="8" t="n">
        <v>46163</v>
      </c>
      <c r="E207" t="inlineStr">
        <is>
          <t>Email</t>
        </is>
      </c>
      <c r="F207" t="inlineStr">
        <is>
          <t>Email</t>
        </is>
      </c>
      <c r="G207" t="inlineStr">
        <is>
          <t>Manish Tiwari</t>
        </is>
      </c>
      <c r="H207" t="inlineStr">
        <is>
          <t>No Response</t>
        </is>
      </c>
      <c r="I207" s="8" t="n"/>
      <c r="J207" t="n">
        <v/>
      </c>
      <c r="K207" t="inlineStr">
        <is>
          <t>Followed up via email regarding outstanding invoice INV0004332.</t>
        </is>
      </c>
    </row>
    <row r="208">
      <c r="A208" t="inlineStr">
        <is>
          <t>COL0002500</t>
        </is>
      </c>
      <c r="B208" t="inlineStr">
        <is>
          <t>MER00203</t>
        </is>
      </c>
      <c r="C208" t="inlineStr">
        <is>
          <t>INV0004332</t>
        </is>
      </c>
      <c r="D208" s="8" t="n">
        <v>46176</v>
      </c>
      <c r="E208" t="inlineStr">
        <is>
          <t>Phone</t>
        </is>
      </c>
      <c r="F208" t="inlineStr">
        <is>
          <t>Phone</t>
        </is>
      </c>
      <c r="G208" t="inlineStr">
        <is>
          <t>Vivek Nair</t>
        </is>
      </c>
      <c r="H208" t="inlineStr">
        <is>
          <t>Disputed</t>
        </is>
      </c>
      <c r="I208" s="8" t="n"/>
      <c r="J208" t="n">
        <v/>
      </c>
      <c r="K208" t="inlineStr">
        <is>
          <t>Called merchant to discuss overdue invoice INV0004332.</t>
        </is>
      </c>
    </row>
    <row r="209">
      <c r="A209" t="inlineStr">
        <is>
          <t>COL0002501</t>
        </is>
      </c>
      <c r="B209" t="inlineStr">
        <is>
          <t>MER00203</t>
        </is>
      </c>
      <c r="C209" t="inlineStr">
        <is>
          <t>INV0004334</t>
        </is>
      </c>
      <c r="D209" s="8" t="n">
        <v>46214</v>
      </c>
      <c r="E209" t="inlineStr">
        <is>
          <t>Reminder</t>
        </is>
      </c>
      <c r="F209" t="inlineStr">
        <is>
          <t>Email</t>
        </is>
      </c>
      <c r="G209" t="inlineStr">
        <is>
          <t>Manish Tiwari</t>
        </is>
      </c>
      <c r="H209" t="inlineStr">
        <is>
          <t>No Response</t>
        </is>
      </c>
      <c r="I209" s="8" t="n"/>
      <c r="J209" t="n">
        <v/>
      </c>
      <c r="K209" t="inlineStr">
        <is>
          <t>Automated reminder sent for invoice INV0004334 due 2026-07-02.</t>
        </is>
      </c>
    </row>
    <row r="210">
      <c r="A210" t="inlineStr">
        <is>
          <t>COL0002502</t>
        </is>
      </c>
      <c r="B210" t="inlineStr">
        <is>
          <t>MER00203</t>
        </is>
      </c>
      <c r="C210" t="inlineStr">
        <is>
          <t>INV0004334</t>
        </is>
      </c>
      <c r="D210" s="8" t="n">
        <v>46226</v>
      </c>
      <c r="E210" t="inlineStr">
        <is>
          <t>Email</t>
        </is>
      </c>
      <c r="F210" t="inlineStr">
        <is>
          <t>Email</t>
        </is>
      </c>
      <c r="G210" t="inlineStr">
        <is>
          <t>Manish Tiwari</t>
        </is>
      </c>
      <c r="H210" t="inlineStr">
        <is>
          <t>Disputed</t>
        </is>
      </c>
      <c r="I210" s="8" t="n"/>
      <c r="J210" t="n">
        <v/>
      </c>
      <c r="K210" t="inlineStr">
        <is>
          <t>Followed up via email regarding outstanding invoice INV0004334.</t>
        </is>
      </c>
    </row>
    <row r="211">
      <c r="A211" t="inlineStr">
        <is>
          <t>COL0002503</t>
        </is>
      </c>
      <c r="B211" t="inlineStr">
        <is>
          <t>MER00203</t>
        </is>
      </c>
      <c r="C211" t="inlineStr">
        <is>
          <t>INV0004334</t>
        </is>
      </c>
      <c r="D211" s="8" t="n">
        <v>46232</v>
      </c>
      <c r="E211" t="inlineStr">
        <is>
          <t>Phone</t>
        </is>
      </c>
      <c r="F211" t="inlineStr">
        <is>
          <t>Phone</t>
        </is>
      </c>
      <c r="G211" t="inlineStr">
        <is>
          <t>Manish Tiwari</t>
        </is>
      </c>
      <c r="H211" t="inlineStr">
        <is>
          <t>Promise to Pay</t>
        </is>
      </c>
      <c r="I211" s="8" t="n">
        <v>46240</v>
      </c>
      <c r="J211" t="n">
        <v>1428.23</v>
      </c>
      <c r="K211" t="inlineStr">
        <is>
          <t>Called merchant to discuss overdue invoice INV0004334.</t>
        </is>
      </c>
    </row>
    <row r="212">
      <c r="A212" t="inlineStr">
        <is>
          <t>COL0002504</t>
        </is>
      </c>
      <c r="B212" t="inlineStr">
        <is>
          <t>MER00203</t>
        </is>
      </c>
      <c r="C212" t="inlineStr">
        <is>
          <t>INV0004334</t>
        </is>
      </c>
      <c r="D212" s="8" t="n">
        <v>46246</v>
      </c>
      <c r="E212" t="inlineStr">
        <is>
          <t>Escalation</t>
        </is>
      </c>
      <c r="F212" t="inlineStr">
        <is>
          <t>Phone</t>
        </is>
      </c>
      <c r="G212" t="inlineStr">
        <is>
          <t>Nandini Rajan</t>
        </is>
      </c>
      <c r="H212" t="inlineStr">
        <is>
          <t>Escalated</t>
        </is>
      </c>
      <c r="I212" s="8" t="n"/>
      <c r="J212" t="n">
        <v/>
      </c>
      <c r="K212" t="inlineStr">
        <is>
          <t>Escalated invoice INV0004334 to account manager for non-payment.</t>
        </is>
      </c>
    </row>
    <row r="213">
      <c r="A213" t="inlineStr">
        <is>
          <t>COL0002505</t>
        </is>
      </c>
      <c r="B213" t="inlineStr">
        <is>
          <t>MER00203</t>
        </is>
      </c>
      <c r="C213" t="inlineStr">
        <is>
          <t>INV0004334</t>
        </is>
      </c>
      <c r="D213" s="8" t="n">
        <v>46255</v>
      </c>
      <c r="E213" t="inlineStr">
        <is>
          <t>Payment Promise</t>
        </is>
      </c>
      <c r="F213" t="inlineStr">
        <is>
          <t>WhatsApp</t>
        </is>
      </c>
      <c r="G213" t="inlineStr">
        <is>
          <t>Ritu Bansal</t>
        </is>
      </c>
      <c r="H213" t="inlineStr">
        <is>
          <t>No Response</t>
        </is>
      </c>
      <c r="I213" s="8" t="n">
        <v>46268</v>
      </c>
      <c r="J213" t="n">
        <v>1552.07</v>
      </c>
      <c r="K213" t="inlineStr">
        <is>
          <t>Merchant committed to paying invoice INV0004334 by 2026-09-03.</t>
        </is>
      </c>
    </row>
    <row r="214">
      <c r="A214" t="inlineStr">
        <is>
          <t>COL0002506</t>
        </is>
      </c>
      <c r="B214" t="inlineStr">
        <is>
          <t>MER00203</t>
        </is>
      </c>
      <c r="C214" t="inlineStr">
        <is>
          <t>INV0004335</t>
        </is>
      </c>
      <c r="D214" s="8" t="n">
        <v>46244</v>
      </c>
      <c r="E214" t="inlineStr">
        <is>
          <t>Reminder</t>
        </is>
      </c>
      <c r="F214" t="inlineStr">
        <is>
          <t>Email</t>
        </is>
      </c>
      <c r="G214" t="inlineStr">
        <is>
          <t>Shweta Gupta</t>
        </is>
      </c>
      <c r="H214" t="inlineStr">
        <is>
          <t>No Response</t>
        </is>
      </c>
      <c r="I214" s="8" t="n"/>
      <c r="J214" t="n">
        <v/>
      </c>
      <c r="K214" t="inlineStr">
        <is>
          <t>Automated reminder sent for invoice INV0004335 due 2026-08-01.</t>
        </is>
      </c>
    </row>
    <row r="215">
      <c r="A215" t="inlineStr">
        <is>
          <t>COL0002507</t>
        </is>
      </c>
      <c r="B215" t="inlineStr">
        <is>
          <t>MER00203</t>
        </is>
      </c>
      <c r="C215" t="inlineStr">
        <is>
          <t>INV0004335</t>
        </is>
      </c>
      <c r="D215" s="8" t="n">
        <v>46258</v>
      </c>
      <c r="E215" t="inlineStr">
        <is>
          <t>Email</t>
        </is>
      </c>
      <c r="F215" t="inlineStr">
        <is>
          <t>Email</t>
        </is>
      </c>
      <c r="G215" t="inlineStr">
        <is>
          <t>Manish Tiwari</t>
        </is>
      </c>
      <c r="H215" t="inlineStr">
        <is>
          <t>No Response</t>
        </is>
      </c>
      <c r="I215" s="8" t="n"/>
      <c r="J215" t="n">
        <v/>
      </c>
      <c r="K215" t="inlineStr">
        <is>
          <t>Followed up via email regarding outstanding invoice INV0004335.</t>
        </is>
      </c>
    </row>
    <row r="216">
      <c r="A216" t="inlineStr">
        <is>
          <t>COL0002508</t>
        </is>
      </c>
      <c r="B216" t="inlineStr">
        <is>
          <t>MER00203</t>
        </is>
      </c>
      <c r="C216" t="inlineStr">
        <is>
          <t>INV0004335</t>
        </is>
      </c>
      <c r="D216" s="8" t="n">
        <v>46265</v>
      </c>
      <c r="E216" t="inlineStr">
        <is>
          <t>Phone</t>
        </is>
      </c>
      <c r="F216" t="inlineStr">
        <is>
          <t>Phone</t>
        </is>
      </c>
      <c r="G216" t="inlineStr">
        <is>
          <t>Shweta Gupta</t>
        </is>
      </c>
      <c r="H216" t="inlineStr">
        <is>
          <t>Promise to Pay</t>
        </is>
      </c>
      <c r="I216" s="8" t="n">
        <v>46270</v>
      </c>
      <c r="J216" t="n">
        <v>1460.24</v>
      </c>
      <c r="K216" t="inlineStr">
        <is>
          <t>Called merchant to discuss overdue invoice INV0004335.</t>
        </is>
      </c>
    </row>
    <row r="217">
      <c r="A217" t="inlineStr">
        <is>
          <t>COL0002509</t>
        </is>
      </c>
      <c r="B217" t="inlineStr">
        <is>
          <t>MER00203</t>
        </is>
      </c>
      <c r="C217" t="inlineStr">
        <is>
          <t>INV0004335</t>
        </is>
      </c>
      <c r="D217" s="8" t="n">
        <v>46275</v>
      </c>
      <c r="E217" t="inlineStr">
        <is>
          <t>Escalation</t>
        </is>
      </c>
      <c r="F217" t="inlineStr">
        <is>
          <t>Phone</t>
        </is>
      </c>
      <c r="G217" t="inlineStr">
        <is>
          <t>Vivek Nair</t>
        </is>
      </c>
      <c r="H217" t="inlineStr">
        <is>
          <t>Escalated</t>
        </is>
      </c>
      <c r="I217" s="8" t="n"/>
      <c r="J217" t="n">
        <v/>
      </c>
      <c r="K217" t="inlineStr">
        <is>
          <t>Escalated invoice INV0004335 to account manager for non-payment.</t>
        </is>
      </c>
    </row>
    <row r="218">
      <c r="A218" t="inlineStr">
        <is>
          <t>COL0004556</t>
        </is>
      </c>
      <c r="B218" t="inlineStr">
        <is>
          <t>MER00346</t>
        </is>
      </c>
      <c r="C218" t="inlineStr">
        <is>
          <t>INV0007297</t>
        </is>
      </c>
      <c r="D218" s="8" t="n">
        <v>45647</v>
      </c>
      <c r="E218" t="inlineStr">
        <is>
          <t>Reminder</t>
        </is>
      </c>
      <c r="F218" t="inlineStr">
        <is>
          <t>Email</t>
        </is>
      </c>
      <c r="G218" t="inlineStr">
        <is>
          <t>Vivek Nair</t>
        </is>
      </c>
      <c r="H218" t="inlineStr">
        <is>
          <t>No Response</t>
        </is>
      </c>
      <c r="I218" s="8" t="n"/>
      <c r="J218" t="n">
        <v/>
      </c>
      <c r="K218" t="inlineStr">
        <is>
          <t>Automated reminder sent for invoice INV0007297 due 2024-12-17.</t>
        </is>
      </c>
    </row>
    <row r="219">
      <c r="A219" t="inlineStr">
        <is>
          <t>COL0004557</t>
        </is>
      </c>
      <c r="B219" t="inlineStr">
        <is>
          <t>MER00346</t>
        </is>
      </c>
      <c r="C219" t="inlineStr">
        <is>
          <t>INV0007297</t>
        </is>
      </c>
      <c r="D219" s="8" t="n">
        <v>45660</v>
      </c>
      <c r="E219" t="inlineStr">
        <is>
          <t>Email</t>
        </is>
      </c>
      <c r="F219" t="inlineStr">
        <is>
          <t>Email</t>
        </is>
      </c>
      <c r="G219" t="inlineStr">
        <is>
          <t>Ritu Bansal</t>
        </is>
      </c>
      <c r="H219" t="inlineStr">
        <is>
          <t>No Response</t>
        </is>
      </c>
      <c r="I219" s="8" t="n"/>
      <c r="J219" t="n">
        <v/>
      </c>
      <c r="K219" t="inlineStr">
        <is>
          <t>Followed up via email regarding outstanding invoice INV0007297.</t>
        </is>
      </c>
    </row>
    <row r="220">
      <c r="A220" t="inlineStr">
        <is>
          <t>COL0004558</t>
        </is>
      </c>
      <c r="B220" t="inlineStr">
        <is>
          <t>MER00346</t>
        </is>
      </c>
      <c r="C220" t="inlineStr">
        <is>
          <t>INV0007297</t>
        </is>
      </c>
      <c r="D220" s="8" t="n">
        <v>45672</v>
      </c>
      <c r="E220" t="inlineStr">
        <is>
          <t>Phone</t>
        </is>
      </c>
      <c r="F220" t="inlineStr">
        <is>
          <t>Phone</t>
        </is>
      </c>
      <c r="G220" t="inlineStr">
        <is>
          <t>Amit Saxena</t>
        </is>
      </c>
      <c r="H220" t="inlineStr">
        <is>
          <t>No Response</t>
        </is>
      </c>
      <c r="I220" s="8" t="n"/>
      <c r="J220" t="n">
        <v/>
      </c>
      <c r="K220" t="inlineStr">
        <is>
          <t>Called merchant to discuss overdue invoice INV0007297.</t>
        </is>
      </c>
    </row>
    <row r="221">
      <c r="A221" t="inlineStr">
        <is>
          <t>COL0004559</t>
        </is>
      </c>
      <c r="B221" t="inlineStr">
        <is>
          <t>MER00346</t>
        </is>
      </c>
      <c r="C221" t="inlineStr">
        <is>
          <t>INV0007297</t>
        </is>
      </c>
      <c r="D221" s="8" t="n">
        <v>45684</v>
      </c>
      <c r="E221" t="inlineStr">
        <is>
          <t>Escalation</t>
        </is>
      </c>
      <c r="F221" t="inlineStr">
        <is>
          <t>Phone</t>
        </is>
      </c>
      <c r="G221" t="inlineStr">
        <is>
          <t>Vivek Nair</t>
        </is>
      </c>
      <c r="H221" t="inlineStr">
        <is>
          <t>Escalated</t>
        </is>
      </c>
      <c r="I221" s="8" t="n"/>
      <c r="J221" t="n">
        <v/>
      </c>
      <c r="K221" t="inlineStr">
        <is>
          <t>Escalated invoice INV0007297 to account manager for non-payment.</t>
        </is>
      </c>
    </row>
    <row r="222">
      <c r="A222" t="inlineStr">
        <is>
          <t>COL0004560</t>
        </is>
      </c>
      <c r="B222" t="inlineStr">
        <is>
          <t>MER00346</t>
        </is>
      </c>
      <c r="C222" t="inlineStr">
        <is>
          <t>INV0007298</t>
        </is>
      </c>
      <c r="D222" s="8" t="n">
        <v>45681</v>
      </c>
      <c r="E222" t="inlineStr">
        <is>
          <t>Reminder</t>
        </is>
      </c>
      <c r="F222" t="inlineStr">
        <is>
          <t>Email</t>
        </is>
      </c>
      <c r="G222" t="inlineStr">
        <is>
          <t>Shweta Gupta</t>
        </is>
      </c>
      <c r="H222" t="inlineStr">
        <is>
          <t>Promise to Pay</t>
        </is>
      </c>
      <c r="I222" s="8" t="n">
        <v>45691</v>
      </c>
      <c r="J222" t="n">
        <v>174.46</v>
      </c>
      <c r="K222" t="inlineStr">
        <is>
          <t>Automated reminder sent for invoice INV0007298 due 2025-01-17.</t>
        </is>
      </c>
    </row>
    <row r="223">
      <c r="A223" t="inlineStr">
        <is>
          <t>COL0004561</t>
        </is>
      </c>
      <c r="B223" t="inlineStr">
        <is>
          <t>MER00346</t>
        </is>
      </c>
      <c r="C223" t="inlineStr">
        <is>
          <t>INV0007298</t>
        </is>
      </c>
      <c r="D223" s="8" t="n">
        <v>45689</v>
      </c>
      <c r="E223" t="inlineStr">
        <is>
          <t>Email</t>
        </is>
      </c>
      <c r="F223" t="inlineStr">
        <is>
          <t>Email</t>
        </is>
      </c>
      <c r="G223" t="inlineStr">
        <is>
          <t>Anjali Desai</t>
        </is>
      </c>
      <c r="H223" t="inlineStr">
        <is>
          <t>No Response</t>
        </is>
      </c>
      <c r="I223" s="8" t="n"/>
      <c r="J223" t="n">
        <v/>
      </c>
      <c r="K223" t="inlineStr">
        <is>
          <t>Followed up via email regarding outstanding invoice INV0007298.</t>
        </is>
      </c>
    </row>
    <row r="224">
      <c r="A224" t="inlineStr">
        <is>
          <t>COL0004562</t>
        </is>
      </c>
      <c r="B224" t="inlineStr">
        <is>
          <t>MER00346</t>
        </is>
      </c>
      <c r="C224" t="inlineStr">
        <is>
          <t>INV0007309</t>
        </is>
      </c>
      <c r="D224" s="8" t="n">
        <v>46015</v>
      </c>
      <c r="E224" t="inlineStr">
        <is>
          <t>Reminder</t>
        </is>
      </c>
      <c r="F224" t="inlineStr">
        <is>
          <t>Email</t>
        </is>
      </c>
      <c r="G224" t="inlineStr">
        <is>
          <t>Vivek Nair</t>
        </is>
      </c>
      <c r="H224" t="inlineStr">
        <is>
          <t>Promise to Pay</t>
        </is>
      </c>
      <c r="I224" s="8" t="n">
        <v>46028</v>
      </c>
      <c r="J224" t="n">
        <v>434.85</v>
      </c>
      <c r="K224" t="inlineStr">
        <is>
          <t>Automated reminder sent for invoice INV0007309 due 2025-12-17.</t>
        </is>
      </c>
    </row>
    <row r="225">
      <c r="A225" t="inlineStr">
        <is>
          <t>COL0004563</t>
        </is>
      </c>
      <c r="B225" t="inlineStr">
        <is>
          <t>MER00346</t>
        </is>
      </c>
      <c r="C225" t="inlineStr">
        <is>
          <t>INV0007309</t>
        </is>
      </c>
      <c r="D225" s="8" t="n">
        <v>46023</v>
      </c>
      <c r="E225" t="inlineStr">
        <is>
          <t>Email</t>
        </is>
      </c>
      <c r="F225" t="inlineStr">
        <is>
          <t>Email</t>
        </is>
      </c>
      <c r="G225" t="inlineStr">
        <is>
          <t>Farhan Sheikh</t>
        </is>
      </c>
      <c r="H225" t="inlineStr">
        <is>
          <t>No Response</t>
        </is>
      </c>
      <c r="I225" s="8" t="n"/>
      <c r="J225" t="n">
        <v/>
      </c>
      <c r="K225" t="inlineStr">
        <is>
          <t>Followed up via email regarding outstanding invoice INV0007309.</t>
        </is>
      </c>
    </row>
    <row r="226">
      <c r="A226" t="inlineStr">
        <is>
          <t>COL0004676</t>
        </is>
      </c>
      <c r="B226" t="inlineStr">
        <is>
          <t>MER00355</t>
        </is>
      </c>
      <c r="C226" t="inlineStr">
        <is>
          <t>INV0007477</t>
        </is>
      </c>
      <c r="D226" s="8" t="n">
        <v>45556</v>
      </c>
      <c r="E226" t="inlineStr">
        <is>
          <t>Reminder</t>
        </is>
      </c>
      <c r="F226" t="inlineStr">
        <is>
          <t>Email</t>
        </is>
      </c>
      <c r="G226" t="inlineStr">
        <is>
          <t>Farhan Sheikh</t>
        </is>
      </c>
      <c r="H226" t="inlineStr">
        <is>
          <t>Promise to Pay</t>
        </is>
      </c>
      <c r="I226" s="8" t="n">
        <v>45563</v>
      </c>
      <c r="J226" t="n">
        <v>147.62</v>
      </c>
      <c r="K226" t="inlineStr">
        <is>
          <t>Automated reminder sent for invoice INV0007477 due 2024-09-17.</t>
        </is>
      </c>
    </row>
    <row r="227">
      <c r="A227" t="inlineStr">
        <is>
          <t>COL0004677</t>
        </is>
      </c>
      <c r="B227" t="inlineStr">
        <is>
          <t>MER00355</t>
        </is>
      </c>
      <c r="C227" t="inlineStr">
        <is>
          <t>INV0007477</t>
        </is>
      </c>
      <c r="D227" s="8" t="n">
        <v>45566</v>
      </c>
      <c r="E227" t="inlineStr">
        <is>
          <t>Email</t>
        </is>
      </c>
      <c r="F227" t="inlineStr">
        <is>
          <t>Email</t>
        </is>
      </c>
      <c r="G227" t="inlineStr">
        <is>
          <t>Ritu Bansal</t>
        </is>
      </c>
      <c r="H227" t="inlineStr">
        <is>
          <t>No Response</t>
        </is>
      </c>
      <c r="I227" s="8" t="n"/>
      <c r="J227" t="n">
        <v/>
      </c>
      <c r="K227" t="inlineStr">
        <is>
          <t>Followed up via email regarding outstanding invoice INV0007477.</t>
        </is>
      </c>
    </row>
    <row r="228">
      <c r="A228" t="inlineStr">
        <is>
          <t>COL0004678</t>
        </is>
      </c>
      <c r="B228" t="inlineStr">
        <is>
          <t>MER00355</t>
        </is>
      </c>
      <c r="C228" t="inlineStr">
        <is>
          <t>INV0007477</t>
        </is>
      </c>
      <c r="D228" s="8" t="n">
        <v>45571</v>
      </c>
      <c r="E228" t="inlineStr">
        <is>
          <t>Phone</t>
        </is>
      </c>
      <c r="F228" t="inlineStr">
        <is>
          <t>Phone</t>
        </is>
      </c>
      <c r="G228" t="inlineStr">
        <is>
          <t>Shweta Gupta</t>
        </is>
      </c>
      <c r="H228" t="inlineStr">
        <is>
          <t>No Response</t>
        </is>
      </c>
      <c r="I228" s="8" t="n"/>
      <c r="J228" t="n">
        <v/>
      </c>
      <c r="K228" t="inlineStr">
        <is>
          <t>Called merchant to discuss overdue invoice INV0007477.</t>
        </is>
      </c>
    </row>
    <row r="229">
      <c r="A229" t="inlineStr">
        <is>
          <t>COL0004679</t>
        </is>
      </c>
      <c r="B229" t="inlineStr">
        <is>
          <t>MER00355</t>
        </is>
      </c>
      <c r="C229" t="inlineStr">
        <is>
          <t>INV0007478</t>
        </is>
      </c>
      <c r="D229" s="8" t="n">
        <v>45586</v>
      </c>
      <c r="E229" t="inlineStr">
        <is>
          <t>Reminder</t>
        </is>
      </c>
      <c r="F229" t="inlineStr">
        <is>
          <t>Email</t>
        </is>
      </c>
      <c r="G229" t="inlineStr">
        <is>
          <t>Manish Tiwari</t>
        </is>
      </c>
      <c r="H229" t="inlineStr">
        <is>
          <t>Promise to Pay</t>
        </is>
      </c>
      <c r="I229" s="8" t="n">
        <v>45594</v>
      </c>
      <c r="J229" t="n">
        <v>153.72</v>
      </c>
      <c r="K229" t="inlineStr">
        <is>
          <t>Automated reminder sent for invoice INV0007478 due 2024-10-17.</t>
        </is>
      </c>
    </row>
    <row r="230">
      <c r="A230" t="inlineStr">
        <is>
          <t>COL0004680</t>
        </is>
      </c>
      <c r="B230" t="inlineStr">
        <is>
          <t>MER00355</t>
        </is>
      </c>
      <c r="C230" t="inlineStr">
        <is>
          <t>INV0007478</t>
        </is>
      </c>
      <c r="D230" s="8" t="n">
        <v>45598</v>
      </c>
      <c r="E230" t="inlineStr">
        <is>
          <t>Email</t>
        </is>
      </c>
      <c r="F230" t="inlineStr">
        <is>
          <t>Email</t>
        </is>
      </c>
      <c r="G230" t="inlineStr">
        <is>
          <t>Sanjay Kumar</t>
        </is>
      </c>
      <c r="H230" t="inlineStr">
        <is>
          <t>Promise to Pay</t>
        </is>
      </c>
      <c r="I230" s="8" t="n">
        <v>45605</v>
      </c>
      <c r="J230" t="n">
        <v>232.71</v>
      </c>
      <c r="K230" t="inlineStr">
        <is>
          <t>Followed up via email regarding outstanding invoice INV0007478.</t>
        </is>
      </c>
    </row>
    <row r="231">
      <c r="A231" t="inlineStr">
        <is>
          <t>COL0004681</t>
        </is>
      </c>
      <c r="B231" t="inlineStr">
        <is>
          <t>MER00355</t>
        </is>
      </c>
      <c r="C231" t="inlineStr">
        <is>
          <t>INV0007478</t>
        </is>
      </c>
      <c r="D231" s="8" t="n">
        <v>45606</v>
      </c>
      <c r="E231" t="inlineStr">
        <is>
          <t>Phone</t>
        </is>
      </c>
      <c r="F231" t="inlineStr">
        <is>
          <t>Phone</t>
        </is>
      </c>
      <c r="G231" t="inlineStr">
        <is>
          <t>Amit Saxena</t>
        </is>
      </c>
      <c r="H231" t="inlineStr">
        <is>
          <t>No Response</t>
        </is>
      </c>
      <c r="I231" s="8" t="n"/>
      <c r="J231" t="n">
        <v/>
      </c>
      <c r="K231" t="inlineStr">
        <is>
          <t>Called merchant to discuss overdue invoice INV0007478.</t>
        </is>
      </c>
    </row>
    <row r="232">
      <c r="A232" t="inlineStr">
        <is>
          <t>COL0004682</t>
        </is>
      </c>
      <c r="B232" t="inlineStr">
        <is>
          <t>MER00355</t>
        </is>
      </c>
      <c r="C232" t="inlineStr">
        <is>
          <t>INV0007478</t>
        </is>
      </c>
      <c r="D232" s="8" t="n">
        <v>45612</v>
      </c>
      <c r="E232" t="inlineStr">
        <is>
          <t>Escalation</t>
        </is>
      </c>
      <c r="F232" t="inlineStr">
        <is>
          <t>Phone</t>
        </is>
      </c>
      <c r="G232" t="inlineStr">
        <is>
          <t>Vivek Nair</t>
        </is>
      </c>
      <c r="H232" t="inlineStr">
        <is>
          <t>Disputed</t>
        </is>
      </c>
      <c r="I232" s="8" t="n"/>
      <c r="J232" t="n">
        <v/>
      </c>
      <c r="K232" t="inlineStr">
        <is>
          <t>Escalated invoice INV0007478 to account manager for non-payment.</t>
        </is>
      </c>
    </row>
    <row r="233">
      <c r="A233" t="inlineStr">
        <is>
          <t>COL0004683</t>
        </is>
      </c>
      <c r="B233" t="inlineStr">
        <is>
          <t>MER00355</t>
        </is>
      </c>
      <c r="C233" t="inlineStr">
        <is>
          <t>INV0007478</t>
        </is>
      </c>
      <c r="D233" s="8" t="n">
        <v>45624</v>
      </c>
      <c r="E233" t="inlineStr">
        <is>
          <t>Payment Promise</t>
        </is>
      </c>
      <c r="F233" t="inlineStr">
        <is>
          <t>WhatsApp</t>
        </is>
      </c>
      <c r="G233" t="inlineStr">
        <is>
          <t>Anjali Desai</t>
        </is>
      </c>
      <c r="H233" t="inlineStr">
        <is>
          <t>No Response</t>
        </is>
      </c>
      <c r="I233" s="8" t="n">
        <v>45629</v>
      </c>
      <c r="J233" t="n">
        <v>159.36</v>
      </c>
      <c r="K233" t="inlineStr">
        <is>
          <t>Merchant committed to paying invoice INV0007478 by 2024-12-03.</t>
        </is>
      </c>
    </row>
    <row r="234">
      <c r="A234" t="inlineStr">
        <is>
          <t>COL0004684</t>
        </is>
      </c>
      <c r="B234" t="inlineStr">
        <is>
          <t>MER00355</t>
        </is>
      </c>
      <c r="C234" t="inlineStr">
        <is>
          <t>INV0007480</t>
        </is>
      </c>
      <c r="D234" s="8" t="n">
        <v>45649</v>
      </c>
      <c r="E234" t="inlineStr">
        <is>
          <t>Reminder</t>
        </is>
      </c>
      <c r="F234" t="inlineStr">
        <is>
          <t>Email</t>
        </is>
      </c>
      <c r="G234" t="inlineStr">
        <is>
          <t>Farhan Sheikh</t>
        </is>
      </c>
      <c r="H234" t="inlineStr">
        <is>
          <t>Promise to Pay</t>
        </is>
      </c>
      <c r="I234" s="8" t="n">
        <v>45652</v>
      </c>
      <c r="J234" t="n">
        <v>259.5</v>
      </c>
      <c r="K234" t="inlineStr">
        <is>
          <t>Automated reminder sent for invoice INV0007480 due 2024-12-17.</t>
        </is>
      </c>
    </row>
    <row r="235">
      <c r="A235" t="inlineStr">
        <is>
          <t>COL0004685</t>
        </is>
      </c>
      <c r="B235" t="inlineStr">
        <is>
          <t>MER00355</t>
        </is>
      </c>
      <c r="C235" t="inlineStr">
        <is>
          <t>INV0007480</t>
        </is>
      </c>
      <c r="D235" s="8" t="n">
        <v>45656</v>
      </c>
      <c r="E235" t="inlineStr">
        <is>
          <t>Email</t>
        </is>
      </c>
      <c r="F235" t="inlineStr">
        <is>
          <t>Email</t>
        </is>
      </c>
      <c r="G235" t="inlineStr">
        <is>
          <t>Ritu Bansal</t>
        </is>
      </c>
      <c r="H235" t="inlineStr">
        <is>
          <t>Promise to Pay</t>
        </is>
      </c>
      <c r="I235" s="8" t="n">
        <v>45667</v>
      </c>
      <c r="J235" t="n">
        <v>256.88</v>
      </c>
      <c r="K235" t="inlineStr">
        <is>
          <t>Followed up via email regarding outstanding invoice INV0007480.</t>
        </is>
      </c>
    </row>
    <row r="236">
      <c r="A236" t="inlineStr">
        <is>
          <t>COL0004686</t>
        </is>
      </c>
      <c r="B236" t="inlineStr">
        <is>
          <t>MER00355</t>
        </is>
      </c>
      <c r="C236" t="inlineStr">
        <is>
          <t>INV0007480</t>
        </is>
      </c>
      <c r="D236" s="8" t="n">
        <v>45668</v>
      </c>
      <c r="E236" t="inlineStr">
        <is>
          <t>Phone</t>
        </is>
      </c>
      <c r="F236" t="inlineStr">
        <is>
          <t>Phone</t>
        </is>
      </c>
      <c r="G236" t="inlineStr">
        <is>
          <t>Anjali Desai</t>
        </is>
      </c>
      <c r="H236" t="inlineStr">
        <is>
          <t>No Response</t>
        </is>
      </c>
      <c r="I236" s="8" t="n"/>
      <c r="J236" t="n">
        <v/>
      </c>
      <c r="K236" t="inlineStr">
        <is>
          <t>Called merchant to discuss overdue invoice INV0007480.</t>
        </is>
      </c>
    </row>
    <row r="237">
      <c r="A237" t="inlineStr">
        <is>
          <t>COL0004687</t>
        </is>
      </c>
      <c r="B237" t="inlineStr">
        <is>
          <t>MER00355</t>
        </is>
      </c>
      <c r="C237" t="inlineStr">
        <is>
          <t>INV0007480</t>
        </is>
      </c>
      <c r="D237" s="8" t="n">
        <v>45682</v>
      </c>
      <c r="E237" t="inlineStr">
        <is>
          <t>Escalation</t>
        </is>
      </c>
      <c r="F237" t="inlineStr">
        <is>
          <t>Phone</t>
        </is>
      </c>
      <c r="G237" t="inlineStr">
        <is>
          <t>Anjali Desai</t>
        </is>
      </c>
      <c r="H237" t="inlineStr">
        <is>
          <t>Disputed</t>
        </is>
      </c>
      <c r="I237" s="8" t="n"/>
      <c r="J237" t="n">
        <v/>
      </c>
      <c r="K237" t="inlineStr">
        <is>
          <t>Escalated invoice INV0007480 to account manager for non-payment.</t>
        </is>
      </c>
    </row>
    <row r="238">
      <c r="A238" t="inlineStr">
        <is>
          <t>COL0004688</t>
        </is>
      </c>
      <c r="B238" t="inlineStr">
        <is>
          <t>MER00355</t>
        </is>
      </c>
      <c r="C238" t="inlineStr">
        <is>
          <t>INV0007480</t>
        </is>
      </c>
      <c r="D238" s="8" t="n">
        <v>45689</v>
      </c>
      <c r="E238" t="inlineStr">
        <is>
          <t>Payment Promise</t>
        </is>
      </c>
      <c r="F238" t="inlineStr">
        <is>
          <t>WhatsApp</t>
        </is>
      </c>
      <c r="G238" t="inlineStr">
        <is>
          <t>Ritu Bansal</t>
        </is>
      </c>
      <c r="H238" t="inlineStr">
        <is>
          <t>No Response</t>
        </is>
      </c>
      <c r="I238" s="8" t="n">
        <v>45696</v>
      </c>
      <c r="J238" t="n">
        <v>405.24</v>
      </c>
      <c r="K238" t="inlineStr">
        <is>
          <t>Merchant committed to paying invoice INV0007480 by 2025-02-08.</t>
        </is>
      </c>
    </row>
    <row r="239">
      <c r="A239" t="inlineStr">
        <is>
          <t>COL0004689</t>
        </is>
      </c>
      <c r="B239" t="inlineStr">
        <is>
          <t>MER00355</t>
        </is>
      </c>
      <c r="C239" t="inlineStr">
        <is>
          <t>INV0007481</t>
        </is>
      </c>
      <c r="D239" s="8" t="n">
        <v>45681</v>
      </c>
      <c r="E239" t="inlineStr">
        <is>
          <t>Reminder</t>
        </is>
      </c>
      <c r="F239" t="inlineStr">
        <is>
          <t>Email</t>
        </is>
      </c>
      <c r="G239" t="inlineStr">
        <is>
          <t>Manish Tiwari</t>
        </is>
      </c>
      <c r="H239" t="inlineStr">
        <is>
          <t>Promise to Pay</t>
        </is>
      </c>
      <c r="I239" s="8" t="n">
        <v>45684</v>
      </c>
      <c r="J239" t="n">
        <v>85.54000000000001</v>
      </c>
      <c r="K239" t="inlineStr">
        <is>
          <t>Automated reminder sent for invoice INV0007481 due 2025-01-17.</t>
        </is>
      </c>
    </row>
    <row r="240">
      <c r="A240" t="inlineStr">
        <is>
          <t>COL0004690</t>
        </is>
      </c>
      <c r="B240" t="inlineStr">
        <is>
          <t>MER00355</t>
        </is>
      </c>
      <c r="C240" t="inlineStr">
        <is>
          <t>INV0007481</t>
        </is>
      </c>
      <c r="D240" s="8" t="n">
        <v>45693</v>
      </c>
      <c r="E240" t="inlineStr">
        <is>
          <t>Email</t>
        </is>
      </c>
      <c r="F240" t="inlineStr">
        <is>
          <t>Email</t>
        </is>
      </c>
      <c r="G240" t="inlineStr">
        <is>
          <t>Nandini Rajan</t>
        </is>
      </c>
      <c r="H240" t="inlineStr">
        <is>
          <t>Promise to Pay</t>
        </is>
      </c>
      <c r="I240" s="8" t="n">
        <v>45704</v>
      </c>
      <c r="J240" t="n">
        <v>46.27</v>
      </c>
      <c r="K240" t="inlineStr">
        <is>
          <t>Followed up via email regarding outstanding invoice INV0007481.</t>
        </is>
      </c>
    </row>
    <row r="241">
      <c r="A241" t="inlineStr">
        <is>
          <t>COL0004691</t>
        </is>
      </c>
      <c r="B241" t="inlineStr">
        <is>
          <t>MER00355</t>
        </is>
      </c>
      <c r="C241" t="inlineStr">
        <is>
          <t>INV0007481</t>
        </is>
      </c>
      <c r="D241" s="8" t="n">
        <v>45706</v>
      </c>
      <c r="E241" t="inlineStr">
        <is>
          <t>Phone</t>
        </is>
      </c>
      <c r="F241" t="inlineStr">
        <is>
          <t>Phone</t>
        </is>
      </c>
      <c r="G241" t="inlineStr">
        <is>
          <t>Shweta Gupta</t>
        </is>
      </c>
      <c r="H241" t="inlineStr">
        <is>
          <t>No Response</t>
        </is>
      </c>
      <c r="I241" s="8" t="n"/>
      <c r="J241" t="n">
        <v/>
      </c>
      <c r="K241" t="inlineStr">
        <is>
          <t>Called merchant to discuss overdue invoice INV0007481.</t>
        </is>
      </c>
    </row>
    <row r="242">
      <c r="A242" t="inlineStr">
        <is>
          <t>COL0004692</t>
        </is>
      </c>
      <c r="B242" t="inlineStr">
        <is>
          <t>MER00355</t>
        </is>
      </c>
      <c r="C242" t="inlineStr">
        <is>
          <t>INV0007481</t>
        </is>
      </c>
      <c r="D242" s="8" t="n">
        <v>45717</v>
      </c>
      <c r="E242" t="inlineStr">
        <is>
          <t>Escalation</t>
        </is>
      </c>
      <c r="F242" t="inlineStr">
        <is>
          <t>Phone</t>
        </is>
      </c>
      <c r="G242" t="inlineStr">
        <is>
          <t>Anjali Desai</t>
        </is>
      </c>
      <c r="H242" t="inlineStr">
        <is>
          <t>Escalated</t>
        </is>
      </c>
      <c r="I242" s="8" t="n"/>
      <c r="J242" t="n">
        <v/>
      </c>
      <c r="K242" t="inlineStr">
        <is>
          <t>Escalated invoice INV0007481 to account manager for non-payment.</t>
        </is>
      </c>
    </row>
    <row r="243">
      <c r="A243" t="inlineStr">
        <is>
          <t>COL0004693</t>
        </is>
      </c>
      <c r="B243" t="inlineStr">
        <is>
          <t>MER00355</t>
        </is>
      </c>
      <c r="C243" t="inlineStr">
        <is>
          <t>INV0007481</t>
        </is>
      </c>
      <c r="D243" s="8" t="n">
        <v>45730</v>
      </c>
      <c r="E243" t="inlineStr">
        <is>
          <t>Payment Promise</t>
        </is>
      </c>
      <c r="F243" t="inlineStr">
        <is>
          <t>WhatsApp</t>
        </is>
      </c>
      <c r="G243" t="inlineStr">
        <is>
          <t>Shweta Gupta</t>
        </is>
      </c>
      <c r="H243" t="inlineStr">
        <is>
          <t>No Response</t>
        </is>
      </c>
      <c r="I243" s="8" t="n">
        <v>45735</v>
      </c>
      <c r="J243" t="n">
        <v>83.89</v>
      </c>
      <c r="K243" t="inlineStr">
        <is>
          <t>Merchant committed to paying invoice INV0007481 by 2025-03-19.</t>
        </is>
      </c>
    </row>
    <row r="244">
      <c r="A244" t="inlineStr">
        <is>
          <t>COL0004694</t>
        </is>
      </c>
      <c r="B244" t="inlineStr">
        <is>
          <t>MER00355</t>
        </is>
      </c>
      <c r="C244" t="inlineStr">
        <is>
          <t>INV0007483</t>
        </is>
      </c>
      <c r="D244" s="8" t="n">
        <v>45737</v>
      </c>
      <c r="E244" t="inlineStr">
        <is>
          <t>Reminder</t>
        </is>
      </c>
      <c r="F244" t="inlineStr">
        <is>
          <t>Email</t>
        </is>
      </c>
      <c r="G244" t="inlineStr">
        <is>
          <t>Vivek Nair</t>
        </is>
      </c>
      <c r="H244" t="inlineStr">
        <is>
          <t>No Response</t>
        </is>
      </c>
      <c r="I244" s="8" t="n"/>
      <c r="J244" t="n">
        <v/>
      </c>
      <c r="K244" t="inlineStr">
        <is>
          <t>Automated reminder sent for invoice INV0007483 due 2025-03-17.</t>
        </is>
      </c>
    </row>
    <row r="245">
      <c r="A245" t="inlineStr">
        <is>
          <t>COL0004695</t>
        </is>
      </c>
      <c r="B245" t="inlineStr">
        <is>
          <t>MER00355</t>
        </is>
      </c>
      <c r="C245" t="inlineStr">
        <is>
          <t>INV0007483</t>
        </is>
      </c>
      <c r="D245" s="8" t="n">
        <v>45749</v>
      </c>
      <c r="E245" t="inlineStr">
        <is>
          <t>Email</t>
        </is>
      </c>
      <c r="F245" t="inlineStr">
        <is>
          <t>Email</t>
        </is>
      </c>
      <c r="G245" t="inlineStr">
        <is>
          <t>Amit Saxena</t>
        </is>
      </c>
      <c r="H245" t="inlineStr">
        <is>
          <t>No Response</t>
        </is>
      </c>
      <c r="I245" s="8" t="n"/>
      <c r="J245" t="n">
        <v/>
      </c>
      <c r="K245" t="inlineStr">
        <is>
          <t>Followed up via email regarding outstanding invoice INV0007483.</t>
        </is>
      </c>
    </row>
    <row r="246">
      <c r="A246" t="inlineStr">
        <is>
          <t>COL0004696</t>
        </is>
      </c>
      <c r="B246" t="inlineStr">
        <is>
          <t>MER00355</t>
        </is>
      </c>
      <c r="C246" t="inlineStr">
        <is>
          <t>INV0007483</t>
        </is>
      </c>
      <c r="D246" s="8" t="n">
        <v>45757</v>
      </c>
      <c r="E246" t="inlineStr">
        <is>
          <t>Phone</t>
        </is>
      </c>
      <c r="F246" t="inlineStr">
        <is>
          <t>Phone</t>
        </is>
      </c>
      <c r="G246" t="inlineStr">
        <is>
          <t>Manish Tiwari</t>
        </is>
      </c>
      <c r="H246" t="inlineStr">
        <is>
          <t>No Response</t>
        </is>
      </c>
      <c r="I246" s="8" t="n"/>
      <c r="J246" t="n">
        <v/>
      </c>
      <c r="K246" t="inlineStr">
        <is>
          <t>Called merchant to discuss overdue invoice INV0007483.</t>
        </is>
      </c>
    </row>
    <row r="247">
      <c r="A247" t="inlineStr">
        <is>
          <t>COL0004697</t>
        </is>
      </c>
      <c r="B247" t="inlineStr">
        <is>
          <t>MER00355</t>
        </is>
      </c>
      <c r="C247" t="inlineStr">
        <is>
          <t>INV0007484</t>
        </is>
      </c>
      <c r="D247" s="8" t="n">
        <v>45769</v>
      </c>
      <c r="E247" t="inlineStr">
        <is>
          <t>Reminder</t>
        </is>
      </c>
      <c r="F247" t="inlineStr">
        <is>
          <t>Email</t>
        </is>
      </c>
      <c r="G247" t="inlineStr">
        <is>
          <t>Ritu Bansal</t>
        </is>
      </c>
      <c r="H247" t="inlineStr">
        <is>
          <t>No Response</t>
        </is>
      </c>
      <c r="I247" s="8" t="n"/>
      <c r="J247" t="n">
        <v/>
      </c>
      <c r="K247" t="inlineStr">
        <is>
          <t>Automated reminder sent for invoice INV0007484 due 2025-04-17.</t>
        </is>
      </c>
    </row>
    <row r="248">
      <c r="A248" t="inlineStr">
        <is>
          <t>COL0004698</t>
        </is>
      </c>
      <c r="B248" t="inlineStr">
        <is>
          <t>MER00355</t>
        </is>
      </c>
      <c r="C248" t="inlineStr">
        <is>
          <t>INV0007484</t>
        </is>
      </c>
      <c r="D248" s="8" t="n">
        <v>45780</v>
      </c>
      <c r="E248" t="inlineStr">
        <is>
          <t>Email</t>
        </is>
      </c>
      <c r="F248" t="inlineStr">
        <is>
          <t>Email</t>
        </is>
      </c>
      <c r="G248" t="inlineStr">
        <is>
          <t>Anjali Desai</t>
        </is>
      </c>
      <c r="H248" t="inlineStr">
        <is>
          <t>Disputed</t>
        </is>
      </c>
      <c r="I248" s="8" t="n"/>
      <c r="J248" t="n">
        <v/>
      </c>
      <c r="K248" t="inlineStr">
        <is>
          <t>Followed up via email regarding outstanding invoice INV0007484.</t>
        </is>
      </c>
    </row>
    <row r="249">
      <c r="A249" t="inlineStr">
        <is>
          <t>COL0004699</t>
        </is>
      </c>
      <c r="B249" t="inlineStr">
        <is>
          <t>MER00355</t>
        </is>
      </c>
      <c r="C249" t="inlineStr">
        <is>
          <t>INV0007484</t>
        </is>
      </c>
      <c r="D249" s="8" t="n">
        <v>45792</v>
      </c>
      <c r="E249" t="inlineStr">
        <is>
          <t>Phone</t>
        </is>
      </c>
      <c r="F249" t="inlineStr">
        <is>
          <t>Phone</t>
        </is>
      </c>
      <c r="G249" t="inlineStr">
        <is>
          <t>Manish Tiwari</t>
        </is>
      </c>
      <c r="H249" t="inlineStr">
        <is>
          <t>Disputed</t>
        </is>
      </c>
      <c r="I249" s="8" t="n"/>
      <c r="J249" t="n">
        <v/>
      </c>
      <c r="K249" t="inlineStr">
        <is>
          <t>Called merchant to discuss overdue invoice INV0007484.</t>
        </is>
      </c>
    </row>
    <row r="250">
      <c r="A250" t="inlineStr">
        <is>
          <t>COL0004700</t>
        </is>
      </c>
      <c r="B250" t="inlineStr">
        <is>
          <t>MER00355</t>
        </is>
      </c>
      <c r="C250" t="inlineStr">
        <is>
          <t>INV0007484</t>
        </is>
      </c>
      <c r="D250" s="8" t="n">
        <v>45797</v>
      </c>
      <c r="E250" t="inlineStr">
        <is>
          <t>Escalation</t>
        </is>
      </c>
      <c r="F250" t="inlineStr">
        <is>
          <t>Phone</t>
        </is>
      </c>
      <c r="G250" t="inlineStr">
        <is>
          <t>Ritu Bansal</t>
        </is>
      </c>
      <c r="H250" t="inlineStr">
        <is>
          <t>Disputed</t>
        </is>
      </c>
      <c r="I250" s="8" t="n"/>
      <c r="J250" t="n">
        <v/>
      </c>
      <c r="K250" t="inlineStr">
        <is>
          <t>Escalated invoice INV0007484 to account manager for non-payment.</t>
        </is>
      </c>
    </row>
    <row r="251">
      <c r="A251" t="inlineStr">
        <is>
          <t>COL0004701</t>
        </is>
      </c>
      <c r="B251" t="inlineStr">
        <is>
          <t>MER00355</t>
        </is>
      </c>
      <c r="C251" t="inlineStr">
        <is>
          <t>INV0007484</t>
        </is>
      </c>
      <c r="D251" s="8" t="n">
        <v>45809</v>
      </c>
      <c r="E251" t="inlineStr">
        <is>
          <t>Payment Promise</t>
        </is>
      </c>
      <c r="F251" t="inlineStr">
        <is>
          <t>WhatsApp</t>
        </is>
      </c>
      <c r="G251" t="inlineStr">
        <is>
          <t>Vivek Nair</t>
        </is>
      </c>
      <c r="H251" t="inlineStr">
        <is>
          <t>No Response</t>
        </is>
      </c>
      <c r="I251" s="8" t="n">
        <v>45813</v>
      </c>
      <c r="J251" t="n">
        <v>98.67</v>
      </c>
      <c r="K251" t="inlineStr">
        <is>
          <t>Merchant committed to paying invoice INV0007484 by 2025-06-05.</t>
        </is>
      </c>
    </row>
    <row r="252">
      <c r="A252" t="inlineStr">
        <is>
          <t>COL0004702</t>
        </is>
      </c>
      <c r="B252" t="inlineStr">
        <is>
          <t>MER00355</t>
        </is>
      </c>
      <c r="C252" t="inlineStr">
        <is>
          <t>INV0007485</t>
        </is>
      </c>
      <c r="D252" s="8" t="n">
        <v>45797</v>
      </c>
      <c r="E252" t="inlineStr">
        <is>
          <t>Reminder</t>
        </is>
      </c>
      <c r="F252" t="inlineStr">
        <is>
          <t>Email</t>
        </is>
      </c>
      <c r="G252" t="inlineStr">
        <is>
          <t>Farhan Sheikh</t>
        </is>
      </c>
      <c r="H252" t="inlineStr">
        <is>
          <t>Promise to Pay</t>
        </is>
      </c>
      <c r="I252" s="8" t="n">
        <v>45811</v>
      </c>
      <c r="J252" t="n">
        <v>74.75</v>
      </c>
      <c r="K252" t="inlineStr">
        <is>
          <t>Automated reminder sent for invoice INV0007485 due 2025-05-17.</t>
        </is>
      </c>
    </row>
    <row r="253">
      <c r="A253" t="inlineStr">
        <is>
          <t>COL0004703</t>
        </is>
      </c>
      <c r="B253" t="inlineStr">
        <is>
          <t>MER00355</t>
        </is>
      </c>
      <c r="C253" t="inlineStr">
        <is>
          <t>INV0007485</t>
        </is>
      </c>
      <c r="D253" s="8" t="n">
        <v>45811</v>
      </c>
      <c r="E253" t="inlineStr">
        <is>
          <t>Email</t>
        </is>
      </c>
      <c r="F253" t="inlineStr">
        <is>
          <t>Email</t>
        </is>
      </c>
      <c r="G253" t="inlineStr">
        <is>
          <t>Shweta Gupta</t>
        </is>
      </c>
      <c r="H253" t="inlineStr">
        <is>
          <t>Promise to Pay</t>
        </is>
      </c>
      <c r="I253" s="8" t="n">
        <v>45819</v>
      </c>
      <c r="J253" t="n">
        <v>65.03</v>
      </c>
      <c r="K253" t="inlineStr">
        <is>
          <t>Followed up via email regarding outstanding invoice INV0007485.</t>
        </is>
      </c>
    </row>
    <row r="254">
      <c r="A254" t="inlineStr">
        <is>
          <t>COL0004704</t>
        </is>
      </c>
      <c r="B254" t="inlineStr">
        <is>
          <t>MER00355</t>
        </is>
      </c>
      <c r="C254" t="inlineStr">
        <is>
          <t>INV0007485</t>
        </is>
      </c>
      <c r="D254" s="8" t="n">
        <v>45820</v>
      </c>
      <c r="E254" t="inlineStr">
        <is>
          <t>Phone</t>
        </is>
      </c>
      <c r="F254" t="inlineStr">
        <is>
          <t>Phone</t>
        </is>
      </c>
      <c r="G254" t="inlineStr">
        <is>
          <t>Amit Saxena</t>
        </is>
      </c>
      <c r="H254" t="inlineStr">
        <is>
          <t>Disputed</t>
        </is>
      </c>
      <c r="I254" s="8" t="n"/>
      <c r="J254" t="n">
        <v/>
      </c>
      <c r="K254" t="inlineStr">
        <is>
          <t>Called merchant to discuss overdue invoice INV0007485.</t>
        </is>
      </c>
    </row>
    <row r="255">
      <c r="A255" t="inlineStr">
        <is>
          <t>COL0004705</t>
        </is>
      </c>
      <c r="B255" t="inlineStr">
        <is>
          <t>MER00355</t>
        </is>
      </c>
      <c r="C255" t="inlineStr">
        <is>
          <t>INV0007486</t>
        </is>
      </c>
      <c r="D255" s="8" t="n">
        <v>45828</v>
      </c>
      <c r="E255" t="inlineStr">
        <is>
          <t>Reminder</t>
        </is>
      </c>
      <c r="F255" t="inlineStr">
        <is>
          <t>Email</t>
        </is>
      </c>
      <c r="G255" t="inlineStr">
        <is>
          <t>Manish Tiwari</t>
        </is>
      </c>
      <c r="H255" t="inlineStr">
        <is>
          <t>No Response</t>
        </is>
      </c>
      <c r="I255" s="8" t="n"/>
      <c r="J255" t="n">
        <v/>
      </c>
      <c r="K255" t="inlineStr">
        <is>
          <t>Automated reminder sent for invoice INV0007486 due 2025-06-17.</t>
        </is>
      </c>
    </row>
    <row r="256">
      <c r="A256" t="inlineStr">
        <is>
          <t>COL0004706</t>
        </is>
      </c>
      <c r="B256" t="inlineStr">
        <is>
          <t>MER00355</t>
        </is>
      </c>
      <c r="C256" t="inlineStr">
        <is>
          <t>INV0007486</t>
        </is>
      </c>
      <c r="D256" s="8" t="n">
        <v>45840</v>
      </c>
      <c r="E256" t="inlineStr">
        <is>
          <t>Email</t>
        </is>
      </c>
      <c r="F256" t="inlineStr">
        <is>
          <t>Email</t>
        </is>
      </c>
      <c r="G256" t="inlineStr">
        <is>
          <t>Farhan Sheikh</t>
        </is>
      </c>
      <c r="H256" t="inlineStr">
        <is>
          <t>No Response</t>
        </is>
      </c>
      <c r="I256" s="8" t="n"/>
      <c r="J256" t="n">
        <v/>
      </c>
      <c r="K256" t="inlineStr">
        <is>
          <t>Followed up via email regarding outstanding invoice INV0007486.</t>
        </is>
      </c>
    </row>
    <row r="257">
      <c r="A257" t="inlineStr">
        <is>
          <t>COL0004707</t>
        </is>
      </c>
      <c r="B257" t="inlineStr">
        <is>
          <t>MER00355</t>
        </is>
      </c>
      <c r="C257" t="inlineStr">
        <is>
          <t>INV0007486</t>
        </is>
      </c>
      <c r="D257" s="8" t="n">
        <v>45852</v>
      </c>
      <c r="E257" t="inlineStr">
        <is>
          <t>Phone</t>
        </is>
      </c>
      <c r="F257" t="inlineStr">
        <is>
          <t>Phone</t>
        </is>
      </c>
      <c r="G257" t="inlineStr">
        <is>
          <t>Ritu Bansal</t>
        </is>
      </c>
      <c r="H257" t="inlineStr">
        <is>
          <t>Promise to Pay</t>
        </is>
      </c>
      <c r="I257" s="8" t="n">
        <v>45863</v>
      </c>
      <c r="J257" t="n">
        <v>577.04</v>
      </c>
      <c r="K257" t="inlineStr">
        <is>
          <t>Called merchant to discuss overdue invoice INV0007486.</t>
        </is>
      </c>
    </row>
    <row r="258">
      <c r="A258" t="inlineStr">
        <is>
          <t>COL0004708</t>
        </is>
      </c>
      <c r="B258" t="inlineStr">
        <is>
          <t>MER00355</t>
        </is>
      </c>
      <c r="C258" t="inlineStr">
        <is>
          <t>INV0007489</t>
        </is>
      </c>
      <c r="D258" s="8" t="n">
        <v>45926</v>
      </c>
      <c r="E258" t="inlineStr">
        <is>
          <t>Reminder</t>
        </is>
      </c>
      <c r="F258" t="inlineStr">
        <is>
          <t>Email</t>
        </is>
      </c>
      <c r="G258" t="inlineStr">
        <is>
          <t>Farhan Sheikh</t>
        </is>
      </c>
      <c r="H258" t="inlineStr">
        <is>
          <t>No Response</t>
        </is>
      </c>
      <c r="I258" s="8" t="n"/>
      <c r="J258" t="n">
        <v/>
      </c>
      <c r="K258" t="inlineStr">
        <is>
          <t>Automated reminder sent for invoice INV0007489 due 2025-09-17.</t>
        </is>
      </c>
    </row>
    <row r="259">
      <c r="A259" t="inlineStr">
        <is>
          <t>COL0004709</t>
        </is>
      </c>
      <c r="B259" t="inlineStr">
        <is>
          <t>MER00355</t>
        </is>
      </c>
      <c r="C259" t="inlineStr">
        <is>
          <t>INV0007489</t>
        </is>
      </c>
      <c r="D259" s="8" t="n">
        <v>45938</v>
      </c>
      <c r="E259" t="inlineStr">
        <is>
          <t>Email</t>
        </is>
      </c>
      <c r="F259" t="inlineStr">
        <is>
          <t>Email</t>
        </is>
      </c>
      <c r="G259" t="inlineStr">
        <is>
          <t>Shweta Gupta</t>
        </is>
      </c>
      <c r="H259" t="inlineStr">
        <is>
          <t>Promise to Pay</t>
        </is>
      </c>
      <c r="I259" s="8" t="n">
        <v>45946</v>
      </c>
      <c r="J259" t="n">
        <v>501.16</v>
      </c>
      <c r="K259" t="inlineStr">
        <is>
          <t>Followed up via email regarding outstanding invoice INV0007489.</t>
        </is>
      </c>
    </row>
    <row r="260">
      <c r="A260" t="inlineStr">
        <is>
          <t>COL0004710</t>
        </is>
      </c>
      <c r="B260" t="inlineStr">
        <is>
          <t>MER00355</t>
        </is>
      </c>
      <c r="C260" t="inlineStr">
        <is>
          <t>INV0007489</t>
        </is>
      </c>
      <c r="D260" s="8" t="n">
        <v>45950</v>
      </c>
      <c r="E260" t="inlineStr">
        <is>
          <t>Phone</t>
        </is>
      </c>
      <c r="F260" t="inlineStr">
        <is>
          <t>Phone</t>
        </is>
      </c>
      <c r="G260" t="inlineStr">
        <is>
          <t>Anjali Desai</t>
        </is>
      </c>
      <c r="H260" t="inlineStr">
        <is>
          <t>No Response</t>
        </is>
      </c>
      <c r="I260" s="8" t="n"/>
      <c r="J260" t="n">
        <v/>
      </c>
      <c r="K260" t="inlineStr">
        <is>
          <t>Called merchant to discuss overdue invoice INV0007489.</t>
        </is>
      </c>
    </row>
    <row r="261">
      <c r="A261" t="inlineStr">
        <is>
          <t>COL0004711</t>
        </is>
      </c>
      <c r="B261" t="inlineStr">
        <is>
          <t>MER00355</t>
        </is>
      </c>
      <c r="C261" t="inlineStr">
        <is>
          <t>INV0007490</t>
        </is>
      </c>
      <c r="D261" s="8" t="n">
        <v>45952</v>
      </c>
      <c r="E261" t="inlineStr">
        <is>
          <t>Reminder</t>
        </is>
      </c>
      <c r="F261" t="inlineStr">
        <is>
          <t>Email</t>
        </is>
      </c>
      <c r="G261" t="inlineStr">
        <is>
          <t>Nandini Rajan</t>
        </is>
      </c>
      <c r="H261" t="inlineStr">
        <is>
          <t>No Response</t>
        </is>
      </c>
      <c r="I261" s="8" t="n"/>
      <c r="J261" t="n">
        <v/>
      </c>
      <c r="K261" t="inlineStr">
        <is>
          <t>Automated reminder sent for invoice INV0007490 due 2025-10-17.</t>
        </is>
      </c>
    </row>
    <row r="262">
      <c r="A262" t="inlineStr">
        <is>
          <t>COL0004712</t>
        </is>
      </c>
      <c r="B262" t="inlineStr">
        <is>
          <t>MER00355</t>
        </is>
      </c>
      <c r="C262" t="inlineStr">
        <is>
          <t>INV0007490</t>
        </is>
      </c>
      <c r="D262" s="8" t="n">
        <v>45958</v>
      </c>
      <c r="E262" t="inlineStr">
        <is>
          <t>Email</t>
        </is>
      </c>
      <c r="F262" t="inlineStr">
        <is>
          <t>Email</t>
        </is>
      </c>
      <c r="G262" t="inlineStr">
        <is>
          <t>Ritu Bansal</t>
        </is>
      </c>
      <c r="H262" t="inlineStr">
        <is>
          <t>No Response</t>
        </is>
      </c>
      <c r="I262" s="8" t="n"/>
      <c r="J262" t="n">
        <v/>
      </c>
      <c r="K262" t="inlineStr">
        <is>
          <t>Followed up via email regarding outstanding invoice INV0007490.</t>
        </is>
      </c>
    </row>
    <row r="263">
      <c r="A263" t="inlineStr">
        <is>
          <t>COL0004713</t>
        </is>
      </c>
      <c r="B263" t="inlineStr">
        <is>
          <t>MER00355</t>
        </is>
      </c>
      <c r="C263" t="inlineStr">
        <is>
          <t>INV0007490</t>
        </is>
      </c>
      <c r="D263" s="8" t="n">
        <v>45965</v>
      </c>
      <c r="E263" t="inlineStr">
        <is>
          <t>Phone</t>
        </is>
      </c>
      <c r="F263" t="inlineStr">
        <is>
          <t>Phone</t>
        </is>
      </c>
      <c r="G263" t="inlineStr">
        <is>
          <t>Nandini Rajan</t>
        </is>
      </c>
      <c r="H263" t="inlineStr">
        <is>
          <t>No Response</t>
        </is>
      </c>
      <c r="I263" s="8" t="n"/>
      <c r="J263" t="n">
        <v/>
      </c>
      <c r="K263" t="inlineStr">
        <is>
          <t>Called merchant to discuss overdue invoice INV0007490.</t>
        </is>
      </c>
    </row>
    <row r="264">
      <c r="A264" t="inlineStr">
        <is>
          <t>COL0004714</t>
        </is>
      </c>
      <c r="B264" t="inlineStr">
        <is>
          <t>MER00355</t>
        </is>
      </c>
      <c r="C264" t="inlineStr">
        <is>
          <t>INV0007490</t>
        </is>
      </c>
      <c r="D264" s="8" t="n">
        <v>45974</v>
      </c>
      <c r="E264" t="inlineStr">
        <is>
          <t>Escalation</t>
        </is>
      </c>
      <c r="F264" t="inlineStr">
        <is>
          <t>Phone</t>
        </is>
      </c>
      <c r="G264" t="inlineStr">
        <is>
          <t>Vivek Nair</t>
        </is>
      </c>
      <c r="H264" t="inlineStr">
        <is>
          <t>Disputed</t>
        </is>
      </c>
      <c r="I264" s="8" t="n"/>
      <c r="J264" t="n">
        <v/>
      </c>
      <c r="K264" t="inlineStr">
        <is>
          <t>Escalated invoice INV0007490 to account manager for non-payment.</t>
        </is>
      </c>
    </row>
    <row r="265">
      <c r="A265" t="inlineStr">
        <is>
          <t>COL0004715</t>
        </is>
      </c>
      <c r="B265" t="inlineStr">
        <is>
          <t>MER00355</t>
        </is>
      </c>
      <c r="C265" t="inlineStr">
        <is>
          <t>INV0007490</t>
        </is>
      </c>
      <c r="D265" s="8" t="n">
        <v>45986</v>
      </c>
      <c r="E265" t="inlineStr">
        <is>
          <t>Payment Promise</t>
        </is>
      </c>
      <c r="F265" t="inlineStr">
        <is>
          <t>WhatsApp</t>
        </is>
      </c>
      <c r="G265" t="inlineStr">
        <is>
          <t>Ritu Bansal</t>
        </is>
      </c>
      <c r="H265" t="inlineStr">
        <is>
          <t>Promise to Pay</t>
        </is>
      </c>
      <c r="I265" s="8" t="n">
        <v>45997</v>
      </c>
      <c r="J265" t="n">
        <v>531.1</v>
      </c>
      <c r="K265" t="inlineStr">
        <is>
          <t>Merchant committed to paying invoice INV0007490 by 2025-12-06.</t>
        </is>
      </c>
    </row>
    <row r="266">
      <c r="A266" t="inlineStr">
        <is>
          <t>COL0004716</t>
        </is>
      </c>
      <c r="B266" t="inlineStr">
        <is>
          <t>MER00355</t>
        </is>
      </c>
      <c r="C266" t="inlineStr">
        <is>
          <t>INV0007492</t>
        </is>
      </c>
      <c r="D266" s="8" t="n">
        <v>46014</v>
      </c>
      <c r="E266" t="inlineStr">
        <is>
          <t>Reminder</t>
        </is>
      </c>
      <c r="F266" t="inlineStr">
        <is>
          <t>Email</t>
        </is>
      </c>
      <c r="G266" t="inlineStr">
        <is>
          <t>Nandini Rajan</t>
        </is>
      </c>
      <c r="H266" t="inlineStr">
        <is>
          <t>No Response</t>
        </is>
      </c>
      <c r="I266" s="8" t="n"/>
      <c r="J266" t="n">
        <v/>
      </c>
      <c r="K266" t="inlineStr">
        <is>
          <t>Automated reminder sent for invoice INV0007492 due 2025-12-17.</t>
        </is>
      </c>
    </row>
    <row r="267">
      <c r="A267" t="inlineStr">
        <is>
          <t>COL0004717</t>
        </is>
      </c>
      <c r="B267" t="inlineStr">
        <is>
          <t>MER00355</t>
        </is>
      </c>
      <c r="C267" t="inlineStr">
        <is>
          <t>INV0007492</t>
        </is>
      </c>
      <c r="D267" s="8" t="n">
        <v>46021</v>
      </c>
      <c r="E267" t="inlineStr">
        <is>
          <t>Email</t>
        </is>
      </c>
      <c r="F267" t="inlineStr">
        <is>
          <t>Email</t>
        </is>
      </c>
      <c r="G267" t="inlineStr">
        <is>
          <t>Ritu Bansal</t>
        </is>
      </c>
      <c r="H267" t="inlineStr">
        <is>
          <t>No Response</t>
        </is>
      </c>
      <c r="I267" s="8" t="n"/>
      <c r="J267" t="n">
        <v/>
      </c>
      <c r="K267" t="inlineStr">
        <is>
          <t>Followed up via email regarding outstanding invoice INV0007492.</t>
        </is>
      </c>
    </row>
    <row r="268">
      <c r="A268" t="inlineStr">
        <is>
          <t>COL0004718</t>
        </is>
      </c>
      <c r="B268" t="inlineStr">
        <is>
          <t>MER00355</t>
        </is>
      </c>
      <c r="C268" t="inlineStr">
        <is>
          <t>INV0007492</t>
        </is>
      </c>
      <c r="D268" s="8" t="n">
        <v>46033</v>
      </c>
      <c r="E268" t="inlineStr">
        <is>
          <t>Phone</t>
        </is>
      </c>
      <c r="F268" t="inlineStr">
        <is>
          <t>Phone</t>
        </is>
      </c>
      <c r="G268" t="inlineStr">
        <is>
          <t>Farhan Sheikh</t>
        </is>
      </c>
      <c r="H268" t="inlineStr">
        <is>
          <t>Promise to Pay</t>
        </is>
      </c>
      <c r="I268" s="8" t="n">
        <v>46044</v>
      </c>
      <c r="J268" t="n">
        <v>331.74</v>
      </c>
      <c r="K268" t="inlineStr">
        <is>
          <t>Called merchant to discuss overdue invoice INV0007492.</t>
        </is>
      </c>
    </row>
    <row r="269">
      <c r="A269" t="inlineStr">
        <is>
          <t>COL0004719</t>
        </is>
      </c>
      <c r="B269" t="inlineStr">
        <is>
          <t>MER00355</t>
        </is>
      </c>
      <c r="C269" t="inlineStr">
        <is>
          <t>INV0007492</t>
        </is>
      </c>
      <c r="D269" s="8" t="n">
        <v>46046</v>
      </c>
      <c r="E269" t="inlineStr">
        <is>
          <t>Escalation</t>
        </is>
      </c>
      <c r="F269" t="inlineStr">
        <is>
          <t>Phone</t>
        </is>
      </c>
      <c r="G269" t="inlineStr">
        <is>
          <t>Anjali Desai</t>
        </is>
      </c>
      <c r="H269" t="inlineStr">
        <is>
          <t>Disputed</t>
        </is>
      </c>
      <c r="I269" s="8" t="n"/>
      <c r="J269" t="n">
        <v/>
      </c>
      <c r="K269" t="inlineStr">
        <is>
          <t>Escalated invoice INV0007492 to account manager for non-payment.</t>
        </is>
      </c>
    </row>
    <row r="270">
      <c r="A270" t="inlineStr">
        <is>
          <t>COL0004720</t>
        </is>
      </c>
      <c r="B270" t="inlineStr">
        <is>
          <t>MER00355</t>
        </is>
      </c>
      <c r="C270" t="inlineStr">
        <is>
          <t>INV0007492</t>
        </is>
      </c>
      <c r="D270" s="8" t="n">
        <v>46054</v>
      </c>
      <c r="E270" t="inlineStr">
        <is>
          <t>Payment Promise</t>
        </is>
      </c>
      <c r="F270" t="inlineStr">
        <is>
          <t>WhatsApp</t>
        </is>
      </c>
      <c r="G270" t="inlineStr">
        <is>
          <t>Farhan Sheikh</t>
        </is>
      </c>
      <c r="H270" t="inlineStr">
        <is>
          <t>No Response</t>
        </is>
      </c>
      <c r="I270" s="8" t="n">
        <v>46058</v>
      </c>
      <c r="J270" t="n">
        <v>370.28</v>
      </c>
      <c r="K270" t="inlineStr">
        <is>
          <t>Merchant committed to paying invoice INV0007492 by 2026-02-05.</t>
        </is>
      </c>
    </row>
    <row r="271">
      <c r="A271" t="inlineStr">
        <is>
          <t>COL0004721</t>
        </is>
      </c>
      <c r="B271" t="inlineStr">
        <is>
          <t>MER00355</t>
        </is>
      </c>
      <c r="C271" t="inlineStr">
        <is>
          <t>INV0007493</t>
        </is>
      </c>
      <c r="D271" s="8" t="n">
        <v>46047</v>
      </c>
      <c r="E271" t="inlineStr">
        <is>
          <t>Reminder</t>
        </is>
      </c>
      <c r="F271" t="inlineStr">
        <is>
          <t>Email</t>
        </is>
      </c>
      <c r="G271" t="inlineStr">
        <is>
          <t>Nandini Rajan</t>
        </is>
      </c>
      <c r="H271" t="inlineStr">
        <is>
          <t>No Response</t>
        </is>
      </c>
      <c r="I271" s="8" t="n"/>
      <c r="J271" t="n">
        <v/>
      </c>
      <c r="K271" t="inlineStr">
        <is>
          <t>Automated reminder sent for invoice INV0007493 due 2026-01-17.</t>
        </is>
      </c>
    </row>
    <row r="272">
      <c r="A272" t="inlineStr">
        <is>
          <t>COL0004722</t>
        </is>
      </c>
      <c r="B272" t="inlineStr">
        <is>
          <t>MER00355</t>
        </is>
      </c>
      <c r="C272" t="inlineStr">
        <is>
          <t>INV0007493</t>
        </is>
      </c>
      <c r="D272" s="8" t="n">
        <v>46058</v>
      </c>
      <c r="E272" t="inlineStr">
        <is>
          <t>Email</t>
        </is>
      </c>
      <c r="F272" t="inlineStr">
        <is>
          <t>Email</t>
        </is>
      </c>
      <c r="G272" t="inlineStr">
        <is>
          <t>Farhan Sheikh</t>
        </is>
      </c>
      <c r="H272" t="inlineStr">
        <is>
          <t>Promise to Pay</t>
        </is>
      </c>
      <c r="I272" s="8" t="n">
        <v>46066</v>
      </c>
      <c r="J272" t="n">
        <v>263.76</v>
      </c>
      <c r="K272" t="inlineStr">
        <is>
          <t>Followed up via email regarding outstanding invoice INV0007493.</t>
        </is>
      </c>
    </row>
    <row r="273">
      <c r="A273" t="inlineStr">
        <is>
          <t>COL0004723</t>
        </is>
      </c>
      <c r="B273" t="inlineStr">
        <is>
          <t>MER00355</t>
        </is>
      </c>
      <c r="C273" t="inlineStr">
        <is>
          <t>INV0007493</t>
        </is>
      </c>
      <c r="D273" s="8" t="n">
        <v>46071</v>
      </c>
      <c r="E273" t="inlineStr">
        <is>
          <t>Phone</t>
        </is>
      </c>
      <c r="F273" t="inlineStr">
        <is>
          <t>Phone</t>
        </is>
      </c>
      <c r="G273" t="inlineStr">
        <is>
          <t>Manish Tiwari</t>
        </is>
      </c>
      <c r="H273" t="inlineStr">
        <is>
          <t>No Response</t>
        </is>
      </c>
      <c r="I273" s="8" t="n"/>
      <c r="J273" t="n">
        <v/>
      </c>
      <c r="K273" t="inlineStr">
        <is>
          <t>Called merchant to discuss overdue invoice INV0007493.</t>
        </is>
      </c>
    </row>
    <row r="274">
      <c r="A274" t="inlineStr">
        <is>
          <t>COL0004724</t>
        </is>
      </c>
      <c r="B274" t="inlineStr">
        <is>
          <t>MER00355</t>
        </is>
      </c>
      <c r="C274" t="inlineStr">
        <is>
          <t>INV0007493</t>
        </is>
      </c>
      <c r="D274" s="8" t="n">
        <v>46081</v>
      </c>
      <c r="E274" t="inlineStr">
        <is>
          <t>Escalation</t>
        </is>
      </c>
      <c r="F274" t="inlineStr">
        <is>
          <t>Phone</t>
        </is>
      </c>
      <c r="G274" t="inlineStr">
        <is>
          <t>Amit Saxena</t>
        </is>
      </c>
      <c r="H274" t="inlineStr">
        <is>
          <t>Disputed</t>
        </is>
      </c>
      <c r="I274" s="8" t="n"/>
      <c r="J274" t="n">
        <v/>
      </c>
      <c r="K274" t="inlineStr">
        <is>
          <t>Escalated invoice INV0007493 to account manager for non-payment.</t>
        </is>
      </c>
    </row>
    <row r="275">
      <c r="A275" t="inlineStr">
        <is>
          <t>COL0004725</t>
        </is>
      </c>
      <c r="B275" t="inlineStr">
        <is>
          <t>MER00355</t>
        </is>
      </c>
      <c r="C275" t="inlineStr">
        <is>
          <t>INV0007493</t>
        </is>
      </c>
      <c r="D275" s="8" t="n">
        <v>46095</v>
      </c>
      <c r="E275" t="inlineStr">
        <is>
          <t>Payment Promise</t>
        </is>
      </c>
      <c r="F275" t="inlineStr">
        <is>
          <t>WhatsApp</t>
        </is>
      </c>
      <c r="G275" t="inlineStr">
        <is>
          <t>Manish Tiwari</t>
        </is>
      </c>
      <c r="H275" t="inlineStr">
        <is>
          <t>Promise to Pay</t>
        </is>
      </c>
      <c r="I275" s="8" t="n">
        <v>46106</v>
      </c>
      <c r="J275" t="n">
        <v>218.37</v>
      </c>
      <c r="K275" t="inlineStr">
        <is>
          <t>Merchant committed to paying invoice INV0007493 by 2026-03-25.</t>
        </is>
      </c>
    </row>
    <row r="276">
      <c r="A276" t="inlineStr">
        <is>
          <t>COL0004726</t>
        </is>
      </c>
      <c r="B276" t="inlineStr">
        <is>
          <t>MER00355</t>
        </is>
      </c>
      <c r="C276" t="inlineStr">
        <is>
          <t>INV0007495</t>
        </is>
      </c>
      <c r="D276" s="8" t="n">
        <v>46107</v>
      </c>
      <c r="E276" t="inlineStr">
        <is>
          <t>Reminder</t>
        </is>
      </c>
      <c r="F276" t="inlineStr">
        <is>
          <t>Email</t>
        </is>
      </c>
      <c r="G276" t="inlineStr">
        <is>
          <t>Ritu Bansal</t>
        </is>
      </c>
      <c r="H276" t="inlineStr">
        <is>
          <t>Disputed</t>
        </is>
      </c>
      <c r="I276" s="8" t="n"/>
      <c r="J276" t="n">
        <v/>
      </c>
      <c r="K276" t="inlineStr">
        <is>
          <t>Automated reminder sent for invoice INV0007495 due 2026-03-17.</t>
        </is>
      </c>
    </row>
    <row r="277">
      <c r="A277" t="inlineStr">
        <is>
          <t>COL0004727</t>
        </is>
      </c>
      <c r="B277" t="inlineStr">
        <is>
          <t>MER00355</t>
        </is>
      </c>
      <c r="C277" t="inlineStr">
        <is>
          <t>INV0007495</t>
        </is>
      </c>
      <c r="D277" s="8" t="n">
        <v>46114</v>
      </c>
      <c r="E277" t="inlineStr">
        <is>
          <t>Email</t>
        </is>
      </c>
      <c r="F277" t="inlineStr">
        <is>
          <t>Email</t>
        </is>
      </c>
      <c r="G277" t="inlineStr">
        <is>
          <t>Manish Tiwari</t>
        </is>
      </c>
      <c r="H277" t="inlineStr">
        <is>
          <t>Promise to Pay</t>
        </is>
      </c>
      <c r="I277" s="8" t="n">
        <v>46118</v>
      </c>
      <c r="J277" t="n">
        <v>617.41</v>
      </c>
      <c r="K277" t="inlineStr">
        <is>
          <t>Followed up via email regarding outstanding invoice INV0007495.</t>
        </is>
      </c>
    </row>
    <row r="278">
      <c r="A278" t="inlineStr">
        <is>
          <t>COL0004728</t>
        </is>
      </c>
      <c r="B278" t="inlineStr">
        <is>
          <t>MER00355</t>
        </is>
      </c>
      <c r="C278" t="inlineStr">
        <is>
          <t>INV0007495</t>
        </is>
      </c>
      <c r="D278" s="8" t="n">
        <v>46121</v>
      </c>
      <c r="E278" t="inlineStr">
        <is>
          <t>Phone</t>
        </is>
      </c>
      <c r="F278" t="inlineStr">
        <is>
          <t>Phone</t>
        </is>
      </c>
      <c r="G278" t="inlineStr">
        <is>
          <t>Anjali Desai</t>
        </is>
      </c>
      <c r="H278" t="inlineStr">
        <is>
          <t>Promise to Pay</t>
        </is>
      </c>
      <c r="I278" s="8" t="n">
        <v>46133</v>
      </c>
      <c r="J278" t="n">
        <v>341.78</v>
      </c>
      <c r="K278" t="inlineStr">
        <is>
          <t>Called merchant to discuss overdue invoice INV0007495.</t>
        </is>
      </c>
    </row>
    <row r="279">
      <c r="A279" t="inlineStr">
        <is>
          <t>COL0004729</t>
        </is>
      </c>
      <c r="B279" t="inlineStr">
        <is>
          <t>MER00355</t>
        </is>
      </c>
      <c r="C279" t="inlineStr">
        <is>
          <t>INV0007495</t>
        </is>
      </c>
      <c r="D279" s="8" t="n">
        <v>46131</v>
      </c>
      <c r="E279" t="inlineStr">
        <is>
          <t>Escalation</t>
        </is>
      </c>
      <c r="F279" t="inlineStr">
        <is>
          <t>Phone</t>
        </is>
      </c>
      <c r="G279" t="inlineStr">
        <is>
          <t>Sanjay Kumar</t>
        </is>
      </c>
      <c r="H279" t="inlineStr">
        <is>
          <t>No Response</t>
        </is>
      </c>
      <c r="I279" s="8" t="n"/>
      <c r="J279" t="n">
        <v/>
      </c>
      <c r="K279" t="inlineStr">
        <is>
          <t>Escalated invoice INV0007495 to account manager for non-payment.</t>
        </is>
      </c>
    </row>
    <row r="280">
      <c r="A280" t="inlineStr">
        <is>
          <t>COL0004730</t>
        </is>
      </c>
      <c r="B280" t="inlineStr">
        <is>
          <t>MER00355</t>
        </is>
      </c>
      <c r="C280" t="inlineStr">
        <is>
          <t>INV0007495</t>
        </is>
      </c>
      <c r="D280" s="8" t="n">
        <v>46138</v>
      </c>
      <c r="E280" t="inlineStr">
        <is>
          <t>Payment Promise</t>
        </is>
      </c>
      <c r="F280" t="inlineStr">
        <is>
          <t>WhatsApp</t>
        </is>
      </c>
      <c r="G280" t="inlineStr">
        <is>
          <t>Ritu Bansal</t>
        </is>
      </c>
      <c r="H280" t="inlineStr">
        <is>
          <t>No Response</t>
        </is>
      </c>
      <c r="I280" s="8" t="n">
        <v>46144</v>
      </c>
      <c r="J280" t="n">
        <v>594.28</v>
      </c>
      <c r="K280" t="inlineStr">
        <is>
          <t>Merchant committed to paying invoice INV0007495 by 2026-05-02.</t>
        </is>
      </c>
    </row>
    <row r="281">
      <c r="A281" t="inlineStr">
        <is>
          <t>COL0005036</t>
        </is>
      </c>
      <c r="B281" t="inlineStr">
        <is>
          <t>MER00381</t>
        </is>
      </c>
      <c r="C281" t="inlineStr">
        <is>
          <t>INV0008015</t>
        </is>
      </c>
      <c r="D281" s="8" t="n">
        <v>45833</v>
      </c>
      <c r="E281" t="inlineStr">
        <is>
          <t>Reminder</t>
        </is>
      </c>
      <c r="F281" t="inlineStr">
        <is>
          <t>Email</t>
        </is>
      </c>
      <c r="G281" t="inlineStr">
        <is>
          <t>Nandini Rajan</t>
        </is>
      </c>
      <c r="H281" t="inlineStr">
        <is>
          <t>Disputed</t>
        </is>
      </c>
      <c r="I281" s="8" t="n"/>
      <c r="J281" t="n">
        <v/>
      </c>
      <c r="K281" t="inlineStr">
        <is>
          <t>Automated reminder sent for invoice INV0008015 due 2025-06-17.</t>
        </is>
      </c>
    </row>
    <row r="282">
      <c r="A282" t="inlineStr">
        <is>
          <t>COL0005037</t>
        </is>
      </c>
      <c r="B282" t="inlineStr">
        <is>
          <t>MER00381</t>
        </is>
      </c>
      <c r="C282" t="inlineStr">
        <is>
          <t>INV0008015</t>
        </is>
      </c>
      <c r="D282" s="8" t="n">
        <v>45838</v>
      </c>
      <c r="E282" t="inlineStr">
        <is>
          <t>Email</t>
        </is>
      </c>
      <c r="F282" t="inlineStr">
        <is>
          <t>Email</t>
        </is>
      </c>
      <c r="G282" t="inlineStr">
        <is>
          <t>Manish Tiwari</t>
        </is>
      </c>
      <c r="H282" t="inlineStr">
        <is>
          <t>No Response</t>
        </is>
      </c>
      <c r="I282" s="8" t="n"/>
      <c r="J282" t="n">
        <v/>
      </c>
      <c r="K282" t="inlineStr">
        <is>
          <t>Followed up via email regarding outstanding invoice INV0008015.</t>
        </is>
      </c>
    </row>
    <row r="283">
      <c r="A283" t="inlineStr">
        <is>
          <t>COL0005038</t>
        </is>
      </c>
      <c r="B283" t="inlineStr">
        <is>
          <t>MER00381</t>
        </is>
      </c>
      <c r="C283" t="inlineStr">
        <is>
          <t>INV0008015</t>
        </is>
      </c>
      <c r="D283" s="8" t="n">
        <v>45852</v>
      </c>
      <c r="E283" t="inlineStr">
        <is>
          <t>Phone</t>
        </is>
      </c>
      <c r="F283" t="inlineStr">
        <is>
          <t>Phone</t>
        </is>
      </c>
      <c r="G283" t="inlineStr">
        <is>
          <t>Sanjay Kumar</t>
        </is>
      </c>
      <c r="H283" t="inlineStr">
        <is>
          <t>Promise to Pay</t>
        </is>
      </c>
      <c r="I283" s="8" t="n">
        <v>45859</v>
      </c>
      <c r="J283" t="n">
        <v>108.69</v>
      </c>
      <c r="K283" t="inlineStr">
        <is>
          <t>Called merchant to discuss overdue invoice INV0008015.</t>
        </is>
      </c>
    </row>
    <row r="284">
      <c r="A284" t="inlineStr">
        <is>
          <t>COL0005039</t>
        </is>
      </c>
      <c r="B284" t="inlineStr">
        <is>
          <t>MER00381</t>
        </is>
      </c>
      <c r="C284" t="inlineStr">
        <is>
          <t>INV0008023</t>
        </is>
      </c>
      <c r="D284" s="8" t="n">
        <v>46078</v>
      </c>
      <c r="E284" t="inlineStr">
        <is>
          <t>Reminder</t>
        </is>
      </c>
      <c r="F284" t="inlineStr">
        <is>
          <t>Email</t>
        </is>
      </c>
      <c r="G284" t="inlineStr">
        <is>
          <t>Manish Tiwari</t>
        </is>
      </c>
      <c r="H284" t="inlineStr">
        <is>
          <t>No Response</t>
        </is>
      </c>
      <c r="I284" s="8" t="n"/>
      <c r="J284" t="n">
        <v/>
      </c>
      <c r="K284" t="inlineStr">
        <is>
          <t>Automated reminder sent for invoice INV0008023 due 2026-02-17.</t>
        </is>
      </c>
    </row>
    <row r="285">
      <c r="A285" t="inlineStr">
        <is>
          <t>COL0005040</t>
        </is>
      </c>
      <c r="B285" t="inlineStr">
        <is>
          <t>MER00381</t>
        </is>
      </c>
      <c r="C285" t="inlineStr">
        <is>
          <t>INV0008027</t>
        </is>
      </c>
      <c r="D285" s="8" t="n">
        <v>46194</v>
      </c>
      <c r="E285" t="inlineStr">
        <is>
          <t>Reminder</t>
        </is>
      </c>
      <c r="F285" t="inlineStr">
        <is>
          <t>Email</t>
        </is>
      </c>
      <c r="G285" t="inlineStr">
        <is>
          <t>Ritu Bansal</t>
        </is>
      </c>
      <c r="H285" t="inlineStr">
        <is>
          <t>Disputed</t>
        </is>
      </c>
      <c r="I285" s="8" t="n"/>
      <c r="J285" t="n">
        <v/>
      </c>
      <c r="K285" t="inlineStr">
        <is>
          <t>Automated reminder sent for invoice INV0008027 due 2026-06-17.</t>
        </is>
      </c>
    </row>
    <row r="286">
      <c r="A286" t="inlineStr">
        <is>
          <t>COL0005041</t>
        </is>
      </c>
      <c r="B286" t="inlineStr">
        <is>
          <t>MER00381</t>
        </is>
      </c>
      <c r="C286" t="inlineStr">
        <is>
          <t>INV0008027</t>
        </is>
      </c>
      <c r="D286" s="8" t="n">
        <v>46200</v>
      </c>
      <c r="E286" t="inlineStr">
        <is>
          <t>Email</t>
        </is>
      </c>
      <c r="F286" t="inlineStr">
        <is>
          <t>Email</t>
        </is>
      </c>
      <c r="G286" t="inlineStr">
        <is>
          <t>Anjali Desai</t>
        </is>
      </c>
      <c r="H286" t="inlineStr">
        <is>
          <t>No Response</t>
        </is>
      </c>
      <c r="I286" s="8" t="n"/>
      <c r="J286" t="n">
        <v/>
      </c>
      <c r="K286" t="inlineStr">
        <is>
          <t>Followed up via email regarding outstanding invoice INV0008027.</t>
        </is>
      </c>
    </row>
    <row r="287">
      <c r="A287" t="inlineStr">
        <is>
          <t>COL0005042</t>
        </is>
      </c>
      <c r="B287" t="inlineStr">
        <is>
          <t>MER00381</t>
        </is>
      </c>
      <c r="C287" t="inlineStr">
        <is>
          <t>INV0008027</t>
        </is>
      </c>
      <c r="D287" s="8" t="n">
        <v>46214</v>
      </c>
      <c r="E287" t="inlineStr">
        <is>
          <t>Phone</t>
        </is>
      </c>
      <c r="F287" t="inlineStr">
        <is>
          <t>Phone</t>
        </is>
      </c>
      <c r="G287" t="inlineStr">
        <is>
          <t>Nandini Rajan</t>
        </is>
      </c>
      <c r="H287" t="inlineStr">
        <is>
          <t>No Response</t>
        </is>
      </c>
      <c r="I287" s="8" t="n"/>
      <c r="J287" t="n">
        <v/>
      </c>
      <c r="K287" t="inlineStr">
        <is>
          <t>Called merchant to discuss overdue invoice INV0008027.</t>
        </is>
      </c>
    </row>
    <row r="288">
      <c r="A288" t="inlineStr">
        <is>
          <t>COL0005148</t>
        </is>
      </c>
      <c r="B288" t="inlineStr">
        <is>
          <t>MER00386</t>
        </is>
      </c>
      <c r="C288" t="inlineStr">
        <is>
          <t>INV0008130</t>
        </is>
      </c>
      <c r="D288" s="8" t="n">
        <v>46046</v>
      </c>
      <c r="E288" t="inlineStr">
        <is>
          <t>Reminder</t>
        </is>
      </c>
      <c r="F288" t="inlineStr">
        <is>
          <t>Email</t>
        </is>
      </c>
      <c r="G288" t="inlineStr">
        <is>
          <t>Shweta Gupta</t>
        </is>
      </c>
      <c r="H288" t="inlineStr">
        <is>
          <t>Promise to Pay</t>
        </is>
      </c>
      <c r="I288" s="8" t="n">
        <v>46059</v>
      </c>
      <c r="J288" t="n">
        <v>509.82</v>
      </c>
      <c r="K288" t="inlineStr">
        <is>
          <t>Automated reminder sent for invoice INV0008130 due 2026-01-17.</t>
        </is>
      </c>
    </row>
    <row r="289">
      <c r="A289" t="inlineStr">
        <is>
          <t>COL0005898</t>
        </is>
      </c>
      <c r="B289" t="inlineStr">
        <is>
          <t>MER00457</t>
        </is>
      </c>
      <c r="C289" t="inlineStr">
        <is>
          <t>INV0009639</t>
        </is>
      </c>
      <c r="D289" s="8" t="n">
        <v>45680</v>
      </c>
      <c r="E289" t="inlineStr">
        <is>
          <t>Reminder</t>
        </is>
      </c>
      <c r="F289" t="inlineStr">
        <is>
          <t>Email</t>
        </is>
      </c>
      <c r="G289" t="inlineStr">
        <is>
          <t>Nandini Rajan</t>
        </is>
      </c>
      <c r="H289" t="inlineStr">
        <is>
          <t>Promise to Pay</t>
        </is>
      </c>
      <c r="I289" s="8" t="n">
        <v>45686</v>
      </c>
      <c r="J289" t="n">
        <v>1042.04</v>
      </c>
      <c r="K289" t="inlineStr">
        <is>
          <t>Automated reminder sent for invoice INV0009639 due 2025-01-17.</t>
        </is>
      </c>
    </row>
    <row r="290">
      <c r="A290" t="inlineStr">
        <is>
          <t>COL0005899</t>
        </is>
      </c>
      <c r="B290" t="inlineStr">
        <is>
          <t>MER00457</t>
        </is>
      </c>
      <c r="C290" t="inlineStr">
        <is>
          <t>INV0009651</t>
        </is>
      </c>
      <c r="D290" s="8" t="n">
        <v>46045</v>
      </c>
      <c r="E290" t="inlineStr">
        <is>
          <t>Reminder</t>
        </is>
      </c>
      <c r="F290" t="inlineStr">
        <is>
          <t>Email</t>
        </is>
      </c>
      <c r="G290" t="inlineStr">
        <is>
          <t>Ritu Bansal</t>
        </is>
      </c>
      <c r="H290" t="inlineStr">
        <is>
          <t>Disputed</t>
        </is>
      </c>
      <c r="I290" s="8" t="n"/>
      <c r="J290" t="n">
        <v/>
      </c>
      <c r="K290" t="inlineStr">
        <is>
          <t>Automated reminder sent for invoice INV0009651 due 2026-01-17.</t>
        </is>
      </c>
    </row>
    <row r="291">
      <c r="A291" t="inlineStr">
        <is>
          <t>COL0005900</t>
        </is>
      </c>
      <c r="B291" t="inlineStr">
        <is>
          <t>MER00457</t>
        </is>
      </c>
      <c r="C291" t="inlineStr">
        <is>
          <t>INV0009651</t>
        </is>
      </c>
      <c r="D291" s="8" t="n">
        <v>46053</v>
      </c>
      <c r="E291" t="inlineStr">
        <is>
          <t>Email</t>
        </is>
      </c>
      <c r="F291" t="inlineStr">
        <is>
          <t>Email</t>
        </is>
      </c>
      <c r="G291" t="inlineStr">
        <is>
          <t>Sanjay Kumar</t>
        </is>
      </c>
      <c r="H291" t="inlineStr">
        <is>
          <t>No Response</t>
        </is>
      </c>
      <c r="I291" s="8" t="n"/>
      <c r="J291" t="n">
        <v/>
      </c>
      <c r="K291" t="inlineStr">
        <is>
          <t>Followed up via email regarding outstanding invoice INV0009651.</t>
        </is>
      </c>
    </row>
    <row r="292">
      <c r="A292" t="inlineStr">
        <is>
          <t>COL0005901</t>
        </is>
      </c>
      <c r="B292" t="inlineStr">
        <is>
          <t>MER00457</t>
        </is>
      </c>
      <c r="C292" t="inlineStr">
        <is>
          <t>INV0009651</t>
        </is>
      </c>
      <c r="D292" s="8" t="n">
        <v>46066</v>
      </c>
      <c r="E292" t="inlineStr">
        <is>
          <t>Phone</t>
        </is>
      </c>
      <c r="F292" t="inlineStr">
        <is>
          <t>Phone</t>
        </is>
      </c>
      <c r="G292" t="inlineStr">
        <is>
          <t>Ritu Bansal</t>
        </is>
      </c>
      <c r="H292" t="inlineStr">
        <is>
          <t>Promise to Pay</t>
        </is>
      </c>
      <c r="I292" s="8" t="n">
        <v>46073</v>
      </c>
      <c r="J292" t="n">
        <v>783.5599999999999</v>
      </c>
      <c r="K292" t="inlineStr">
        <is>
          <t>Called merchant to discuss overdue invoice INV0009651.</t>
        </is>
      </c>
    </row>
    <row r="293">
      <c r="A293" t="inlineStr">
        <is>
          <t>COL0006226</t>
        </is>
      </c>
      <c r="B293" t="inlineStr">
        <is>
          <t>MER00480</t>
        </is>
      </c>
      <c r="C293" t="inlineStr">
        <is>
          <t>INV0010156</t>
        </is>
      </c>
      <c r="D293" s="8" t="n">
        <v>45695</v>
      </c>
      <c r="E293" t="inlineStr">
        <is>
          <t>Reminder</t>
        </is>
      </c>
      <c r="F293" t="inlineStr">
        <is>
          <t>Email</t>
        </is>
      </c>
      <c r="G293" t="inlineStr">
        <is>
          <t>Ritu Bansal</t>
        </is>
      </c>
      <c r="H293" t="inlineStr">
        <is>
          <t>Promise to Pay</t>
        </is>
      </c>
      <c r="I293" s="8" t="n">
        <v>45700</v>
      </c>
      <c r="J293" t="n">
        <v>1303.11</v>
      </c>
      <c r="K293" t="inlineStr">
        <is>
          <t>Automated reminder sent for invoice INV0010156 due 2025-02-01.</t>
        </is>
      </c>
    </row>
    <row r="294">
      <c r="A294" t="inlineStr">
        <is>
          <t>COL0006227</t>
        </is>
      </c>
      <c r="B294" t="inlineStr">
        <is>
          <t>MER00480</t>
        </is>
      </c>
      <c r="C294" t="inlineStr">
        <is>
          <t>INV0010156</t>
        </is>
      </c>
      <c r="D294" s="8" t="n">
        <v>45703</v>
      </c>
      <c r="E294" t="inlineStr">
        <is>
          <t>Email</t>
        </is>
      </c>
      <c r="F294" t="inlineStr">
        <is>
          <t>Email</t>
        </is>
      </c>
      <c r="G294" t="inlineStr">
        <is>
          <t>Ritu Bansal</t>
        </is>
      </c>
      <c r="H294" t="inlineStr">
        <is>
          <t>No Response</t>
        </is>
      </c>
      <c r="I294" s="8" t="n"/>
      <c r="J294" t="n">
        <v/>
      </c>
      <c r="K294" t="inlineStr">
        <is>
          <t>Followed up via email regarding outstanding invoice INV0010156.</t>
        </is>
      </c>
    </row>
    <row r="295">
      <c r="A295" t="inlineStr">
        <is>
          <t>COL0006228</t>
        </is>
      </c>
      <c r="B295" t="inlineStr">
        <is>
          <t>MER00480</t>
        </is>
      </c>
      <c r="C295" t="inlineStr">
        <is>
          <t>INV0010158</t>
        </is>
      </c>
      <c r="D295" s="8" t="n">
        <v>45752</v>
      </c>
      <c r="E295" t="inlineStr">
        <is>
          <t>Reminder</t>
        </is>
      </c>
      <c r="F295" t="inlineStr">
        <is>
          <t>Email</t>
        </is>
      </c>
      <c r="G295" t="inlineStr">
        <is>
          <t>Manish Tiwari</t>
        </is>
      </c>
      <c r="H295" t="inlineStr">
        <is>
          <t>No Response</t>
        </is>
      </c>
      <c r="I295" s="8" t="n"/>
      <c r="J295" t="n">
        <v/>
      </c>
      <c r="K295" t="inlineStr">
        <is>
          <t>Automated reminder sent for invoice INV0010158 due 2025-04-01.</t>
        </is>
      </c>
    </row>
    <row r="296">
      <c r="A296" t="inlineStr">
        <is>
          <t>COL0006229</t>
        </is>
      </c>
      <c r="B296" t="inlineStr">
        <is>
          <t>MER00480</t>
        </is>
      </c>
      <c r="C296" t="inlineStr">
        <is>
          <t>INV0010158</t>
        </is>
      </c>
      <c r="D296" s="8" t="n">
        <v>45763</v>
      </c>
      <c r="E296" t="inlineStr">
        <is>
          <t>Email</t>
        </is>
      </c>
      <c r="F296" t="inlineStr">
        <is>
          <t>Email</t>
        </is>
      </c>
      <c r="G296" t="inlineStr">
        <is>
          <t>Amit Saxena</t>
        </is>
      </c>
      <c r="H296" t="inlineStr">
        <is>
          <t>Promise to Pay</t>
        </is>
      </c>
      <c r="I296" s="8" t="n">
        <v>45773</v>
      </c>
      <c r="J296" t="n">
        <v>1582.63</v>
      </c>
      <c r="K296" t="inlineStr">
        <is>
          <t>Followed up via email regarding outstanding invoice INV0010158.</t>
        </is>
      </c>
    </row>
    <row r="297">
      <c r="A297" t="inlineStr">
        <is>
          <t>COL0006230</t>
        </is>
      </c>
      <c r="B297" t="inlineStr">
        <is>
          <t>MER00480</t>
        </is>
      </c>
      <c r="C297" t="inlineStr">
        <is>
          <t>INV0010161</t>
        </is>
      </c>
      <c r="D297" s="8" t="n">
        <v>45847</v>
      </c>
      <c r="E297" t="inlineStr">
        <is>
          <t>Reminder</t>
        </is>
      </c>
      <c r="F297" t="inlineStr">
        <is>
          <t>Email</t>
        </is>
      </c>
      <c r="G297" t="inlineStr">
        <is>
          <t>Ritu Bansal</t>
        </is>
      </c>
      <c r="H297" t="inlineStr">
        <is>
          <t>No Response</t>
        </is>
      </c>
      <c r="I297" s="8" t="n"/>
      <c r="J297" t="n">
        <v/>
      </c>
      <c r="K297" t="inlineStr">
        <is>
          <t>Automated reminder sent for invoice INV0010161 due 2025-07-02.</t>
        </is>
      </c>
    </row>
    <row r="298">
      <c r="A298" t="inlineStr">
        <is>
          <t>COL0006231</t>
        </is>
      </c>
      <c r="B298" t="inlineStr">
        <is>
          <t>MER00480</t>
        </is>
      </c>
      <c r="C298" t="inlineStr">
        <is>
          <t>INV0010161</t>
        </is>
      </c>
      <c r="D298" s="8" t="n">
        <v>45855</v>
      </c>
      <c r="E298" t="inlineStr">
        <is>
          <t>Email</t>
        </is>
      </c>
      <c r="F298" t="inlineStr">
        <is>
          <t>Email</t>
        </is>
      </c>
      <c r="G298" t="inlineStr">
        <is>
          <t>Sanjay Kumar</t>
        </is>
      </c>
      <c r="H298" t="inlineStr">
        <is>
          <t>No Response</t>
        </is>
      </c>
      <c r="I298" s="8" t="n"/>
      <c r="J298" t="n">
        <v/>
      </c>
      <c r="K298" t="inlineStr">
        <is>
          <t>Followed up via email regarding outstanding invoice INV0010161.</t>
        </is>
      </c>
    </row>
    <row r="299">
      <c r="A299" t="inlineStr">
        <is>
          <t>COL0006232</t>
        </is>
      </c>
      <c r="B299" t="inlineStr">
        <is>
          <t>MER00480</t>
        </is>
      </c>
      <c r="C299" t="inlineStr">
        <is>
          <t>INV0010162</t>
        </is>
      </c>
      <c r="D299" s="8" t="n">
        <v>45873</v>
      </c>
      <c r="E299" t="inlineStr">
        <is>
          <t>Reminder</t>
        </is>
      </c>
      <c r="F299" t="inlineStr">
        <is>
          <t>Email</t>
        </is>
      </c>
      <c r="G299" t="inlineStr">
        <is>
          <t>Farhan Sheikh</t>
        </is>
      </c>
      <c r="H299" t="inlineStr">
        <is>
          <t>No Response</t>
        </is>
      </c>
      <c r="I299" s="8" t="n"/>
      <c r="J299" t="n">
        <v/>
      </c>
      <c r="K299" t="inlineStr">
        <is>
          <t>Automated reminder sent for invoice INV0010162 due 2025-08-01.</t>
        </is>
      </c>
    </row>
    <row r="300">
      <c r="A300" t="inlineStr">
        <is>
          <t>COL0006233</t>
        </is>
      </c>
      <c r="B300" t="inlineStr">
        <is>
          <t>MER00480</t>
        </is>
      </c>
      <c r="C300" t="inlineStr">
        <is>
          <t>INV0010162</t>
        </is>
      </c>
      <c r="D300" s="8" t="n">
        <v>45878</v>
      </c>
      <c r="E300" t="inlineStr">
        <is>
          <t>Email</t>
        </is>
      </c>
      <c r="F300" t="inlineStr">
        <is>
          <t>Email</t>
        </is>
      </c>
      <c r="G300" t="inlineStr">
        <is>
          <t>Farhan Sheikh</t>
        </is>
      </c>
      <c r="H300" t="inlineStr">
        <is>
          <t>No Response</t>
        </is>
      </c>
      <c r="I300" s="8" t="n"/>
      <c r="J300" t="n">
        <v/>
      </c>
      <c r="K300" t="inlineStr">
        <is>
          <t>Followed up via email regarding outstanding invoice INV0010162.</t>
        </is>
      </c>
    </row>
    <row r="301">
      <c r="A301" t="inlineStr">
        <is>
          <t>COL0006234</t>
        </is>
      </c>
      <c r="B301" t="inlineStr">
        <is>
          <t>MER00480</t>
        </is>
      </c>
      <c r="C301" t="inlineStr">
        <is>
          <t>INV0010163</t>
        </is>
      </c>
      <c r="D301" s="8" t="n">
        <v>45909</v>
      </c>
      <c r="E301" t="inlineStr">
        <is>
          <t>Reminder</t>
        </is>
      </c>
      <c r="F301" t="inlineStr">
        <is>
          <t>Email</t>
        </is>
      </c>
      <c r="G301" t="inlineStr">
        <is>
          <t>Farhan Sheikh</t>
        </is>
      </c>
      <c r="H301" t="inlineStr">
        <is>
          <t>No Response</t>
        </is>
      </c>
      <c r="I301" s="8" t="n"/>
      <c r="J301" t="n">
        <v/>
      </c>
      <c r="K301" t="inlineStr">
        <is>
          <t>Automated reminder sent for invoice INV0010163 due 2025-09-01.</t>
        </is>
      </c>
    </row>
    <row r="302">
      <c r="A302" t="inlineStr">
        <is>
          <t>COL0006235</t>
        </is>
      </c>
      <c r="B302" t="inlineStr">
        <is>
          <t>MER00480</t>
        </is>
      </c>
      <c r="C302" t="inlineStr">
        <is>
          <t>INV0010163</t>
        </is>
      </c>
      <c r="D302" s="8" t="n">
        <v>45916</v>
      </c>
      <c r="E302" t="inlineStr">
        <is>
          <t>Email</t>
        </is>
      </c>
      <c r="F302" t="inlineStr">
        <is>
          <t>Email</t>
        </is>
      </c>
      <c r="G302" t="inlineStr">
        <is>
          <t>Farhan Sheikh</t>
        </is>
      </c>
      <c r="H302" t="inlineStr">
        <is>
          <t>No Response</t>
        </is>
      </c>
      <c r="I302" s="8" t="n"/>
      <c r="J302" t="n">
        <v/>
      </c>
      <c r="K302" t="inlineStr">
        <is>
          <t>Followed up via email regarding outstanding invoice INV0010163.</t>
        </is>
      </c>
    </row>
    <row r="303">
      <c r="A303" t="inlineStr">
        <is>
          <t>COL0006236</t>
        </is>
      </c>
      <c r="B303" t="inlineStr">
        <is>
          <t>MER00480</t>
        </is>
      </c>
      <c r="C303" t="inlineStr">
        <is>
          <t>INV0010163</t>
        </is>
      </c>
      <c r="D303" s="8" t="n">
        <v>45922</v>
      </c>
      <c r="E303" t="inlineStr">
        <is>
          <t>Phone</t>
        </is>
      </c>
      <c r="F303" t="inlineStr">
        <is>
          <t>Phone</t>
        </is>
      </c>
      <c r="G303" t="inlineStr">
        <is>
          <t>Nandini Rajan</t>
        </is>
      </c>
      <c r="H303" t="inlineStr">
        <is>
          <t>No Response</t>
        </is>
      </c>
      <c r="I303" s="8" t="n"/>
      <c r="J303" t="n">
        <v/>
      </c>
      <c r="K303" t="inlineStr">
        <is>
          <t>Called merchant to discuss overdue invoice INV0010163.</t>
        </is>
      </c>
    </row>
    <row r="304">
      <c r="A304" t="inlineStr">
        <is>
          <t>COL0006295</t>
        </is>
      </c>
      <c r="B304" t="inlineStr">
        <is>
          <t>MER00484</t>
        </is>
      </c>
      <c r="C304" t="inlineStr">
        <is>
          <t>INV0010253</t>
        </is>
      </c>
      <c r="D304" s="8" t="n">
        <v>45784</v>
      </c>
      <c r="E304" t="inlineStr">
        <is>
          <t>Reminder</t>
        </is>
      </c>
      <c r="F304" t="inlineStr">
        <is>
          <t>Email</t>
        </is>
      </c>
      <c r="G304" t="inlineStr">
        <is>
          <t>Farhan Sheikh</t>
        </is>
      </c>
      <c r="H304" t="inlineStr">
        <is>
          <t>No Response</t>
        </is>
      </c>
      <c r="I304" s="8" t="n"/>
      <c r="J304" t="n">
        <v/>
      </c>
      <c r="K304" t="inlineStr">
        <is>
          <t>Automated reminder sent for invoice INV0010253 due 2025-05-02.</t>
        </is>
      </c>
    </row>
    <row r="305">
      <c r="A305" t="inlineStr">
        <is>
          <t>COL0006296</t>
        </is>
      </c>
      <c r="B305" t="inlineStr">
        <is>
          <t>MER00484</t>
        </is>
      </c>
      <c r="C305" t="inlineStr">
        <is>
          <t>INV0010253</t>
        </is>
      </c>
      <c r="D305" s="8" t="n">
        <v>45797</v>
      </c>
      <c r="E305" t="inlineStr">
        <is>
          <t>Email</t>
        </is>
      </c>
      <c r="F305" t="inlineStr">
        <is>
          <t>Email</t>
        </is>
      </c>
      <c r="G305" t="inlineStr">
        <is>
          <t>Nandini Rajan</t>
        </is>
      </c>
      <c r="H305" t="inlineStr">
        <is>
          <t>No Response</t>
        </is>
      </c>
      <c r="I305" s="8" t="n"/>
      <c r="J305" t="n">
        <v/>
      </c>
      <c r="K305" t="inlineStr">
        <is>
          <t>Followed up via email regarding outstanding invoice INV0010253.</t>
        </is>
      </c>
    </row>
    <row r="306">
      <c r="A306" t="inlineStr">
        <is>
          <t>COL0006297</t>
        </is>
      </c>
      <c r="B306" t="inlineStr">
        <is>
          <t>MER00484</t>
        </is>
      </c>
      <c r="C306" t="inlineStr">
        <is>
          <t>INV0010253</t>
        </is>
      </c>
      <c r="D306" s="8" t="n">
        <v>45809</v>
      </c>
      <c r="E306" t="inlineStr">
        <is>
          <t>Phone</t>
        </is>
      </c>
      <c r="F306" t="inlineStr">
        <is>
          <t>Phone</t>
        </is>
      </c>
      <c r="G306" t="inlineStr">
        <is>
          <t>Shweta Gupta</t>
        </is>
      </c>
      <c r="H306" t="inlineStr">
        <is>
          <t>No Response</t>
        </is>
      </c>
      <c r="I306" s="8" t="n"/>
      <c r="J306" t="n">
        <v/>
      </c>
      <c r="K306" t="inlineStr">
        <is>
          <t>Called merchant to discuss overdue invoice INV0010253.</t>
        </is>
      </c>
    </row>
    <row r="307">
      <c r="A307" t="inlineStr">
        <is>
          <t>COL0006479</t>
        </is>
      </c>
      <c r="B307" t="inlineStr">
        <is>
          <t>MER00502</t>
        </is>
      </c>
      <c r="C307" t="inlineStr">
        <is>
          <t>INV0010618</t>
        </is>
      </c>
      <c r="D307" s="8" t="n">
        <v>45555</v>
      </c>
      <c r="E307" t="inlineStr">
        <is>
          <t>Reminder</t>
        </is>
      </c>
      <c r="F307" t="inlineStr">
        <is>
          <t>Email</t>
        </is>
      </c>
      <c r="G307" t="inlineStr">
        <is>
          <t>Ritu Bansal</t>
        </is>
      </c>
      <c r="H307" t="inlineStr">
        <is>
          <t>Disputed</t>
        </is>
      </c>
      <c r="I307" s="8" t="n"/>
      <c r="J307" t="n">
        <v/>
      </c>
      <c r="K307" t="inlineStr">
        <is>
          <t>Automated reminder sent for invoice INV0010618 due 2024-09-17.</t>
        </is>
      </c>
    </row>
    <row r="308">
      <c r="A308" t="inlineStr">
        <is>
          <t>COL0006480</t>
        </is>
      </c>
      <c r="B308" t="inlineStr">
        <is>
          <t>MER00502</t>
        </is>
      </c>
      <c r="C308" t="inlineStr">
        <is>
          <t>INV0010618</t>
        </is>
      </c>
      <c r="D308" s="8" t="n">
        <v>45566</v>
      </c>
      <c r="E308" t="inlineStr">
        <is>
          <t>Email</t>
        </is>
      </c>
      <c r="F308" t="inlineStr">
        <is>
          <t>Email</t>
        </is>
      </c>
      <c r="G308" t="inlineStr">
        <is>
          <t>Ritu Bansal</t>
        </is>
      </c>
      <c r="H308" t="inlineStr">
        <is>
          <t>Promise to Pay</t>
        </is>
      </c>
      <c r="I308" s="8" t="n">
        <v>45577</v>
      </c>
      <c r="J308" t="n">
        <v>75.16</v>
      </c>
      <c r="K308" t="inlineStr">
        <is>
          <t>Followed up via email regarding outstanding invoice INV0010618.</t>
        </is>
      </c>
    </row>
    <row r="309">
      <c r="A309" t="inlineStr">
        <is>
          <t>COL0006823</t>
        </is>
      </c>
      <c r="B309" t="inlineStr">
        <is>
          <t>MER00523</t>
        </is>
      </c>
      <c r="C309" t="inlineStr">
        <is>
          <t>INV0011060</t>
        </is>
      </c>
      <c r="D309" s="8" t="n">
        <v>45632</v>
      </c>
      <c r="E309" t="inlineStr">
        <is>
          <t>Reminder</t>
        </is>
      </c>
      <c r="F309" t="inlineStr">
        <is>
          <t>Email</t>
        </is>
      </c>
      <c r="G309" t="inlineStr">
        <is>
          <t>Sanjay Kumar</t>
        </is>
      </c>
      <c r="H309" t="inlineStr">
        <is>
          <t>Promise to Pay</t>
        </is>
      </c>
      <c r="I309" s="8" t="n">
        <v>45637</v>
      </c>
      <c r="J309" t="n">
        <v>455.51</v>
      </c>
      <c r="K309" t="inlineStr">
        <is>
          <t>Automated reminder sent for invoice INV0011060 due 2024-12-02.</t>
        </is>
      </c>
    </row>
    <row r="310">
      <c r="A310" t="inlineStr">
        <is>
          <t>COL0006824</t>
        </is>
      </c>
      <c r="B310" t="inlineStr">
        <is>
          <t>MER00523</t>
        </is>
      </c>
      <c r="C310" t="inlineStr">
        <is>
          <t>INV0011060</t>
        </is>
      </c>
      <c r="D310" s="8" t="n">
        <v>45640</v>
      </c>
      <c r="E310" t="inlineStr">
        <is>
          <t>Email</t>
        </is>
      </c>
      <c r="F310" t="inlineStr">
        <is>
          <t>Email</t>
        </is>
      </c>
      <c r="G310" t="inlineStr">
        <is>
          <t>Vivek Nair</t>
        </is>
      </c>
      <c r="H310" t="inlineStr">
        <is>
          <t>No Response</t>
        </is>
      </c>
      <c r="I310" s="8" t="n"/>
      <c r="J310" t="n">
        <v/>
      </c>
      <c r="K310" t="inlineStr">
        <is>
          <t>Followed up via email regarding outstanding invoice INV0011060.</t>
        </is>
      </c>
    </row>
    <row r="311">
      <c r="A311" t="inlineStr">
        <is>
          <t>COL0006825</t>
        </is>
      </c>
      <c r="B311" t="inlineStr">
        <is>
          <t>MER00523</t>
        </is>
      </c>
      <c r="C311" t="inlineStr">
        <is>
          <t>INV0011074</t>
        </is>
      </c>
      <c r="D311" s="8" t="n">
        <v>46059</v>
      </c>
      <c r="E311" t="inlineStr">
        <is>
          <t>Reminder</t>
        </is>
      </c>
      <c r="F311" t="inlineStr">
        <is>
          <t>Email</t>
        </is>
      </c>
      <c r="G311" t="inlineStr">
        <is>
          <t>Vivek Nair</t>
        </is>
      </c>
      <c r="H311" t="inlineStr">
        <is>
          <t>No Response</t>
        </is>
      </c>
      <c r="I311" s="8" t="n"/>
      <c r="J311" t="n">
        <v/>
      </c>
      <c r="K311" t="inlineStr">
        <is>
          <t>Automated reminder sent for invoice INV0011074 due 2026-02-01.</t>
        </is>
      </c>
    </row>
    <row r="312">
      <c r="A312" t="inlineStr">
        <is>
          <t>COL0006826</t>
        </is>
      </c>
      <c r="B312" t="inlineStr">
        <is>
          <t>MER00523</t>
        </is>
      </c>
      <c r="C312" t="inlineStr">
        <is>
          <t>INV0011078</t>
        </is>
      </c>
      <c r="D312" s="8" t="n">
        <v>46178</v>
      </c>
      <c r="E312" t="inlineStr">
        <is>
          <t>Reminder</t>
        </is>
      </c>
      <c r="F312" t="inlineStr">
        <is>
          <t>Email</t>
        </is>
      </c>
      <c r="G312" t="inlineStr">
        <is>
          <t>Shweta Gupta</t>
        </is>
      </c>
      <c r="H312" t="inlineStr">
        <is>
          <t>Payment Received</t>
        </is>
      </c>
      <c r="I312" s="8" t="n"/>
      <c r="J312" t="n">
        <v/>
      </c>
      <c r="K312" t="inlineStr">
        <is>
          <t>Automated reminder sent for invoice INV0011078 due 2026-06-01.</t>
        </is>
      </c>
    </row>
    <row r="313">
      <c r="A313" t="inlineStr">
        <is>
          <t>COL0007207</t>
        </is>
      </c>
      <c r="B313" t="inlineStr">
        <is>
          <t>MER00549</t>
        </is>
      </c>
      <c r="C313" t="inlineStr">
        <is>
          <t>INV0011620</t>
        </is>
      </c>
      <c r="D313" s="8" t="n">
        <v>45739</v>
      </c>
      <c r="E313" t="inlineStr">
        <is>
          <t>Reminder</t>
        </is>
      </c>
      <c r="F313" t="inlineStr">
        <is>
          <t>Email</t>
        </is>
      </c>
      <c r="G313" t="inlineStr">
        <is>
          <t>Anjali Desai</t>
        </is>
      </c>
      <c r="H313" t="inlineStr">
        <is>
          <t>No Response</t>
        </is>
      </c>
      <c r="I313" s="8" t="n"/>
      <c r="J313" t="n">
        <v/>
      </c>
      <c r="K313" t="inlineStr">
        <is>
          <t>Automated reminder sent for invoice INV0011620 due 2025-03-19.</t>
        </is>
      </c>
    </row>
    <row r="314">
      <c r="A314" t="inlineStr">
        <is>
          <t>COL0007208</t>
        </is>
      </c>
      <c r="B314" t="inlineStr">
        <is>
          <t>MER00549</t>
        </is>
      </c>
      <c r="C314" t="inlineStr">
        <is>
          <t>INV0011620</t>
        </is>
      </c>
      <c r="D314" s="8" t="n">
        <v>45748</v>
      </c>
      <c r="E314" t="inlineStr">
        <is>
          <t>Email</t>
        </is>
      </c>
      <c r="F314" t="inlineStr">
        <is>
          <t>Email</t>
        </is>
      </c>
      <c r="G314" t="inlineStr">
        <is>
          <t>Amit Saxena</t>
        </is>
      </c>
      <c r="H314" t="inlineStr">
        <is>
          <t>No Response</t>
        </is>
      </c>
      <c r="I314" s="8" t="n"/>
      <c r="J314" t="n">
        <v/>
      </c>
      <c r="K314" t="inlineStr">
        <is>
          <t>Followed up via email regarding outstanding invoice INV0011620.</t>
        </is>
      </c>
    </row>
    <row r="315">
      <c r="A315" t="inlineStr">
        <is>
          <t>COL0007209</t>
        </is>
      </c>
      <c r="B315" t="inlineStr">
        <is>
          <t>MER00549</t>
        </is>
      </c>
      <c r="C315" t="inlineStr">
        <is>
          <t>INV0011624</t>
        </is>
      </c>
      <c r="D315" s="8" t="n">
        <v>45863</v>
      </c>
      <c r="E315" t="inlineStr">
        <is>
          <t>Reminder</t>
        </is>
      </c>
      <c r="F315" t="inlineStr">
        <is>
          <t>Email</t>
        </is>
      </c>
      <c r="G315" t="inlineStr">
        <is>
          <t>Shweta Gupta</t>
        </is>
      </c>
      <c r="H315" t="inlineStr">
        <is>
          <t>Promise to Pay</t>
        </is>
      </c>
      <c r="I315" s="8" t="n">
        <v>45866</v>
      </c>
      <c r="J315" t="n">
        <v>2592.81</v>
      </c>
      <c r="K315" t="inlineStr">
        <is>
          <t>Automated reminder sent for invoice INV0011624 due 2025-07-17.</t>
        </is>
      </c>
    </row>
    <row r="316">
      <c r="A316" t="inlineStr">
        <is>
          <t>COL0007210</t>
        </is>
      </c>
      <c r="B316" t="inlineStr">
        <is>
          <t>MER00549</t>
        </is>
      </c>
      <c r="C316" t="inlineStr">
        <is>
          <t>INV0011624</t>
        </is>
      </c>
      <c r="D316" s="8" t="n">
        <v>45870</v>
      </c>
      <c r="E316" t="inlineStr">
        <is>
          <t>Email</t>
        </is>
      </c>
      <c r="F316" t="inlineStr">
        <is>
          <t>Email</t>
        </is>
      </c>
      <c r="G316" t="inlineStr">
        <is>
          <t>Nandini Rajan</t>
        </is>
      </c>
      <c r="H316" t="inlineStr">
        <is>
          <t>Promise to Pay</t>
        </is>
      </c>
      <c r="I316" s="8" t="n">
        <v>45880</v>
      </c>
      <c r="J316" t="n">
        <v>2536.21</v>
      </c>
      <c r="K316" t="inlineStr">
        <is>
          <t>Followed up via email regarding outstanding invoice INV0011624.</t>
        </is>
      </c>
    </row>
    <row r="317">
      <c r="A317" t="inlineStr">
        <is>
          <t>COL0007211</t>
        </is>
      </c>
      <c r="B317" t="inlineStr">
        <is>
          <t>MER00549</t>
        </is>
      </c>
      <c r="C317" t="inlineStr">
        <is>
          <t>INV0011624</t>
        </is>
      </c>
      <c r="D317" s="8" t="n">
        <v>45880</v>
      </c>
      <c r="E317" t="inlineStr">
        <is>
          <t>Phone</t>
        </is>
      </c>
      <c r="F317" t="inlineStr">
        <is>
          <t>Phone</t>
        </is>
      </c>
      <c r="G317" t="inlineStr">
        <is>
          <t>Vivek Nair</t>
        </is>
      </c>
      <c r="H317" t="inlineStr">
        <is>
          <t>No Response</t>
        </is>
      </c>
      <c r="I317" s="8" t="n"/>
      <c r="J317" t="n">
        <v/>
      </c>
      <c r="K317" t="inlineStr">
        <is>
          <t>Called merchant to discuss overdue invoice INV0011624.</t>
        </is>
      </c>
    </row>
    <row r="318">
      <c r="A318" t="inlineStr">
        <is>
          <t>COL0008347</t>
        </is>
      </c>
      <c r="B318" t="inlineStr">
        <is>
          <t>MER00649</t>
        </is>
      </c>
      <c r="C318" t="inlineStr">
        <is>
          <t>INV0013750</t>
        </is>
      </c>
      <c r="D318" s="8" t="n">
        <v>45813</v>
      </c>
      <c r="E318" t="inlineStr">
        <is>
          <t>Reminder</t>
        </is>
      </c>
      <c r="F318" t="inlineStr">
        <is>
          <t>Email</t>
        </is>
      </c>
      <c r="G318" t="inlineStr">
        <is>
          <t>Farhan Sheikh</t>
        </is>
      </c>
      <c r="H318" t="inlineStr">
        <is>
          <t>Promise to Pay</t>
        </is>
      </c>
      <c r="I318" s="8" t="n">
        <v>45827</v>
      </c>
      <c r="J318" t="n">
        <v>1000.23</v>
      </c>
      <c r="K318" t="inlineStr">
        <is>
          <t>Automated reminder sent for invoice INV0013750 due 2025-06-01.</t>
        </is>
      </c>
    </row>
    <row r="319">
      <c r="A319" t="inlineStr">
        <is>
          <t>COL0008348</t>
        </is>
      </c>
      <c r="B319" t="inlineStr">
        <is>
          <t>MER00649</t>
        </is>
      </c>
      <c r="C319" t="inlineStr">
        <is>
          <t>INV0013750</t>
        </is>
      </c>
      <c r="D319" s="8" t="n">
        <v>45823</v>
      </c>
      <c r="E319" t="inlineStr">
        <is>
          <t>Email</t>
        </is>
      </c>
      <c r="F319" t="inlineStr">
        <is>
          <t>Email</t>
        </is>
      </c>
      <c r="G319" t="inlineStr">
        <is>
          <t>Anjali Desai</t>
        </is>
      </c>
      <c r="H319" t="inlineStr">
        <is>
          <t>Promise to Pay</t>
        </is>
      </c>
      <c r="I319" s="8" t="n">
        <v>45830</v>
      </c>
      <c r="J319" t="n">
        <v>1557.58</v>
      </c>
      <c r="K319" t="inlineStr">
        <is>
          <t>Followed up via email regarding outstanding invoice INV0013750.</t>
        </is>
      </c>
    </row>
    <row r="320">
      <c r="A320" t="inlineStr">
        <is>
          <t>COL0008349</t>
        </is>
      </c>
      <c r="B320" t="inlineStr">
        <is>
          <t>MER00649</t>
        </is>
      </c>
      <c r="C320" t="inlineStr">
        <is>
          <t>INV0013750</t>
        </is>
      </c>
      <c r="D320" s="8" t="n">
        <v>45836</v>
      </c>
      <c r="E320" t="inlineStr">
        <is>
          <t>Phone</t>
        </is>
      </c>
      <c r="F320" t="inlineStr">
        <is>
          <t>Phone</t>
        </is>
      </c>
      <c r="G320" t="inlineStr">
        <is>
          <t>Manish Tiwari</t>
        </is>
      </c>
      <c r="H320" t="inlineStr">
        <is>
          <t>No Response</t>
        </is>
      </c>
      <c r="I320" s="8" t="n"/>
      <c r="J320" t="n">
        <v/>
      </c>
      <c r="K320" t="inlineStr">
        <is>
          <t>Called merchant to discuss overdue invoice INV0013750.</t>
        </is>
      </c>
    </row>
    <row r="321">
      <c r="A321" t="inlineStr">
        <is>
          <t>COL0008350</t>
        </is>
      </c>
      <c r="B321" t="inlineStr">
        <is>
          <t>MER00649</t>
        </is>
      </c>
      <c r="C321" t="inlineStr">
        <is>
          <t>INV0013751</t>
        </is>
      </c>
      <c r="D321" s="8" t="n">
        <v>45847</v>
      </c>
      <c r="E321" t="inlineStr">
        <is>
          <t>Reminder</t>
        </is>
      </c>
      <c r="F321" t="inlineStr">
        <is>
          <t>Email</t>
        </is>
      </c>
      <c r="G321" t="inlineStr">
        <is>
          <t>Manish Tiwari</t>
        </is>
      </c>
      <c r="H321" t="inlineStr">
        <is>
          <t>No Response</t>
        </is>
      </c>
      <c r="I321" s="8" t="n"/>
      <c r="J321" t="n">
        <v/>
      </c>
      <c r="K321" t="inlineStr">
        <is>
          <t>Automated reminder sent for invoice INV0013751 due 2025-07-01.</t>
        </is>
      </c>
    </row>
    <row r="322">
      <c r="A322" t="inlineStr">
        <is>
          <t>COL0008351</t>
        </is>
      </c>
      <c r="B322" t="inlineStr">
        <is>
          <t>MER00649</t>
        </is>
      </c>
      <c r="C322" t="inlineStr">
        <is>
          <t>INV0013751</t>
        </is>
      </c>
      <c r="D322" s="8" t="n">
        <v>45858</v>
      </c>
      <c r="E322" t="inlineStr">
        <is>
          <t>Email</t>
        </is>
      </c>
      <c r="F322" t="inlineStr">
        <is>
          <t>Email</t>
        </is>
      </c>
      <c r="G322" t="inlineStr">
        <is>
          <t>Ritu Bansal</t>
        </is>
      </c>
      <c r="H322" t="inlineStr">
        <is>
          <t>Payment Received</t>
        </is>
      </c>
      <c r="I322" s="8" t="n"/>
      <c r="J322" t="n">
        <v/>
      </c>
      <c r="K322" t="inlineStr">
        <is>
          <t>Followed up via email regarding outstanding invoice INV0013751.</t>
        </is>
      </c>
    </row>
    <row r="323">
      <c r="A323" t="inlineStr">
        <is>
          <t>COL0008352</t>
        </is>
      </c>
      <c r="B323" t="inlineStr">
        <is>
          <t>MER00649</t>
        </is>
      </c>
      <c r="C323" t="inlineStr">
        <is>
          <t>INV0013753</t>
        </is>
      </c>
      <c r="D323" s="8" t="n">
        <v>45903</v>
      </c>
      <c r="E323" t="inlineStr">
        <is>
          <t>Reminder</t>
        </is>
      </c>
      <c r="F323" t="inlineStr">
        <is>
          <t>Email</t>
        </is>
      </c>
      <c r="G323" t="inlineStr">
        <is>
          <t>Ritu Bansal</t>
        </is>
      </c>
      <c r="H323" t="inlineStr">
        <is>
          <t>Promise to Pay</t>
        </is>
      </c>
      <c r="I323" s="8" t="n">
        <v>45911</v>
      </c>
      <c r="J323" t="n">
        <v>1080.79</v>
      </c>
      <c r="K323" t="inlineStr">
        <is>
          <t>Automated reminder sent for invoice INV0013753 due 2025-08-31.</t>
        </is>
      </c>
    </row>
    <row r="324">
      <c r="A324" t="inlineStr">
        <is>
          <t>COL0008353</t>
        </is>
      </c>
      <c r="B324" t="inlineStr">
        <is>
          <t>MER00649</t>
        </is>
      </c>
      <c r="C324" t="inlineStr">
        <is>
          <t>INV0013753</t>
        </is>
      </c>
      <c r="D324" s="8" t="n">
        <v>45914</v>
      </c>
      <c r="E324" t="inlineStr">
        <is>
          <t>Email</t>
        </is>
      </c>
      <c r="F324" t="inlineStr">
        <is>
          <t>Email</t>
        </is>
      </c>
      <c r="G324" t="inlineStr">
        <is>
          <t>Farhan Sheikh</t>
        </is>
      </c>
      <c r="H324" t="inlineStr">
        <is>
          <t>No Response</t>
        </is>
      </c>
      <c r="I324" s="8" t="n"/>
      <c r="J324" t="n">
        <v/>
      </c>
      <c r="K324" t="inlineStr">
        <is>
          <t>Followed up via email regarding outstanding invoice INV0013753.</t>
        </is>
      </c>
    </row>
    <row r="325">
      <c r="A325" t="inlineStr">
        <is>
          <t>COL0008354</t>
        </is>
      </c>
      <c r="B325" t="inlineStr">
        <is>
          <t>MER00649</t>
        </is>
      </c>
      <c r="C325" t="inlineStr">
        <is>
          <t>INV0013753</t>
        </is>
      </c>
      <c r="D325" s="8" t="n">
        <v>45920</v>
      </c>
      <c r="E325" t="inlineStr">
        <is>
          <t>Phone</t>
        </is>
      </c>
      <c r="F325" t="inlineStr">
        <is>
          <t>Phone</t>
        </is>
      </c>
      <c r="G325" t="inlineStr">
        <is>
          <t>Farhan Sheikh</t>
        </is>
      </c>
      <c r="H325" t="inlineStr">
        <is>
          <t>No Response</t>
        </is>
      </c>
      <c r="I325" s="8" t="n"/>
      <c r="J325" t="n">
        <v/>
      </c>
      <c r="K325" t="inlineStr">
        <is>
          <t>Called merchant to discuss overdue invoice INV0013753.</t>
        </is>
      </c>
    </row>
    <row r="326">
      <c r="A326" t="inlineStr">
        <is>
          <t>COL0008355</t>
        </is>
      </c>
      <c r="B326" t="inlineStr">
        <is>
          <t>MER00649</t>
        </is>
      </c>
      <c r="C326" t="inlineStr">
        <is>
          <t>INV0013753</t>
        </is>
      </c>
      <c r="D326" s="8" t="n">
        <v>45930</v>
      </c>
      <c r="E326" t="inlineStr">
        <is>
          <t>Escalation</t>
        </is>
      </c>
      <c r="F326" t="inlineStr">
        <is>
          <t>Phone</t>
        </is>
      </c>
      <c r="G326" t="inlineStr">
        <is>
          <t>Nandini Rajan</t>
        </is>
      </c>
      <c r="H326" t="inlineStr">
        <is>
          <t>No Response</t>
        </is>
      </c>
      <c r="I326" s="8" t="n"/>
      <c r="J326" t="n">
        <v/>
      </c>
      <c r="K326" t="inlineStr">
        <is>
          <t>Escalated invoice INV0013753 to account manager for non-payment.</t>
        </is>
      </c>
    </row>
    <row r="327">
      <c r="A327" t="inlineStr">
        <is>
          <t>COL0008356</t>
        </is>
      </c>
      <c r="B327" t="inlineStr">
        <is>
          <t>MER00649</t>
        </is>
      </c>
      <c r="C327" t="inlineStr">
        <is>
          <t>INV0013761</t>
        </is>
      </c>
      <c r="D327" s="8" t="n">
        <v>46150</v>
      </c>
      <c r="E327" t="inlineStr">
        <is>
          <t>Reminder</t>
        </is>
      </c>
      <c r="F327" t="inlineStr">
        <is>
          <t>Email</t>
        </is>
      </c>
      <c r="G327" t="inlineStr">
        <is>
          <t>Vivek Nair</t>
        </is>
      </c>
      <c r="H327" t="inlineStr">
        <is>
          <t>Promise to Pay</t>
        </is>
      </c>
      <c r="I327" s="8" t="n">
        <v>46164</v>
      </c>
      <c r="J327" t="n">
        <v>1135.83</v>
      </c>
      <c r="K327" t="inlineStr">
        <is>
          <t>Automated reminder sent for invoice INV0013761 due 2026-05-01.</t>
        </is>
      </c>
    </row>
    <row r="328">
      <c r="A328" t="inlineStr">
        <is>
          <t>COL0008357</t>
        </is>
      </c>
      <c r="B328" t="inlineStr">
        <is>
          <t>MER00649</t>
        </is>
      </c>
      <c r="C328" t="inlineStr">
        <is>
          <t>INV0013761</t>
        </is>
      </c>
      <c r="D328" s="8" t="n">
        <v>46157</v>
      </c>
      <c r="E328" t="inlineStr">
        <is>
          <t>Email</t>
        </is>
      </c>
      <c r="F328" t="inlineStr">
        <is>
          <t>Email</t>
        </is>
      </c>
      <c r="G328" t="inlineStr">
        <is>
          <t>Manish Tiwari</t>
        </is>
      </c>
      <c r="H328" t="inlineStr">
        <is>
          <t>Disputed</t>
        </is>
      </c>
      <c r="I328" s="8" t="n"/>
      <c r="J328" t="n">
        <v/>
      </c>
      <c r="K328" t="inlineStr">
        <is>
          <t>Followed up via email regarding outstanding invoice INV0013761.</t>
        </is>
      </c>
    </row>
    <row r="329">
      <c r="A329" t="inlineStr">
        <is>
          <t>COL0008358</t>
        </is>
      </c>
      <c r="B329" t="inlineStr">
        <is>
          <t>MER00649</t>
        </is>
      </c>
      <c r="C329" t="inlineStr">
        <is>
          <t>INV0013761</t>
        </is>
      </c>
      <c r="D329" s="8" t="n">
        <v>46162</v>
      </c>
      <c r="E329" t="inlineStr">
        <is>
          <t>Phone</t>
        </is>
      </c>
      <c r="F329" t="inlineStr">
        <is>
          <t>Phone</t>
        </is>
      </c>
      <c r="G329" t="inlineStr">
        <is>
          <t>Manish Tiwari</t>
        </is>
      </c>
      <c r="H329" t="inlineStr">
        <is>
          <t>No Response</t>
        </is>
      </c>
      <c r="I329" s="8" t="n"/>
      <c r="J329" t="n">
        <v/>
      </c>
      <c r="K329" t="inlineStr">
        <is>
          <t>Called merchant to discuss overdue invoice INV0013761.</t>
        </is>
      </c>
    </row>
    <row r="330">
      <c r="A330" t="inlineStr">
        <is>
          <t>COL0008463</t>
        </is>
      </c>
      <c r="B330" t="inlineStr">
        <is>
          <t>MER00658</t>
        </is>
      </c>
      <c r="C330" t="inlineStr">
        <is>
          <t>INV0013944</t>
        </is>
      </c>
      <c r="D330" s="8" t="n">
        <v>45619</v>
      </c>
      <c r="E330" t="inlineStr">
        <is>
          <t>Reminder</t>
        </is>
      </c>
      <c r="F330" t="inlineStr">
        <is>
          <t>Email</t>
        </is>
      </c>
      <c r="G330" t="inlineStr">
        <is>
          <t>Farhan Sheikh</t>
        </is>
      </c>
      <c r="H330" t="inlineStr">
        <is>
          <t>No Response</t>
        </is>
      </c>
      <c r="I330" s="8" t="n"/>
      <c r="J330" t="n">
        <v/>
      </c>
      <c r="K330" t="inlineStr">
        <is>
          <t>Automated reminder sent for invoice INV0013944 due 2024-11-17.</t>
        </is>
      </c>
    </row>
    <row r="331">
      <c r="A331" t="inlineStr">
        <is>
          <t>COL0008464</t>
        </is>
      </c>
      <c r="B331" t="inlineStr">
        <is>
          <t>MER00658</t>
        </is>
      </c>
      <c r="C331" t="inlineStr">
        <is>
          <t>INV0013951</t>
        </is>
      </c>
      <c r="D331" s="8" t="n">
        <v>45828</v>
      </c>
      <c r="E331" t="inlineStr">
        <is>
          <t>Reminder</t>
        </is>
      </c>
      <c r="F331" t="inlineStr">
        <is>
          <t>Email</t>
        </is>
      </c>
      <c r="G331" t="inlineStr">
        <is>
          <t>Manish Tiwari</t>
        </is>
      </c>
      <c r="H331" t="inlineStr">
        <is>
          <t>Promise to Pay</t>
        </is>
      </c>
      <c r="I331" s="8" t="n">
        <v>45833</v>
      </c>
      <c r="J331" t="n">
        <v>487.78</v>
      </c>
      <c r="K331" t="inlineStr">
        <is>
          <t>Automated reminder sent for invoice INV0013951 due 2025-06-17.</t>
        </is>
      </c>
    </row>
    <row r="332">
      <c r="A332" t="inlineStr">
        <is>
          <t>COL0008465</t>
        </is>
      </c>
      <c r="B332" t="inlineStr">
        <is>
          <t>MER00658</t>
        </is>
      </c>
      <c r="C332" t="inlineStr">
        <is>
          <t>INV0013951</t>
        </is>
      </c>
      <c r="D332" s="8" t="n">
        <v>45834</v>
      </c>
      <c r="E332" t="inlineStr">
        <is>
          <t>Email</t>
        </is>
      </c>
      <c r="F332" t="inlineStr">
        <is>
          <t>Email</t>
        </is>
      </c>
      <c r="G332" t="inlineStr">
        <is>
          <t>Anjali Desai</t>
        </is>
      </c>
      <c r="H332" t="inlineStr">
        <is>
          <t>No Response</t>
        </is>
      </c>
      <c r="I332" s="8" t="n"/>
      <c r="J332" t="n">
        <v/>
      </c>
      <c r="K332" t="inlineStr">
        <is>
          <t>Followed up via email regarding outstanding invoice INV0013951.</t>
        </is>
      </c>
    </row>
    <row r="333">
      <c r="A333" t="inlineStr">
        <is>
          <t>COL0008466</t>
        </is>
      </c>
      <c r="B333" t="inlineStr">
        <is>
          <t>MER00658</t>
        </is>
      </c>
      <c r="C333" t="inlineStr">
        <is>
          <t>INV0013962</t>
        </is>
      </c>
      <c r="D333" s="8" t="n">
        <v>46162</v>
      </c>
      <c r="E333" t="inlineStr">
        <is>
          <t>Reminder</t>
        </is>
      </c>
      <c r="F333" t="inlineStr">
        <is>
          <t>Email</t>
        </is>
      </c>
      <c r="G333" t="inlineStr">
        <is>
          <t>Nandini Rajan</t>
        </is>
      </c>
      <c r="H333" t="inlineStr">
        <is>
          <t>No Response</t>
        </is>
      </c>
      <c r="I333" s="8" t="n"/>
      <c r="J333" t="n">
        <v/>
      </c>
      <c r="K333" t="inlineStr">
        <is>
          <t>Automated reminder sent for invoice INV0013962 due 2026-05-17.</t>
        </is>
      </c>
    </row>
    <row r="334">
      <c r="A334" t="inlineStr">
        <is>
          <t>COL0008467</t>
        </is>
      </c>
      <c r="B334" t="inlineStr">
        <is>
          <t>MER00658</t>
        </is>
      </c>
      <c r="C334" t="inlineStr">
        <is>
          <t>INV0013962</t>
        </is>
      </c>
      <c r="D334" s="8" t="n">
        <v>46176</v>
      </c>
      <c r="E334" t="inlineStr">
        <is>
          <t>Email</t>
        </is>
      </c>
      <c r="F334" t="inlineStr">
        <is>
          <t>Email</t>
        </is>
      </c>
      <c r="G334" t="inlineStr">
        <is>
          <t>Nandini Rajan</t>
        </is>
      </c>
      <c r="H334" t="inlineStr">
        <is>
          <t>Disputed</t>
        </is>
      </c>
      <c r="I334" s="8" t="n"/>
      <c r="J334" t="n">
        <v/>
      </c>
      <c r="K334" t="inlineStr">
        <is>
          <t>Followed up via email regarding outstanding invoice INV0013962.</t>
        </is>
      </c>
    </row>
    <row r="335">
      <c r="A335" t="inlineStr">
        <is>
          <t>COL0008468</t>
        </is>
      </c>
      <c r="B335" t="inlineStr">
        <is>
          <t>MER00658</t>
        </is>
      </c>
      <c r="C335" t="inlineStr">
        <is>
          <t>INV0013962</t>
        </is>
      </c>
      <c r="D335" s="8" t="n">
        <v>46189</v>
      </c>
      <c r="E335" t="inlineStr">
        <is>
          <t>Phone</t>
        </is>
      </c>
      <c r="F335" t="inlineStr">
        <is>
          <t>Phone</t>
        </is>
      </c>
      <c r="G335" t="inlineStr">
        <is>
          <t>Shweta Gupta</t>
        </is>
      </c>
      <c r="H335" t="inlineStr">
        <is>
          <t>No Response</t>
        </is>
      </c>
      <c r="I335" s="8" t="n"/>
      <c r="J335" t="n">
        <v/>
      </c>
      <c r="K335" t="inlineStr">
        <is>
          <t>Called merchant to discuss overdue invoice INV0013962.</t>
        </is>
      </c>
    </row>
    <row r="336">
      <c r="A336" t="inlineStr">
        <is>
          <t>COL0008517</t>
        </is>
      </c>
      <c r="B336" t="inlineStr">
        <is>
          <t>MER00662</t>
        </is>
      </c>
      <c r="C336" t="inlineStr">
        <is>
          <t>INV0014044</t>
        </is>
      </c>
      <c r="D336" s="8" t="n">
        <v>45830</v>
      </c>
      <c r="E336" t="inlineStr">
        <is>
          <t>Reminder</t>
        </is>
      </c>
      <c r="F336" t="inlineStr">
        <is>
          <t>Email</t>
        </is>
      </c>
      <c r="G336" t="inlineStr">
        <is>
          <t>Nandini Rajan</t>
        </is>
      </c>
      <c r="H336" t="inlineStr">
        <is>
          <t>No Response</t>
        </is>
      </c>
      <c r="I336" s="8" t="n"/>
      <c r="J336" t="n">
        <v/>
      </c>
      <c r="K336" t="inlineStr">
        <is>
          <t>Automated reminder sent for invoice INV0014044 due 2025-06-16.</t>
        </is>
      </c>
    </row>
    <row r="337">
      <c r="A337" t="inlineStr">
        <is>
          <t>COL0008518</t>
        </is>
      </c>
      <c r="B337" t="inlineStr">
        <is>
          <t>MER00662</t>
        </is>
      </c>
      <c r="C337" t="inlineStr">
        <is>
          <t>INV0014044</t>
        </is>
      </c>
      <c r="D337" s="8" t="n">
        <v>45835</v>
      </c>
      <c r="E337" t="inlineStr">
        <is>
          <t>Email</t>
        </is>
      </c>
      <c r="F337" t="inlineStr">
        <is>
          <t>Email</t>
        </is>
      </c>
      <c r="G337" t="inlineStr">
        <is>
          <t>Sanjay Kumar</t>
        </is>
      </c>
      <c r="H337" t="inlineStr">
        <is>
          <t>No Response</t>
        </is>
      </c>
      <c r="I337" s="8" t="n"/>
      <c r="J337" t="n">
        <v/>
      </c>
      <c r="K337" t="inlineStr">
        <is>
          <t>Followed up via email regarding outstanding invoice INV0014044.</t>
        </is>
      </c>
    </row>
    <row r="338">
      <c r="A338" t="inlineStr">
        <is>
          <t>COL0008519</t>
        </is>
      </c>
      <c r="B338" t="inlineStr">
        <is>
          <t>MER00662</t>
        </is>
      </c>
      <c r="C338" t="inlineStr">
        <is>
          <t>INV0014044</t>
        </is>
      </c>
      <c r="D338" s="8" t="n">
        <v>45847</v>
      </c>
      <c r="E338" t="inlineStr">
        <is>
          <t>Phone</t>
        </is>
      </c>
      <c r="F338" t="inlineStr">
        <is>
          <t>Phone</t>
        </is>
      </c>
      <c r="G338" t="inlineStr">
        <is>
          <t>Vivek Nair</t>
        </is>
      </c>
      <c r="H338" t="inlineStr">
        <is>
          <t>No Response</t>
        </is>
      </c>
      <c r="I338" s="8" t="n"/>
      <c r="J338" t="n">
        <v/>
      </c>
      <c r="K338" t="inlineStr">
        <is>
          <t>Called merchant to discuss overdue invoice INV0014044.</t>
        </is>
      </c>
    </row>
    <row r="339">
      <c r="A339" t="inlineStr">
        <is>
          <t>COL0008520</t>
        </is>
      </c>
      <c r="B339" t="inlineStr">
        <is>
          <t>MER00662</t>
        </is>
      </c>
      <c r="C339" t="inlineStr">
        <is>
          <t>INV0014048</t>
        </is>
      </c>
      <c r="D339" s="8" t="n">
        <v>45955</v>
      </c>
      <c r="E339" t="inlineStr">
        <is>
          <t>Reminder</t>
        </is>
      </c>
      <c r="F339" t="inlineStr">
        <is>
          <t>Email</t>
        </is>
      </c>
      <c r="G339" t="inlineStr">
        <is>
          <t>Amit Saxena</t>
        </is>
      </c>
      <c r="H339" t="inlineStr">
        <is>
          <t>No Response</t>
        </is>
      </c>
      <c r="I339" s="8" t="n"/>
      <c r="J339" t="n">
        <v/>
      </c>
      <c r="K339" t="inlineStr">
        <is>
          <t>Automated reminder sent for invoice INV0014048 due 2025-10-17.</t>
        </is>
      </c>
    </row>
    <row r="340">
      <c r="A340" t="inlineStr">
        <is>
          <t>COL0008521</t>
        </is>
      </c>
      <c r="B340" t="inlineStr">
        <is>
          <t>MER00662</t>
        </is>
      </c>
      <c r="C340" t="inlineStr">
        <is>
          <t>INV0014048</t>
        </is>
      </c>
      <c r="D340" s="8" t="n">
        <v>45962</v>
      </c>
      <c r="E340" t="inlineStr">
        <is>
          <t>Email</t>
        </is>
      </c>
      <c r="F340" t="inlineStr">
        <is>
          <t>Email</t>
        </is>
      </c>
      <c r="G340" t="inlineStr">
        <is>
          <t>Manish Tiwari</t>
        </is>
      </c>
      <c r="H340" t="inlineStr">
        <is>
          <t>No Response</t>
        </is>
      </c>
      <c r="I340" s="8" t="n"/>
      <c r="J340" t="n">
        <v/>
      </c>
      <c r="K340" t="inlineStr">
        <is>
          <t>Followed up via email regarding outstanding invoice INV0014048.</t>
        </is>
      </c>
    </row>
    <row r="341">
      <c r="A341" t="inlineStr">
        <is>
          <t>COL0008522</t>
        </is>
      </c>
      <c r="B341" t="inlineStr">
        <is>
          <t>MER00662</t>
        </is>
      </c>
      <c r="C341" t="inlineStr">
        <is>
          <t>INV0014053</t>
        </is>
      </c>
      <c r="D341" s="8" t="n">
        <v>46106</v>
      </c>
      <c r="E341" t="inlineStr">
        <is>
          <t>Reminder</t>
        </is>
      </c>
      <c r="F341" t="inlineStr">
        <is>
          <t>Email</t>
        </is>
      </c>
      <c r="G341" t="inlineStr">
        <is>
          <t>Shweta Gupta</t>
        </is>
      </c>
      <c r="H341" t="inlineStr">
        <is>
          <t>No Response</t>
        </is>
      </c>
      <c r="I341" s="8" t="n"/>
      <c r="J341" t="n">
        <v/>
      </c>
      <c r="K341" t="inlineStr">
        <is>
          <t>Automated reminder sent for invoice INV0014053 due 2026-03-19.</t>
        </is>
      </c>
    </row>
    <row r="342">
      <c r="A342" t="inlineStr">
        <is>
          <t>COL0008523</t>
        </is>
      </c>
      <c r="B342" t="inlineStr">
        <is>
          <t>MER00662</t>
        </is>
      </c>
      <c r="C342" t="inlineStr">
        <is>
          <t>INV0014053</t>
        </is>
      </c>
      <c r="D342" s="8" t="n">
        <v>46113</v>
      </c>
      <c r="E342" t="inlineStr">
        <is>
          <t>Email</t>
        </is>
      </c>
      <c r="F342" t="inlineStr">
        <is>
          <t>Email</t>
        </is>
      </c>
      <c r="G342" t="inlineStr">
        <is>
          <t>Manish Tiwari</t>
        </is>
      </c>
      <c r="H342" t="inlineStr">
        <is>
          <t>Promise to Pay</t>
        </is>
      </c>
      <c r="I342" s="8" t="n">
        <v>46118</v>
      </c>
      <c r="J342" t="n">
        <v>694.03</v>
      </c>
      <c r="K342" t="inlineStr">
        <is>
          <t>Followed up via email regarding outstanding invoice INV0014053.</t>
        </is>
      </c>
    </row>
    <row r="343">
      <c r="A343" t="inlineStr">
        <is>
          <t>COL0008984</t>
        </is>
      </c>
      <c r="B343" t="inlineStr">
        <is>
          <t>MER00707</t>
        </is>
      </c>
      <c r="C343" t="inlineStr">
        <is>
          <t>INV0014973</t>
        </is>
      </c>
      <c r="D343" s="8" t="n">
        <v>45904</v>
      </c>
      <c r="E343" t="inlineStr">
        <is>
          <t>Reminder</t>
        </is>
      </c>
      <c r="F343" t="inlineStr">
        <is>
          <t>Email</t>
        </is>
      </c>
      <c r="G343" t="inlineStr">
        <is>
          <t>Amit Saxena</t>
        </is>
      </c>
      <c r="H343" t="inlineStr">
        <is>
          <t>Promise to Pay</t>
        </is>
      </c>
      <c r="I343" s="8" t="n">
        <v>45915</v>
      </c>
      <c r="J343" t="n">
        <v>560.4</v>
      </c>
      <c r="K343" t="inlineStr">
        <is>
          <t>Automated reminder sent for invoice INV0014973 due 2025-09-01.</t>
        </is>
      </c>
    </row>
    <row r="344">
      <c r="A344" t="inlineStr">
        <is>
          <t>COL0008985</t>
        </is>
      </c>
      <c r="B344" t="inlineStr">
        <is>
          <t>MER00707</t>
        </is>
      </c>
      <c r="C344" t="inlineStr">
        <is>
          <t>INV0014973</t>
        </is>
      </c>
      <c r="D344" s="8" t="n">
        <v>45912</v>
      </c>
      <c r="E344" t="inlineStr">
        <is>
          <t>Email</t>
        </is>
      </c>
      <c r="F344" t="inlineStr">
        <is>
          <t>Email</t>
        </is>
      </c>
      <c r="G344" t="inlineStr">
        <is>
          <t>Nandini Rajan</t>
        </is>
      </c>
      <c r="H344" t="inlineStr">
        <is>
          <t>Promise to Pay</t>
        </is>
      </c>
      <c r="I344" s="8" t="n">
        <v>45916</v>
      </c>
      <c r="J344" t="n">
        <v>690.41</v>
      </c>
      <c r="K344" t="inlineStr">
        <is>
          <t>Followed up via email regarding outstanding invoice INV0014973.</t>
        </is>
      </c>
    </row>
    <row r="345">
      <c r="A345" t="inlineStr">
        <is>
          <t>COL0008986</t>
        </is>
      </c>
      <c r="B345" t="inlineStr">
        <is>
          <t>MER00707</t>
        </is>
      </c>
      <c r="C345" t="inlineStr">
        <is>
          <t>INV0014973</t>
        </is>
      </c>
      <c r="D345" s="8" t="n">
        <v>45924</v>
      </c>
      <c r="E345" t="inlineStr">
        <is>
          <t>Phone</t>
        </is>
      </c>
      <c r="F345" t="inlineStr">
        <is>
          <t>Phone</t>
        </is>
      </c>
      <c r="G345" t="inlineStr">
        <is>
          <t>Shweta Gupta</t>
        </is>
      </c>
      <c r="H345" t="inlineStr">
        <is>
          <t>No Response</t>
        </is>
      </c>
      <c r="I345" s="8" t="n"/>
      <c r="J345" t="n">
        <v/>
      </c>
      <c r="K345" t="inlineStr">
        <is>
          <t>Called merchant to discuss overdue invoice INV0014973.</t>
        </is>
      </c>
    </row>
    <row r="346">
      <c r="A346" t="inlineStr">
        <is>
          <t>COL0008987</t>
        </is>
      </c>
      <c r="B346" t="inlineStr">
        <is>
          <t>MER00707</t>
        </is>
      </c>
      <c r="C346" t="inlineStr">
        <is>
          <t>INV0014973</t>
        </is>
      </c>
      <c r="D346" s="8" t="n">
        <v>45933</v>
      </c>
      <c r="E346" t="inlineStr">
        <is>
          <t>Escalation</t>
        </is>
      </c>
      <c r="F346" t="inlineStr">
        <is>
          <t>Phone</t>
        </is>
      </c>
      <c r="G346" t="inlineStr">
        <is>
          <t>Manish Tiwari</t>
        </is>
      </c>
      <c r="H346" t="inlineStr">
        <is>
          <t>No Response</t>
        </is>
      </c>
      <c r="I346" s="8" t="n"/>
      <c r="J346" t="n">
        <v/>
      </c>
      <c r="K346" t="inlineStr">
        <is>
          <t>Escalated invoice INV0014973 to account manager for non-payment.</t>
        </is>
      </c>
    </row>
    <row r="347">
      <c r="A347" t="inlineStr">
        <is>
          <t>COL0008988</t>
        </is>
      </c>
      <c r="B347" t="inlineStr">
        <is>
          <t>MER00707</t>
        </is>
      </c>
      <c r="C347" t="inlineStr">
        <is>
          <t>INV0014974</t>
        </is>
      </c>
      <c r="D347" s="8" t="n">
        <v>45941</v>
      </c>
      <c r="E347" t="inlineStr">
        <is>
          <t>Reminder</t>
        </is>
      </c>
      <c r="F347" t="inlineStr">
        <is>
          <t>Email</t>
        </is>
      </c>
      <c r="G347" t="inlineStr">
        <is>
          <t>Manish Tiwari</t>
        </is>
      </c>
      <c r="H347" t="inlineStr">
        <is>
          <t>Promise to Pay</t>
        </is>
      </c>
      <c r="I347" s="8" t="n">
        <v>45944</v>
      </c>
      <c r="J347" t="n">
        <v>740.33</v>
      </c>
      <c r="K347" t="inlineStr">
        <is>
          <t>Automated reminder sent for invoice INV0014974 due 2025-10-02.</t>
        </is>
      </c>
    </row>
    <row r="348">
      <c r="A348" t="inlineStr">
        <is>
          <t>COL0008989</t>
        </is>
      </c>
      <c r="B348" t="inlineStr">
        <is>
          <t>MER00707</t>
        </is>
      </c>
      <c r="C348" t="inlineStr">
        <is>
          <t>INV0014974</t>
        </is>
      </c>
      <c r="D348" s="8" t="n">
        <v>45950</v>
      </c>
      <c r="E348" t="inlineStr">
        <is>
          <t>Email</t>
        </is>
      </c>
      <c r="F348" t="inlineStr">
        <is>
          <t>Email</t>
        </is>
      </c>
      <c r="G348" t="inlineStr">
        <is>
          <t>Farhan Sheikh</t>
        </is>
      </c>
      <c r="H348" t="inlineStr">
        <is>
          <t>No Response</t>
        </is>
      </c>
      <c r="I348" s="8" t="n"/>
      <c r="J348" t="n">
        <v/>
      </c>
      <c r="K348" t="inlineStr">
        <is>
          <t>Followed up via email regarding outstanding invoice INV0014974.</t>
        </is>
      </c>
    </row>
    <row r="349">
      <c r="A349" t="inlineStr">
        <is>
          <t>COL0008990</t>
        </is>
      </c>
      <c r="B349" t="inlineStr">
        <is>
          <t>MER00707</t>
        </is>
      </c>
      <c r="C349" t="inlineStr">
        <is>
          <t>INV0014974</t>
        </is>
      </c>
      <c r="D349" s="8" t="n">
        <v>45962</v>
      </c>
      <c r="E349" t="inlineStr">
        <is>
          <t>Phone</t>
        </is>
      </c>
      <c r="F349" t="inlineStr">
        <is>
          <t>Phone</t>
        </is>
      </c>
      <c r="G349" t="inlineStr">
        <is>
          <t>Ritu Bansal</t>
        </is>
      </c>
      <c r="H349" t="inlineStr">
        <is>
          <t>Promise to Pay</t>
        </is>
      </c>
      <c r="I349" s="8" t="n">
        <v>45974</v>
      </c>
      <c r="J349" t="n">
        <v>1408.57</v>
      </c>
      <c r="K349" t="inlineStr">
        <is>
          <t>Called merchant to discuss overdue invoice INV0014974.</t>
        </is>
      </c>
    </row>
    <row r="350">
      <c r="A350" t="inlineStr">
        <is>
          <t>COL0008991</t>
        </is>
      </c>
      <c r="B350" t="inlineStr">
        <is>
          <t>MER00707</t>
        </is>
      </c>
      <c r="C350" t="inlineStr">
        <is>
          <t>INV0014983</t>
        </is>
      </c>
      <c r="D350" s="8" t="n">
        <v>46214</v>
      </c>
      <c r="E350" t="inlineStr">
        <is>
          <t>Reminder</t>
        </is>
      </c>
      <c r="F350" t="inlineStr">
        <is>
          <t>Email</t>
        </is>
      </c>
      <c r="G350" t="inlineStr">
        <is>
          <t>Farhan Sheikh</t>
        </is>
      </c>
      <c r="H350" t="inlineStr">
        <is>
          <t>No Response</t>
        </is>
      </c>
      <c r="I350" s="8" t="n"/>
      <c r="J350" t="n">
        <v/>
      </c>
      <c r="K350" t="inlineStr">
        <is>
          <t>Automated reminder sent for invoice INV0014983 due 2026-07-02.</t>
        </is>
      </c>
    </row>
    <row r="351">
      <c r="A351" t="inlineStr">
        <is>
          <t>COL0008992</t>
        </is>
      </c>
      <c r="B351" t="inlineStr">
        <is>
          <t>MER00707</t>
        </is>
      </c>
      <c r="C351" t="inlineStr">
        <is>
          <t>INV0014983</t>
        </is>
      </c>
      <c r="D351" s="8" t="n">
        <v>46222</v>
      </c>
      <c r="E351" t="inlineStr">
        <is>
          <t>Email</t>
        </is>
      </c>
      <c r="F351" t="inlineStr">
        <is>
          <t>Email</t>
        </is>
      </c>
      <c r="G351" t="inlineStr">
        <is>
          <t>Ritu Bansal</t>
        </is>
      </c>
      <c r="H351" t="inlineStr">
        <is>
          <t>No Response</t>
        </is>
      </c>
      <c r="I351" s="8" t="n"/>
      <c r="J351" t="n">
        <v/>
      </c>
      <c r="K351" t="inlineStr">
        <is>
          <t>Followed up via email regarding outstanding invoice INV0014983.</t>
        </is>
      </c>
    </row>
    <row r="352">
      <c r="A352" t="inlineStr">
        <is>
          <t>COL0008993</t>
        </is>
      </c>
      <c r="B352" t="inlineStr">
        <is>
          <t>MER00707</t>
        </is>
      </c>
      <c r="C352" t="inlineStr">
        <is>
          <t>INV0014983</t>
        </is>
      </c>
      <c r="D352" s="8" t="n">
        <v>46228</v>
      </c>
      <c r="E352" t="inlineStr">
        <is>
          <t>Phone</t>
        </is>
      </c>
      <c r="F352" t="inlineStr">
        <is>
          <t>Phone</t>
        </is>
      </c>
      <c r="G352" t="inlineStr">
        <is>
          <t>Anjali Desai</t>
        </is>
      </c>
      <c r="H352" t="inlineStr">
        <is>
          <t>No Response</t>
        </is>
      </c>
      <c r="I352" s="8" t="n"/>
      <c r="J352" t="n">
        <v/>
      </c>
      <c r="K352" t="inlineStr">
        <is>
          <t>Called merchant to discuss overdue invoice INV0014983.</t>
        </is>
      </c>
    </row>
    <row r="353">
      <c r="A353" t="inlineStr">
        <is>
          <t>COL0009001</t>
        </is>
      </c>
      <c r="B353" t="inlineStr">
        <is>
          <t>MER00711</t>
        </is>
      </c>
      <c r="C353" t="inlineStr">
        <is>
          <t>INV0015046</t>
        </is>
      </c>
      <c r="D353" s="8" t="n">
        <v>45570</v>
      </c>
      <c r="E353" t="inlineStr">
        <is>
          <t>Reminder</t>
        </is>
      </c>
      <c r="F353" t="inlineStr">
        <is>
          <t>Email</t>
        </is>
      </c>
      <c r="G353" t="inlineStr">
        <is>
          <t>Nandini Rajan</t>
        </is>
      </c>
      <c r="H353" t="inlineStr">
        <is>
          <t>Promise to Pay</t>
        </is>
      </c>
      <c r="I353" s="8" t="n">
        <v>45578</v>
      </c>
      <c r="J353" t="n">
        <v>2767.97</v>
      </c>
      <c r="K353" t="inlineStr">
        <is>
          <t>Automated reminder sent for invoice INV0015046 due 2024-10-02.</t>
        </is>
      </c>
    </row>
    <row r="354">
      <c r="A354" t="inlineStr">
        <is>
          <t>COL0009002</t>
        </is>
      </c>
      <c r="B354" t="inlineStr">
        <is>
          <t>MER00711</t>
        </is>
      </c>
      <c r="C354" t="inlineStr">
        <is>
          <t>INV0015046</t>
        </is>
      </c>
      <c r="D354" s="8" t="n">
        <v>45581</v>
      </c>
      <c r="E354" t="inlineStr">
        <is>
          <t>Email</t>
        </is>
      </c>
      <c r="F354" t="inlineStr">
        <is>
          <t>Email</t>
        </is>
      </c>
      <c r="G354" t="inlineStr">
        <is>
          <t>Nandini Rajan</t>
        </is>
      </c>
      <c r="H354" t="inlineStr">
        <is>
          <t>Promise to Pay</t>
        </is>
      </c>
      <c r="I354" s="8" t="n">
        <v>45584</v>
      </c>
      <c r="J354" t="n">
        <v>4083.08</v>
      </c>
      <c r="K354" t="inlineStr">
        <is>
          <t>Followed up via email regarding outstanding invoice INV0015046.</t>
        </is>
      </c>
    </row>
    <row r="355">
      <c r="A355" t="inlineStr">
        <is>
          <t>COL0009003</t>
        </is>
      </c>
      <c r="B355" t="inlineStr">
        <is>
          <t>MER00711</t>
        </is>
      </c>
      <c r="C355" t="inlineStr">
        <is>
          <t>INV0015046</t>
        </is>
      </c>
      <c r="D355" s="8" t="n">
        <v>45586</v>
      </c>
      <c r="E355" t="inlineStr">
        <is>
          <t>Phone</t>
        </is>
      </c>
      <c r="F355" t="inlineStr">
        <is>
          <t>Phone</t>
        </is>
      </c>
      <c r="G355" t="inlineStr">
        <is>
          <t>Vivek Nair</t>
        </is>
      </c>
      <c r="H355" t="inlineStr">
        <is>
          <t>Promise to Pay</t>
        </is>
      </c>
      <c r="I355" s="8" t="n">
        <v>45592</v>
      </c>
      <c r="J355" t="n">
        <v>4645.09</v>
      </c>
      <c r="K355" t="inlineStr">
        <is>
          <t>Called merchant to discuss overdue invoice INV0015046.</t>
        </is>
      </c>
    </row>
    <row r="356">
      <c r="A356" t="inlineStr">
        <is>
          <t>COL0009004</t>
        </is>
      </c>
      <c r="B356" t="inlineStr">
        <is>
          <t>MER00711</t>
        </is>
      </c>
      <c r="C356" t="inlineStr">
        <is>
          <t>INV0015046</t>
        </is>
      </c>
      <c r="D356" s="8" t="n">
        <v>45591</v>
      </c>
      <c r="E356" t="inlineStr">
        <is>
          <t>Escalation</t>
        </is>
      </c>
      <c r="F356" t="inlineStr">
        <is>
          <t>Phone</t>
        </is>
      </c>
      <c r="G356" t="inlineStr">
        <is>
          <t>Sanjay Kumar</t>
        </is>
      </c>
      <c r="H356" t="inlineStr">
        <is>
          <t>Escalated</t>
        </is>
      </c>
      <c r="I356" s="8" t="n"/>
      <c r="J356" t="n">
        <v/>
      </c>
      <c r="K356" t="inlineStr">
        <is>
          <t>Escalated invoice INV0015046 to account manager for non-payment.</t>
        </is>
      </c>
    </row>
    <row r="357">
      <c r="A357" t="inlineStr">
        <is>
          <t>COL0009005</t>
        </is>
      </c>
      <c r="B357" t="inlineStr">
        <is>
          <t>MER00711</t>
        </is>
      </c>
      <c r="C357" t="inlineStr">
        <is>
          <t>INV0015046</t>
        </is>
      </c>
      <c r="D357" s="8" t="n">
        <v>45601</v>
      </c>
      <c r="E357" t="inlineStr">
        <is>
          <t>Payment Promise</t>
        </is>
      </c>
      <c r="F357" t="inlineStr">
        <is>
          <t>WhatsApp</t>
        </is>
      </c>
      <c r="G357" t="inlineStr">
        <is>
          <t>Vivek Nair</t>
        </is>
      </c>
      <c r="H357" t="inlineStr">
        <is>
          <t>No Response</t>
        </is>
      </c>
      <c r="I357" s="8" t="n">
        <v>45607</v>
      </c>
      <c r="J357" t="n">
        <v>2667.61</v>
      </c>
      <c r="K357" t="inlineStr">
        <is>
          <t>Merchant committed to paying invoice INV0015046 by 2024-11-11.</t>
        </is>
      </c>
    </row>
    <row r="358">
      <c r="A358" t="inlineStr">
        <is>
          <t>COL0009006</t>
        </is>
      </c>
      <c r="B358" t="inlineStr">
        <is>
          <t>MER00711</t>
        </is>
      </c>
      <c r="C358" t="inlineStr">
        <is>
          <t>INV0015050</t>
        </is>
      </c>
      <c r="D358" s="8" t="n">
        <v>45693</v>
      </c>
      <c r="E358" t="inlineStr">
        <is>
          <t>Reminder</t>
        </is>
      </c>
      <c r="F358" t="inlineStr">
        <is>
          <t>Email</t>
        </is>
      </c>
      <c r="G358" t="inlineStr">
        <is>
          <t>Nandini Rajan</t>
        </is>
      </c>
      <c r="H358" t="inlineStr">
        <is>
          <t>Promise to Pay</t>
        </is>
      </c>
      <c r="I358" s="8" t="n">
        <v>45697</v>
      </c>
      <c r="J358" t="n">
        <v>2479.85</v>
      </c>
      <c r="K358" t="inlineStr">
        <is>
          <t>Automated reminder sent for invoice INV0015050 due 2025-02-01.</t>
        </is>
      </c>
    </row>
    <row r="359">
      <c r="A359" t="inlineStr">
        <is>
          <t>COL0009007</t>
        </is>
      </c>
      <c r="B359" t="inlineStr">
        <is>
          <t>MER00711</t>
        </is>
      </c>
      <c r="C359" t="inlineStr">
        <is>
          <t>INV0015050</t>
        </is>
      </c>
      <c r="D359" s="8" t="n">
        <v>45703</v>
      </c>
      <c r="E359" t="inlineStr">
        <is>
          <t>Email</t>
        </is>
      </c>
      <c r="F359" t="inlineStr">
        <is>
          <t>Email</t>
        </is>
      </c>
      <c r="G359" t="inlineStr">
        <is>
          <t>Amit Saxena</t>
        </is>
      </c>
      <c r="H359" t="inlineStr">
        <is>
          <t>No Response</t>
        </is>
      </c>
      <c r="I359" s="8" t="n"/>
      <c r="J359" t="n">
        <v/>
      </c>
      <c r="K359" t="inlineStr">
        <is>
          <t>Followed up via email regarding outstanding invoice INV0015050.</t>
        </is>
      </c>
    </row>
    <row r="360">
      <c r="A360" t="inlineStr">
        <is>
          <t>COL0009008</t>
        </is>
      </c>
      <c r="B360" t="inlineStr">
        <is>
          <t>MER00711</t>
        </is>
      </c>
      <c r="C360" t="inlineStr">
        <is>
          <t>INV0015050</t>
        </is>
      </c>
      <c r="D360" s="8" t="n">
        <v>45714</v>
      </c>
      <c r="E360" t="inlineStr">
        <is>
          <t>Phone</t>
        </is>
      </c>
      <c r="F360" t="inlineStr">
        <is>
          <t>Phone</t>
        </is>
      </c>
      <c r="G360" t="inlineStr">
        <is>
          <t>Manish Tiwari</t>
        </is>
      </c>
      <c r="H360" t="inlineStr">
        <is>
          <t>No Response</t>
        </is>
      </c>
      <c r="I360" s="8" t="n"/>
      <c r="J360" t="n">
        <v/>
      </c>
      <c r="K360" t="inlineStr">
        <is>
          <t>Called merchant to discuss overdue invoice INV0015050.</t>
        </is>
      </c>
    </row>
    <row r="361">
      <c r="A361" t="inlineStr">
        <is>
          <t>COL0009009</t>
        </is>
      </c>
      <c r="B361" t="inlineStr">
        <is>
          <t>MER00711</t>
        </is>
      </c>
      <c r="C361" t="inlineStr">
        <is>
          <t>INV0015053</t>
        </is>
      </c>
      <c r="D361" s="8" t="n">
        <v>45785</v>
      </c>
      <c r="E361" t="inlineStr">
        <is>
          <t>Reminder</t>
        </is>
      </c>
      <c r="F361" t="inlineStr">
        <is>
          <t>Email</t>
        </is>
      </c>
      <c r="G361" t="inlineStr">
        <is>
          <t>Anjali Desai</t>
        </is>
      </c>
      <c r="H361" t="inlineStr">
        <is>
          <t>No Response</t>
        </is>
      </c>
      <c r="I361" s="8" t="n"/>
      <c r="J361" t="n">
        <v/>
      </c>
      <c r="K361" t="inlineStr">
        <is>
          <t>Automated reminder sent for invoice INV0015053 due 2025-05-02.</t>
        </is>
      </c>
    </row>
    <row r="362">
      <c r="A362" t="inlineStr">
        <is>
          <t>COL0009010</t>
        </is>
      </c>
      <c r="B362" t="inlineStr">
        <is>
          <t>MER00711</t>
        </is>
      </c>
      <c r="C362" t="inlineStr">
        <is>
          <t>INV0015053</t>
        </is>
      </c>
      <c r="D362" s="8" t="n">
        <v>45793</v>
      </c>
      <c r="E362" t="inlineStr">
        <is>
          <t>Email</t>
        </is>
      </c>
      <c r="F362" t="inlineStr">
        <is>
          <t>Email</t>
        </is>
      </c>
      <c r="G362" t="inlineStr">
        <is>
          <t>Farhan Sheikh</t>
        </is>
      </c>
      <c r="H362" t="inlineStr">
        <is>
          <t>No Response</t>
        </is>
      </c>
      <c r="I362" s="8" t="n"/>
      <c r="J362" t="n">
        <v/>
      </c>
      <c r="K362" t="inlineStr">
        <is>
          <t>Followed up via email regarding outstanding invoice INV0015053.</t>
        </is>
      </c>
    </row>
    <row r="363">
      <c r="A363" t="inlineStr">
        <is>
          <t>COL0009011</t>
        </is>
      </c>
      <c r="B363" t="inlineStr">
        <is>
          <t>MER00711</t>
        </is>
      </c>
      <c r="C363" t="inlineStr">
        <is>
          <t>INV0015053</t>
        </is>
      </c>
      <c r="D363" s="8" t="n">
        <v>45806</v>
      </c>
      <c r="E363" t="inlineStr">
        <is>
          <t>Phone</t>
        </is>
      </c>
      <c r="F363" t="inlineStr">
        <is>
          <t>Phone</t>
        </is>
      </c>
      <c r="G363" t="inlineStr">
        <is>
          <t>Sanjay Kumar</t>
        </is>
      </c>
      <c r="H363" t="inlineStr">
        <is>
          <t>No Response</t>
        </is>
      </c>
      <c r="I363" s="8" t="n"/>
      <c r="J363" t="n">
        <v/>
      </c>
      <c r="K363" t="inlineStr">
        <is>
          <t>Called merchant to discuss overdue invoice INV0015053.</t>
        </is>
      </c>
    </row>
    <row r="364">
      <c r="A364" t="inlineStr">
        <is>
          <t>COL0009012</t>
        </is>
      </c>
      <c r="B364" t="inlineStr">
        <is>
          <t>MER00711</t>
        </is>
      </c>
      <c r="C364" t="inlineStr">
        <is>
          <t>INV0015053</t>
        </is>
      </c>
      <c r="D364" s="8" t="n">
        <v>45816</v>
      </c>
      <c r="E364" t="inlineStr">
        <is>
          <t>Escalation</t>
        </is>
      </c>
      <c r="F364" t="inlineStr">
        <is>
          <t>Phone</t>
        </is>
      </c>
      <c r="G364" t="inlineStr">
        <is>
          <t>Ritu Bansal</t>
        </is>
      </c>
      <c r="H364" t="inlineStr">
        <is>
          <t>Escalated</t>
        </is>
      </c>
      <c r="I364" s="8" t="n"/>
      <c r="J364" t="n">
        <v/>
      </c>
      <c r="K364" t="inlineStr">
        <is>
          <t>Escalated invoice INV0015053 to account manager for non-payment.</t>
        </is>
      </c>
    </row>
    <row r="365">
      <c r="A365" t="inlineStr">
        <is>
          <t>COL0009013</t>
        </is>
      </c>
      <c r="B365" t="inlineStr">
        <is>
          <t>MER00711</t>
        </is>
      </c>
      <c r="C365" t="inlineStr">
        <is>
          <t>INV0015053</t>
        </is>
      </c>
      <c r="D365" s="8" t="n">
        <v>45827</v>
      </c>
      <c r="E365" t="inlineStr">
        <is>
          <t>Payment Promise</t>
        </is>
      </c>
      <c r="F365" t="inlineStr">
        <is>
          <t>WhatsApp</t>
        </is>
      </c>
      <c r="G365" t="inlineStr">
        <is>
          <t>Ritu Bansal</t>
        </is>
      </c>
      <c r="H365" t="inlineStr">
        <is>
          <t>Promise to Pay</t>
        </is>
      </c>
      <c r="I365" s="8" t="n">
        <v>45831</v>
      </c>
      <c r="J365" t="n">
        <v>1992.22</v>
      </c>
      <c r="K365" t="inlineStr">
        <is>
          <t>Merchant committed to paying invoice INV0015053 by 2025-06-23.</t>
        </is>
      </c>
    </row>
    <row r="366">
      <c r="A366" t="inlineStr">
        <is>
          <t>COL0009014</t>
        </is>
      </c>
      <c r="B366" t="inlineStr">
        <is>
          <t>MER00711</t>
        </is>
      </c>
      <c r="C366" t="inlineStr">
        <is>
          <t>INV0015054</t>
        </is>
      </c>
      <c r="D366" s="8" t="n">
        <v>45818</v>
      </c>
      <c r="E366" t="inlineStr">
        <is>
          <t>Reminder</t>
        </is>
      </c>
      <c r="F366" t="inlineStr">
        <is>
          <t>Email</t>
        </is>
      </c>
      <c r="G366" t="inlineStr">
        <is>
          <t>Shweta Gupta</t>
        </is>
      </c>
      <c r="H366" t="inlineStr">
        <is>
          <t>No Response</t>
        </is>
      </c>
      <c r="I366" s="8" t="n"/>
      <c r="J366" t="n">
        <v/>
      </c>
      <c r="K366" t="inlineStr">
        <is>
          <t>Automated reminder sent for invoice INV0015054 due 2025-06-01.</t>
        </is>
      </c>
    </row>
    <row r="367">
      <c r="A367" t="inlineStr">
        <is>
          <t>COL0009015</t>
        </is>
      </c>
      <c r="B367" t="inlineStr">
        <is>
          <t>MER00711</t>
        </is>
      </c>
      <c r="C367" t="inlineStr">
        <is>
          <t>INV0015054</t>
        </is>
      </c>
      <c r="D367" s="8" t="n">
        <v>45832</v>
      </c>
      <c r="E367" t="inlineStr">
        <is>
          <t>Email</t>
        </is>
      </c>
      <c r="F367" t="inlineStr">
        <is>
          <t>Email</t>
        </is>
      </c>
      <c r="G367" t="inlineStr">
        <is>
          <t>Farhan Sheikh</t>
        </is>
      </c>
      <c r="H367" t="inlineStr">
        <is>
          <t>No Response</t>
        </is>
      </c>
      <c r="I367" s="8" t="n"/>
      <c r="J367" t="n">
        <v/>
      </c>
      <c r="K367" t="inlineStr">
        <is>
          <t>Followed up via email regarding outstanding invoice INV0015054.</t>
        </is>
      </c>
    </row>
    <row r="368">
      <c r="A368" t="inlineStr">
        <is>
          <t>COL0009016</t>
        </is>
      </c>
      <c r="B368" t="inlineStr">
        <is>
          <t>MER00711</t>
        </is>
      </c>
      <c r="C368" t="inlineStr">
        <is>
          <t>INV0015054</t>
        </is>
      </c>
      <c r="D368" s="8" t="n">
        <v>45838</v>
      </c>
      <c r="E368" t="inlineStr">
        <is>
          <t>Phone</t>
        </is>
      </c>
      <c r="F368" t="inlineStr">
        <is>
          <t>Phone</t>
        </is>
      </c>
      <c r="G368" t="inlineStr">
        <is>
          <t>Shweta Gupta</t>
        </is>
      </c>
      <c r="H368" t="inlineStr">
        <is>
          <t>Promise to Pay</t>
        </is>
      </c>
      <c r="I368" s="8" t="n">
        <v>45844</v>
      </c>
      <c r="J368" t="n">
        <v>1175.55</v>
      </c>
      <c r="K368" t="inlineStr">
        <is>
          <t>Called merchant to discuss overdue invoice INV0015054.</t>
        </is>
      </c>
    </row>
    <row r="369">
      <c r="A369" t="inlineStr">
        <is>
          <t>COL0009017</t>
        </is>
      </c>
      <c r="B369" t="inlineStr">
        <is>
          <t>MER00711</t>
        </is>
      </c>
      <c r="C369" t="inlineStr">
        <is>
          <t>INV0015054</t>
        </is>
      </c>
      <c r="D369" s="8" t="n">
        <v>45851</v>
      </c>
      <c r="E369" t="inlineStr">
        <is>
          <t>Escalation</t>
        </is>
      </c>
      <c r="F369" t="inlineStr">
        <is>
          <t>Phone</t>
        </is>
      </c>
      <c r="G369" t="inlineStr">
        <is>
          <t>Vivek Nair</t>
        </is>
      </c>
      <c r="H369" t="inlineStr">
        <is>
          <t>Payment Received</t>
        </is>
      </c>
      <c r="I369" s="8" t="n"/>
      <c r="J369" t="n">
        <v/>
      </c>
      <c r="K369" t="inlineStr">
        <is>
          <t>Escalated invoice INV0015054 to account manager for non-payment.</t>
        </is>
      </c>
    </row>
    <row r="370">
      <c r="A370" t="inlineStr">
        <is>
          <t>COL0009018</t>
        </is>
      </c>
      <c r="B370" t="inlineStr">
        <is>
          <t>MER00711</t>
        </is>
      </c>
      <c r="C370" t="inlineStr">
        <is>
          <t>INV0015055</t>
        </is>
      </c>
      <c r="D370" s="8" t="n">
        <v>45849</v>
      </c>
      <c r="E370" t="inlineStr">
        <is>
          <t>Reminder</t>
        </is>
      </c>
      <c r="F370" t="inlineStr">
        <is>
          <t>Email</t>
        </is>
      </c>
      <c r="G370" t="inlineStr">
        <is>
          <t>Nandini Rajan</t>
        </is>
      </c>
      <c r="H370" t="inlineStr">
        <is>
          <t>No Response</t>
        </is>
      </c>
      <c r="I370" s="8" t="n"/>
      <c r="J370" t="n">
        <v/>
      </c>
      <c r="K370" t="inlineStr">
        <is>
          <t>Automated reminder sent for invoice INV0015055 due 2025-07-02.</t>
        </is>
      </c>
    </row>
    <row r="371">
      <c r="A371" t="inlineStr">
        <is>
          <t>COL0009019</t>
        </is>
      </c>
      <c r="B371" t="inlineStr">
        <is>
          <t>MER00711</t>
        </is>
      </c>
      <c r="C371" t="inlineStr">
        <is>
          <t>INV0015055</t>
        </is>
      </c>
      <c r="D371" s="8" t="n">
        <v>45863</v>
      </c>
      <c r="E371" t="inlineStr">
        <is>
          <t>Email</t>
        </is>
      </c>
      <c r="F371" t="inlineStr">
        <is>
          <t>Email</t>
        </is>
      </c>
      <c r="G371" t="inlineStr">
        <is>
          <t>Shweta Gupta</t>
        </is>
      </c>
      <c r="H371" t="inlineStr">
        <is>
          <t>Promise to Pay</t>
        </is>
      </c>
      <c r="I371" s="8" t="n">
        <v>45871</v>
      </c>
      <c r="J371" t="n">
        <v>3749.4</v>
      </c>
      <c r="K371" t="inlineStr">
        <is>
          <t>Followed up via email regarding outstanding invoice INV0015055.</t>
        </is>
      </c>
    </row>
    <row r="372">
      <c r="A372" t="inlineStr">
        <is>
          <t>COL0009020</t>
        </is>
      </c>
      <c r="B372" t="inlineStr">
        <is>
          <t>MER00711</t>
        </is>
      </c>
      <c r="C372" t="inlineStr">
        <is>
          <t>INV0015055</t>
        </is>
      </c>
      <c r="D372" s="8" t="n">
        <v>45871</v>
      </c>
      <c r="E372" t="inlineStr">
        <is>
          <t>Phone</t>
        </is>
      </c>
      <c r="F372" t="inlineStr">
        <is>
          <t>Phone</t>
        </is>
      </c>
      <c r="G372" t="inlineStr">
        <is>
          <t>Nandini Rajan</t>
        </is>
      </c>
      <c r="H372" t="inlineStr">
        <is>
          <t>No Response</t>
        </is>
      </c>
      <c r="I372" s="8" t="n"/>
      <c r="J372" t="n">
        <v/>
      </c>
      <c r="K372" t="inlineStr">
        <is>
          <t>Called merchant to discuss overdue invoice INV0015055.</t>
        </is>
      </c>
    </row>
    <row r="373">
      <c r="A373" t="inlineStr">
        <is>
          <t>COL0009021</t>
        </is>
      </c>
      <c r="B373" t="inlineStr">
        <is>
          <t>MER00711</t>
        </is>
      </c>
      <c r="C373" t="inlineStr">
        <is>
          <t>INV0015055</t>
        </is>
      </c>
      <c r="D373" s="8" t="n">
        <v>45879</v>
      </c>
      <c r="E373" t="inlineStr">
        <is>
          <t>Escalation</t>
        </is>
      </c>
      <c r="F373" t="inlineStr">
        <is>
          <t>Phone</t>
        </is>
      </c>
      <c r="G373" t="inlineStr">
        <is>
          <t>Farhan Sheikh</t>
        </is>
      </c>
      <c r="H373" t="inlineStr">
        <is>
          <t>Disputed</t>
        </is>
      </c>
      <c r="I373" s="8" t="n"/>
      <c r="J373" t="n">
        <v/>
      </c>
      <c r="K373" t="inlineStr">
        <is>
          <t>Escalated invoice INV0015055 to account manager for non-payment.</t>
        </is>
      </c>
    </row>
    <row r="374">
      <c r="A374" t="inlineStr">
        <is>
          <t>COL0009022</t>
        </is>
      </c>
      <c r="B374" t="inlineStr">
        <is>
          <t>MER00711</t>
        </is>
      </c>
      <c r="C374" t="inlineStr">
        <is>
          <t>INV0015056</t>
        </is>
      </c>
      <c r="D374" s="8" t="n">
        <v>45873</v>
      </c>
      <c r="E374" t="inlineStr">
        <is>
          <t>Reminder</t>
        </is>
      </c>
      <c r="F374" t="inlineStr">
        <is>
          <t>Email</t>
        </is>
      </c>
      <c r="G374" t="inlineStr">
        <is>
          <t>Shweta Gupta</t>
        </is>
      </c>
      <c r="H374" t="inlineStr">
        <is>
          <t>Disputed</t>
        </is>
      </c>
      <c r="I374" s="8" t="n"/>
      <c r="J374" t="n">
        <v/>
      </c>
      <c r="K374" t="inlineStr">
        <is>
          <t>Automated reminder sent for invoice INV0015056 due 2025-08-01.</t>
        </is>
      </c>
    </row>
    <row r="375">
      <c r="A375" t="inlineStr">
        <is>
          <t>COL0009023</t>
        </is>
      </c>
      <c r="B375" t="inlineStr">
        <is>
          <t>MER00711</t>
        </is>
      </c>
      <c r="C375" t="inlineStr">
        <is>
          <t>INV0015056</t>
        </is>
      </c>
      <c r="D375" s="8" t="n">
        <v>45887</v>
      </c>
      <c r="E375" t="inlineStr">
        <is>
          <t>Email</t>
        </is>
      </c>
      <c r="F375" t="inlineStr">
        <is>
          <t>Email</t>
        </is>
      </c>
      <c r="G375" t="inlineStr">
        <is>
          <t>Shweta Gupta</t>
        </is>
      </c>
      <c r="H375" t="inlineStr">
        <is>
          <t>No Response</t>
        </is>
      </c>
      <c r="I375" s="8" t="n"/>
      <c r="J375" t="n">
        <v/>
      </c>
      <c r="K375" t="inlineStr">
        <is>
          <t>Followed up via email regarding outstanding invoice INV0015056.</t>
        </is>
      </c>
    </row>
    <row r="376">
      <c r="A376" t="inlineStr">
        <is>
          <t>COL0009024</t>
        </is>
      </c>
      <c r="B376" t="inlineStr">
        <is>
          <t>MER00711</t>
        </is>
      </c>
      <c r="C376" t="inlineStr">
        <is>
          <t>INV0015056</t>
        </is>
      </c>
      <c r="D376" s="8" t="n">
        <v>45898</v>
      </c>
      <c r="E376" t="inlineStr">
        <is>
          <t>Phone</t>
        </is>
      </c>
      <c r="F376" t="inlineStr">
        <is>
          <t>Phone</t>
        </is>
      </c>
      <c r="G376" t="inlineStr">
        <is>
          <t>Nandini Rajan</t>
        </is>
      </c>
      <c r="H376" t="inlineStr">
        <is>
          <t>Payment Received</t>
        </is>
      </c>
      <c r="I376" s="8" t="n"/>
      <c r="J376" t="n">
        <v/>
      </c>
      <c r="K376" t="inlineStr">
        <is>
          <t>Called merchant to discuss overdue invoice INV0015056.</t>
        </is>
      </c>
    </row>
    <row r="377">
      <c r="A377" t="inlineStr">
        <is>
          <t>COL0009025</t>
        </is>
      </c>
      <c r="B377" t="inlineStr">
        <is>
          <t>MER00711</t>
        </is>
      </c>
      <c r="C377" t="inlineStr">
        <is>
          <t>INV0015057</t>
        </is>
      </c>
      <c r="D377" s="8" t="n">
        <v>45907</v>
      </c>
      <c r="E377" t="inlineStr">
        <is>
          <t>Reminder</t>
        </is>
      </c>
      <c r="F377" t="inlineStr">
        <is>
          <t>Email</t>
        </is>
      </c>
      <c r="G377" t="inlineStr">
        <is>
          <t>Amit Saxena</t>
        </is>
      </c>
      <c r="H377" t="inlineStr">
        <is>
          <t>No Response</t>
        </is>
      </c>
      <c r="I377" s="8" t="n"/>
      <c r="J377" t="n">
        <v/>
      </c>
      <c r="K377" t="inlineStr">
        <is>
          <t>Automated reminder sent for invoice INV0015057 due 2025-09-01.</t>
        </is>
      </c>
    </row>
    <row r="378">
      <c r="A378" t="inlineStr">
        <is>
          <t>COL0009026</t>
        </is>
      </c>
      <c r="B378" t="inlineStr">
        <is>
          <t>MER00711</t>
        </is>
      </c>
      <c r="C378" t="inlineStr">
        <is>
          <t>INV0015057</t>
        </is>
      </c>
      <c r="D378" s="8" t="n">
        <v>45913</v>
      </c>
      <c r="E378" t="inlineStr">
        <is>
          <t>Email</t>
        </is>
      </c>
      <c r="F378" t="inlineStr">
        <is>
          <t>Email</t>
        </is>
      </c>
      <c r="G378" t="inlineStr">
        <is>
          <t>Vivek Nair</t>
        </is>
      </c>
      <c r="H378" t="inlineStr">
        <is>
          <t>No Response</t>
        </is>
      </c>
      <c r="I378" s="8" t="n"/>
      <c r="J378" t="n">
        <v/>
      </c>
      <c r="K378" t="inlineStr">
        <is>
          <t>Followed up via email regarding outstanding invoice INV0015057.</t>
        </is>
      </c>
    </row>
    <row r="379">
      <c r="A379" t="inlineStr">
        <is>
          <t>COL0009027</t>
        </is>
      </c>
      <c r="B379" t="inlineStr">
        <is>
          <t>MER00711</t>
        </is>
      </c>
      <c r="C379" t="inlineStr">
        <is>
          <t>INV0015057</t>
        </is>
      </c>
      <c r="D379" s="8" t="n">
        <v>45919</v>
      </c>
      <c r="E379" t="inlineStr">
        <is>
          <t>Phone</t>
        </is>
      </c>
      <c r="F379" t="inlineStr">
        <is>
          <t>Phone</t>
        </is>
      </c>
      <c r="G379" t="inlineStr">
        <is>
          <t>Shweta Gupta</t>
        </is>
      </c>
      <c r="H379" t="inlineStr">
        <is>
          <t>No Response</t>
        </is>
      </c>
      <c r="I379" s="8" t="n"/>
      <c r="J379" t="n">
        <v/>
      </c>
      <c r="K379" t="inlineStr">
        <is>
          <t>Called merchant to discuss overdue invoice INV0015057.</t>
        </is>
      </c>
    </row>
    <row r="380">
      <c r="A380" t="inlineStr">
        <is>
          <t>COL0009028</t>
        </is>
      </c>
      <c r="B380" t="inlineStr">
        <is>
          <t>MER00711</t>
        </is>
      </c>
      <c r="C380" t="inlineStr">
        <is>
          <t>INV0015058</t>
        </is>
      </c>
      <c r="D380" s="8" t="n">
        <v>45936</v>
      </c>
      <c r="E380" t="inlineStr">
        <is>
          <t>Reminder</t>
        </is>
      </c>
      <c r="F380" t="inlineStr">
        <is>
          <t>Email</t>
        </is>
      </c>
      <c r="G380" t="inlineStr">
        <is>
          <t>Anjali Desai</t>
        </is>
      </c>
      <c r="H380" t="inlineStr">
        <is>
          <t>No Response</t>
        </is>
      </c>
      <c r="I380" s="8" t="n"/>
      <c r="J380" t="n">
        <v/>
      </c>
      <c r="K380" t="inlineStr">
        <is>
          <t>Automated reminder sent for invoice INV0015058 due 2025-10-02.</t>
        </is>
      </c>
    </row>
    <row r="381">
      <c r="A381" t="inlineStr">
        <is>
          <t>COL0009029</t>
        </is>
      </c>
      <c r="B381" t="inlineStr">
        <is>
          <t>MER00711</t>
        </is>
      </c>
      <c r="C381" t="inlineStr">
        <is>
          <t>INV0015058</t>
        </is>
      </c>
      <c r="D381" s="8" t="n">
        <v>45950</v>
      </c>
      <c r="E381" t="inlineStr">
        <is>
          <t>Email</t>
        </is>
      </c>
      <c r="F381" t="inlineStr">
        <is>
          <t>Email</t>
        </is>
      </c>
      <c r="G381" t="inlineStr">
        <is>
          <t>Shweta Gupta</t>
        </is>
      </c>
      <c r="H381" t="inlineStr">
        <is>
          <t>No Response</t>
        </is>
      </c>
      <c r="I381" s="8" t="n"/>
      <c r="J381" t="n">
        <v/>
      </c>
      <c r="K381" t="inlineStr">
        <is>
          <t>Followed up via email regarding outstanding invoice INV0015058.</t>
        </is>
      </c>
    </row>
    <row r="382">
      <c r="A382" t="inlineStr">
        <is>
          <t>COL0009030</t>
        </is>
      </c>
      <c r="B382" t="inlineStr">
        <is>
          <t>MER00711</t>
        </is>
      </c>
      <c r="C382" t="inlineStr">
        <is>
          <t>INV0015058</t>
        </is>
      </c>
      <c r="D382" s="8" t="n">
        <v>45963</v>
      </c>
      <c r="E382" t="inlineStr">
        <is>
          <t>Phone</t>
        </is>
      </c>
      <c r="F382" t="inlineStr">
        <is>
          <t>Phone</t>
        </is>
      </c>
      <c r="G382" t="inlineStr">
        <is>
          <t>Manish Tiwari</t>
        </is>
      </c>
      <c r="H382" t="inlineStr">
        <is>
          <t>Payment Received</t>
        </is>
      </c>
      <c r="I382" s="8" t="n"/>
      <c r="J382" t="n">
        <v/>
      </c>
      <c r="K382" t="inlineStr">
        <is>
          <t>Called merchant to discuss overdue invoice INV0015058.</t>
        </is>
      </c>
    </row>
    <row r="383">
      <c r="A383" t="inlineStr">
        <is>
          <t>COL0009031</t>
        </is>
      </c>
      <c r="B383" t="inlineStr">
        <is>
          <t>MER00711</t>
        </is>
      </c>
      <c r="C383" t="inlineStr">
        <is>
          <t>INV0015059</t>
        </is>
      </c>
      <c r="D383" s="8" t="n">
        <v>45967</v>
      </c>
      <c r="E383" t="inlineStr">
        <is>
          <t>Reminder</t>
        </is>
      </c>
      <c r="F383" t="inlineStr">
        <is>
          <t>Email</t>
        </is>
      </c>
      <c r="G383" t="inlineStr">
        <is>
          <t>Vivek Nair</t>
        </is>
      </c>
      <c r="H383" t="inlineStr">
        <is>
          <t>No Response</t>
        </is>
      </c>
      <c r="I383" s="8" t="n"/>
      <c r="J383" t="n">
        <v/>
      </c>
      <c r="K383" t="inlineStr">
        <is>
          <t>Automated reminder sent for invoice INV0015059 due 2025-11-01.</t>
        </is>
      </c>
    </row>
    <row r="384">
      <c r="A384" t="inlineStr">
        <is>
          <t>COL0009032</t>
        </is>
      </c>
      <c r="B384" t="inlineStr">
        <is>
          <t>MER00711</t>
        </is>
      </c>
      <c r="C384" t="inlineStr">
        <is>
          <t>INV0015059</t>
        </is>
      </c>
      <c r="D384" s="8" t="n">
        <v>45972</v>
      </c>
      <c r="E384" t="inlineStr">
        <is>
          <t>Email</t>
        </is>
      </c>
      <c r="F384" t="inlineStr">
        <is>
          <t>Email</t>
        </is>
      </c>
      <c r="G384" t="inlineStr">
        <is>
          <t>Sanjay Kumar</t>
        </is>
      </c>
      <c r="H384" t="inlineStr">
        <is>
          <t>No Response</t>
        </is>
      </c>
      <c r="I384" s="8" t="n"/>
      <c r="J384" t="n">
        <v/>
      </c>
      <c r="K384" t="inlineStr">
        <is>
          <t>Followed up via email regarding outstanding invoice INV0015059.</t>
        </is>
      </c>
    </row>
    <row r="385">
      <c r="A385" t="inlineStr">
        <is>
          <t>COL0009033</t>
        </is>
      </c>
      <c r="B385" t="inlineStr">
        <is>
          <t>MER00711</t>
        </is>
      </c>
      <c r="C385" t="inlineStr">
        <is>
          <t>INV0015059</t>
        </is>
      </c>
      <c r="D385" s="8" t="n">
        <v>45979</v>
      </c>
      <c r="E385" t="inlineStr">
        <is>
          <t>Phone</t>
        </is>
      </c>
      <c r="F385" t="inlineStr">
        <is>
          <t>Phone</t>
        </is>
      </c>
      <c r="G385" t="inlineStr">
        <is>
          <t>Nandini Rajan</t>
        </is>
      </c>
      <c r="H385" t="inlineStr">
        <is>
          <t>Promise to Pay</t>
        </is>
      </c>
      <c r="I385" s="8" t="n">
        <v>45985</v>
      </c>
      <c r="J385" t="n">
        <v>2622.64</v>
      </c>
      <c r="K385" t="inlineStr">
        <is>
          <t>Called merchant to discuss overdue invoice INV0015059.</t>
        </is>
      </c>
    </row>
    <row r="386">
      <c r="A386" t="inlineStr">
        <is>
          <t>COL0009034</t>
        </is>
      </c>
      <c r="B386" t="inlineStr">
        <is>
          <t>MER00711</t>
        </is>
      </c>
      <c r="C386" t="inlineStr">
        <is>
          <t>INV0015059</t>
        </is>
      </c>
      <c r="D386" s="8" t="n">
        <v>45993</v>
      </c>
      <c r="E386" t="inlineStr">
        <is>
          <t>Escalation</t>
        </is>
      </c>
      <c r="F386" t="inlineStr">
        <is>
          <t>Phone</t>
        </is>
      </c>
      <c r="G386" t="inlineStr">
        <is>
          <t>Nandini Rajan</t>
        </is>
      </c>
      <c r="H386" t="inlineStr">
        <is>
          <t>Disputed</t>
        </is>
      </c>
      <c r="I386" s="8" t="n"/>
      <c r="J386" t="n">
        <v/>
      </c>
      <c r="K386" t="inlineStr">
        <is>
          <t>Escalated invoice INV0015059 to account manager for non-payment.</t>
        </is>
      </c>
    </row>
    <row r="387">
      <c r="A387" t="inlineStr">
        <is>
          <t>COL0009035</t>
        </is>
      </c>
      <c r="B387" t="inlineStr">
        <is>
          <t>MER00711</t>
        </is>
      </c>
      <c r="C387" t="inlineStr">
        <is>
          <t>INV0015059</t>
        </is>
      </c>
      <c r="D387" s="8" t="n">
        <v>46000</v>
      </c>
      <c r="E387" t="inlineStr">
        <is>
          <t>Payment Promise</t>
        </is>
      </c>
      <c r="F387" t="inlineStr">
        <is>
          <t>WhatsApp</t>
        </is>
      </c>
      <c r="G387" t="inlineStr">
        <is>
          <t>Manish Tiwari</t>
        </is>
      </c>
      <c r="H387" t="inlineStr">
        <is>
          <t>Payment Received</t>
        </is>
      </c>
      <c r="I387" s="8" t="n">
        <v>46006</v>
      </c>
      <c r="J387" t="n">
        <v>3075.5</v>
      </c>
      <c r="K387" t="inlineStr">
        <is>
          <t>Merchant committed to paying invoice INV0015059 by 2025-12-15.</t>
        </is>
      </c>
    </row>
    <row r="388">
      <c r="A388" t="inlineStr">
        <is>
          <t>COL0009036</t>
        </is>
      </c>
      <c r="B388" t="inlineStr">
        <is>
          <t>MER00711</t>
        </is>
      </c>
      <c r="C388" t="inlineStr">
        <is>
          <t>INV0015060</t>
        </is>
      </c>
      <c r="D388" s="8" t="n">
        <v>46000</v>
      </c>
      <c r="E388" t="inlineStr">
        <is>
          <t>Reminder</t>
        </is>
      </c>
      <c r="F388" t="inlineStr">
        <is>
          <t>Email</t>
        </is>
      </c>
      <c r="G388" t="inlineStr">
        <is>
          <t>Vivek Nair</t>
        </is>
      </c>
      <c r="H388" t="inlineStr">
        <is>
          <t>No Response</t>
        </is>
      </c>
      <c r="I388" s="8" t="n"/>
      <c r="J388" t="n">
        <v/>
      </c>
      <c r="K388" t="inlineStr">
        <is>
          <t>Automated reminder sent for invoice INV0015060 due 2025-12-02.</t>
        </is>
      </c>
    </row>
    <row r="389">
      <c r="A389" t="inlineStr">
        <is>
          <t>COL0009037</t>
        </is>
      </c>
      <c r="B389" t="inlineStr">
        <is>
          <t>MER00711</t>
        </is>
      </c>
      <c r="C389" t="inlineStr">
        <is>
          <t>INV0015060</t>
        </is>
      </c>
      <c r="D389" s="8" t="n">
        <v>46006</v>
      </c>
      <c r="E389" t="inlineStr">
        <is>
          <t>Email</t>
        </is>
      </c>
      <c r="F389" t="inlineStr">
        <is>
          <t>Email</t>
        </is>
      </c>
      <c r="G389" t="inlineStr">
        <is>
          <t>Shweta Gupta</t>
        </is>
      </c>
      <c r="H389" t="inlineStr">
        <is>
          <t>No Response</t>
        </is>
      </c>
      <c r="I389" s="8" t="n"/>
      <c r="J389" t="n">
        <v/>
      </c>
      <c r="K389" t="inlineStr">
        <is>
          <t>Followed up via email regarding outstanding invoice INV0015060.</t>
        </is>
      </c>
    </row>
    <row r="390">
      <c r="A390" t="inlineStr">
        <is>
          <t>COL0009038</t>
        </is>
      </c>
      <c r="B390" t="inlineStr">
        <is>
          <t>MER00711</t>
        </is>
      </c>
      <c r="C390" t="inlineStr">
        <is>
          <t>INV0015060</t>
        </is>
      </c>
      <c r="D390" s="8" t="n">
        <v>46012</v>
      </c>
      <c r="E390" t="inlineStr">
        <is>
          <t>Phone</t>
        </is>
      </c>
      <c r="F390" t="inlineStr">
        <is>
          <t>Phone</t>
        </is>
      </c>
      <c r="G390" t="inlineStr">
        <is>
          <t>Manish Tiwari</t>
        </is>
      </c>
      <c r="H390" t="inlineStr">
        <is>
          <t>No Response</t>
        </is>
      </c>
      <c r="I390" s="8" t="n"/>
      <c r="J390" t="n">
        <v/>
      </c>
      <c r="K390" t="inlineStr">
        <is>
          <t>Called merchant to discuss overdue invoice INV0015060.</t>
        </is>
      </c>
    </row>
    <row r="391">
      <c r="A391" t="inlineStr">
        <is>
          <t>COL0009039</t>
        </is>
      </c>
      <c r="B391" t="inlineStr">
        <is>
          <t>MER00711</t>
        </is>
      </c>
      <c r="C391" t="inlineStr">
        <is>
          <t>INV0015060</t>
        </is>
      </c>
      <c r="D391" s="8" t="n">
        <v>46019</v>
      </c>
      <c r="E391" t="inlineStr">
        <is>
          <t>Escalation</t>
        </is>
      </c>
      <c r="F391" t="inlineStr">
        <is>
          <t>Phone</t>
        </is>
      </c>
      <c r="G391" t="inlineStr">
        <is>
          <t>Anjali Desai</t>
        </is>
      </c>
      <c r="H391" t="inlineStr">
        <is>
          <t>No Response</t>
        </is>
      </c>
      <c r="I391" s="8" t="n"/>
      <c r="J391" t="n">
        <v/>
      </c>
      <c r="K391" t="inlineStr">
        <is>
          <t>Escalated invoice INV0015060 to account manager for non-payment.</t>
        </is>
      </c>
    </row>
    <row r="392">
      <c r="A392" t="inlineStr">
        <is>
          <t>COL0009040</t>
        </is>
      </c>
      <c r="B392" t="inlineStr">
        <is>
          <t>MER00711</t>
        </is>
      </c>
      <c r="C392" t="inlineStr">
        <is>
          <t>INV0015060</t>
        </is>
      </c>
      <c r="D392" s="8" t="n">
        <v>46028</v>
      </c>
      <c r="E392" t="inlineStr">
        <is>
          <t>Payment Promise</t>
        </is>
      </c>
      <c r="F392" t="inlineStr">
        <is>
          <t>WhatsApp</t>
        </is>
      </c>
      <c r="G392" t="inlineStr">
        <is>
          <t>Vivek Nair</t>
        </is>
      </c>
      <c r="H392" t="inlineStr">
        <is>
          <t>Promise to Pay</t>
        </is>
      </c>
      <c r="I392" s="8" t="n">
        <v>46033</v>
      </c>
      <c r="J392" t="n">
        <v>6414.48</v>
      </c>
      <c r="K392" t="inlineStr">
        <is>
          <t>Merchant committed to paying invoice INV0015060 by 2026-01-11.</t>
        </is>
      </c>
    </row>
    <row r="393">
      <c r="A393" t="inlineStr">
        <is>
          <t>COL0009041</t>
        </is>
      </c>
      <c r="B393" t="inlineStr">
        <is>
          <t>MER00711</t>
        </is>
      </c>
      <c r="C393" t="inlineStr">
        <is>
          <t>INV0015062</t>
        </is>
      </c>
      <c r="D393" s="8" t="n">
        <v>46059</v>
      </c>
      <c r="E393" t="inlineStr">
        <is>
          <t>Reminder</t>
        </is>
      </c>
      <c r="F393" t="inlineStr">
        <is>
          <t>Email</t>
        </is>
      </c>
      <c r="G393" t="inlineStr">
        <is>
          <t>Sanjay Kumar</t>
        </is>
      </c>
      <c r="H393" t="inlineStr">
        <is>
          <t>Disputed</t>
        </is>
      </c>
      <c r="I393" s="8" t="n"/>
      <c r="J393" t="n">
        <v/>
      </c>
      <c r="K393" t="inlineStr">
        <is>
          <t>Automated reminder sent for invoice INV0015062 due 2026-02-01.</t>
        </is>
      </c>
    </row>
    <row r="394">
      <c r="A394" t="inlineStr">
        <is>
          <t>COL0009042</t>
        </is>
      </c>
      <c r="B394" t="inlineStr">
        <is>
          <t>MER00711</t>
        </is>
      </c>
      <c r="C394" t="inlineStr">
        <is>
          <t>INV0015062</t>
        </is>
      </c>
      <c r="D394" s="8" t="n">
        <v>46065</v>
      </c>
      <c r="E394" t="inlineStr">
        <is>
          <t>Email</t>
        </is>
      </c>
      <c r="F394" t="inlineStr">
        <is>
          <t>Email</t>
        </is>
      </c>
      <c r="G394" t="inlineStr">
        <is>
          <t>Farhan Sheikh</t>
        </is>
      </c>
      <c r="H394" t="inlineStr">
        <is>
          <t>Promise to Pay</t>
        </is>
      </c>
      <c r="I394" s="8" t="n">
        <v>46071</v>
      </c>
      <c r="J394" t="n">
        <v>2827.28</v>
      </c>
      <c r="K394" t="inlineStr">
        <is>
          <t>Followed up via email regarding outstanding invoice INV0015062.</t>
        </is>
      </c>
    </row>
    <row r="395">
      <c r="A395" t="inlineStr">
        <is>
          <t>COL0009043</t>
        </is>
      </c>
      <c r="B395" t="inlineStr">
        <is>
          <t>MER00711</t>
        </is>
      </c>
      <c r="C395" t="inlineStr">
        <is>
          <t>INV0015062</t>
        </is>
      </c>
      <c r="D395" s="8" t="n">
        <v>46071</v>
      </c>
      <c r="E395" t="inlineStr">
        <is>
          <t>Phone</t>
        </is>
      </c>
      <c r="F395" t="inlineStr">
        <is>
          <t>Phone</t>
        </is>
      </c>
      <c r="G395" t="inlineStr">
        <is>
          <t>Vivek Nair</t>
        </is>
      </c>
      <c r="H395" t="inlineStr">
        <is>
          <t>No Response</t>
        </is>
      </c>
      <c r="I395" s="8" t="n"/>
      <c r="J395" t="n">
        <v/>
      </c>
      <c r="K395" t="inlineStr">
        <is>
          <t>Called merchant to discuss overdue invoice INV0015062.</t>
        </is>
      </c>
    </row>
    <row r="396">
      <c r="A396" t="inlineStr">
        <is>
          <t>COL0009044</t>
        </is>
      </c>
      <c r="B396" t="inlineStr">
        <is>
          <t>MER00711</t>
        </is>
      </c>
      <c r="C396" t="inlineStr">
        <is>
          <t>INV0015062</t>
        </is>
      </c>
      <c r="D396" s="8" t="n">
        <v>46078</v>
      </c>
      <c r="E396" t="inlineStr">
        <is>
          <t>Escalation</t>
        </is>
      </c>
      <c r="F396" t="inlineStr">
        <is>
          <t>Phone</t>
        </is>
      </c>
      <c r="G396" t="inlineStr">
        <is>
          <t>Ritu Bansal</t>
        </is>
      </c>
      <c r="H396" t="inlineStr">
        <is>
          <t>Escalated</t>
        </is>
      </c>
      <c r="I396" s="8" t="n"/>
      <c r="J396" t="n">
        <v/>
      </c>
      <c r="K396" t="inlineStr">
        <is>
          <t>Escalated invoice INV0015062 to account manager for non-payment.</t>
        </is>
      </c>
    </row>
    <row r="397">
      <c r="A397" t="inlineStr">
        <is>
          <t>COL0009045</t>
        </is>
      </c>
      <c r="B397" t="inlineStr">
        <is>
          <t>MER00711</t>
        </is>
      </c>
      <c r="C397" t="inlineStr">
        <is>
          <t>INV0015062</t>
        </is>
      </c>
      <c r="D397" s="8" t="n">
        <v>46088</v>
      </c>
      <c r="E397" t="inlineStr">
        <is>
          <t>Payment Promise</t>
        </is>
      </c>
      <c r="F397" t="inlineStr">
        <is>
          <t>WhatsApp</t>
        </is>
      </c>
      <c r="G397" t="inlineStr">
        <is>
          <t>Amit Saxena</t>
        </is>
      </c>
      <c r="H397" t="inlineStr">
        <is>
          <t>No Response</t>
        </is>
      </c>
      <c r="I397" s="8" t="n">
        <v>46093</v>
      </c>
      <c r="J397" t="n">
        <v>3225</v>
      </c>
      <c r="K397" t="inlineStr">
        <is>
          <t>Merchant committed to paying invoice INV0015062 by 2026-03-12.</t>
        </is>
      </c>
    </row>
    <row r="398">
      <c r="A398" t="inlineStr">
        <is>
          <t>COL0009046</t>
        </is>
      </c>
      <c r="B398" t="inlineStr">
        <is>
          <t>MER00711</t>
        </is>
      </c>
      <c r="C398" t="inlineStr">
        <is>
          <t>INV0015065</t>
        </is>
      </c>
      <c r="D398" s="8" t="n">
        <v>46152</v>
      </c>
      <c r="E398" t="inlineStr">
        <is>
          <t>Reminder</t>
        </is>
      </c>
      <c r="F398" t="inlineStr">
        <is>
          <t>Email</t>
        </is>
      </c>
      <c r="G398" t="inlineStr">
        <is>
          <t>Ritu Bansal</t>
        </is>
      </c>
      <c r="H398" t="inlineStr">
        <is>
          <t>Promise to Pay</t>
        </is>
      </c>
      <c r="I398" s="8" t="n">
        <v>46155</v>
      </c>
      <c r="J398" t="n">
        <v>3285.33</v>
      </c>
      <c r="K398" t="inlineStr">
        <is>
          <t>Automated reminder sent for invoice INV0015065 due 2026-05-02.</t>
        </is>
      </c>
    </row>
    <row r="399">
      <c r="A399" t="inlineStr">
        <is>
          <t>COL0009047</t>
        </is>
      </c>
      <c r="B399" t="inlineStr">
        <is>
          <t>MER00711</t>
        </is>
      </c>
      <c r="C399" t="inlineStr">
        <is>
          <t>INV0015065</t>
        </is>
      </c>
      <c r="D399" s="8" t="n">
        <v>46164</v>
      </c>
      <c r="E399" t="inlineStr">
        <is>
          <t>Email</t>
        </is>
      </c>
      <c r="F399" t="inlineStr">
        <is>
          <t>Email</t>
        </is>
      </c>
      <c r="G399" t="inlineStr">
        <is>
          <t>Anjali Desai</t>
        </is>
      </c>
      <c r="H399" t="inlineStr">
        <is>
          <t>No Response</t>
        </is>
      </c>
      <c r="I399" s="8" t="n"/>
      <c r="J399" t="n">
        <v/>
      </c>
      <c r="K399" t="inlineStr">
        <is>
          <t>Followed up via email regarding outstanding invoice INV0015065.</t>
        </is>
      </c>
    </row>
    <row r="400">
      <c r="A400" t="inlineStr">
        <is>
          <t>COL0009048</t>
        </is>
      </c>
      <c r="B400" t="inlineStr">
        <is>
          <t>MER00711</t>
        </is>
      </c>
      <c r="C400" t="inlineStr">
        <is>
          <t>INV0015065</t>
        </is>
      </c>
      <c r="D400" s="8" t="n">
        <v>46174</v>
      </c>
      <c r="E400" t="inlineStr">
        <is>
          <t>Phone</t>
        </is>
      </c>
      <c r="F400" t="inlineStr">
        <is>
          <t>Phone</t>
        </is>
      </c>
      <c r="G400" t="inlineStr">
        <is>
          <t>Amit Saxena</t>
        </is>
      </c>
      <c r="H400" t="inlineStr">
        <is>
          <t>No Response</t>
        </is>
      </c>
      <c r="I400" s="8" t="n"/>
      <c r="J400" t="n">
        <v/>
      </c>
      <c r="K400" t="inlineStr">
        <is>
          <t>Called merchant to discuss overdue invoice INV0015065.</t>
        </is>
      </c>
    </row>
    <row r="401">
      <c r="A401" t="inlineStr">
        <is>
          <t>COL0009049</t>
        </is>
      </c>
      <c r="B401" t="inlineStr">
        <is>
          <t>MER00711</t>
        </is>
      </c>
      <c r="C401" t="inlineStr">
        <is>
          <t>INV0015065</t>
        </is>
      </c>
      <c r="D401" s="8" t="n">
        <v>46187</v>
      </c>
      <c r="E401" t="inlineStr">
        <is>
          <t>Escalation</t>
        </is>
      </c>
      <c r="F401" t="inlineStr">
        <is>
          <t>Phone</t>
        </is>
      </c>
      <c r="G401" t="inlineStr">
        <is>
          <t>Sanjay Kumar</t>
        </is>
      </c>
      <c r="H401" t="inlineStr">
        <is>
          <t>Payment Received</t>
        </is>
      </c>
      <c r="I401" s="8" t="n"/>
      <c r="J401" t="n">
        <v/>
      </c>
      <c r="K401" t="inlineStr">
        <is>
          <t>Escalated invoice INV0015065 to account manager for non-payment.</t>
        </is>
      </c>
    </row>
    <row r="402">
      <c r="A402" t="inlineStr">
        <is>
          <t>COL0009050</t>
        </is>
      </c>
      <c r="B402" t="inlineStr">
        <is>
          <t>MER00711</t>
        </is>
      </c>
      <c r="C402" t="inlineStr">
        <is>
          <t>INV0015067</t>
        </is>
      </c>
      <c r="D402" s="8" t="n">
        <v>46209</v>
      </c>
      <c r="E402" t="inlineStr">
        <is>
          <t>Reminder</t>
        </is>
      </c>
      <c r="F402" t="inlineStr">
        <is>
          <t>Email</t>
        </is>
      </c>
      <c r="G402" t="inlineStr">
        <is>
          <t>Sanjay Kumar</t>
        </is>
      </c>
      <c r="H402" t="inlineStr">
        <is>
          <t>Promise to Pay</t>
        </is>
      </c>
      <c r="I402" s="8" t="n">
        <v>46222</v>
      </c>
      <c r="J402" t="n">
        <v>3689.04</v>
      </c>
      <c r="K402" t="inlineStr">
        <is>
          <t>Automated reminder sent for invoice INV0015067 due 2026-07-02.</t>
        </is>
      </c>
    </row>
    <row r="403">
      <c r="A403" t="inlineStr">
        <is>
          <t>COL0009051</t>
        </is>
      </c>
      <c r="B403" t="inlineStr">
        <is>
          <t>MER00711</t>
        </is>
      </c>
      <c r="C403" t="inlineStr">
        <is>
          <t>INV0015067</t>
        </is>
      </c>
      <c r="D403" s="8" t="n">
        <v>46219</v>
      </c>
      <c r="E403" t="inlineStr">
        <is>
          <t>Email</t>
        </is>
      </c>
      <c r="F403" t="inlineStr">
        <is>
          <t>Email</t>
        </is>
      </c>
      <c r="G403" t="inlineStr">
        <is>
          <t>Farhan Sheikh</t>
        </is>
      </c>
      <c r="H403" t="inlineStr">
        <is>
          <t>No Response</t>
        </is>
      </c>
      <c r="I403" s="8" t="n"/>
      <c r="J403" t="n">
        <v/>
      </c>
      <c r="K403" t="inlineStr">
        <is>
          <t>Followed up via email regarding outstanding invoice INV0015067.</t>
        </is>
      </c>
    </row>
    <row r="404">
      <c r="A404" t="inlineStr">
        <is>
          <t>COL0009052</t>
        </is>
      </c>
      <c r="B404" t="inlineStr">
        <is>
          <t>MER00711</t>
        </is>
      </c>
      <c r="C404" t="inlineStr">
        <is>
          <t>INV0015067</t>
        </is>
      </c>
      <c r="D404" s="8" t="n">
        <v>46224</v>
      </c>
      <c r="E404" t="inlineStr">
        <is>
          <t>Phone</t>
        </is>
      </c>
      <c r="F404" t="inlineStr">
        <is>
          <t>Phone</t>
        </is>
      </c>
      <c r="G404" t="inlineStr">
        <is>
          <t>Nandini Rajan</t>
        </is>
      </c>
      <c r="H404" t="inlineStr">
        <is>
          <t>No Response</t>
        </is>
      </c>
      <c r="I404" s="8" t="n"/>
      <c r="J404" t="n">
        <v/>
      </c>
      <c r="K404" t="inlineStr">
        <is>
          <t>Called merchant to discuss overdue invoice INV0015067.</t>
        </is>
      </c>
    </row>
    <row r="405">
      <c r="A405" t="inlineStr">
        <is>
          <t>COL0009053</t>
        </is>
      </c>
      <c r="B405" t="inlineStr">
        <is>
          <t>MER00711</t>
        </is>
      </c>
      <c r="C405" t="inlineStr">
        <is>
          <t>INV0015068</t>
        </is>
      </c>
      <c r="D405" s="8" t="n">
        <v>46240</v>
      </c>
      <c r="E405" t="inlineStr">
        <is>
          <t>Reminder</t>
        </is>
      </c>
      <c r="F405" t="inlineStr">
        <is>
          <t>Email</t>
        </is>
      </c>
      <c r="G405" t="inlineStr">
        <is>
          <t>Amit Saxena</t>
        </is>
      </c>
      <c r="H405" t="inlineStr">
        <is>
          <t>No Response</t>
        </is>
      </c>
      <c r="I405" s="8" t="n"/>
      <c r="J405" t="n">
        <v/>
      </c>
      <c r="K405" t="inlineStr">
        <is>
          <t>Automated reminder sent for invoice INV0015068 due 2026-08-01.</t>
        </is>
      </c>
    </row>
    <row r="406">
      <c r="A406" t="inlineStr">
        <is>
          <t>COL0009054</t>
        </is>
      </c>
      <c r="B406" t="inlineStr">
        <is>
          <t>MER00711</t>
        </is>
      </c>
      <c r="C406" t="inlineStr">
        <is>
          <t>INV0015068</t>
        </is>
      </c>
      <c r="D406" s="8" t="n">
        <v>46254</v>
      </c>
      <c r="E406" t="inlineStr">
        <is>
          <t>Email</t>
        </is>
      </c>
      <c r="F406" t="inlineStr">
        <is>
          <t>Email</t>
        </is>
      </c>
      <c r="G406" t="inlineStr">
        <is>
          <t>Manish Tiwari</t>
        </is>
      </c>
      <c r="H406" t="inlineStr">
        <is>
          <t>Disputed</t>
        </is>
      </c>
      <c r="I406" s="8" t="n"/>
      <c r="J406" t="n">
        <v/>
      </c>
      <c r="K406" t="inlineStr">
        <is>
          <t>Followed up via email regarding outstanding invoice INV0015068.</t>
        </is>
      </c>
    </row>
    <row r="407">
      <c r="A407" t="inlineStr">
        <is>
          <t>COL0009055</t>
        </is>
      </c>
      <c r="B407" t="inlineStr">
        <is>
          <t>MER00711</t>
        </is>
      </c>
      <c r="C407" t="inlineStr">
        <is>
          <t>INV0015068</t>
        </is>
      </c>
      <c r="D407" s="8" t="n">
        <v>46265</v>
      </c>
      <c r="E407" t="inlineStr">
        <is>
          <t>Phone</t>
        </is>
      </c>
      <c r="F407" t="inlineStr">
        <is>
          <t>Phone</t>
        </is>
      </c>
      <c r="G407" t="inlineStr">
        <is>
          <t>Manish Tiwari</t>
        </is>
      </c>
      <c r="H407" t="inlineStr">
        <is>
          <t>Promise to Pay</t>
        </is>
      </c>
      <c r="I407" s="8" t="n">
        <v>46273</v>
      </c>
      <c r="J407" t="n">
        <v>3718.45</v>
      </c>
      <c r="K407" t="inlineStr">
        <is>
          <t>Called merchant to discuss overdue invoice INV0015068.</t>
        </is>
      </c>
    </row>
    <row r="408">
      <c r="A408" t="inlineStr">
        <is>
          <t>COL0009056</t>
        </is>
      </c>
      <c r="B408" t="inlineStr">
        <is>
          <t>MER00711</t>
        </is>
      </c>
      <c r="C408" t="inlineStr">
        <is>
          <t>INV0015068</t>
        </is>
      </c>
      <c r="D408" s="8" t="n">
        <v>46271</v>
      </c>
      <c r="E408" t="inlineStr">
        <is>
          <t>Escalation</t>
        </is>
      </c>
      <c r="F408" t="inlineStr">
        <is>
          <t>Phone</t>
        </is>
      </c>
      <c r="G408" t="inlineStr">
        <is>
          <t>Shweta Gupta</t>
        </is>
      </c>
      <c r="H408" t="inlineStr">
        <is>
          <t>Escalated</t>
        </is>
      </c>
      <c r="I408" s="8" t="n"/>
      <c r="J408" t="n">
        <v/>
      </c>
      <c r="K408" t="inlineStr">
        <is>
          <t>Escalated invoice INV0015068 to account manager for non-payment.</t>
        </is>
      </c>
    </row>
    <row r="409">
      <c r="A409" t="inlineStr">
        <is>
          <t>COL0009057</t>
        </is>
      </c>
      <c r="B409" t="inlineStr">
        <is>
          <t>MER00711</t>
        </is>
      </c>
      <c r="C409" t="inlineStr">
        <is>
          <t>INV0015068</t>
        </is>
      </c>
      <c r="D409" s="8" t="n">
        <v>46277</v>
      </c>
      <c r="E409" t="inlineStr">
        <is>
          <t>Payment Promise</t>
        </is>
      </c>
      <c r="F409" t="inlineStr">
        <is>
          <t>WhatsApp</t>
        </is>
      </c>
      <c r="G409" t="inlineStr">
        <is>
          <t>Vivek Nair</t>
        </is>
      </c>
      <c r="H409" t="inlineStr">
        <is>
          <t>No Response</t>
        </is>
      </c>
      <c r="I409" s="8" t="n">
        <v>46283</v>
      </c>
      <c r="J409" t="n">
        <v>2952.33</v>
      </c>
      <c r="K409" t="inlineStr">
        <is>
          <t>Merchant committed to paying invoice INV0015068 by 2026-09-18.</t>
        </is>
      </c>
    </row>
    <row r="410">
      <c r="A410" t="inlineStr">
        <is>
          <t>COL0009058</t>
        </is>
      </c>
      <c r="B410" t="inlineStr">
        <is>
          <t>MER00712</t>
        </is>
      </c>
      <c r="C410" t="inlineStr">
        <is>
          <t>INV0015087</t>
        </is>
      </c>
      <c r="D410" s="8" t="n">
        <v>46089</v>
      </c>
      <c r="E410" t="inlineStr">
        <is>
          <t>Reminder</t>
        </is>
      </c>
      <c r="F410" t="inlineStr">
        <is>
          <t>Email</t>
        </is>
      </c>
      <c r="G410" t="inlineStr">
        <is>
          <t>Vivek Nair</t>
        </is>
      </c>
      <c r="H410" t="inlineStr">
        <is>
          <t>No Response</t>
        </is>
      </c>
      <c r="I410" s="8" t="n"/>
      <c r="J410" t="n">
        <v/>
      </c>
      <c r="K410" t="inlineStr">
        <is>
          <t>Automated reminder sent for invoice INV0015087 due 2026-03-04.</t>
        </is>
      </c>
    </row>
    <row r="411">
      <c r="A411" t="inlineStr">
        <is>
          <t>COL0009059</t>
        </is>
      </c>
      <c r="B411" t="inlineStr">
        <is>
          <t>MER00712</t>
        </is>
      </c>
      <c r="C411" t="inlineStr">
        <is>
          <t>INV0015087</t>
        </is>
      </c>
      <c r="D411" s="8" t="n">
        <v>46100</v>
      </c>
      <c r="E411" t="inlineStr">
        <is>
          <t>Email</t>
        </is>
      </c>
      <c r="F411" t="inlineStr">
        <is>
          <t>Email</t>
        </is>
      </c>
      <c r="G411" t="inlineStr">
        <is>
          <t>Nandini Rajan</t>
        </is>
      </c>
      <c r="H411" t="inlineStr">
        <is>
          <t>Promise to Pay</t>
        </is>
      </c>
      <c r="I411" s="8" t="n">
        <v>46112</v>
      </c>
      <c r="J411" t="n">
        <v>1176</v>
      </c>
      <c r="K411" t="inlineStr">
        <is>
          <t>Followed up via email regarding outstanding invoice INV0015087.</t>
        </is>
      </c>
    </row>
    <row r="412">
      <c r="A412" t="inlineStr">
        <is>
          <t>COL0009060</t>
        </is>
      </c>
      <c r="B412" t="inlineStr">
        <is>
          <t>MER00712</t>
        </is>
      </c>
      <c r="C412" t="inlineStr">
        <is>
          <t>INV0015087</t>
        </is>
      </c>
      <c r="D412" s="8" t="n">
        <v>46110</v>
      </c>
      <c r="E412" t="inlineStr">
        <is>
          <t>Phone</t>
        </is>
      </c>
      <c r="F412" t="inlineStr">
        <is>
          <t>Phone</t>
        </is>
      </c>
      <c r="G412" t="inlineStr">
        <is>
          <t>Manish Tiwari</t>
        </is>
      </c>
      <c r="H412" t="inlineStr">
        <is>
          <t>No Response</t>
        </is>
      </c>
      <c r="I412" s="8" t="n"/>
      <c r="J412" t="n">
        <v/>
      </c>
      <c r="K412" t="inlineStr">
        <is>
          <t>Called merchant to discuss overdue invoice INV0015087.</t>
        </is>
      </c>
    </row>
    <row r="413">
      <c r="A413" t="inlineStr">
        <is>
          <t>COL0009061</t>
        </is>
      </c>
      <c r="B413" t="inlineStr">
        <is>
          <t>MER00712</t>
        </is>
      </c>
      <c r="C413" t="inlineStr">
        <is>
          <t>INV0015089</t>
        </is>
      </c>
      <c r="D413" s="8" t="n">
        <v>46148</v>
      </c>
      <c r="E413" t="inlineStr">
        <is>
          <t>Reminder</t>
        </is>
      </c>
      <c r="F413" t="inlineStr">
        <is>
          <t>Email</t>
        </is>
      </c>
      <c r="G413" t="inlineStr">
        <is>
          <t>Anjali Desai</t>
        </is>
      </c>
      <c r="H413" t="inlineStr">
        <is>
          <t>Promise to Pay</t>
        </is>
      </c>
      <c r="I413" s="8" t="n">
        <v>46153</v>
      </c>
      <c r="J413" t="n">
        <v>644.76</v>
      </c>
      <c r="K413" t="inlineStr">
        <is>
          <t>Automated reminder sent for invoice INV0015089 due 2026-05-02.</t>
        </is>
      </c>
    </row>
    <row r="414">
      <c r="A414" t="inlineStr">
        <is>
          <t>COL0009062</t>
        </is>
      </c>
      <c r="B414" t="inlineStr">
        <is>
          <t>MER00712</t>
        </is>
      </c>
      <c r="C414" t="inlineStr">
        <is>
          <t>INV0015089</t>
        </is>
      </c>
      <c r="D414" s="8" t="n">
        <v>46161</v>
      </c>
      <c r="E414" t="inlineStr">
        <is>
          <t>Email</t>
        </is>
      </c>
      <c r="F414" t="inlineStr">
        <is>
          <t>Email</t>
        </is>
      </c>
      <c r="G414" t="inlineStr">
        <is>
          <t>Anjali Desai</t>
        </is>
      </c>
      <c r="H414" t="inlineStr">
        <is>
          <t>Promise to Pay</t>
        </is>
      </c>
      <c r="I414" s="8" t="n">
        <v>46166</v>
      </c>
      <c r="J414" t="n">
        <v>1053.17</v>
      </c>
      <c r="K414" t="inlineStr">
        <is>
          <t>Followed up via email regarding outstanding invoice INV0015089.</t>
        </is>
      </c>
    </row>
    <row r="415">
      <c r="A415" t="inlineStr">
        <is>
          <t>COL0009267</t>
        </is>
      </c>
      <c r="B415" t="inlineStr">
        <is>
          <t>MER00726</t>
        </is>
      </c>
      <c r="C415" t="inlineStr">
        <is>
          <t>INV0015375</t>
        </is>
      </c>
      <c r="D415" s="8" t="n">
        <v>45574</v>
      </c>
      <c r="E415" t="inlineStr">
        <is>
          <t>Reminder</t>
        </is>
      </c>
      <c r="F415" t="inlineStr">
        <is>
          <t>Email</t>
        </is>
      </c>
      <c r="G415" t="inlineStr">
        <is>
          <t>Vivek Nair</t>
        </is>
      </c>
      <c r="H415" t="inlineStr">
        <is>
          <t>No Response</t>
        </is>
      </c>
      <c r="I415" s="8" t="n"/>
      <c r="J415" t="n">
        <v/>
      </c>
      <c r="K415" t="inlineStr">
        <is>
          <t>Automated reminder sent for invoice INV0015375 due 2024-10-02.</t>
        </is>
      </c>
    </row>
    <row r="416">
      <c r="A416" t="inlineStr">
        <is>
          <t>COL0009268</t>
        </is>
      </c>
      <c r="B416" t="inlineStr">
        <is>
          <t>MER00726</t>
        </is>
      </c>
      <c r="C416" t="inlineStr">
        <is>
          <t>INV0015375</t>
        </is>
      </c>
      <c r="D416" s="8" t="n">
        <v>45581</v>
      </c>
      <c r="E416" t="inlineStr">
        <is>
          <t>Email</t>
        </is>
      </c>
      <c r="F416" t="inlineStr">
        <is>
          <t>Email</t>
        </is>
      </c>
      <c r="G416" t="inlineStr">
        <is>
          <t>Amit Saxena</t>
        </is>
      </c>
      <c r="H416" t="inlineStr">
        <is>
          <t>Promise to Pay</t>
        </is>
      </c>
      <c r="I416" s="8" t="n">
        <v>45595</v>
      </c>
      <c r="J416" t="n">
        <v>43.5</v>
      </c>
      <c r="K416" t="inlineStr">
        <is>
          <t>Followed up via email regarding outstanding invoice INV0015375.</t>
        </is>
      </c>
    </row>
    <row r="417">
      <c r="A417" t="inlineStr">
        <is>
          <t>COL0009269</t>
        </is>
      </c>
      <c r="B417" t="inlineStr">
        <is>
          <t>MER00726</t>
        </is>
      </c>
      <c r="C417" t="inlineStr">
        <is>
          <t>INV0015375</t>
        </is>
      </c>
      <c r="D417" s="8" t="n">
        <v>45588</v>
      </c>
      <c r="E417" t="inlineStr">
        <is>
          <t>Phone</t>
        </is>
      </c>
      <c r="F417" t="inlineStr">
        <is>
          <t>Phone</t>
        </is>
      </c>
      <c r="G417" t="inlineStr">
        <is>
          <t>Ritu Bansal</t>
        </is>
      </c>
      <c r="H417" t="inlineStr">
        <is>
          <t>No Response</t>
        </is>
      </c>
      <c r="I417" s="8" t="n"/>
      <c r="J417" t="n">
        <v/>
      </c>
      <c r="K417" t="inlineStr">
        <is>
          <t>Called merchant to discuss overdue invoice INV0015375.</t>
        </is>
      </c>
    </row>
    <row r="418">
      <c r="A418" t="inlineStr">
        <is>
          <t>COL0009270</t>
        </is>
      </c>
      <c r="B418" t="inlineStr">
        <is>
          <t>MER00726</t>
        </is>
      </c>
      <c r="C418" t="inlineStr">
        <is>
          <t>INV0015375</t>
        </is>
      </c>
      <c r="D418" s="8" t="n">
        <v>45597</v>
      </c>
      <c r="E418" t="inlineStr">
        <is>
          <t>Escalation</t>
        </is>
      </c>
      <c r="F418" t="inlineStr">
        <is>
          <t>Phone</t>
        </is>
      </c>
      <c r="G418" t="inlineStr">
        <is>
          <t>Vivek Nair</t>
        </is>
      </c>
      <c r="H418" t="inlineStr">
        <is>
          <t>Escalated</t>
        </is>
      </c>
      <c r="I418" s="8" t="n"/>
      <c r="J418" t="n">
        <v/>
      </c>
      <c r="K418" t="inlineStr">
        <is>
          <t>Escalated invoice INV0015375 to account manager for non-payment.</t>
        </is>
      </c>
    </row>
    <row r="419">
      <c r="A419" t="inlineStr">
        <is>
          <t>COL0009271</t>
        </is>
      </c>
      <c r="B419" t="inlineStr">
        <is>
          <t>MER00726</t>
        </is>
      </c>
      <c r="C419" t="inlineStr">
        <is>
          <t>INV0015375</t>
        </is>
      </c>
      <c r="D419" s="8" t="n">
        <v>45604</v>
      </c>
      <c r="E419" t="inlineStr">
        <is>
          <t>Payment Promise</t>
        </is>
      </c>
      <c r="F419" t="inlineStr">
        <is>
          <t>WhatsApp</t>
        </is>
      </c>
      <c r="G419" t="inlineStr">
        <is>
          <t>Shweta Gupta</t>
        </is>
      </c>
      <c r="H419" t="inlineStr">
        <is>
          <t>No Response</t>
        </is>
      </c>
      <c r="I419" s="8" t="n">
        <v>45613</v>
      </c>
      <c r="J419" t="n">
        <v>42.39</v>
      </c>
      <c r="K419" t="inlineStr">
        <is>
          <t>Merchant committed to paying invoice INV0015375 by 2024-11-17.</t>
        </is>
      </c>
    </row>
    <row r="420">
      <c r="A420" t="inlineStr">
        <is>
          <t>COL0009272</t>
        </is>
      </c>
      <c r="B420" t="inlineStr">
        <is>
          <t>MER00726</t>
        </is>
      </c>
      <c r="C420" t="inlineStr">
        <is>
          <t>INV0015377</t>
        </is>
      </c>
      <c r="D420" s="8" t="n">
        <v>45636</v>
      </c>
      <c r="E420" t="inlineStr">
        <is>
          <t>Reminder</t>
        </is>
      </c>
      <c r="F420" t="inlineStr">
        <is>
          <t>Email</t>
        </is>
      </c>
      <c r="G420" t="inlineStr">
        <is>
          <t>Sanjay Kumar</t>
        </is>
      </c>
      <c r="H420" t="inlineStr">
        <is>
          <t>Promise to Pay</t>
        </is>
      </c>
      <c r="I420" s="8" t="n">
        <v>45644</v>
      </c>
      <c r="J420" t="n">
        <v>121.55</v>
      </c>
      <c r="K420" t="inlineStr">
        <is>
          <t>Automated reminder sent for invoice INV0015377 due 2024-12-02.</t>
        </is>
      </c>
    </row>
    <row r="421">
      <c r="A421" t="inlineStr">
        <is>
          <t>COL0009273</t>
        </is>
      </c>
      <c r="B421" t="inlineStr">
        <is>
          <t>MER00726</t>
        </is>
      </c>
      <c r="C421" t="inlineStr">
        <is>
          <t>INV0015377</t>
        </is>
      </c>
      <c r="D421" s="8" t="n">
        <v>45642</v>
      </c>
      <c r="E421" t="inlineStr">
        <is>
          <t>Email</t>
        </is>
      </c>
      <c r="F421" t="inlineStr">
        <is>
          <t>Email</t>
        </is>
      </c>
      <c r="G421" t="inlineStr">
        <is>
          <t>Amit Saxena</t>
        </is>
      </c>
      <c r="H421" t="inlineStr">
        <is>
          <t>No Response</t>
        </is>
      </c>
      <c r="I421" s="8" t="n"/>
      <c r="J421" t="n">
        <v/>
      </c>
      <c r="K421" t="inlineStr">
        <is>
          <t>Followed up via email regarding outstanding invoice INV0015377.</t>
        </is>
      </c>
    </row>
    <row r="422">
      <c r="A422" t="inlineStr">
        <is>
          <t>COL0009274</t>
        </is>
      </c>
      <c r="B422" t="inlineStr">
        <is>
          <t>MER00726</t>
        </is>
      </c>
      <c r="C422" t="inlineStr">
        <is>
          <t>INV0015377</t>
        </is>
      </c>
      <c r="D422" s="8" t="n">
        <v>45651</v>
      </c>
      <c r="E422" t="inlineStr">
        <is>
          <t>Phone</t>
        </is>
      </c>
      <c r="F422" t="inlineStr">
        <is>
          <t>Phone</t>
        </is>
      </c>
      <c r="G422" t="inlineStr">
        <is>
          <t>Amit Saxena</t>
        </is>
      </c>
      <c r="H422" t="inlineStr">
        <is>
          <t>No Response</t>
        </is>
      </c>
      <c r="I422" s="8" t="n"/>
      <c r="J422" t="n">
        <v/>
      </c>
      <c r="K422" t="inlineStr">
        <is>
          <t>Called merchant to discuss overdue invoice INV0015377.</t>
        </is>
      </c>
    </row>
    <row r="423">
      <c r="A423" t="inlineStr">
        <is>
          <t>COL0009275</t>
        </is>
      </c>
      <c r="B423" t="inlineStr">
        <is>
          <t>MER00726</t>
        </is>
      </c>
      <c r="C423" t="inlineStr">
        <is>
          <t>INV0015377</t>
        </is>
      </c>
      <c r="D423" s="8" t="n">
        <v>45665</v>
      </c>
      <c r="E423" t="inlineStr">
        <is>
          <t>Escalation</t>
        </is>
      </c>
      <c r="F423" t="inlineStr">
        <is>
          <t>Phone</t>
        </is>
      </c>
      <c r="G423" t="inlineStr">
        <is>
          <t>Vivek Nair</t>
        </is>
      </c>
      <c r="H423" t="inlineStr">
        <is>
          <t>Escalated</t>
        </is>
      </c>
      <c r="I423" s="8" t="n"/>
      <c r="J423" t="n">
        <v/>
      </c>
      <c r="K423" t="inlineStr">
        <is>
          <t>Escalated invoice INV0015377 to account manager for non-payment.</t>
        </is>
      </c>
    </row>
    <row r="424">
      <c r="A424" t="inlineStr">
        <is>
          <t>COL0009276</t>
        </is>
      </c>
      <c r="B424" t="inlineStr">
        <is>
          <t>MER00726</t>
        </is>
      </c>
      <c r="C424" t="inlineStr">
        <is>
          <t>INV0015377</t>
        </is>
      </c>
      <c r="D424" s="8" t="n">
        <v>45673</v>
      </c>
      <c r="E424" t="inlineStr">
        <is>
          <t>Payment Promise</t>
        </is>
      </c>
      <c r="F424" t="inlineStr">
        <is>
          <t>WhatsApp</t>
        </is>
      </c>
      <c r="G424" t="inlineStr">
        <is>
          <t>Farhan Sheikh</t>
        </is>
      </c>
      <c r="H424" t="inlineStr">
        <is>
          <t>Payment Received</t>
        </is>
      </c>
      <c r="I424" s="8" t="n">
        <v>45682</v>
      </c>
      <c r="J424" t="n">
        <v>79.55</v>
      </c>
      <c r="K424" t="inlineStr">
        <is>
          <t>Merchant committed to paying invoice INV0015377 by 2025-01-25.</t>
        </is>
      </c>
    </row>
    <row r="425">
      <c r="A425" t="inlineStr">
        <is>
          <t>COL0009277</t>
        </is>
      </c>
      <c r="B425" t="inlineStr">
        <is>
          <t>MER00726</t>
        </is>
      </c>
      <c r="C425" t="inlineStr">
        <is>
          <t>INV0015378</t>
        </is>
      </c>
      <c r="D425" s="8" t="n">
        <v>45665</v>
      </c>
      <c r="E425" t="inlineStr">
        <is>
          <t>Reminder</t>
        </is>
      </c>
      <c r="F425" t="inlineStr">
        <is>
          <t>Email</t>
        </is>
      </c>
      <c r="G425" t="inlineStr">
        <is>
          <t>Manish Tiwari</t>
        </is>
      </c>
      <c r="H425" t="inlineStr">
        <is>
          <t>No Response</t>
        </is>
      </c>
      <c r="I425" s="8" t="n"/>
      <c r="J425" t="n">
        <v/>
      </c>
      <c r="K425" t="inlineStr">
        <is>
          <t>Automated reminder sent for invoice INV0015378 due 2025-01-01.</t>
        </is>
      </c>
    </row>
    <row r="426">
      <c r="A426" t="inlineStr">
        <is>
          <t>COL0009278</t>
        </is>
      </c>
      <c r="B426" t="inlineStr">
        <is>
          <t>MER00726</t>
        </is>
      </c>
      <c r="C426" t="inlineStr">
        <is>
          <t>INV0015378</t>
        </is>
      </c>
      <c r="D426" s="8" t="n">
        <v>45674</v>
      </c>
      <c r="E426" t="inlineStr">
        <is>
          <t>Email</t>
        </is>
      </c>
      <c r="F426" t="inlineStr">
        <is>
          <t>Email</t>
        </is>
      </c>
      <c r="G426" t="inlineStr">
        <is>
          <t>Shweta Gupta</t>
        </is>
      </c>
      <c r="H426" t="inlineStr">
        <is>
          <t>Promise to Pay</t>
        </is>
      </c>
      <c r="I426" s="8" t="n">
        <v>45677</v>
      </c>
      <c r="J426" t="n">
        <v>194.49</v>
      </c>
      <c r="K426" t="inlineStr">
        <is>
          <t>Followed up via email regarding outstanding invoice INV0015378.</t>
        </is>
      </c>
    </row>
    <row r="427">
      <c r="A427" t="inlineStr">
        <is>
          <t>COL0009279</t>
        </is>
      </c>
      <c r="B427" t="inlineStr">
        <is>
          <t>MER00726</t>
        </is>
      </c>
      <c r="C427" t="inlineStr">
        <is>
          <t>INV0015378</t>
        </is>
      </c>
      <c r="D427" s="8" t="n">
        <v>45682</v>
      </c>
      <c r="E427" t="inlineStr">
        <is>
          <t>Phone</t>
        </is>
      </c>
      <c r="F427" t="inlineStr">
        <is>
          <t>Phone</t>
        </is>
      </c>
      <c r="G427" t="inlineStr">
        <is>
          <t>Amit Saxena</t>
        </is>
      </c>
      <c r="H427" t="inlineStr">
        <is>
          <t>Promise to Pay</t>
        </is>
      </c>
      <c r="I427" s="8" t="n">
        <v>45694</v>
      </c>
      <c r="J427" t="n">
        <v>204.73</v>
      </c>
      <c r="K427" t="inlineStr">
        <is>
          <t>Called merchant to discuss overdue invoice INV0015378.</t>
        </is>
      </c>
    </row>
    <row r="428">
      <c r="A428" t="inlineStr">
        <is>
          <t>COL0009280</t>
        </is>
      </c>
      <c r="B428" t="inlineStr">
        <is>
          <t>MER00726</t>
        </is>
      </c>
      <c r="C428" t="inlineStr">
        <is>
          <t>INV0015378</t>
        </is>
      </c>
      <c r="D428" s="8" t="n">
        <v>45693</v>
      </c>
      <c r="E428" t="inlineStr">
        <is>
          <t>Escalation</t>
        </is>
      </c>
      <c r="F428" t="inlineStr">
        <is>
          <t>Phone</t>
        </is>
      </c>
      <c r="G428" t="inlineStr">
        <is>
          <t>Shweta Gupta</t>
        </is>
      </c>
      <c r="H428" t="inlineStr">
        <is>
          <t>Escalated</t>
        </is>
      </c>
      <c r="I428" s="8" t="n"/>
      <c r="J428" t="n">
        <v/>
      </c>
      <c r="K428" t="inlineStr">
        <is>
          <t>Escalated invoice INV0015378 to account manager for non-payment.</t>
        </is>
      </c>
    </row>
    <row r="429">
      <c r="A429" t="inlineStr">
        <is>
          <t>COL0009281</t>
        </is>
      </c>
      <c r="B429" t="inlineStr">
        <is>
          <t>MER00726</t>
        </is>
      </c>
      <c r="C429" t="inlineStr">
        <is>
          <t>INV0015378</t>
        </is>
      </c>
      <c r="D429" s="8" t="n">
        <v>45704</v>
      </c>
      <c r="E429" t="inlineStr">
        <is>
          <t>Payment Promise</t>
        </is>
      </c>
      <c r="F429" t="inlineStr">
        <is>
          <t>WhatsApp</t>
        </is>
      </c>
      <c r="G429" t="inlineStr">
        <is>
          <t>Vivek Nair</t>
        </is>
      </c>
      <c r="H429" t="inlineStr">
        <is>
          <t>Promise to Pay</t>
        </is>
      </c>
      <c r="I429" s="8" t="n">
        <v>45714</v>
      </c>
      <c r="J429" t="n">
        <v>243.34</v>
      </c>
      <c r="K429" t="inlineStr">
        <is>
          <t>Merchant committed to paying invoice INV0015378 by 2025-02-26.</t>
        </is>
      </c>
    </row>
    <row r="430">
      <c r="A430" t="inlineStr">
        <is>
          <t>COL0009282</t>
        </is>
      </c>
      <c r="B430" t="inlineStr">
        <is>
          <t>MER00726</t>
        </is>
      </c>
      <c r="C430" t="inlineStr">
        <is>
          <t>INV0015383</t>
        </is>
      </c>
      <c r="D430" s="8" t="n">
        <v>45813</v>
      </c>
      <c r="E430" t="inlineStr">
        <is>
          <t>Reminder</t>
        </is>
      </c>
      <c r="F430" t="inlineStr">
        <is>
          <t>Email</t>
        </is>
      </c>
      <c r="G430" t="inlineStr">
        <is>
          <t>Amit Saxena</t>
        </is>
      </c>
      <c r="H430" t="inlineStr">
        <is>
          <t>Disputed</t>
        </is>
      </c>
      <c r="I430" s="8" t="n"/>
      <c r="J430" t="n">
        <v/>
      </c>
      <c r="K430" t="inlineStr">
        <is>
          <t>Automated reminder sent for invoice INV0015383 due 2025-06-01.</t>
        </is>
      </c>
    </row>
    <row r="431">
      <c r="A431" t="inlineStr">
        <is>
          <t>COL0009283</t>
        </is>
      </c>
      <c r="B431" t="inlineStr">
        <is>
          <t>MER00726</t>
        </is>
      </c>
      <c r="C431" t="inlineStr">
        <is>
          <t>INV0015383</t>
        </is>
      </c>
      <c r="D431" s="8" t="n">
        <v>45827</v>
      </c>
      <c r="E431" t="inlineStr">
        <is>
          <t>Email</t>
        </is>
      </c>
      <c r="F431" t="inlineStr">
        <is>
          <t>Email</t>
        </is>
      </c>
      <c r="G431" t="inlineStr">
        <is>
          <t>Sanjay Kumar</t>
        </is>
      </c>
      <c r="H431" t="inlineStr">
        <is>
          <t>No Response</t>
        </is>
      </c>
      <c r="I431" s="8" t="n"/>
      <c r="J431" t="n">
        <v/>
      </c>
      <c r="K431" t="inlineStr">
        <is>
          <t>Followed up via email regarding outstanding invoice INV0015383.</t>
        </is>
      </c>
    </row>
    <row r="432">
      <c r="A432" t="inlineStr">
        <is>
          <t>COL0009284</t>
        </is>
      </c>
      <c r="B432" t="inlineStr">
        <is>
          <t>MER00726</t>
        </is>
      </c>
      <c r="C432" t="inlineStr">
        <is>
          <t>INV0015383</t>
        </is>
      </c>
      <c r="D432" s="8" t="n">
        <v>45839</v>
      </c>
      <c r="E432" t="inlineStr">
        <is>
          <t>Phone</t>
        </is>
      </c>
      <c r="F432" t="inlineStr">
        <is>
          <t>Phone</t>
        </is>
      </c>
      <c r="G432" t="inlineStr">
        <is>
          <t>Anjali Desai</t>
        </is>
      </c>
      <c r="H432" t="inlineStr">
        <is>
          <t>No Response</t>
        </is>
      </c>
      <c r="I432" s="8" t="n"/>
      <c r="J432" t="n">
        <v/>
      </c>
      <c r="K432" t="inlineStr">
        <is>
          <t>Called merchant to discuss overdue invoice INV0015383.</t>
        </is>
      </c>
    </row>
    <row r="433">
      <c r="A433" t="inlineStr">
        <is>
          <t>COL0009285</t>
        </is>
      </c>
      <c r="B433" t="inlineStr">
        <is>
          <t>MER00726</t>
        </is>
      </c>
      <c r="C433" t="inlineStr">
        <is>
          <t>INV0015383</t>
        </is>
      </c>
      <c r="D433" s="8" t="n">
        <v>45849</v>
      </c>
      <c r="E433" t="inlineStr">
        <is>
          <t>Escalation</t>
        </is>
      </c>
      <c r="F433" t="inlineStr">
        <is>
          <t>Phone</t>
        </is>
      </c>
      <c r="G433" t="inlineStr">
        <is>
          <t>Farhan Sheikh</t>
        </is>
      </c>
      <c r="H433" t="inlineStr">
        <is>
          <t>Disputed</t>
        </is>
      </c>
      <c r="I433" s="8" t="n"/>
      <c r="J433" t="n">
        <v/>
      </c>
      <c r="K433" t="inlineStr">
        <is>
          <t>Escalated invoice INV0015383 to account manager for non-payment.</t>
        </is>
      </c>
    </row>
    <row r="434">
      <c r="A434" t="inlineStr">
        <is>
          <t>COL0009286</t>
        </is>
      </c>
      <c r="B434" t="inlineStr">
        <is>
          <t>MER00726</t>
        </is>
      </c>
      <c r="C434" t="inlineStr">
        <is>
          <t>INV0015387</t>
        </is>
      </c>
      <c r="D434" s="8" t="n">
        <v>45935</v>
      </c>
      <c r="E434" t="inlineStr">
        <is>
          <t>Reminder</t>
        </is>
      </c>
      <c r="F434" t="inlineStr">
        <is>
          <t>Email</t>
        </is>
      </c>
      <c r="G434" t="inlineStr">
        <is>
          <t>Farhan Sheikh</t>
        </is>
      </c>
      <c r="H434" t="inlineStr">
        <is>
          <t>Disputed</t>
        </is>
      </c>
      <c r="I434" s="8" t="n"/>
      <c r="J434" t="n">
        <v/>
      </c>
      <c r="K434" t="inlineStr">
        <is>
          <t>Automated reminder sent for invoice INV0015387 due 2025-10-02.</t>
        </is>
      </c>
    </row>
    <row r="435">
      <c r="A435" t="inlineStr">
        <is>
          <t>COL0009287</t>
        </is>
      </c>
      <c r="B435" t="inlineStr">
        <is>
          <t>MER00726</t>
        </is>
      </c>
      <c r="C435" t="inlineStr">
        <is>
          <t>INV0015387</t>
        </is>
      </c>
      <c r="D435" s="8" t="n">
        <v>45949</v>
      </c>
      <c r="E435" t="inlineStr">
        <is>
          <t>Email</t>
        </is>
      </c>
      <c r="F435" t="inlineStr">
        <is>
          <t>Email</t>
        </is>
      </c>
      <c r="G435" t="inlineStr">
        <is>
          <t>Sanjay Kumar</t>
        </is>
      </c>
      <c r="H435" t="inlineStr">
        <is>
          <t>Promise to Pay</t>
        </is>
      </c>
      <c r="I435" s="8" t="n">
        <v>45959</v>
      </c>
      <c r="J435" t="n">
        <v>46.33</v>
      </c>
      <c r="K435" t="inlineStr">
        <is>
          <t>Followed up via email regarding outstanding invoice INV0015387.</t>
        </is>
      </c>
    </row>
    <row r="436">
      <c r="A436" t="inlineStr">
        <is>
          <t>COL0009288</t>
        </is>
      </c>
      <c r="B436" t="inlineStr">
        <is>
          <t>MER00726</t>
        </is>
      </c>
      <c r="C436" t="inlineStr">
        <is>
          <t>INV0015387</t>
        </is>
      </c>
      <c r="D436" s="8" t="n">
        <v>45956</v>
      </c>
      <c r="E436" t="inlineStr">
        <is>
          <t>Phone</t>
        </is>
      </c>
      <c r="F436" t="inlineStr">
        <is>
          <t>Phone</t>
        </is>
      </c>
      <c r="G436" t="inlineStr">
        <is>
          <t>Amit Saxena</t>
        </is>
      </c>
      <c r="H436" t="inlineStr">
        <is>
          <t>Promise to Pay</t>
        </is>
      </c>
      <c r="I436" s="8" t="n">
        <v>45968</v>
      </c>
      <c r="J436" t="n">
        <v>38.25</v>
      </c>
      <c r="K436" t="inlineStr">
        <is>
          <t>Called merchant to discuss overdue invoice INV0015387.</t>
        </is>
      </c>
    </row>
    <row r="437">
      <c r="A437" t="inlineStr">
        <is>
          <t>COL0009289</t>
        </is>
      </c>
      <c r="B437" t="inlineStr">
        <is>
          <t>MER00726</t>
        </is>
      </c>
      <c r="C437" t="inlineStr">
        <is>
          <t>INV0015387</t>
        </is>
      </c>
      <c r="D437" s="8" t="n">
        <v>45969</v>
      </c>
      <c r="E437" t="inlineStr">
        <is>
          <t>Escalation</t>
        </is>
      </c>
      <c r="F437" t="inlineStr">
        <is>
          <t>Phone</t>
        </is>
      </c>
      <c r="G437" t="inlineStr">
        <is>
          <t>Ritu Bansal</t>
        </is>
      </c>
      <c r="H437" t="inlineStr">
        <is>
          <t>Escalated</t>
        </is>
      </c>
      <c r="I437" s="8" t="n"/>
      <c r="J437" t="n">
        <v/>
      </c>
      <c r="K437" t="inlineStr">
        <is>
          <t>Escalated invoice INV0015387 to account manager for non-payment.</t>
        </is>
      </c>
    </row>
    <row r="438">
      <c r="A438" t="inlineStr">
        <is>
          <t>COL0009290</t>
        </is>
      </c>
      <c r="B438" t="inlineStr">
        <is>
          <t>MER00726</t>
        </is>
      </c>
      <c r="C438" t="inlineStr">
        <is>
          <t>INV0015387</t>
        </is>
      </c>
      <c r="D438" s="8" t="n">
        <v>45980</v>
      </c>
      <c r="E438" t="inlineStr">
        <is>
          <t>Payment Promise</t>
        </is>
      </c>
      <c r="F438" t="inlineStr">
        <is>
          <t>WhatsApp</t>
        </is>
      </c>
      <c r="G438" t="inlineStr">
        <is>
          <t>Anjali Desai</t>
        </is>
      </c>
      <c r="H438" t="inlineStr">
        <is>
          <t>Payment Received</t>
        </is>
      </c>
      <c r="I438" s="8" t="n">
        <v>45989</v>
      </c>
      <c r="J438" t="n">
        <v>38.46</v>
      </c>
      <c r="K438" t="inlineStr">
        <is>
          <t>Merchant committed to paying invoice INV0015387 by 2025-11-28.</t>
        </is>
      </c>
    </row>
    <row r="439">
      <c r="A439" t="inlineStr">
        <is>
          <t>COL0009291</t>
        </is>
      </c>
      <c r="B439" t="inlineStr">
        <is>
          <t>MER00726</t>
        </is>
      </c>
      <c r="C439" t="inlineStr">
        <is>
          <t>INV0015388</t>
        </is>
      </c>
      <c r="D439" s="8" t="n">
        <v>45968</v>
      </c>
      <c r="E439" t="inlineStr">
        <is>
          <t>Reminder</t>
        </is>
      </c>
      <c r="F439" t="inlineStr">
        <is>
          <t>Email</t>
        </is>
      </c>
      <c r="G439" t="inlineStr">
        <is>
          <t>Sanjay Kumar</t>
        </is>
      </c>
      <c r="H439" t="inlineStr">
        <is>
          <t>No Response</t>
        </is>
      </c>
      <c r="I439" s="8" t="n"/>
      <c r="J439" t="n">
        <v/>
      </c>
      <c r="K439" t="inlineStr">
        <is>
          <t>Automated reminder sent for invoice INV0015388 due 2025-11-01.</t>
        </is>
      </c>
    </row>
    <row r="440">
      <c r="A440" t="inlineStr">
        <is>
          <t>COL0009292</t>
        </is>
      </c>
      <c r="B440" t="inlineStr">
        <is>
          <t>MER00726</t>
        </is>
      </c>
      <c r="C440" t="inlineStr">
        <is>
          <t>INV0015388</t>
        </is>
      </c>
      <c r="D440" s="8" t="n">
        <v>45974</v>
      </c>
      <c r="E440" t="inlineStr">
        <is>
          <t>Email</t>
        </is>
      </c>
      <c r="F440" t="inlineStr">
        <is>
          <t>Email</t>
        </is>
      </c>
      <c r="G440" t="inlineStr">
        <is>
          <t>Farhan Sheikh</t>
        </is>
      </c>
      <c r="H440" t="inlineStr">
        <is>
          <t>Promise to Pay</t>
        </is>
      </c>
      <c r="I440" s="8" t="n">
        <v>45986</v>
      </c>
      <c r="J440" t="n">
        <v>49.71</v>
      </c>
      <c r="K440" t="inlineStr">
        <is>
          <t>Followed up via email regarding outstanding invoice INV0015388.</t>
        </is>
      </c>
    </row>
    <row r="441">
      <c r="A441" t="inlineStr">
        <is>
          <t>COL0009293</t>
        </is>
      </c>
      <c r="B441" t="inlineStr">
        <is>
          <t>MER00726</t>
        </is>
      </c>
      <c r="C441" t="inlineStr">
        <is>
          <t>INV0015388</t>
        </is>
      </c>
      <c r="D441" s="8" t="n">
        <v>45980</v>
      </c>
      <c r="E441" t="inlineStr">
        <is>
          <t>Phone</t>
        </is>
      </c>
      <c r="F441" t="inlineStr">
        <is>
          <t>Phone</t>
        </is>
      </c>
      <c r="G441" t="inlineStr">
        <is>
          <t>Anjali Desai</t>
        </is>
      </c>
      <c r="H441" t="inlineStr">
        <is>
          <t>Promise to Pay</t>
        </is>
      </c>
      <c r="I441" s="8" t="n">
        <v>45993</v>
      </c>
      <c r="J441" t="n">
        <v>53.24</v>
      </c>
      <c r="K441" t="inlineStr">
        <is>
          <t>Called merchant to discuss overdue invoice INV0015388.</t>
        </is>
      </c>
    </row>
    <row r="442">
      <c r="A442" t="inlineStr">
        <is>
          <t>COL0009294</t>
        </is>
      </c>
      <c r="B442" t="inlineStr">
        <is>
          <t>MER00726</t>
        </is>
      </c>
      <c r="C442" t="inlineStr">
        <is>
          <t>INV0015388</t>
        </is>
      </c>
      <c r="D442" s="8" t="n">
        <v>45987</v>
      </c>
      <c r="E442" t="inlineStr">
        <is>
          <t>Escalation</t>
        </is>
      </c>
      <c r="F442" t="inlineStr">
        <is>
          <t>Phone</t>
        </is>
      </c>
      <c r="G442" t="inlineStr">
        <is>
          <t>Sanjay Kumar</t>
        </is>
      </c>
      <c r="H442" t="inlineStr">
        <is>
          <t>Escalated</t>
        </is>
      </c>
      <c r="I442" s="8" t="n"/>
      <c r="J442" t="n">
        <v/>
      </c>
      <c r="K442" t="inlineStr">
        <is>
          <t>Escalated invoice INV0015388 to account manager for non-payment.</t>
        </is>
      </c>
    </row>
    <row r="443">
      <c r="A443" t="inlineStr">
        <is>
          <t>COL0009295</t>
        </is>
      </c>
      <c r="B443" t="inlineStr">
        <is>
          <t>MER00726</t>
        </is>
      </c>
      <c r="C443" t="inlineStr">
        <is>
          <t>INV0015392</t>
        </is>
      </c>
      <c r="D443" s="8" t="n">
        <v>46092</v>
      </c>
      <c r="E443" t="inlineStr">
        <is>
          <t>Reminder</t>
        </is>
      </c>
      <c r="F443" t="inlineStr">
        <is>
          <t>Email</t>
        </is>
      </c>
      <c r="G443" t="inlineStr">
        <is>
          <t>Anjali Desai</t>
        </is>
      </c>
      <c r="H443" t="inlineStr">
        <is>
          <t>No Response</t>
        </is>
      </c>
      <c r="I443" s="8" t="n"/>
      <c r="J443" t="n">
        <v/>
      </c>
      <c r="K443" t="inlineStr">
        <is>
          <t>Automated reminder sent for invoice INV0015392 due 2026-03-04.</t>
        </is>
      </c>
    </row>
    <row r="444">
      <c r="A444" t="inlineStr">
        <is>
          <t>COL0009296</t>
        </is>
      </c>
      <c r="B444" t="inlineStr">
        <is>
          <t>MER00726</t>
        </is>
      </c>
      <c r="C444" t="inlineStr">
        <is>
          <t>INV0015392</t>
        </is>
      </c>
      <c r="D444" s="8" t="n">
        <v>46105</v>
      </c>
      <c r="E444" t="inlineStr">
        <is>
          <t>Email</t>
        </is>
      </c>
      <c r="F444" t="inlineStr">
        <is>
          <t>Email</t>
        </is>
      </c>
      <c r="G444" t="inlineStr">
        <is>
          <t>Farhan Sheikh</t>
        </is>
      </c>
      <c r="H444" t="inlineStr">
        <is>
          <t>No Response</t>
        </is>
      </c>
      <c r="I444" s="8" t="n"/>
      <c r="J444" t="n">
        <v/>
      </c>
      <c r="K444" t="inlineStr">
        <is>
          <t>Followed up via email regarding outstanding invoice INV0015392.</t>
        </is>
      </c>
    </row>
    <row r="445">
      <c r="A445" t="inlineStr">
        <is>
          <t>COL0009297</t>
        </is>
      </c>
      <c r="B445" t="inlineStr">
        <is>
          <t>MER00726</t>
        </is>
      </c>
      <c r="C445" t="inlineStr">
        <is>
          <t>INV0015392</t>
        </is>
      </c>
      <c r="D445" s="8" t="n">
        <v>46117</v>
      </c>
      <c r="E445" t="inlineStr">
        <is>
          <t>Phone</t>
        </is>
      </c>
      <c r="F445" t="inlineStr">
        <is>
          <t>Phone</t>
        </is>
      </c>
      <c r="G445" t="inlineStr">
        <is>
          <t>Manish Tiwari</t>
        </is>
      </c>
      <c r="H445" t="inlineStr">
        <is>
          <t>Promise to Pay</t>
        </is>
      </c>
      <c r="I445" s="8" t="n">
        <v>46124</v>
      </c>
      <c r="J445" t="n">
        <v>145.37</v>
      </c>
      <c r="K445" t="inlineStr">
        <is>
          <t>Called merchant to discuss overdue invoice INV0015392.</t>
        </is>
      </c>
    </row>
    <row r="446">
      <c r="A446" t="inlineStr">
        <is>
          <t>COL0009298</t>
        </is>
      </c>
      <c r="B446" t="inlineStr">
        <is>
          <t>MER00726</t>
        </is>
      </c>
      <c r="C446" t="inlineStr">
        <is>
          <t>INV0015392</t>
        </is>
      </c>
      <c r="D446" s="8" t="n">
        <v>46131</v>
      </c>
      <c r="E446" t="inlineStr">
        <is>
          <t>Escalation</t>
        </is>
      </c>
      <c r="F446" t="inlineStr">
        <is>
          <t>Phone</t>
        </is>
      </c>
      <c r="G446" t="inlineStr">
        <is>
          <t>Nandini Rajan</t>
        </is>
      </c>
      <c r="H446" t="inlineStr">
        <is>
          <t>Escalated</t>
        </is>
      </c>
      <c r="I446" s="8" t="n"/>
      <c r="J446" t="n">
        <v/>
      </c>
      <c r="K446" t="inlineStr">
        <is>
          <t>Escalated invoice INV0015392 to account manager for non-payment.</t>
        </is>
      </c>
    </row>
    <row r="447">
      <c r="A447" t="inlineStr">
        <is>
          <t>COL0009299</t>
        </is>
      </c>
      <c r="B447" t="inlineStr">
        <is>
          <t>MER00726</t>
        </is>
      </c>
      <c r="C447" t="inlineStr">
        <is>
          <t>INV0015392</t>
        </is>
      </c>
      <c r="D447" s="8" t="n">
        <v>46140</v>
      </c>
      <c r="E447" t="inlineStr">
        <is>
          <t>Payment Promise</t>
        </is>
      </c>
      <c r="F447" t="inlineStr">
        <is>
          <t>WhatsApp</t>
        </is>
      </c>
      <c r="G447" t="inlineStr">
        <is>
          <t>Farhan Sheikh</t>
        </is>
      </c>
      <c r="H447" t="inlineStr">
        <is>
          <t>No Response</t>
        </is>
      </c>
      <c r="I447" s="8" t="n">
        <v>46151</v>
      </c>
      <c r="J447" t="n">
        <v>151.73</v>
      </c>
      <c r="K447" t="inlineStr">
        <is>
          <t>Merchant committed to paying invoice INV0015392 by 2026-05-09.</t>
        </is>
      </c>
    </row>
    <row r="448">
      <c r="A448" t="inlineStr">
        <is>
          <t>COL0009300</t>
        </is>
      </c>
      <c r="B448" t="inlineStr">
        <is>
          <t>MER00726</t>
        </is>
      </c>
      <c r="C448" t="inlineStr">
        <is>
          <t>INV0015393</t>
        </is>
      </c>
      <c r="D448" s="8" t="n">
        <v>46116</v>
      </c>
      <c r="E448" t="inlineStr">
        <is>
          <t>Reminder</t>
        </is>
      </c>
      <c r="F448" t="inlineStr">
        <is>
          <t>Email</t>
        </is>
      </c>
      <c r="G448" t="inlineStr">
        <is>
          <t>Manish Tiwari</t>
        </is>
      </c>
      <c r="H448" t="inlineStr">
        <is>
          <t>Promise to Pay</t>
        </is>
      </c>
      <c r="I448" s="8" t="n">
        <v>46121</v>
      </c>
      <c r="J448" t="n">
        <v>110.47</v>
      </c>
      <c r="K448" t="inlineStr">
        <is>
          <t>Automated reminder sent for invoice INV0015393 due 2026-04-01.</t>
        </is>
      </c>
    </row>
    <row r="449">
      <c r="A449" t="inlineStr">
        <is>
          <t>COL0009301</t>
        </is>
      </c>
      <c r="B449" t="inlineStr">
        <is>
          <t>MER00726</t>
        </is>
      </c>
      <c r="C449" t="inlineStr">
        <is>
          <t>INV0015393</t>
        </is>
      </c>
      <c r="D449" s="8" t="n">
        <v>46122</v>
      </c>
      <c r="E449" t="inlineStr">
        <is>
          <t>Email</t>
        </is>
      </c>
      <c r="F449" t="inlineStr">
        <is>
          <t>Email</t>
        </is>
      </c>
      <c r="G449" t="inlineStr">
        <is>
          <t>Ritu Bansal</t>
        </is>
      </c>
      <c r="H449" t="inlineStr">
        <is>
          <t>No Response</t>
        </is>
      </c>
      <c r="I449" s="8" t="n"/>
      <c r="J449" t="n">
        <v/>
      </c>
      <c r="K449" t="inlineStr">
        <is>
          <t>Followed up via email regarding outstanding invoice INV0015393.</t>
        </is>
      </c>
    </row>
    <row r="450">
      <c r="A450" t="inlineStr">
        <is>
          <t>COL0009302</t>
        </is>
      </c>
      <c r="B450" t="inlineStr">
        <is>
          <t>MER00726</t>
        </is>
      </c>
      <c r="C450" t="inlineStr">
        <is>
          <t>INV0015393</t>
        </is>
      </c>
      <c r="D450" s="8" t="n">
        <v>46135</v>
      </c>
      <c r="E450" t="inlineStr">
        <is>
          <t>Phone</t>
        </is>
      </c>
      <c r="F450" t="inlineStr">
        <is>
          <t>Phone</t>
        </is>
      </c>
      <c r="G450" t="inlineStr">
        <is>
          <t>Shweta Gupta</t>
        </is>
      </c>
      <c r="H450" t="inlineStr">
        <is>
          <t>No Response</t>
        </is>
      </c>
      <c r="I450" s="8" t="n"/>
      <c r="J450" t="n">
        <v/>
      </c>
      <c r="K450" t="inlineStr">
        <is>
          <t>Called merchant to discuss overdue invoice INV0015393.</t>
        </is>
      </c>
    </row>
    <row r="451">
      <c r="A451" t="inlineStr">
        <is>
          <t>COL0009303</t>
        </is>
      </c>
      <c r="B451" t="inlineStr">
        <is>
          <t>MER00726</t>
        </is>
      </c>
      <c r="C451" t="inlineStr">
        <is>
          <t>INV0015393</t>
        </is>
      </c>
      <c r="D451" s="8" t="n">
        <v>46140</v>
      </c>
      <c r="E451" t="inlineStr">
        <is>
          <t>Escalation</t>
        </is>
      </c>
      <c r="F451" t="inlineStr">
        <is>
          <t>Phone</t>
        </is>
      </c>
      <c r="G451" t="inlineStr">
        <is>
          <t>Ritu Bansal</t>
        </is>
      </c>
      <c r="H451" t="inlineStr">
        <is>
          <t>Escalated</t>
        </is>
      </c>
      <c r="I451" s="8" t="n"/>
      <c r="J451" t="n">
        <v/>
      </c>
      <c r="K451" t="inlineStr">
        <is>
          <t>Escalated invoice INV0015393 to account manager for non-payment.</t>
        </is>
      </c>
    </row>
    <row r="452">
      <c r="A452" t="inlineStr">
        <is>
          <t>COL0009304</t>
        </is>
      </c>
      <c r="B452" t="inlineStr">
        <is>
          <t>MER00726</t>
        </is>
      </c>
      <c r="C452" t="inlineStr">
        <is>
          <t>INV0015393</t>
        </is>
      </c>
      <c r="D452" s="8" t="n">
        <v>46149</v>
      </c>
      <c r="E452" t="inlineStr">
        <is>
          <t>Payment Promise</t>
        </is>
      </c>
      <c r="F452" t="inlineStr">
        <is>
          <t>WhatsApp</t>
        </is>
      </c>
      <c r="G452" t="inlineStr">
        <is>
          <t>Anjali Desai</t>
        </is>
      </c>
      <c r="H452" t="inlineStr">
        <is>
          <t>Promise to Pay</t>
        </is>
      </c>
      <c r="I452" s="8" t="n">
        <v>46153</v>
      </c>
      <c r="J452" t="n">
        <v>130.07</v>
      </c>
      <c r="K452" t="inlineStr">
        <is>
          <t>Merchant committed to paying invoice INV0015393 by 2026-05-11.</t>
        </is>
      </c>
    </row>
    <row r="453">
      <c r="A453" t="inlineStr">
        <is>
          <t>COL0009305</t>
        </is>
      </c>
      <c r="B453" t="inlineStr">
        <is>
          <t>MER00726</t>
        </is>
      </c>
      <c r="C453" t="inlineStr">
        <is>
          <t>INV0015394</t>
        </is>
      </c>
      <c r="D453" s="8" t="n">
        <v>46148</v>
      </c>
      <c r="E453" t="inlineStr">
        <is>
          <t>Reminder</t>
        </is>
      </c>
      <c r="F453" t="inlineStr">
        <is>
          <t>Email</t>
        </is>
      </c>
      <c r="G453" t="inlineStr">
        <is>
          <t>Amit Saxena</t>
        </is>
      </c>
      <c r="H453" t="inlineStr">
        <is>
          <t>No Response</t>
        </is>
      </c>
      <c r="I453" s="8" t="n"/>
      <c r="J453" t="n">
        <v/>
      </c>
      <c r="K453" t="inlineStr">
        <is>
          <t>Automated reminder sent for invoice INV0015394 due 2026-05-02.</t>
        </is>
      </c>
    </row>
    <row r="454">
      <c r="A454" t="inlineStr">
        <is>
          <t>COL0009306</t>
        </is>
      </c>
      <c r="B454" t="inlineStr">
        <is>
          <t>MER00726</t>
        </is>
      </c>
      <c r="C454" t="inlineStr">
        <is>
          <t>INV0015394</t>
        </is>
      </c>
      <c r="D454" s="8" t="n">
        <v>46155</v>
      </c>
      <c r="E454" t="inlineStr">
        <is>
          <t>Email</t>
        </is>
      </c>
      <c r="F454" t="inlineStr">
        <is>
          <t>Email</t>
        </is>
      </c>
      <c r="G454" t="inlineStr">
        <is>
          <t>Shweta Gupta</t>
        </is>
      </c>
      <c r="H454" t="inlineStr">
        <is>
          <t>No Response</t>
        </is>
      </c>
      <c r="I454" s="8" t="n"/>
      <c r="J454" t="n">
        <v/>
      </c>
      <c r="K454" t="inlineStr">
        <is>
          <t>Followed up via email regarding outstanding invoice INV0015394.</t>
        </is>
      </c>
    </row>
    <row r="455">
      <c r="A455" t="inlineStr">
        <is>
          <t>COL0009307</t>
        </is>
      </c>
      <c r="B455" t="inlineStr">
        <is>
          <t>MER00726</t>
        </is>
      </c>
      <c r="C455" t="inlineStr">
        <is>
          <t>INV0015394</t>
        </is>
      </c>
      <c r="D455" s="8" t="n">
        <v>46162</v>
      </c>
      <c r="E455" t="inlineStr">
        <is>
          <t>Phone</t>
        </is>
      </c>
      <c r="F455" t="inlineStr">
        <is>
          <t>Phone</t>
        </is>
      </c>
      <c r="G455" t="inlineStr">
        <is>
          <t>Vivek Nair</t>
        </is>
      </c>
      <c r="H455" t="inlineStr">
        <is>
          <t>Promise to Pay</t>
        </is>
      </c>
      <c r="I455" s="8" t="n">
        <v>46171</v>
      </c>
      <c r="J455" t="n">
        <v>26.62</v>
      </c>
      <c r="K455" t="inlineStr">
        <is>
          <t>Called merchant to discuss overdue invoice INV0015394.</t>
        </is>
      </c>
    </row>
    <row r="456">
      <c r="A456" t="inlineStr">
        <is>
          <t>COL0009308</t>
        </is>
      </c>
      <c r="B456" t="inlineStr">
        <is>
          <t>MER00726</t>
        </is>
      </c>
      <c r="C456" t="inlineStr">
        <is>
          <t>INV0015394</t>
        </is>
      </c>
      <c r="D456" s="8" t="n">
        <v>46167</v>
      </c>
      <c r="E456" t="inlineStr">
        <is>
          <t>Escalation</t>
        </is>
      </c>
      <c r="F456" t="inlineStr">
        <is>
          <t>Phone</t>
        </is>
      </c>
      <c r="G456" t="inlineStr">
        <is>
          <t>Farhan Sheikh</t>
        </is>
      </c>
      <c r="H456" t="inlineStr">
        <is>
          <t>Escalated</t>
        </is>
      </c>
      <c r="I456" s="8" t="n"/>
      <c r="J456" t="n">
        <v/>
      </c>
      <c r="K456" t="inlineStr">
        <is>
          <t>Escalated invoice INV0015394 to account manager for non-payment.</t>
        </is>
      </c>
    </row>
    <row r="457">
      <c r="A457" t="inlineStr">
        <is>
          <t>COL0009309</t>
        </is>
      </c>
      <c r="B457" t="inlineStr">
        <is>
          <t>MER00726</t>
        </is>
      </c>
      <c r="C457" t="inlineStr">
        <is>
          <t>INV0015396</t>
        </is>
      </c>
      <c r="D457" s="8" t="n">
        <v>46213</v>
      </c>
      <c r="E457" t="inlineStr">
        <is>
          <t>Reminder</t>
        </is>
      </c>
      <c r="F457" t="inlineStr">
        <is>
          <t>Email</t>
        </is>
      </c>
      <c r="G457" t="inlineStr">
        <is>
          <t>Anjali Desai</t>
        </is>
      </c>
      <c r="H457" t="inlineStr">
        <is>
          <t>No Response</t>
        </is>
      </c>
      <c r="I457" s="8" t="n"/>
      <c r="J457" t="n">
        <v/>
      </c>
      <c r="K457" t="inlineStr">
        <is>
          <t>Automated reminder sent for invoice INV0015396 due 2026-07-02.</t>
        </is>
      </c>
    </row>
    <row r="458">
      <c r="A458" t="inlineStr">
        <is>
          <t>COL0009310</t>
        </is>
      </c>
      <c r="B458" t="inlineStr">
        <is>
          <t>MER00726</t>
        </is>
      </c>
      <c r="C458" t="inlineStr">
        <is>
          <t>INV0015396</t>
        </is>
      </c>
      <c r="D458" s="8" t="n">
        <v>46219</v>
      </c>
      <c r="E458" t="inlineStr">
        <is>
          <t>Email</t>
        </is>
      </c>
      <c r="F458" t="inlineStr">
        <is>
          <t>Email</t>
        </is>
      </c>
      <c r="G458" t="inlineStr">
        <is>
          <t>Nandini Rajan</t>
        </is>
      </c>
      <c r="H458" t="inlineStr">
        <is>
          <t>Promise to Pay</t>
        </is>
      </c>
      <c r="I458" s="8" t="n">
        <v>46229</v>
      </c>
      <c r="J458" t="n">
        <v>38.17</v>
      </c>
      <c r="K458" t="inlineStr">
        <is>
          <t>Followed up via email regarding outstanding invoice INV0015396.</t>
        </is>
      </c>
    </row>
    <row r="459">
      <c r="A459" t="inlineStr">
        <is>
          <t>COL0009311</t>
        </is>
      </c>
      <c r="B459" t="inlineStr">
        <is>
          <t>MER00726</t>
        </is>
      </c>
      <c r="C459" t="inlineStr">
        <is>
          <t>INV0015396</t>
        </is>
      </c>
      <c r="D459" s="8" t="n">
        <v>46233</v>
      </c>
      <c r="E459" t="inlineStr">
        <is>
          <t>Phone</t>
        </is>
      </c>
      <c r="F459" t="inlineStr">
        <is>
          <t>Phone</t>
        </is>
      </c>
      <c r="G459" t="inlineStr">
        <is>
          <t>Manish Tiwari</t>
        </is>
      </c>
      <c r="H459" t="inlineStr">
        <is>
          <t>Disputed</t>
        </is>
      </c>
      <c r="I459" s="8" t="n"/>
      <c r="J459" t="n">
        <v/>
      </c>
      <c r="K459" t="inlineStr">
        <is>
          <t>Called merchant to discuss overdue invoice INV0015396.</t>
        </is>
      </c>
    </row>
    <row r="460">
      <c r="A460" t="inlineStr">
        <is>
          <t>COL0009312</t>
        </is>
      </c>
      <c r="B460" t="inlineStr">
        <is>
          <t>MER00726</t>
        </is>
      </c>
      <c r="C460" t="inlineStr">
        <is>
          <t>INV0015396</t>
        </is>
      </c>
      <c r="D460" s="8" t="n">
        <v>46246</v>
      </c>
      <c r="E460" t="inlineStr">
        <is>
          <t>Escalation</t>
        </is>
      </c>
      <c r="F460" t="inlineStr">
        <is>
          <t>Phone</t>
        </is>
      </c>
      <c r="G460" t="inlineStr">
        <is>
          <t>Manish Tiwari</t>
        </is>
      </c>
      <c r="H460" t="inlineStr">
        <is>
          <t>No Response</t>
        </is>
      </c>
      <c r="I460" s="8" t="n"/>
      <c r="J460" t="n">
        <v/>
      </c>
      <c r="K460" t="inlineStr">
        <is>
          <t>Escalated invoice INV0015396 to account manager for non-payment.</t>
        </is>
      </c>
    </row>
    <row r="461">
      <c r="A461" t="inlineStr">
        <is>
          <t>COL0009313</t>
        </is>
      </c>
      <c r="B461" t="inlineStr">
        <is>
          <t>MER00726</t>
        </is>
      </c>
      <c r="C461" t="inlineStr">
        <is>
          <t>INV0015396</t>
        </is>
      </c>
      <c r="D461" s="8" t="n">
        <v>46259</v>
      </c>
      <c r="E461" t="inlineStr">
        <is>
          <t>Payment Promise</t>
        </is>
      </c>
      <c r="F461" t="inlineStr">
        <is>
          <t>WhatsApp</t>
        </is>
      </c>
      <c r="G461" t="inlineStr">
        <is>
          <t>Shweta Gupta</t>
        </is>
      </c>
      <c r="H461" t="inlineStr">
        <is>
          <t>No Response</t>
        </is>
      </c>
      <c r="I461" s="8" t="n">
        <v>46262</v>
      </c>
      <c r="J461" t="n">
        <v>36.79</v>
      </c>
      <c r="K461" t="inlineStr">
        <is>
          <t>Merchant committed to paying invoice INV0015396 by 2026-08-28.</t>
        </is>
      </c>
    </row>
    <row r="462">
      <c r="A462" t="inlineStr">
        <is>
          <t>COL0009314</t>
        </is>
      </c>
      <c r="B462" t="inlineStr">
        <is>
          <t>MER00726</t>
        </is>
      </c>
      <c r="C462" t="inlineStr">
        <is>
          <t>INV0015397</t>
        </is>
      </c>
      <c r="D462" s="8" t="n">
        <v>46241</v>
      </c>
      <c r="E462" t="inlineStr">
        <is>
          <t>Reminder</t>
        </is>
      </c>
      <c r="F462" t="inlineStr">
        <is>
          <t>Email</t>
        </is>
      </c>
      <c r="G462" t="inlineStr">
        <is>
          <t>Manish Tiwari</t>
        </is>
      </c>
      <c r="H462" t="inlineStr">
        <is>
          <t>No Response</t>
        </is>
      </c>
      <c r="I462" s="8" t="n"/>
      <c r="J462" t="n">
        <v/>
      </c>
      <c r="K462" t="inlineStr">
        <is>
          <t>Automated reminder sent for invoice INV0015397 due 2026-08-01.</t>
        </is>
      </c>
    </row>
    <row r="463">
      <c r="A463" t="inlineStr">
        <is>
          <t>COL0009315</t>
        </is>
      </c>
      <c r="B463" t="inlineStr">
        <is>
          <t>MER00726</t>
        </is>
      </c>
      <c r="C463" t="inlineStr">
        <is>
          <t>INV0015397</t>
        </is>
      </c>
      <c r="D463" s="8" t="n">
        <v>46255</v>
      </c>
      <c r="E463" t="inlineStr">
        <is>
          <t>Email</t>
        </is>
      </c>
      <c r="F463" t="inlineStr">
        <is>
          <t>Email</t>
        </is>
      </c>
      <c r="G463" t="inlineStr">
        <is>
          <t>Farhan Sheikh</t>
        </is>
      </c>
      <c r="H463" t="inlineStr">
        <is>
          <t>Promise to Pay</t>
        </is>
      </c>
      <c r="I463" s="8" t="n">
        <v>46269</v>
      </c>
      <c r="J463" t="n">
        <v>25.33</v>
      </c>
      <c r="K463" t="inlineStr">
        <is>
          <t>Followed up via email regarding outstanding invoice INV0015397.</t>
        </is>
      </c>
    </row>
    <row r="464">
      <c r="A464" t="inlineStr">
        <is>
          <t>COL0009316</t>
        </is>
      </c>
      <c r="B464" t="inlineStr">
        <is>
          <t>MER00726</t>
        </is>
      </c>
      <c r="C464" t="inlineStr">
        <is>
          <t>INV0015397</t>
        </is>
      </c>
      <c r="D464" s="8" t="n">
        <v>46265</v>
      </c>
      <c r="E464" t="inlineStr">
        <is>
          <t>Phone</t>
        </is>
      </c>
      <c r="F464" t="inlineStr">
        <is>
          <t>Phone</t>
        </is>
      </c>
      <c r="G464" t="inlineStr">
        <is>
          <t>Shweta Gupta</t>
        </is>
      </c>
      <c r="H464" t="inlineStr">
        <is>
          <t>No Response</t>
        </is>
      </c>
      <c r="I464" s="8" t="n"/>
      <c r="J464" t="n">
        <v/>
      </c>
      <c r="K464" t="inlineStr">
        <is>
          <t>Called merchant to discuss overdue invoice INV0015397.</t>
        </is>
      </c>
    </row>
    <row r="465">
      <c r="A465" t="inlineStr">
        <is>
          <t>COL0009317</t>
        </is>
      </c>
      <c r="B465" t="inlineStr">
        <is>
          <t>MER00726</t>
        </is>
      </c>
      <c r="C465" t="inlineStr">
        <is>
          <t>INV0015397</t>
        </is>
      </c>
      <c r="D465" s="8" t="n">
        <v>46275</v>
      </c>
      <c r="E465" t="inlineStr">
        <is>
          <t>Escalation</t>
        </is>
      </c>
      <c r="F465" t="inlineStr">
        <is>
          <t>Phone</t>
        </is>
      </c>
      <c r="G465" t="inlineStr">
        <is>
          <t>Nandini Rajan</t>
        </is>
      </c>
      <c r="H465" t="inlineStr">
        <is>
          <t>Escalated</t>
        </is>
      </c>
      <c r="I465" s="8" t="n"/>
      <c r="J465" t="n">
        <v/>
      </c>
      <c r="K465" t="inlineStr">
        <is>
          <t>Escalated invoice INV0015397 to account manager for non-payment.</t>
        </is>
      </c>
    </row>
    <row r="466">
      <c r="A466" t="inlineStr">
        <is>
          <t>COL0009324</t>
        </is>
      </c>
      <c r="B466" t="inlineStr">
        <is>
          <t>MER00728</t>
        </is>
      </c>
      <c r="C466" t="inlineStr">
        <is>
          <t>INV0015422</t>
        </is>
      </c>
      <c r="D466" s="8" t="n">
        <v>45587</v>
      </c>
      <c r="E466" t="inlineStr">
        <is>
          <t>Reminder</t>
        </is>
      </c>
      <c r="F466" t="inlineStr">
        <is>
          <t>Email</t>
        </is>
      </c>
      <c r="G466" t="inlineStr">
        <is>
          <t>Ritu Bansal</t>
        </is>
      </c>
      <c r="H466" t="inlineStr">
        <is>
          <t>Promise to Pay</t>
        </is>
      </c>
      <c r="I466" s="8" t="n">
        <v>45591</v>
      </c>
      <c r="J466" t="n">
        <v>788.61</v>
      </c>
      <c r="K466" t="inlineStr">
        <is>
          <t>Automated reminder sent for invoice INV0015422 due 2024-10-17.</t>
        </is>
      </c>
    </row>
    <row r="467">
      <c r="A467" t="inlineStr">
        <is>
          <t>COL0009325</t>
        </is>
      </c>
      <c r="B467" t="inlineStr">
        <is>
          <t>MER00728</t>
        </is>
      </c>
      <c r="C467" t="inlineStr">
        <is>
          <t>INV0015422</t>
        </is>
      </c>
      <c r="D467" s="8" t="n">
        <v>45593</v>
      </c>
      <c r="E467" t="inlineStr">
        <is>
          <t>Email</t>
        </is>
      </c>
      <c r="F467" t="inlineStr">
        <is>
          <t>Email</t>
        </is>
      </c>
      <c r="G467" t="inlineStr">
        <is>
          <t>Anjali Desai</t>
        </is>
      </c>
      <c r="H467" t="inlineStr">
        <is>
          <t>Promise to Pay</t>
        </is>
      </c>
      <c r="I467" s="8" t="n">
        <v>45607</v>
      </c>
      <c r="J467" t="n">
        <v>628.73</v>
      </c>
      <c r="K467" t="inlineStr">
        <is>
          <t>Followed up via email regarding outstanding invoice INV0015422.</t>
        </is>
      </c>
    </row>
    <row r="468">
      <c r="A468" t="inlineStr">
        <is>
          <t>COL0009326</t>
        </is>
      </c>
      <c r="B468" t="inlineStr">
        <is>
          <t>MER00728</t>
        </is>
      </c>
      <c r="C468" t="inlineStr">
        <is>
          <t>INV0015422</t>
        </is>
      </c>
      <c r="D468" s="8" t="n">
        <v>45598</v>
      </c>
      <c r="E468" t="inlineStr">
        <is>
          <t>Phone</t>
        </is>
      </c>
      <c r="F468" t="inlineStr">
        <is>
          <t>Phone</t>
        </is>
      </c>
      <c r="G468" t="inlineStr">
        <is>
          <t>Nandini Rajan</t>
        </is>
      </c>
      <c r="H468" t="inlineStr">
        <is>
          <t>No Response</t>
        </is>
      </c>
      <c r="I468" s="8" t="n"/>
      <c r="J468" t="n">
        <v/>
      </c>
      <c r="K468" t="inlineStr">
        <is>
          <t>Called merchant to discuss overdue invoice INV0015422.</t>
        </is>
      </c>
    </row>
    <row r="469">
      <c r="A469" t="inlineStr">
        <is>
          <t>COL0009327</t>
        </is>
      </c>
      <c r="B469" t="inlineStr">
        <is>
          <t>MER00728</t>
        </is>
      </c>
      <c r="C469" t="inlineStr">
        <is>
          <t>INV0015422</t>
        </is>
      </c>
      <c r="D469" s="8" t="n">
        <v>45604</v>
      </c>
      <c r="E469" t="inlineStr">
        <is>
          <t>Escalation</t>
        </is>
      </c>
      <c r="F469" t="inlineStr">
        <is>
          <t>Phone</t>
        </is>
      </c>
      <c r="G469" t="inlineStr">
        <is>
          <t>Amit Saxena</t>
        </is>
      </c>
      <c r="H469" t="inlineStr">
        <is>
          <t>No Response</t>
        </is>
      </c>
      <c r="I469" s="8" t="n"/>
      <c r="J469" t="n">
        <v/>
      </c>
      <c r="K469" t="inlineStr">
        <is>
          <t>Escalated invoice INV0015422 to account manager for non-payment.</t>
        </is>
      </c>
    </row>
    <row r="470">
      <c r="A470" t="inlineStr">
        <is>
          <t>COL0009328</t>
        </is>
      </c>
      <c r="B470" t="inlineStr">
        <is>
          <t>MER00728</t>
        </is>
      </c>
      <c r="C470" t="inlineStr">
        <is>
          <t>INV0015427</t>
        </is>
      </c>
      <c r="D470" s="8" t="n">
        <v>45742</v>
      </c>
      <c r="E470" t="inlineStr">
        <is>
          <t>Reminder</t>
        </is>
      </c>
      <c r="F470" t="inlineStr">
        <is>
          <t>Email</t>
        </is>
      </c>
      <c r="G470" t="inlineStr">
        <is>
          <t>Nandini Rajan</t>
        </is>
      </c>
      <c r="H470" t="inlineStr">
        <is>
          <t>No Response</t>
        </is>
      </c>
      <c r="I470" s="8" t="n"/>
      <c r="J470" t="n">
        <v/>
      </c>
      <c r="K470" t="inlineStr">
        <is>
          <t>Automated reminder sent for invoice INV0015427 due 2025-03-19.</t>
        </is>
      </c>
    </row>
    <row r="471">
      <c r="A471" t="inlineStr">
        <is>
          <t>COL0009329</t>
        </is>
      </c>
      <c r="B471" t="inlineStr">
        <is>
          <t>MER00728</t>
        </is>
      </c>
      <c r="C471" t="inlineStr">
        <is>
          <t>INV0015427</t>
        </is>
      </c>
      <c r="D471" s="8" t="n">
        <v>45750</v>
      </c>
      <c r="E471" t="inlineStr">
        <is>
          <t>Email</t>
        </is>
      </c>
      <c r="F471" t="inlineStr">
        <is>
          <t>Email</t>
        </is>
      </c>
      <c r="G471" t="inlineStr">
        <is>
          <t>Anjali Desai</t>
        </is>
      </c>
      <c r="H471" t="inlineStr">
        <is>
          <t>No Response</t>
        </is>
      </c>
      <c r="I471" s="8" t="n"/>
      <c r="J471" t="n">
        <v/>
      </c>
      <c r="K471" t="inlineStr">
        <is>
          <t>Followed up via email regarding outstanding invoice INV0015427.</t>
        </is>
      </c>
    </row>
    <row r="472">
      <c r="A472" t="inlineStr">
        <is>
          <t>COL0009330</t>
        </is>
      </c>
      <c r="B472" t="inlineStr">
        <is>
          <t>MER00728</t>
        </is>
      </c>
      <c r="C472" t="inlineStr">
        <is>
          <t>INV0015427</t>
        </is>
      </c>
      <c r="D472" s="8" t="n">
        <v>45762</v>
      </c>
      <c r="E472" t="inlineStr">
        <is>
          <t>Phone</t>
        </is>
      </c>
      <c r="F472" t="inlineStr">
        <is>
          <t>Phone</t>
        </is>
      </c>
      <c r="G472" t="inlineStr">
        <is>
          <t>Ritu Bansal</t>
        </is>
      </c>
      <c r="H472" t="inlineStr">
        <is>
          <t>No Response</t>
        </is>
      </c>
      <c r="I472" s="8" t="n"/>
      <c r="J472" t="n">
        <v/>
      </c>
      <c r="K472" t="inlineStr">
        <is>
          <t>Called merchant to discuss overdue invoice INV0015427.</t>
        </is>
      </c>
    </row>
    <row r="473">
      <c r="A473" t="inlineStr">
        <is>
          <t>COL0009331</t>
        </is>
      </c>
      <c r="B473" t="inlineStr">
        <is>
          <t>MER00728</t>
        </is>
      </c>
      <c r="C473" t="inlineStr">
        <is>
          <t>INV0015427</t>
        </is>
      </c>
      <c r="D473" s="8" t="n">
        <v>45772</v>
      </c>
      <c r="E473" t="inlineStr">
        <is>
          <t>Escalation</t>
        </is>
      </c>
      <c r="F473" t="inlineStr">
        <is>
          <t>Phone</t>
        </is>
      </c>
      <c r="G473" t="inlineStr">
        <is>
          <t>Sanjay Kumar</t>
        </is>
      </c>
      <c r="H473" t="inlineStr">
        <is>
          <t>Escalated</t>
        </is>
      </c>
      <c r="I473" s="8" t="n"/>
      <c r="J473" t="n">
        <v/>
      </c>
      <c r="K473" t="inlineStr">
        <is>
          <t>Escalated invoice INV0015427 to account manager for non-payment.</t>
        </is>
      </c>
    </row>
    <row r="474">
      <c r="A474" t="inlineStr">
        <is>
          <t>COL0009332</t>
        </is>
      </c>
      <c r="B474" t="inlineStr">
        <is>
          <t>MER00728</t>
        </is>
      </c>
      <c r="C474" t="inlineStr">
        <is>
          <t>INV0015429</t>
        </is>
      </c>
      <c r="D474" s="8" t="n">
        <v>45800</v>
      </c>
      <c r="E474" t="inlineStr">
        <is>
          <t>Reminder</t>
        </is>
      </c>
      <c r="F474" t="inlineStr">
        <is>
          <t>Email</t>
        </is>
      </c>
      <c r="G474" t="inlineStr">
        <is>
          <t>Shweta Gupta</t>
        </is>
      </c>
      <c r="H474" t="inlineStr">
        <is>
          <t>Promise to Pay</t>
        </is>
      </c>
      <c r="I474" s="8" t="n">
        <v>45814</v>
      </c>
      <c r="J474" t="n">
        <v>835.17</v>
      </c>
      <c r="K474" t="inlineStr">
        <is>
          <t>Automated reminder sent for invoice INV0015429 due 2025-05-17.</t>
        </is>
      </c>
    </row>
    <row r="475">
      <c r="A475" t="inlineStr">
        <is>
          <t>COL0009333</t>
        </is>
      </c>
      <c r="B475" t="inlineStr">
        <is>
          <t>MER00728</t>
        </is>
      </c>
      <c r="C475" t="inlineStr">
        <is>
          <t>INV0015429</t>
        </is>
      </c>
      <c r="D475" s="8" t="n">
        <v>45805</v>
      </c>
      <c r="E475" t="inlineStr">
        <is>
          <t>Email</t>
        </is>
      </c>
      <c r="F475" t="inlineStr">
        <is>
          <t>Email</t>
        </is>
      </c>
      <c r="G475" t="inlineStr">
        <is>
          <t>Ritu Bansal</t>
        </is>
      </c>
      <c r="H475" t="inlineStr">
        <is>
          <t>No Response</t>
        </is>
      </c>
      <c r="I475" s="8" t="n"/>
      <c r="J475" t="n">
        <v/>
      </c>
      <c r="K475" t="inlineStr">
        <is>
          <t>Followed up via email regarding outstanding invoice INV0015429.</t>
        </is>
      </c>
    </row>
    <row r="476">
      <c r="A476" t="inlineStr">
        <is>
          <t>COL0009334</t>
        </is>
      </c>
      <c r="B476" t="inlineStr">
        <is>
          <t>MER00728</t>
        </is>
      </c>
      <c r="C476" t="inlineStr">
        <is>
          <t>INV0015431</t>
        </is>
      </c>
      <c r="D476" s="8" t="n">
        <v>45864</v>
      </c>
      <c r="E476" t="inlineStr">
        <is>
          <t>Reminder</t>
        </is>
      </c>
      <c r="F476" t="inlineStr">
        <is>
          <t>Email</t>
        </is>
      </c>
      <c r="G476" t="inlineStr">
        <is>
          <t>Sanjay Kumar</t>
        </is>
      </c>
      <c r="H476" t="inlineStr">
        <is>
          <t>No Response</t>
        </is>
      </c>
      <c r="I476" s="8" t="n"/>
      <c r="J476" t="n">
        <v/>
      </c>
      <c r="K476" t="inlineStr">
        <is>
          <t>Automated reminder sent for invoice INV0015431 due 2025-07-17.</t>
        </is>
      </c>
    </row>
    <row r="477">
      <c r="A477" t="inlineStr">
        <is>
          <t>COL0009335</t>
        </is>
      </c>
      <c r="B477" t="inlineStr">
        <is>
          <t>MER00728</t>
        </is>
      </c>
      <c r="C477" t="inlineStr">
        <is>
          <t>INV0015431</t>
        </is>
      </c>
      <c r="D477" s="8" t="n">
        <v>45872</v>
      </c>
      <c r="E477" t="inlineStr">
        <is>
          <t>Email</t>
        </is>
      </c>
      <c r="F477" t="inlineStr">
        <is>
          <t>Email</t>
        </is>
      </c>
      <c r="G477" t="inlineStr">
        <is>
          <t>Shweta Gupta</t>
        </is>
      </c>
      <c r="H477" t="inlineStr">
        <is>
          <t>No Response</t>
        </is>
      </c>
      <c r="I477" s="8" t="n"/>
      <c r="J477" t="n">
        <v/>
      </c>
      <c r="K477" t="inlineStr">
        <is>
          <t>Followed up via email regarding outstanding invoice INV0015431.</t>
        </is>
      </c>
    </row>
    <row r="478">
      <c r="A478" t="inlineStr">
        <is>
          <t>COL0009336</t>
        </is>
      </c>
      <c r="B478" t="inlineStr">
        <is>
          <t>MER00728</t>
        </is>
      </c>
      <c r="C478" t="inlineStr">
        <is>
          <t>INV0015431</t>
        </is>
      </c>
      <c r="D478" s="8" t="n">
        <v>45885</v>
      </c>
      <c r="E478" t="inlineStr">
        <is>
          <t>Phone</t>
        </is>
      </c>
      <c r="F478" t="inlineStr">
        <is>
          <t>Phone</t>
        </is>
      </c>
      <c r="G478" t="inlineStr">
        <is>
          <t>Ritu Bansal</t>
        </is>
      </c>
      <c r="H478" t="inlineStr">
        <is>
          <t>No Response</t>
        </is>
      </c>
      <c r="I478" s="8" t="n"/>
      <c r="J478" t="n">
        <v/>
      </c>
      <c r="K478" t="inlineStr">
        <is>
          <t>Called merchant to discuss overdue invoice INV0015431.</t>
        </is>
      </c>
    </row>
    <row r="479">
      <c r="A479" t="inlineStr">
        <is>
          <t>COL0009337</t>
        </is>
      </c>
      <c r="B479" t="inlineStr">
        <is>
          <t>MER00728</t>
        </is>
      </c>
      <c r="C479" t="inlineStr">
        <is>
          <t>INV0015432</t>
        </is>
      </c>
      <c r="D479" s="8" t="n">
        <v>45890</v>
      </c>
      <c r="E479" t="inlineStr">
        <is>
          <t>Reminder</t>
        </is>
      </c>
      <c r="F479" t="inlineStr">
        <is>
          <t>Email</t>
        </is>
      </c>
      <c r="G479" t="inlineStr">
        <is>
          <t>Shweta Gupta</t>
        </is>
      </c>
      <c r="H479" t="inlineStr">
        <is>
          <t>No Response</t>
        </is>
      </c>
      <c r="I479" s="8" t="n"/>
      <c r="J479" t="n">
        <v/>
      </c>
      <c r="K479" t="inlineStr">
        <is>
          <t>Automated reminder sent for invoice INV0015432 due 2025-08-16.</t>
        </is>
      </c>
    </row>
    <row r="480">
      <c r="A480" t="inlineStr">
        <is>
          <t>COL0009338</t>
        </is>
      </c>
      <c r="B480" t="inlineStr">
        <is>
          <t>MER00728</t>
        </is>
      </c>
      <c r="C480" t="inlineStr">
        <is>
          <t>INV0015432</t>
        </is>
      </c>
      <c r="D480" s="8" t="n">
        <v>45901</v>
      </c>
      <c r="E480" t="inlineStr">
        <is>
          <t>Email</t>
        </is>
      </c>
      <c r="F480" t="inlineStr">
        <is>
          <t>Email</t>
        </is>
      </c>
      <c r="G480" t="inlineStr">
        <is>
          <t>Ritu Bansal</t>
        </is>
      </c>
      <c r="H480" t="inlineStr">
        <is>
          <t>Promise to Pay</t>
        </is>
      </c>
      <c r="I480" s="8" t="n">
        <v>45907</v>
      </c>
      <c r="J480" t="n">
        <v>298.36</v>
      </c>
      <c r="K480" t="inlineStr">
        <is>
          <t>Followed up via email regarding outstanding invoice INV0015432.</t>
        </is>
      </c>
    </row>
    <row r="481">
      <c r="A481" t="inlineStr">
        <is>
          <t>COL0009339</t>
        </is>
      </c>
      <c r="B481" t="inlineStr">
        <is>
          <t>MER00728</t>
        </is>
      </c>
      <c r="C481" t="inlineStr">
        <is>
          <t>INV0015432</t>
        </is>
      </c>
      <c r="D481" s="8" t="n">
        <v>45910</v>
      </c>
      <c r="E481" t="inlineStr">
        <is>
          <t>Phone</t>
        </is>
      </c>
      <c r="F481" t="inlineStr">
        <is>
          <t>Phone</t>
        </is>
      </c>
      <c r="G481" t="inlineStr">
        <is>
          <t>Shweta Gupta</t>
        </is>
      </c>
      <c r="H481" t="inlineStr">
        <is>
          <t>Promise to Pay</t>
        </is>
      </c>
      <c r="I481" s="8" t="n">
        <v>45923</v>
      </c>
      <c r="J481" t="n">
        <v>489.04</v>
      </c>
      <c r="K481" t="inlineStr">
        <is>
          <t>Called merchant to discuss overdue invoice INV0015432.</t>
        </is>
      </c>
    </row>
    <row r="482">
      <c r="A482" t="inlineStr">
        <is>
          <t>COL0009340</t>
        </is>
      </c>
      <c r="B482" t="inlineStr">
        <is>
          <t>MER00728</t>
        </is>
      </c>
      <c r="C482" t="inlineStr">
        <is>
          <t>INV0015434</t>
        </is>
      </c>
      <c r="D482" s="8" t="n">
        <v>45956</v>
      </c>
      <c r="E482" t="inlineStr">
        <is>
          <t>Reminder</t>
        </is>
      </c>
      <c r="F482" t="inlineStr">
        <is>
          <t>Email</t>
        </is>
      </c>
      <c r="G482" t="inlineStr">
        <is>
          <t>Nandini Rajan</t>
        </is>
      </c>
      <c r="H482" t="inlineStr">
        <is>
          <t>No Response</t>
        </is>
      </c>
      <c r="I482" s="8" t="n"/>
      <c r="J482" t="n">
        <v/>
      </c>
      <c r="K482" t="inlineStr">
        <is>
          <t>Automated reminder sent for invoice INV0015434 due 2025-10-17.</t>
        </is>
      </c>
    </row>
    <row r="483">
      <c r="A483" t="inlineStr">
        <is>
          <t>COL0009341</t>
        </is>
      </c>
      <c r="B483" t="inlineStr">
        <is>
          <t>MER00728</t>
        </is>
      </c>
      <c r="C483" t="inlineStr">
        <is>
          <t>INV0015434</t>
        </is>
      </c>
      <c r="D483" s="8" t="n">
        <v>45964</v>
      </c>
      <c r="E483" t="inlineStr">
        <is>
          <t>Email</t>
        </is>
      </c>
      <c r="F483" t="inlineStr">
        <is>
          <t>Email</t>
        </is>
      </c>
      <c r="G483" t="inlineStr">
        <is>
          <t>Nandini Rajan</t>
        </is>
      </c>
      <c r="H483" t="inlineStr">
        <is>
          <t>No Response</t>
        </is>
      </c>
      <c r="I483" s="8" t="n"/>
      <c r="J483" t="n">
        <v/>
      </c>
      <c r="K483" t="inlineStr">
        <is>
          <t>Followed up via email regarding outstanding invoice INV0015434.</t>
        </is>
      </c>
    </row>
    <row r="484">
      <c r="A484" t="inlineStr">
        <is>
          <t>COL0009342</t>
        </is>
      </c>
      <c r="B484" t="inlineStr">
        <is>
          <t>MER00728</t>
        </is>
      </c>
      <c r="C484" t="inlineStr">
        <is>
          <t>INV0015434</t>
        </is>
      </c>
      <c r="D484" s="8" t="n">
        <v>45972</v>
      </c>
      <c r="E484" t="inlineStr">
        <is>
          <t>Phone</t>
        </is>
      </c>
      <c r="F484" t="inlineStr">
        <is>
          <t>Phone</t>
        </is>
      </c>
      <c r="G484" t="inlineStr">
        <is>
          <t>Farhan Sheikh</t>
        </is>
      </c>
      <c r="H484" t="inlineStr">
        <is>
          <t>No Response</t>
        </is>
      </c>
      <c r="I484" s="8" t="n"/>
      <c r="J484" t="n">
        <v/>
      </c>
      <c r="K484" t="inlineStr">
        <is>
          <t>Called merchant to discuss overdue invoice INV0015434.</t>
        </is>
      </c>
    </row>
    <row r="485">
      <c r="A485" t="inlineStr">
        <is>
          <t>COL0009343</t>
        </is>
      </c>
      <c r="B485" t="inlineStr">
        <is>
          <t>MER00728</t>
        </is>
      </c>
      <c r="C485" t="inlineStr">
        <is>
          <t>INV0015434</t>
        </is>
      </c>
      <c r="D485" s="8" t="n">
        <v>45983</v>
      </c>
      <c r="E485" t="inlineStr">
        <is>
          <t>Escalation</t>
        </is>
      </c>
      <c r="F485" t="inlineStr">
        <is>
          <t>Phone</t>
        </is>
      </c>
      <c r="G485" t="inlineStr">
        <is>
          <t>Vivek Nair</t>
        </is>
      </c>
      <c r="H485" t="inlineStr">
        <is>
          <t>Escalated</t>
        </is>
      </c>
      <c r="I485" s="8" t="n"/>
      <c r="J485" t="n">
        <v/>
      </c>
      <c r="K485" t="inlineStr">
        <is>
          <t>Escalated invoice INV0015434 to account manager for non-payment.</t>
        </is>
      </c>
    </row>
    <row r="486">
      <c r="A486" t="inlineStr">
        <is>
          <t>COL0009344</t>
        </is>
      </c>
      <c r="B486" t="inlineStr">
        <is>
          <t>MER00728</t>
        </is>
      </c>
      <c r="C486" t="inlineStr">
        <is>
          <t>INV0015441</t>
        </is>
      </c>
      <c r="D486" s="8" t="n">
        <v>46167</v>
      </c>
      <c r="E486" t="inlineStr">
        <is>
          <t>Reminder</t>
        </is>
      </c>
      <c r="F486" t="inlineStr">
        <is>
          <t>Email</t>
        </is>
      </c>
      <c r="G486" t="inlineStr">
        <is>
          <t>Amit Saxena</t>
        </is>
      </c>
      <c r="H486" t="inlineStr">
        <is>
          <t>Promise to Pay</t>
        </is>
      </c>
      <c r="I486" s="8" t="n">
        <v>46176</v>
      </c>
      <c r="J486" t="n">
        <v>1158.91</v>
      </c>
      <c r="K486" t="inlineStr">
        <is>
          <t>Automated reminder sent for invoice INV0015441 due 2026-05-17.</t>
        </is>
      </c>
    </row>
    <row r="487">
      <c r="A487" t="inlineStr">
        <is>
          <t>COL0009345</t>
        </is>
      </c>
      <c r="B487" t="inlineStr">
        <is>
          <t>MER00728</t>
        </is>
      </c>
      <c r="C487" t="inlineStr">
        <is>
          <t>INV0015441</t>
        </is>
      </c>
      <c r="D487" s="8" t="n">
        <v>46179</v>
      </c>
      <c r="E487" t="inlineStr">
        <is>
          <t>Email</t>
        </is>
      </c>
      <c r="F487" t="inlineStr">
        <is>
          <t>Email</t>
        </is>
      </c>
      <c r="G487" t="inlineStr">
        <is>
          <t>Ritu Bansal</t>
        </is>
      </c>
      <c r="H487" t="inlineStr">
        <is>
          <t>Promise to Pay</t>
        </is>
      </c>
      <c r="I487" s="8" t="n">
        <v>46184</v>
      </c>
      <c r="J487" t="n">
        <v>664.65</v>
      </c>
      <c r="K487" t="inlineStr">
        <is>
          <t>Followed up via email regarding outstanding invoice INV0015441.</t>
        </is>
      </c>
    </row>
    <row r="488">
      <c r="A488" t="inlineStr">
        <is>
          <t>COL0009346</t>
        </is>
      </c>
      <c r="B488" t="inlineStr">
        <is>
          <t>MER00728</t>
        </is>
      </c>
      <c r="C488" t="inlineStr">
        <is>
          <t>INV0015441</t>
        </is>
      </c>
      <c r="D488" s="8" t="n">
        <v>46191</v>
      </c>
      <c r="E488" t="inlineStr">
        <is>
          <t>Phone</t>
        </is>
      </c>
      <c r="F488" t="inlineStr">
        <is>
          <t>Phone</t>
        </is>
      </c>
      <c r="G488" t="inlineStr">
        <is>
          <t>Sanjay Kumar</t>
        </is>
      </c>
      <c r="H488" t="inlineStr">
        <is>
          <t>Promise to Pay</t>
        </is>
      </c>
      <c r="I488" s="8" t="n">
        <v>46199</v>
      </c>
      <c r="J488" t="n">
        <v>1168</v>
      </c>
      <c r="K488" t="inlineStr">
        <is>
          <t>Called merchant to discuss overdue invoice INV0015441.</t>
        </is>
      </c>
    </row>
    <row r="489">
      <c r="A489" t="inlineStr">
        <is>
          <t>COL0009347</t>
        </is>
      </c>
      <c r="B489" t="inlineStr">
        <is>
          <t>MER00728</t>
        </is>
      </c>
      <c r="C489" t="inlineStr">
        <is>
          <t>INV0015441</t>
        </is>
      </c>
      <c r="D489" s="8" t="n">
        <v>46205</v>
      </c>
      <c r="E489" t="inlineStr">
        <is>
          <t>Escalation</t>
        </is>
      </c>
      <c r="F489" t="inlineStr">
        <is>
          <t>Phone</t>
        </is>
      </c>
      <c r="G489" t="inlineStr">
        <is>
          <t>Farhan Sheikh</t>
        </is>
      </c>
      <c r="H489" t="inlineStr">
        <is>
          <t>No Response</t>
        </is>
      </c>
      <c r="I489" s="8" t="n"/>
      <c r="J489" t="n">
        <v/>
      </c>
      <c r="K489" t="inlineStr">
        <is>
          <t>Escalated invoice INV0015441 to account manager for non-payment.</t>
        </is>
      </c>
    </row>
    <row r="490">
      <c r="A490" t="inlineStr">
        <is>
          <t>COL0009348</t>
        </is>
      </c>
      <c r="B490" t="inlineStr">
        <is>
          <t>MER00728</t>
        </is>
      </c>
      <c r="C490" t="inlineStr">
        <is>
          <t>INV0015443</t>
        </is>
      </c>
      <c r="D490" s="8" t="n">
        <v>46225</v>
      </c>
      <c r="E490" t="inlineStr">
        <is>
          <t>Reminder</t>
        </is>
      </c>
      <c r="F490" t="inlineStr">
        <is>
          <t>Email</t>
        </is>
      </c>
      <c r="G490" t="inlineStr">
        <is>
          <t>Farhan Sheikh</t>
        </is>
      </c>
      <c r="H490" t="inlineStr">
        <is>
          <t>Promise to Pay</t>
        </is>
      </c>
      <c r="I490" s="8" t="n">
        <v>46228</v>
      </c>
      <c r="J490" t="n">
        <v>1018.83</v>
      </c>
      <c r="K490" t="inlineStr">
        <is>
          <t>Automated reminder sent for invoice INV0015443 due 2026-07-17.</t>
        </is>
      </c>
    </row>
    <row r="491">
      <c r="A491" t="inlineStr">
        <is>
          <t>COL0009349</t>
        </is>
      </c>
      <c r="B491" t="inlineStr">
        <is>
          <t>MER00728</t>
        </is>
      </c>
      <c r="C491" t="inlineStr">
        <is>
          <t>INV0015443</t>
        </is>
      </c>
      <c r="D491" s="8" t="n">
        <v>46231</v>
      </c>
      <c r="E491" t="inlineStr">
        <is>
          <t>Email</t>
        </is>
      </c>
      <c r="F491" t="inlineStr">
        <is>
          <t>Email</t>
        </is>
      </c>
      <c r="G491" t="inlineStr">
        <is>
          <t>Amit Saxena</t>
        </is>
      </c>
      <c r="H491" t="inlineStr">
        <is>
          <t>No Response</t>
        </is>
      </c>
      <c r="I491" s="8" t="n"/>
      <c r="J491" t="n">
        <v/>
      </c>
      <c r="K491" t="inlineStr">
        <is>
          <t>Followed up via email regarding outstanding invoice INV0015443.</t>
        </is>
      </c>
    </row>
    <row r="492">
      <c r="A492" t="inlineStr">
        <is>
          <t>COL0009350</t>
        </is>
      </c>
      <c r="B492" t="inlineStr">
        <is>
          <t>MER00728</t>
        </is>
      </c>
      <c r="C492" t="inlineStr">
        <is>
          <t>INV0015443</t>
        </is>
      </c>
      <c r="D492" s="8" t="n">
        <v>46241</v>
      </c>
      <c r="E492" t="inlineStr">
        <is>
          <t>Phone</t>
        </is>
      </c>
      <c r="F492" t="inlineStr">
        <is>
          <t>Phone</t>
        </is>
      </c>
      <c r="G492" t="inlineStr">
        <is>
          <t>Vivek Nair</t>
        </is>
      </c>
      <c r="H492" t="inlineStr">
        <is>
          <t>Promise to Pay</t>
        </is>
      </c>
      <c r="I492" s="8" t="n">
        <v>46246</v>
      </c>
      <c r="J492" t="n">
        <v>1065.33</v>
      </c>
      <c r="K492" t="inlineStr">
        <is>
          <t>Called merchant to discuss overdue invoice INV0015443.</t>
        </is>
      </c>
    </row>
    <row r="493">
      <c r="A493" t="inlineStr">
        <is>
          <t>COL0009904</t>
        </is>
      </c>
      <c r="B493" t="inlineStr">
        <is>
          <t>MER00764</t>
        </is>
      </c>
      <c r="C493" t="inlineStr">
        <is>
          <t>INV0016145</t>
        </is>
      </c>
      <c r="D493" s="8" t="n">
        <v>45661</v>
      </c>
      <c r="E493" t="inlineStr">
        <is>
          <t>Reminder</t>
        </is>
      </c>
      <c r="F493" t="inlineStr">
        <is>
          <t>Email</t>
        </is>
      </c>
      <c r="G493" t="inlineStr">
        <is>
          <t>Ritu Bansal</t>
        </is>
      </c>
      <c r="H493" t="inlineStr">
        <is>
          <t>Promise to Pay</t>
        </is>
      </c>
      <c r="I493" s="8" t="n">
        <v>45664</v>
      </c>
      <c r="J493" t="n">
        <v>660.05</v>
      </c>
      <c r="K493" t="inlineStr">
        <is>
          <t>Automated reminder sent for invoice INV0016145 due 2025-01-01.</t>
        </is>
      </c>
    </row>
    <row r="494">
      <c r="A494" t="inlineStr">
        <is>
          <t>COL0009905</t>
        </is>
      </c>
      <c r="B494" t="inlineStr">
        <is>
          <t>MER00764</t>
        </is>
      </c>
      <c r="C494" t="inlineStr">
        <is>
          <t>INV0016145</t>
        </is>
      </c>
      <c r="D494" s="8" t="n">
        <v>45668</v>
      </c>
      <c r="E494" t="inlineStr">
        <is>
          <t>Email</t>
        </is>
      </c>
      <c r="F494" t="inlineStr">
        <is>
          <t>Email</t>
        </is>
      </c>
      <c r="G494" t="inlineStr">
        <is>
          <t>Ritu Bansal</t>
        </is>
      </c>
      <c r="H494" t="inlineStr">
        <is>
          <t>No Response</t>
        </is>
      </c>
      <c r="I494" s="8" t="n"/>
      <c r="J494" t="n">
        <v/>
      </c>
      <c r="K494" t="inlineStr">
        <is>
          <t>Followed up via email regarding outstanding invoice INV0016145.</t>
        </is>
      </c>
    </row>
    <row r="495">
      <c r="A495" t="inlineStr">
        <is>
          <t>COL0009906</t>
        </is>
      </c>
      <c r="B495" t="inlineStr">
        <is>
          <t>MER00764</t>
        </is>
      </c>
      <c r="C495" t="inlineStr">
        <is>
          <t>INV0016145</t>
        </is>
      </c>
      <c r="D495" s="8" t="n">
        <v>45679</v>
      </c>
      <c r="E495" t="inlineStr">
        <is>
          <t>Phone</t>
        </is>
      </c>
      <c r="F495" t="inlineStr">
        <is>
          <t>Phone</t>
        </is>
      </c>
      <c r="G495" t="inlineStr">
        <is>
          <t>Amit Saxena</t>
        </is>
      </c>
      <c r="H495" t="inlineStr">
        <is>
          <t>No Response</t>
        </is>
      </c>
      <c r="I495" s="8" t="n"/>
      <c r="J495" t="n">
        <v/>
      </c>
      <c r="K495" t="inlineStr">
        <is>
          <t>Called merchant to discuss overdue invoice INV0016145.</t>
        </is>
      </c>
    </row>
    <row r="496">
      <c r="A496" t="inlineStr">
        <is>
          <t>COL0009907</t>
        </is>
      </c>
      <c r="B496" t="inlineStr">
        <is>
          <t>MER00764</t>
        </is>
      </c>
      <c r="C496" t="inlineStr">
        <is>
          <t>INV0016145</t>
        </is>
      </c>
      <c r="D496" s="8" t="n">
        <v>45689</v>
      </c>
      <c r="E496" t="inlineStr">
        <is>
          <t>Escalation</t>
        </is>
      </c>
      <c r="F496" t="inlineStr">
        <is>
          <t>Phone</t>
        </is>
      </c>
      <c r="G496" t="inlineStr">
        <is>
          <t>Nandini Rajan</t>
        </is>
      </c>
      <c r="H496" t="inlineStr">
        <is>
          <t>Disputed</t>
        </is>
      </c>
      <c r="I496" s="8" t="n"/>
      <c r="J496" t="n">
        <v/>
      </c>
      <c r="K496" t="inlineStr">
        <is>
          <t>Escalated invoice INV0016145 to account manager for non-payment.</t>
        </is>
      </c>
    </row>
    <row r="497">
      <c r="A497" t="inlineStr">
        <is>
          <t>COL0009908</t>
        </is>
      </c>
      <c r="B497" t="inlineStr">
        <is>
          <t>MER00764</t>
        </is>
      </c>
      <c r="C497" t="inlineStr">
        <is>
          <t>INV0016147</t>
        </is>
      </c>
      <c r="D497" s="8" t="n">
        <v>45725</v>
      </c>
      <c r="E497" t="inlineStr">
        <is>
          <t>Reminder</t>
        </is>
      </c>
      <c r="F497" t="inlineStr">
        <is>
          <t>Email</t>
        </is>
      </c>
      <c r="G497" t="inlineStr">
        <is>
          <t>Nandini Rajan</t>
        </is>
      </c>
      <c r="H497" t="inlineStr">
        <is>
          <t>No Response</t>
        </is>
      </c>
      <c r="I497" s="8" t="n"/>
      <c r="J497" t="n">
        <v/>
      </c>
      <c r="K497" t="inlineStr">
        <is>
          <t>Automated reminder sent for invoice INV0016147 due 2025-03-04.</t>
        </is>
      </c>
    </row>
    <row r="498">
      <c r="A498" t="inlineStr">
        <is>
          <t>COL0009909</t>
        </is>
      </c>
      <c r="B498" t="inlineStr">
        <is>
          <t>MER00764</t>
        </is>
      </c>
      <c r="C498" t="inlineStr">
        <is>
          <t>INV0016147</t>
        </is>
      </c>
      <c r="D498" s="8" t="n">
        <v>45730</v>
      </c>
      <c r="E498" t="inlineStr">
        <is>
          <t>Email</t>
        </is>
      </c>
      <c r="F498" t="inlineStr">
        <is>
          <t>Email</t>
        </is>
      </c>
      <c r="G498" t="inlineStr">
        <is>
          <t>Manish Tiwari</t>
        </is>
      </c>
      <c r="H498" t="inlineStr">
        <is>
          <t>Payment Received</t>
        </is>
      </c>
      <c r="I498" s="8" t="n"/>
      <c r="J498" t="n">
        <v/>
      </c>
      <c r="K498" t="inlineStr">
        <is>
          <t>Followed up via email regarding outstanding invoice INV0016147.</t>
        </is>
      </c>
    </row>
    <row r="499">
      <c r="A499" t="inlineStr">
        <is>
          <t>COL0009910</t>
        </is>
      </c>
      <c r="B499" t="inlineStr">
        <is>
          <t>MER00764</t>
        </is>
      </c>
      <c r="C499" t="inlineStr">
        <is>
          <t>INV0016150</t>
        </is>
      </c>
      <c r="D499" s="8" t="n">
        <v>45818</v>
      </c>
      <c r="E499" t="inlineStr">
        <is>
          <t>Reminder</t>
        </is>
      </c>
      <c r="F499" t="inlineStr">
        <is>
          <t>Email</t>
        </is>
      </c>
      <c r="G499" t="inlineStr">
        <is>
          <t>Amit Saxena</t>
        </is>
      </c>
      <c r="H499" t="inlineStr">
        <is>
          <t>No Response</t>
        </is>
      </c>
      <c r="I499" s="8" t="n"/>
      <c r="J499" t="n">
        <v/>
      </c>
      <c r="K499" t="inlineStr">
        <is>
          <t>Automated reminder sent for invoice INV0016150 due 2025-06-01.</t>
        </is>
      </c>
    </row>
    <row r="500">
      <c r="A500" t="inlineStr">
        <is>
          <t>COL0009911</t>
        </is>
      </c>
      <c r="B500" t="inlineStr">
        <is>
          <t>MER00764</t>
        </is>
      </c>
      <c r="C500" t="inlineStr">
        <is>
          <t>INV0016150</t>
        </is>
      </c>
      <c r="D500" s="8" t="n">
        <v>45827</v>
      </c>
      <c r="E500" t="inlineStr">
        <is>
          <t>Email</t>
        </is>
      </c>
      <c r="F500" t="inlineStr">
        <is>
          <t>Email</t>
        </is>
      </c>
      <c r="G500" t="inlineStr">
        <is>
          <t>Vivek Nair</t>
        </is>
      </c>
      <c r="H500" t="inlineStr">
        <is>
          <t>No Response</t>
        </is>
      </c>
      <c r="I500" s="8" t="n"/>
      <c r="J500" t="n">
        <v/>
      </c>
      <c r="K500" t="inlineStr">
        <is>
          <t>Followed up via email regarding outstanding invoice INV0016150.</t>
        </is>
      </c>
    </row>
    <row r="501">
      <c r="A501" t="inlineStr">
        <is>
          <t>COL0009912</t>
        </is>
      </c>
      <c r="B501" t="inlineStr">
        <is>
          <t>MER00764</t>
        </is>
      </c>
      <c r="C501" t="inlineStr">
        <is>
          <t>INV0016150</t>
        </is>
      </c>
      <c r="D501" s="8" t="n">
        <v>45841</v>
      </c>
      <c r="E501" t="inlineStr">
        <is>
          <t>Phone</t>
        </is>
      </c>
      <c r="F501" t="inlineStr">
        <is>
          <t>Phone</t>
        </is>
      </c>
      <c r="G501" t="inlineStr">
        <is>
          <t>Manish Tiwari</t>
        </is>
      </c>
      <c r="H501" t="inlineStr">
        <is>
          <t>Disputed</t>
        </is>
      </c>
      <c r="I501" s="8" t="n"/>
      <c r="J501" t="n">
        <v/>
      </c>
      <c r="K501" t="inlineStr">
        <is>
          <t>Called merchant to discuss overdue invoice INV0016150.</t>
        </is>
      </c>
    </row>
    <row r="502">
      <c r="A502" t="inlineStr">
        <is>
          <t>COL0009913</t>
        </is>
      </c>
      <c r="B502" t="inlineStr">
        <is>
          <t>MER00764</t>
        </is>
      </c>
      <c r="C502" t="inlineStr">
        <is>
          <t>INV0016150</t>
        </is>
      </c>
      <c r="D502" s="8" t="n">
        <v>45850</v>
      </c>
      <c r="E502" t="inlineStr">
        <is>
          <t>Escalation</t>
        </is>
      </c>
      <c r="F502" t="inlineStr">
        <is>
          <t>Phone</t>
        </is>
      </c>
      <c r="G502" t="inlineStr">
        <is>
          <t>Sanjay Kumar</t>
        </is>
      </c>
      <c r="H502" t="inlineStr">
        <is>
          <t>Payment Received</t>
        </is>
      </c>
      <c r="I502" s="8" t="n"/>
      <c r="J502" t="n">
        <v/>
      </c>
      <c r="K502" t="inlineStr">
        <is>
          <t>Escalated invoice INV0016150 to account manager for non-payment.</t>
        </is>
      </c>
    </row>
    <row r="503">
      <c r="A503" t="inlineStr">
        <is>
          <t>COL0009914</t>
        </is>
      </c>
      <c r="B503" t="inlineStr">
        <is>
          <t>MER00764</t>
        </is>
      </c>
      <c r="C503" t="inlineStr">
        <is>
          <t>INV0016155</t>
        </is>
      </c>
      <c r="D503" s="8" t="n">
        <v>45966</v>
      </c>
      <c r="E503" t="inlineStr">
        <is>
          <t>Reminder</t>
        </is>
      </c>
      <c r="F503" t="inlineStr">
        <is>
          <t>Email</t>
        </is>
      </c>
      <c r="G503" t="inlineStr">
        <is>
          <t>Amit Saxena</t>
        </is>
      </c>
      <c r="H503" t="inlineStr">
        <is>
          <t>No Response</t>
        </is>
      </c>
      <c r="I503" s="8" t="n"/>
      <c r="J503" t="n">
        <v/>
      </c>
      <c r="K503" t="inlineStr">
        <is>
          <t>Automated reminder sent for invoice INV0016155 due 2025-11-01.</t>
        </is>
      </c>
    </row>
    <row r="504">
      <c r="A504" t="inlineStr">
        <is>
          <t>COL0009915</t>
        </is>
      </c>
      <c r="B504" t="inlineStr">
        <is>
          <t>MER00764</t>
        </is>
      </c>
      <c r="C504" t="inlineStr">
        <is>
          <t>INV0016155</t>
        </is>
      </c>
      <c r="D504" s="8" t="n">
        <v>45973</v>
      </c>
      <c r="E504" t="inlineStr">
        <is>
          <t>Email</t>
        </is>
      </c>
      <c r="F504" t="inlineStr">
        <is>
          <t>Email</t>
        </is>
      </c>
      <c r="G504" t="inlineStr">
        <is>
          <t>Nandini Rajan</t>
        </is>
      </c>
      <c r="H504" t="inlineStr">
        <is>
          <t>Promise to Pay</t>
        </is>
      </c>
      <c r="I504" s="8" t="n">
        <v>45981</v>
      </c>
      <c r="J504" t="n">
        <v>443.84</v>
      </c>
      <c r="K504" t="inlineStr">
        <is>
          <t>Followed up via email regarding outstanding invoice INV0016155.</t>
        </is>
      </c>
    </row>
    <row r="505">
      <c r="A505" t="inlineStr">
        <is>
          <t>COL0009916</t>
        </is>
      </c>
      <c r="B505" t="inlineStr">
        <is>
          <t>MER00764</t>
        </is>
      </c>
      <c r="C505" t="inlineStr">
        <is>
          <t>INV0016155</t>
        </is>
      </c>
      <c r="D505" s="8" t="n">
        <v>45987</v>
      </c>
      <c r="E505" t="inlineStr">
        <is>
          <t>Phone</t>
        </is>
      </c>
      <c r="F505" t="inlineStr">
        <is>
          <t>Phone</t>
        </is>
      </c>
      <c r="G505" t="inlineStr">
        <is>
          <t>Vivek Nair</t>
        </is>
      </c>
      <c r="H505" t="inlineStr">
        <is>
          <t>Promise to Pay</t>
        </is>
      </c>
      <c r="I505" s="8" t="n">
        <v>45998</v>
      </c>
      <c r="J505" t="n">
        <v>649.53</v>
      </c>
      <c r="K505" t="inlineStr">
        <is>
          <t>Called merchant to discuss overdue invoice INV0016155.</t>
        </is>
      </c>
    </row>
    <row r="506">
      <c r="A506" t="inlineStr">
        <is>
          <t>COL0009917</t>
        </is>
      </c>
      <c r="B506" t="inlineStr">
        <is>
          <t>MER00764</t>
        </is>
      </c>
      <c r="C506" t="inlineStr">
        <is>
          <t>INV0016156</t>
        </is>
      </c>
      <c r="D506" s="8" t="n">
        <v>45997</v>
      </c>
      <c r="E506" t="inlineStr">
        <is>
          <t>Reminder</t>
        </is>
      </c>
      <c r="F506" t="inlineStr">
        <is>
          <t>Email</t>
        </is>
      </c>
      <c r="G506" t="inlineStr">
        <is>
          <t>Vivek Nair</t>
        </is>
      </c>
      <c r="H506" t="inlineStr">
        <is>
          <t>Disputed</t>
        </is>
      </c>
      <c r="I506" s="8" t="n"/>
      <c r="J506" t="n">
        <v/>
      </c>
      <c r="K506" t="inlineStr">
        <is>
          <t>Automated reminder sent for invoice INV0016156 due 2025-12-02.</t>
        </is>
      </c>
    </row>
    <row r="507">
      <c r="A507" t="inlineStr">
        <is>
          <t>COL0009918</t>
        </is>
      </c>
      <c r="B507" t="inlineStr">
        <is>
          <t>MER00764</t>
        </is>
      </c>
      <c r="C507" t="inlineStr">
        <is>
          <t>INV0016156</t>
        </is>
      </c>
      <c r="D507" s="8" t="n">
        <v>46002</v>
      </c>
      <c r="E507" t="inlineStr">
        <is>
          <t>Email</t>
        </is>
      </c>
      <c r="F507" t="inlineStr">
        <is>
          <t>Email</t>
        </is>
      </c>
      <c r="G507" t="inlineStr">
        <is>
          <t>Nandini Rajan</t>
        </is>
      </c>
      <c r="H507" t="inlineStr">
        <is>
          <t>No Response</t>
        </is>
      </c>
      <c r="I507" s="8" t="n"/>
      <c r="J507" t="n">
        <v/>
      </c>
      <c r="K507" t="inlineStr">
        <is>
          <t>Followed up via email regarding outstanding invoice INV0016156.</t>
        </is>
      </c>
    </row>
    <row r="508">
      <c r="A508" t="inlineStr">
        <is>
          <t>COL0009919</t>
        </is>
      </c>
      <c r="B508" t="inlineStr">
        <is>
          <t>MER00764</t>
        </is>
      </c>
      <c r="C508" t="inlineStr">
        <is>
          <t>INV0016156</t>
        </is>
      </c>
      <c r="D508" s="8" t="n">
        <v>46009</v>
      </c>
      <c r="E508" t="inlineStr">
        <is>
          <t>Phone</t>
        </is>
      </c>
      <c r="F508" t="inlineStr">
        <is>
          <t>Phone</t>
        </is>
      </c>
      <c r="G508" t="inlineStr">
        <is>
          <t>Sanjay Kumar</t>
        </is>
      </c>
      <c r="H508" t="inlineStr">
        <is>
          <t>No Response</t>
        </is>
      </c>
      <c r="I508" s="8" t="n"/>
      <c r="J508" t="n">
        <v/>
      </c>
      <c r="K508" t="inlineStr">
        <is>
          <t>Called merchant to discuss overdue invoice INV0016156.</t>
        </is>
      </c>
    </row>
    <row r="509">
      <c r="A509" t="inlineStr">
        <is>
          <t>COL0009920</t>
        </is>
      </c>
      <c r="B509" t="inlineStr">
        <is>
          <t>MER00764</t>
        </is>
      </c>
      <c r="C509" t="inlineStr">
        <is>
          <t>INV0016156</t>
        </is>
      </c>
      <c r="D509" s="8" t="n">
        <v>46018</v>
      </c>
      <c r="E509" t="inlineStr">
        <is>
          <t>Escalation</t>
        </is>
      </c>
      <c r="F509" t="inlineStr">
        <is>
          <t>Phone</t>
        </is>
      </c>
      <c r="G509" t="inlineStr">
        <is>
          <t>Manish Tiwari</t>
        </is>
      </c>
      <c r="H509" t="inlineStr">
        <is>
          <t>Escalated</t>
        </is>
      </c>
      <c r="I509" s="8" t="n"/>
      <c r="J509" t="n">
        <v/>
      </c>
      <c r="K509" t="inlineStr">
        <is>
          <t>Escalated invoice INV0016156 to account manager for non-payment.</t>
        </is>
      </c>
    </row>
    <row r="510">
      <c r="A510" t="inlineStr">
        <is>
          <t>COL0009921</t>
        </is>
      </c>
      <c r="B510" t="inlineStr">
        <is>
          <t>MER00764</t>
        </is>
      </c>
      <c r="C510" t="inlineStr">
        <is>
          <t>INV0016159</t>
        </is>
      </c>
      <c r="D510" s="8" t="n">
        <v>46090</v>
      </c>
      <c r="E510" t="inlineStr">
        <is>
          <t>Reminder</t>
        </is>
      </c>
      <c r="F510" t="inlineStr">
        <is>
          <t>Email</t>
        </is>
      </c>
      <c r="G510" t="inlineStr">
        <is>
          <t>Anjali Desai</t>
        </is>
      </c>
      <c r="H510" t="inlineStr">
        <is>
          <t>No Response</t>
        </is>
      </c>
      <c r="I510" s="8" t="n"/>
      <c r="J510" t="n">
        <v/>
      </c>
      <c r="K510" t="inlineStr">
        <is>
          <t>Automated reminder sent for invoice INV0016159 due 2026-03-04.</t>
        </is>
      </c>
    </row>
    <row r="511">
      <c r="A511" t="inlineStr">
        <is>
          <t>COL0009922</t>
        </is>
      </c>
      <c r="B511" t="inlineStr">
        <is>
          <t>MER00764</t>
        </is>
      </c>
      <c r="C511" t="inlineStr">
        <is>
          <t>INV0016159</t>
        </is>
      </c>
      <c r="D511" s="8" t="n">
        <v>46103</v>
      </c>
      <c r="E511" t="inlineStr">
        <is>
          <t>Email</t>
        </is>
      </c>
      <c r="F511" t="inlineStr">
        <is>
          <t>Email</t>
        </is>
      </c>
      <c r="G511" t="inlineStr">
        <is>
          <t>Manish Tiwari</t>
        </is>
      </c>
      <c r="H511" t="inlineStr">
        <is>
          <t>Promise to Pay</t>
        </is>
      </c>
      <c r="I511" s="8" t="n">
        <v>46116</v>
      </c>
      <c r="J511" t="n">
        <v>279.66</v>
      </c>
      <c r="K511" t="inlineStr">
        <is>
          <t>Followed up via email regarding outstanding invoice INV0016159.</t>
        </is>
      </c>
    </row>
    <row r="512">
      <c r="A512" t="inlineStr">
        <is>
          <t>COL0009923</t>
        </is>
      </c>
      <c r="B512" t="inlineStr">
        <is>
          <t>MER00764</t>
        </is>
      </c>
      <c r="C512" t="inlineStr">
        <is>
          <t>INV0016159</t>
        </is>
      </c>
      <c r="D512" s="8" t="n">
        <v>46117</v>
      </c>
      <c r="E512" t="inlineStr">
        <is>
          <t>Phone</t>
        </is>
      </c>
      <c r="F512" t="inlineStr">
        <is>
          <t>Phone</t>
        </is>
      </c>
      <c r="G512" t="inlineStr">
        <is>
          <t>Vivek Nair</t>
        </is>
      </c>
      <c r="H512" t="inlineStr">
        <is>
          <t>No Response</t>
        </is>
      </c>
      <c r="I512" s="8" t="n"/>
      <c r="J512" t="n">
        <v/>
      </c>
      <c r="K512" t="inlineStr">
        <is>
          <t>Called merchant to discuss overdue invoice INV0016159.</t>
        </is>
      </c>
    </row>
    <row r="513">
      <c r="A513" t="inlineStr">
        <is>
          <t>COL0009924</t>
        </is>
      </c>
      <c r="B513" t="inlineStr">
        <is>
          <t>MER00764</t>
        </is>
      </c>
      <c r="C513" t="inlineStr">
        <is>
          <t>INV0016159</t>
        </is>
      </c>
      <c r="D513" s="8" t="n">
        <v>46129</v>
      </c>
      <c r="E513" t="inlineStr">
        <is>
          <t>Escalation</t>
        </is>
      </c>
      <c r="F513" t="inlineStr">
        <is>
          <t>Phone</t>
        </is>
      </c>
      <c r="G513" t="inlineStr">
        <is>
          <t>Farhan Sheikh</t>
        </is>
      </c>
      <c r="H513" t="inlineStr">
        <is>
          <t>Escalated</t>
        </is>
      </c>
      <c r="I513" s="8" t="n"/>
      <c r="J513" t="n">
        <v/>
      </c>
      <c r="K513" t="inlineStr">
        <is>
          <t>Escalated invoice INV0016159 to account manager for non-payment.</t>
        </is>
      </c>
    </row>
    <row r="514">
      <c r="A514" t="inlineStr">
        <is>
          <t>COL0010851</t>
        </is>
      </c>
      <c r="B514" t="inlineStr">
        <is>
          <t>MER00856</t>
        </is>
      </c>
      <c r="C514" t="inlineStr">
        <is>
          <t>INV0018120</t>
        </is>
      </c>
      <c r="D514" s="8" t="n">
        <v>45570</v>
      </c>
      <c r="E514" t="inlineStr">
        <is>
          <t>Reminder</t>
        </is>
      </c>
      <c r="F514" t="inlineStr">
        <is>
          <t>Email</t>
        </is>
      </c>
      <c r="G514" t="inlineStr">
        <is>
          <t>Farhan Sheikh</t>
        </is>
      </c>
      <c r="H514" t="inlineStr">
        <is>
          <t>Payment Received</t>
        </is>
      </c>
      <c r="I514" s="8" t="n"/>
      <c r="J514" t="n">
        <v/>
      </c>
      <c r="K514" t="inlineStr">
        <is>
          <t>Automated reminder sent for invoice INV0018120 due 2024-10-02.</t>
        </is>
      </c>
    </row>
    <row r="515">
      <c r="A515" t="inlineStr">
        <is>
          <t>COL0010852</t>
        </is>
      </c>
      <c r="B515" t="inlineStr">
        <is>
          <t>MER00856</t>
        </is>
      </c>
      <c r="C515" t="inlineStr">
        <is>
          <t>INV0018128</t>
        </is>
      </c>
      <c r="D515" s="8" t="n">
        <v>45845</v>
      </c>
      <c r="E515" t="inlineStr">
        <is>
          <t>Reminder</t>
        </is>
      </c>
      <c r="F515" t="inlineStr">
        <is>
          <t>Email</t>
        </is>
      </c>
      <c r="G515" t="inlineStr">
        <is>
          <t>Manish Tiwari</t>
        </is>
      </c>
      <c r="H515" t="inlineStr">
        <is>
          <t>Promise to Pay</t>
        </is>
      </c>
      <c r="I515" s="8" t="n">
        <v>45856</v>
      </c>
      <c r="J515" t="n">
        <v>149.95</v>
      </c>
      <c r="K515" t="inlineStr">
        <is>
          <t>Automated reminder sent for invoice INV0018128 due 2025-07-02.</t>
        </is>
      </c>
    </row>
    <row r="516">
      <c r="A516" t="inlineStr">
        <is>
          <t>COL0010853</t>
        </is>
      </c>
      <c r="B516" t="inlineStr">
        <is>
          <t>MER00856</t>
        </is>
      </c>
      <c r="C516" t="inlineStr">
        <is>
          <t>INV0018128</t>
        </is>
      </c>
      <c r="D516" s="8" t="n">
        <v>45859</v>
      </c>
      <c r="E516" t="inlineStr">
        <is>
          <t>Email</t>
        </is>
      </c>
      <c r="F516" t="inlineStr">
        <is>
          <t>Email</t>
        </is>
      </c>
      <c r="G516" t="inlineStr">
        <is>
          <t>Vivek Nair</t>
        </is>
      </c>
      <c r="H516" t="inlineStr">
        <is>
          <t>Promise to Pay</t>
        </is>
      </c>
      <c r="I516" s="8" t="n">
        <v>45868</v>
      </c>
      <c r="J516" t="n">
        <v>135.83</v>
      </c>
      <c r="K516" t="inlineStr">
        <is>
          <t>Followed up via email regarding outstanding invoice INV0018128.</t>
        </is>
      </c>
    </row>
    <row r="517">
      <c r="A517" t="inlineStr">
        <is>
          <t>COL0010854</t>
        </is>
      </c>
      <c r="B517" t="inlineStr">
        <is>
          <t>MER00856</t>
        </is>
      </c>
      <c r="C517" t="inlineStr">
        <is>
          <t>INV0018135</t>
        </is>
      </c>
      <c r="D517" s="8" t="n">
        <v>46094</v>
      </c>
      <c r="E517" t="inlineStr">
        <is>
          <t>Reminder</t>
        </is>
      </c>
      <c r="F517" t="inlineStr">
        <is>
          <t>Email</t>
        </is>
      </c>
      <c r="G517" t="inlineStr">
        <is>
          <t>Sanjay Kumar</t>
        </is>
      </c>
      <c r="H517" t="inlineStr">
        <is>
          <t>No Response</t>
        </is>
      </c>
      <c r="I517" s="8" t="n"/>
      <c r="J517" t="n">
        <v/>
      </c>
      <c r="K517" t="inlineStr">
        <is>
          <t>Automated reminder sent for invoice INV0018135 due 2026-03-04.</t>
        </is>
      </c>
    </row>
    <row r="518">
      <c r="A518" t="inlineStr">
        <is>
          <t>COL0010887</t>
        </is>
      </c>
      <c r="B518" t="inlineStr">
        <is>
          <t>MER00861</t>
        </is>
      </c>
      <c r="C518" t="inlineStr">
        <is>
          <t>INV0018229</t>
        </is>
      </c>
      <c r="D518" s="8" t="n">
        <v>45620</v>
      </c>
      <c r="E518" t="inlineStr">
        <is>
          <t>Reminder</t>
        </is>
      </c>
      <c r="F518" t="inlineStr">
        <is>
          <t>Email</t>
        </is>
      </c>
      <c r="G518" t="inlineStr">
        <is>
          <t>Shweta Gupta</t>
        </is>
      </c>
      <c r="H518" t="inlineStr">
        <is>
          <t>Promise to Pay</t>
        </is>
      </c>
      <c r="I518" s="8" t="n">
        <v>45626</v>
      </c>
      <c r="J518" t="n">
        <v>924.4</v>
      </c>
      <c r="K518" t="inlineStr">
        <is>
          <t>Automated reminder sent for invoice INV0018229 due 2024-11-17.</t>
        </is>
      </c>
    </row>
    <row r="519">
      <c r="A519" t="inlineStr">
        <is>
          <t>COL0010888</t>
        </is>
      </c>
      <c r="B519" t="inlineStr">
        <is>
          <t>MER00861</t>
        </is>
      </c>
      <c r="C519" t="inlineStr">
        <is>
          <t>INV0018229</t>
        </is>
      </c>
      <c r="D519" s="8" t="n">
        <v>45625</v>
      </c>
      <c r="E519" t="inlineStr">
        <is>
          <t>Email</t>
        </is>
      </c>
      <c r="F519" t="inlineStr">
        <is>
          <t>Email</t>
        </is>
      </c>
      <c r="G519" t="inlineStr">
        <is>
          <t>Sanjay Kumar</t>
        </is>
      </c>
      <c r="H519" t="inlineStr">
        <is>
          <t>No Response</t>
        </is>
      </c>
      <c r="I519" s="8" t="n"/>
      <c r="J519" t="n">
        <v/>
      </c>
      <c r="K519" t="inlineStr">
        <is>
          <t>Followed up via email regarding outstanding invoice INV0018229.</t>
        </is>
      </c>
    </row>
    <row r="520">
      <c r="A520" t="inlineStr">
        <is>
          <t>COL0010889</t>
        </is>
      </c>
      <c r="B520" t="inlineStr">
        <is>
          <t>MER00861</t>
        </is>
      </c>
      <c r="C520" t="inlineStr">
        <is>
          <t>INV0018229</t>
        </is>
      </c>
      <c r="D520" s="8" t="n">
        <v>45637</v>
      </c>
      <c r="E520" t="inlineStr">
        <is>
          <t>Phone</t>
        </is>
      </c>
      <c r="F520" t="inlineStr">
        <is>
          <t>Phone</t>
        </is>
      </c>
      <c r="G520" t="inlineStr">
        <is>
          <t>Manish Tiwari</t>
        </is>
      </c>
      <c r="H520" t="inlineStr">
        <is>
          <t>Promise to Pay</t>
        </is>
      </c>
      <c r="I520" s="8" t="n">
        <v>45646</v>
      </c>
      <c r="J520" t="n">
        <v>1400.54</v>
      </c>
      <c r="K520" t="inlineStr">
        <is>
          <t>Called merchant to discuss overdue invoice INV0018229.</t>
        </is>
      </c>
    </row>
    <row r="521">
      <c r="A521" t="inlineStr">
        <is>
          <t>COL0010890</t>
        </is>
      </c>
      <c r="B521" t="inlineStr">
        <is>
          <t>MER00861</t>
        </is>
      </c>
      <c r="C521" t="inlineStr">
        <is>
          <t>INV0018229</t>
        </is>
      </c>
      <c r="D521" s="8" t="n">
        <v>45648</v>
      </c>
      <c r="E521" t="inlineStr">
        <is>
          <t>Escalation</t>
        </is>
      </c>
      <c r="F521" t="inlineStr">
        <is>
          <t>Phone</t>
        </is>
      </c>
      <c r="G521" t="inlineStr">
        <is>
          <t>Nandini Rajan</t>
        </is>
      </c>
      <c r="H521" t="inlineStr">
        <is>
          <t>Escalated</t>
        </is>
      </c>
      <c r="I521" s="8" t="n"/>
      <c r="J521" t="n">
        <v/>
      </c>
      <c r="K521" t="inlineStr">
        <is>
          <t>Escalated invoice INV0018229 to account manager for non-payment.</t>
        </is>
      </c>
    </row>
    <row r="522">
      <c r="A522" t="inlineStr">
        <is>
          <t>COL0010891</t>
        </is>
      </c>
      <c r="B522" t="inlineStr">
        <is>
          <t>MER00861</t>
        </is>
      </c>
      <c r="C522" t="inlineStr">
        <is>
          <t>INV0018230</t>
        </is>
      </c>
      <c r="D522" s="8" t="n">
        <v>45646</v>
      </c>
      <c r="E522" t="inlineStr">
        <is>
          <t>Reminder</t>
        </is>
      </c>
      <c r="F522" t="inlineStr">
        <is>
          <t>Email</t>
        </is>
      </c>
      <c r="G522" t="inlineStr">
        <is>
          <t>Ritu Bansal</t>
        </is>
      </c>
      <c r="H522" t="inlineStr">
        <is>
          <t>No Response</t>
        </is>
      </c>
      <c r="I522" s="8" t="n"/>
      <c r="J522" t="n">
        <v/>
      </c>
      <c r="K522" t="inlineStr">
        <is>
          <t>Automated reminder sent for invoice INV0018230 due 2024-12-17.</t>
        </is>
      </c>
    </row>
    <row r="523">
      <c r="A523" t="inlineStr">
        <is>
          <t>COL0010892</t>
        </is>
      </c>
      <c r="B523" t="inlineStr">
        <is>
          <t>MER00861</t>
        </is>
      </c>
      <c r="C523" t="inlineStr">
        <is>
          <t>INV0018230</t>
        </is>
      </c>
      <c r="D523" s="8" t="n">
        <v>45653</v>
      </c>
      <c r="E523" t="inlineStr">
        <is>
          <t>Email</t>
        </is>
      </c>
      <c r="F523" t="inlineStr">
        <is>
          <t>Email</t>
        </is>
      </c>
      <c r="G523" t="inlineStr">
        <is>
          <t>Nandini Rajan</t>
        </is>
      </c>
      <c r="H523" t="inlineStr">
        <is>
          <t>Promise to Pay</t>
        </is>
      </c>
      <c r="I523" s="8" t="n">
        <v>45664</v>
      </c>
      <c r="J523" t="n">
        <v>1724.08</v>
      </c>
      <c r="K523" t="inlineStr">
        <is>
          <t>Followed up via email regarding outstanding invoice INV0018230.</t>
        </is>
      </c>
    </row>
    <row r="524">
      <c r="A524" t="inlineStr">
        <is>
          <t>COL0010893</t>
        </is>
      </c>
      <c r="B524" t="inlineStr">
        <is>
          <t>MER00861</t>
        </is>
      </c>
      <c r="C524" t="inlineStr">
        <is>
          <t>INV0018232</t>
        </is>
      </c>
      <c r="D524" s="8" t="n">
        <v>45713</v>
      </c>
      <c r="E524" t="inlineStr">
        <is>
          <t>Reminder</t>
        </is>
      </c>
      <c r="F524" t="inlineStr">
        <is>
          <t>Email</t>
        </is>
      </c>
      <c r="G524" t="inlineStr">
        <is>
          <t>Farhan Sheikh</t>
        </is>
      </c>
      <c r="H524" t="inlineStr">
        <is>
          <t>No Response</t>
        </is>
      </c>
      <c r="I524" s="8" t="n"/>
      <c r="J524" t="n">
        <v/>
      </c>
      <c r="K524" t="inlineStr">
        <is>
          <t>Automated reminder sent for invoice INV0018232 due 2025-02-17.</t>
        </is>
      </c>
    </row>
    <row r="525">
      <c r="A525" t="inlineStr">
        <is>
          <t>COL0010894</t>
        </is>
      </c>
      <c r="B525" t="inlineStr">
        <is>
          <t>MER00861</t>
        </is>
      </c>
      <c r="C525" t="inlineStr">
        <is>
          <t>INV0018232</t>
        </is>
      </c>
      <c r="D525" s="8" t="n">
        <v>45726</v>
      </c>
      <c r="E525" t="inlineStr">
        <is>
          <t>Email</t>
        </is>
      </c>
      <c r="F525" t="inlineStr">
        <is>
          <t>Email</t>
        </is>
      </c>
      <c r="G525" t="inlineStr">
        <is>
          <t>Vivek Nair</t>
        </is>
      </c>
      <c r="H525" t="inlineStr">
        <is>
          <t>Promise to Pay</t>
        </is>
      </c>
      <c r="I525" s="8" t="n">
        <v>45733</v>
      </c>
      <c r="J525" t="n">
        <v>626.86</v>
      </c>
      <c r="K525" t="inlineStr">
        <is>
          <t>Followed up via email regarding outstanding invoice INV0018232.</t>
        </is>
      </c>
    </row>
    <row r="526">
      <c r="A526" t="inlineStr">
        <is>
          <t>COL0010895</t>
        </is>
      </c>
      <c r="B526" t="inlineStr">
        <is>
          <t>MER00861</t>
        </is>
      </c>
      <c r="C526" t="inlineStr">
        <is>
          <t>INV0018234</t>
        </is>
      </c>
      <c r="D526" s="8" t="n">
        <v>45771</v>
      </c>
      <c r="E526" t="inlineStr">
        <is>
          <t>Reminder</t>
        </is>
      </c>
      <c r="F526" t="inlineStr">
        <is>
          <t>Email</t>
        </is>
      </c>
      <c r="G526" t="inlineStr">
        <is>
          <t>Nandini Rajan</t>
        </is>
      </c>
      <c r="H526" t="inlineStr">
        <is>
          <t>No Response</t>
        </is>
      </c>
      <c r="I526" s="8" t="n"/>
      <c r="J526" t="n">
        <v/>
      </c>
      <c r="K526" t="inlineStr">
        <is>
          <t>Automated reminder sent for invoice INV0018234 due 2025-04-17.</t>
        </is>
      </c>
    </row>
    <row r="527">
      <c r="A527" t="inlineStr">
        <is>
          <t>COL0010896</t>
        </is>
      </c>
      <c r="B527" t="inlineStr">
        <is>
          <t>MER00861</t>
        </is>
      </c>
      <c r="C527" t="inlineStr">
        <is>
          <t>INV0018234</t>
        </is>
      </c>
      <c r="D527" s="8" t="n">
        <v>45780</v>
      </c>
      <c r="E527" t="inlineStr">
        <is>
          <t>Email</t>
        </is>
      </c>
      <c r="F527" t="inlineStr">
        <is>
          <t>Email</t>
        </is>
      </c>
      <c r="G527" t="inlineStr">
        <is>
          <t>Sanjay Kumar</t>
        </is>
      </c>
      <c r="H527" t="inlineStr">
        <is>
          <t>Promise to Pay</t>
        </is>
      </c>
      <c r="I527" s="8" t="n">
        <v>45791</v>
      </c>
      <c r="J527" t="n">
        <v>1042.93</v>
      </c>
      <c r="K527" t="inlineStr">
        <is>
          <t>Followed up via email regarding outstanding invoice INV0018234.</t>
        </is>
      </c>
    </row>
    <row r="528">
      <c r="A528" t="inlineStr">
        <is>
          <t>COL0010897</t>
        </is>
      </c>
      <c r="B528" t="inlineStr">
        <is>
          <t>MER00861</t>
        </is>
      </c>
      <c r="C528" t="inlineStr">
        <is>
          <t>INV0018236</t>
        </is>
      </c>
      <c r="D528" s="8" t="n">
        <v>45831</v>
      </c>
      <c r="E528" t="inlineStr">
        <is>
          <t>Reminder</t>
        </is>
      </c>
      <c r="F528" t="inlineStr">
        <is>
          <t>Email</t>
        </is>
      </c>
      <c r="G528" t="inlineStr">
        <is>
          <t>Manish Tiwari</t>
        </is>
      </c>
      <c r="H528" t="inlineStr">
        <is>
          <t>Promise to Pay</t>
        </is>
      </c>
      <c r="I528" s="8" t="n">
        <v>45837</v>
      </c>
      <c r="J528" t="n">
        <v>1038.04</v>
      </c>
      <c r="K528" t="inlineStr">
        <is>
          <t>Automated reminder sent for invoice INV0018236 due 2025-06-17.</t>
        </is>
      </c>
    </row>
    <row r="529">
      <c r="A529" t="inlineStr">
        <is>
          <t>COL0010898</t>
        </is>
      </c>
      <c r="B529" t="inlineStr">
        <is>
          <t>MER00861</t>
        </is>
      </c>
      <c r="C529" t="inlineStr">
        <is>
          <t>INV0018236</t>
        </is>
      </c>
      <c r="D529" s="8" t="n">
        <v>45837</v>
      </c>
      <c r="E529" t="inlineStr">
        <is>
          <t>Email</t>
        </is>
      </c>
      <c r="F529" t="inlineStr">
        <is>
          <t>Email</t>
        </is>
      </c>
      <c r="G529" t="inlineStr">
        <is>
          <t>Vivek Nair</t>
        </is>
      </c>
      <c r="H529" t="inlineStr">
        <is>
          <t>Promise to Pay</t>
        </is>
      </c>
      <c r="I529" s="8" t="n">
        <v>45847</v>
      </c>
      <c r="J529" t="n">
        <v>1293.76</v>
      </c>
      <c r="K529" t="inlineStr">
        <is>
          <t>Followed up via email regarding outstanding invoice INV0018236.</t>
        </is>
      </c>
    </row>
    <row r="530">
      <c r="A530" t="inlineStr">
        <is>
          <t>COL0010899</t>
        </is>
      </c>
      <c r="B530" t="inlineStr">
        <is>
          <t>MER00861</t>
        </is>
      </c>
      <c r="C530" t="inlineStr">
        <is>
          <t>INV0018237</t>
        </is>
      </c>
      <c r="D530" s="8" t="n">
        <v>45858</v>
      </c>
      <c r="E530" t="inlineStr">
        <is>
          <t>Reminder</t>
        </is>
      </c>
      <c r="F530" t="inlineStr">
        <is>
          <t>Email</t>
        </is>
      </c>
      <c r="G530" t="inlineStr">
        <is>
          <t>Sanjay Kumar</t>
        </is>
      </c>
      <c r="H530" t="inlineStr">
        <is>
          <t>Promise to Pay</t>
        </is>
      </c>
      <c r="I530" s="8" t="n">
        <v>45872</v>
      </c>
      <c r="J530" t="n">
        <v>1246.77</v>
      </c>
      <c r="K530" t="inlineStr">
        <is>
          <t>Automated reminder sent for invoice INV0018237 due 2025-07-17.</t>
        </is>
      </c>
    </row>
    <row r="531">
      <c r="A531" t="inlineStr">
        <is>
          <t>COL0010900</t>
        </is>
      </c>
      <c r="B531" t="inlineStr">
        <is>
          <t>MER00861</t>
        </is>
      </c>
      <c r="C531" t="inlineStr">
        <is>
          <t>INV0018237</t>
        </is>
      </c>
      <c r="D531" s="8" t="n">
        <v>45870</v>
      </c>
      <c r="E531" t="inlineStr">
        <is>
          <t>Email</t>
        </is>
      </c>
      <c r="F531" t="inlineStr">
        <is>
          <t>Email</t>
        </is>
      </c>
      <c r="G531" t="inlineStr">
        <is>
          <t>Manish Tiwari</t>
        </is>
      </c>
      <c r="H531" t="inlineStr">
        <is>
          <t>No Response</t>
        </is>
      </c>
      <c r="I531" s="8" t="n"/>
      <c r="J531" t="n">
        <v/>
      </c>
      <c r="K531" t="inlineStr">
        <is>
          <t>Followed up via email regarding outstanding invoice INV0018237.</t>
        </is>
      </c>
    </row>
    <row r="532">
      <c r="A532" t="inlineStr">
        <is>
          <t>COL0010901</t>
        </is>
      </c>
      <c r="B532" t="inlineStr">
        <is>
          <t>MER00861</t>
        </is>
      </c>
      <c r="C532" t="inlineStr">
        <is>
          <t>INV0018237</t>
        </is>
      </c>
      <c r="D532" s="8" t="n">
        <v>45876</v>
      </c>
      <c r="E532" t="inlineStr">
        <is>
          <t>Phone</t>
        </is>
      </c>
      <c r="F532" t="inlineStr">
        <is>
          <t>Phone</t>
        </is>
      </c>
      <c r="G532" t="inlineStr">
        <is>
          <t>Sanjay Kumar</t>
        </is>
      </c>
      <c r="H532" t="inlineStr">
        <is>
          <t>No Response</t>
        </is>
      </c>
      <c r="I532" s="8" t="n"/>
      <c r="J532" t="n">
        <v/>
      </c>
      <c r="K532" t="inlineStr">
        <is>
          <t>Called merchant to discuss overdue invoice INV0018237.</t>
        </is>
      </c>
    </row>
    <row r="533">
      <c r="A533" t="inlineStr">
        <is>
          <t>COL0010902</t>
        </is>
      </c>
      <c r="B533" t="inlineStr">
        <is>
          <t>MER00861</t>
        </is>
      </c>
      <c r="C533" t="inlineStr">
        <is>
          <t>INV0018238</t>
        </is>
      </c>
      <c r="D533" s="8" t="n">
        <v>45894</v>
      </c>
      <c r="E533" t="inlineStr">
        <is>
          <t>Reminder</t>
        </is>
      </c>
      <c r="F533" t="inlineStr">
        <is>
          <t>Email</t>
        </is>
      </c>
      <c r="G533" t="inlineStr">
        <is>
          <t>Anjali Desai</t>
        </is>
      </c>
      <c r="H533" t="inlineStr">
        <is>
          <t>Promise to Pay</t>
        </is>
      </c>
      <c r="I533" s="8" t="n">
        <v>45907</v>
      </c>
      <c r="J533" t="n">
        <v>1252.19</v>
      </c>
      <c r="K533" t="inlineStr">
        <is>
          <t>Automated reminder sent for invoice INV0018238 due 2025-08-17.</t>
        </is>
      </c>
    </row>
    <row r="534">
      <c r="A534" t="inlineStr">
        <is>
          <t>COL0010903</t>
        </is>
      </c>
      <c r="B534" t="inlineStr">
        <is>
          <t>MER00861</t>
        </is>
      </c>
      <c r="C534" t="inlineStr">
        <is>
          <t>INV0018238</t>
        </is>
      </c>
      <c r="D534" s="8" t="n">
        <v>45901</v>
      </c>
      <c r="E534" t="inlineStr">
        <is>
          <t>Email</t>
        </is>
      </c>
      <c r="F534" t="inlineStr">
        <is>
          <t>Email</t>
        </is>
      </c>
      <c r="G534" t="inlineStr">
        <is>
          <t>Manish Tiwari</t>
        </is>
      </c>
      <c r="H534" t="inlineStr">
        <is>
          <t>No Response</t>
        </is>
      </c>
      <c r="I534" s="8" t="n"/>
      <c r="J534" t="n">
        <v/>
      </c>
      <c r="K534" t="inlineStr">
        <is>
          <t>Followed up via email regarding outstanding invoice INV0018238.</t>
        </is>
      </c>
    </row>
    <row r="535">
      <c r="A535" t="inlineStr">
        <is>
          <t>COL0010904</t>
        </is>
      </c>
      <c r="B535" t="inlineStr">
        <is>
          <t>MER00861</t>
        </is>
      </c>
      <c r="C535" t="inlineStr">
        <is>
          <t>INV0018238</t>
        </is>
      </c>
      <c r="D535" s="8" t="n">
        <v>45908</v>
      </c>
      <c r="E535" t="inlineStr">
        <is>
          <t>Phone</t>
        </is>
      </c>
      <c r="F535" t="inlineStr">
        <is>
          <t>Phone</t>
        </is>
      </c>
      <c r="G535" t="inlineStr">
        <is>
          <t>Nandini Rajan</t>
        </is>
      </c>
      <c r="H535" t="inlineStr">
        <is>
          <t>Promise to Pay</t>
        </is>
      </c>
      <c r="I535" s="8" t="n">
        <v>45912</v>
      </c>
      <c r="J535" t="n">
        <v>1603.01</v>
      </c>
      <c r="K535" t="inlineStr">
        <is>
          <t>Called merchant to discuss overdue invoice INV0018238.</t>
        </is>
      </c>
    </row>
    <row r="536">
      <c r="A536" t="inlineStr">
        <is>
          <t>COL0010905</t>
        </is>
      </c>
      <c r="B536" t="inlineStr">
        <is>
          <t>MER00861</t>
        </is>
      </c>
      <c r="C536" t="inlineStr">
        <is>
          <t>INV0018238</t>
        </is>
      </c>
      <c r="D536" s="8" t="n">
        <v>45919</v>
      </c>
      <c r="E536" t="inlineStr">
        <is>
          <t>Escalation</t>
        </is>
      </c>
      <c r="F536" t="inlineStr">
        <is>
          <t>Phone</t>
        </is>
      </c>
      <c r="G536" t="inlineStr">
        <is>
          <t>Anjali Desai</t>
        </is>
      </c>
      <c r="H536" t="inlineStr">
        <is>
          <t>Escalated</t>
        </is>
      </c>
      <c r="I536" s="8" t="n"/>
      <c r="J536" t="n">
        <v/>
      </c>
      <c r="K536" t="inlineStr">
        <is>
          <t>Escalated invoice INV0018238 to account manager for non-payment.</t>
        </is>
      </c>
    </row>
    <row r="537">
      <c r="A537" t="inlineStr">
        <is>
          <t>COL0011116</t>
        </is>
      </c>
      <c r="B537" t="inlineStr">
        <is>
          <t>MER00870</t>
        </is>
      </c>
      <c r="C537" t="inlineStr">
        <is>
          <t>INV0018401</t>
        </is>
      </c>
      <c r="D537" s="8" t="n">
        <v>45785</v>
      </c>
      <c r="E537" t="inlineStr">
        <is>
          <t>Reminder</t>
        </is>
      </c>
      <c r="F537" t="inlineStr">
        <is>
          <t>Email</t>
        </is>
      </c>
      <c r="G537" t="inlineStr">
        <is>
          <t>Ritu Bansal</t>
        </is>
      </c>
      <c r="H537" t="inlineStr">
        <is>
          <t>Promise to Pay</t>
        </is>
      </c>
      <c r="I537" s="8" t="n">
        <v>45795</v>
      </c>
      <c r="J537" t="n">
        <v>133.27</v>
      </c>
      <c r="K537" t="inlineStr">
        <is>
          <t>Automated reminder sent for invoice INV0018401 due 2025-05-02.</t>
        </is>
      </c>
    </row>
    <row r="538">
      <c r="A538" t="inlineStr">
        <is>
          <t>COL0011561</t>
        </is>
      </c>
      <c r="B538" t="inlineStr">
        <is>
          <t>MER00902</t>
        </is>
      </c>
      <c r="C538" t="inlineStr">
        <is>
          <t>INV0019117</t>
        </is>
      </c>
      <c r="D538" s="8" t="n">
        <v>45575</v>
      </c>
      <c r="E538" t="inlineStr">
        <is>
          <t>Reminder</t>
        </is>
      </c>
      <c r="F538" t="inlineStr">
        <is>
          <t>Email</t>
        </is>
      </c>
      <c r="G538" t="inlineStr">
        <is>
          <t>Nandini Rajan</t>
        </is>
      </c>
      <c r="H538" t="inlineStr">
        <is>
          <t>Promise to Pay</t>
        </is>
      </c>
      <c r="I538" s="8" t="n">
        <v>45583</v>
      </c>
      <c r="J538" t="n">
        <v>443.28</v>
      </c>
      <c r="K538" t="inlineStr">
        <is>
          <t>Automated reminder sent for invoice INV0019117 due 2024-10-02.</t>
        </is>
      </c>
    </row>
    <row r="539">
      <c r="A539" t="inlineStr">
        <is>
          <t>COL0011562</t>
        </is>
      </c>
      <c r="B539" t="inlineStr">
        <is>
          <t>MER00902</t>
        </is>
      </c>
      <c r="C539" t="inlineStr">
        <is>
          <t>INV0019117</t>
        </is>
      </c>
      <c r="D539" s="8" t="n">
        <v>45588</v>
      </c>
      <c r="E539" t="inlineStr">
        <is>
          <t>Email</t>
        </is>
      </c>
      <c r="F539" t="inlineStr">
        <is>
          <t>Email</t>
        </is>
      </c>
      <c r="G539" t="inlineStr">
        <is>
          <t>Sanjay Kumar</t>
        </is>
      </c>
      <c r="H539" t="inlineStr">
        <is>
          <t>Promise to Pay</t>
        </is>
      </c>
      <c r="I539" s="8" t="n">
        <v>45593</v>
      </c>
      <c r="J539" t="n">
        <v>645.39</v>
      </c>
      <c r="K539" t="inlineStr">
        <is>
          <t>Followed up via email regarding outstanding invoice INV0019117.</t>
        </is>
      </c>
    </row>
    <row r="540">
      <c r="A540" t="inlineStr">
        <is>
          <t>COL0011563</t>
        </is>
      </c>
      <c r="B540" t="inlineStr">
        <is>
          <t>MER00902</t>
        </is>
      </c>
      <c r="C540" t="inlineStr">
        <is>
          <t>INV0019117</t>
        </is>
      </c>
      <c r="D540" s="8" t="n">
        <v>45596</v>
      </c>
      <c r="E540" t="inlineStr">
        <is>
          <t>Phone</t>
        </is>
      </c>
      <c r="F540" t="inlineStr">
        <is>
          <t>Phone</t>
        </is>
      </c>
      <c r="G540" t="inlineStr">
        <is>
          <t>Sanjay Kumar</t>
        </is>
      </c>
      <c r="H540" t="inlineStr">
        <is>
          <t>Promise to Pay</t>
        </is>
      </c>
      <c r="I540" s="8" t="n">
        <v>45610</v>
      </c>
      <c r="J540" t="n">
        <v>591.04</v>
      </c>
      <c r="K540" t="inlineStr">
        <is>
          <t>Called merchant to discuss overdue invoice INV0019117.</t>
        </is>
      </c>
    </row>
    <row r="541">
      <c r="A541" t="inlineStr">
        <is>
          <t>COL0011564</t>
        </is>
      </c>
      <c r="B541" t="inlineStr">
        <is>
          <t>MER00902</t>
        </is>
      </c>
      <c r="C541" t="inlineStr">
        <is>
          <t>INV0019117</t>
        </is>
      </c>
      <c r="D541" s="8" t="n">
        <v>45602</v>
      </c>
      <c r="E541" t="inlineStr">
        <is>
          <t>Escalation</t>
        </is>
      </c>
      <c r="F541" t="inlineStr">
        <is>
          <t>Phone</t>
        </is>
      </c>
      <c r="G541" t="inlineStr">
        <is>
          <t>Manish Tiwari</t>
        </is>
      </c>
      <c r="H541" t="inlineStr">
        <is>
          <t>Disputed</t>
        </is>
      </c>
      <c r="I541" s="8" t="n"/>
      <c r="J541" t="n">
        <v/>
      </c>
      <c r="K541" t="inlineStr">
        <is>
          <t>Escalated invoice INV0019117 to account manager for non-payment.</t>
        </is>
      </c>
    </row>
    <row r="542">
      <c r="A542" t="inlineStr">
        <is>
          <t>COL0011565</t>
        </is>
      </c>
      <c r="B542" t="inlineStr">
        <is>
          <t>MER00902</t>
        </is>
      </c>
      <c r="C542" t="inlineStr">
        <is>
          <t>INV0019124</t>
        </is>
      </c>
      <c r="D542" s="8" t="n">
        <v>45782</v>
      </c>
      <c r="E542" t="inlineStr">
        <is>
          <t>Reminder</t>
        </is>
      </c>
      <c r="F542" t="inlineStr">
        <is>
          <t>Email</t>
        </is>
      </c>
      <c r="G542" t="inlineStr">
        <is>
          <t>Manish Tiwari</t>
        </is>
      </c>
      <c r="H542" t="inlineStr">
        <is>
          <t>Promise to Pay</t>
        </is>
      </c>
      <c r="I542" s="8" t="n">
        <v>45793</v>
      </c>
      <c r="J542" t="n">
        <v>167.72</v>
      </c>
      <c r="K542" t="inlineStr">
        <is>
          <t>Automated reminder sent for invoice INV0019124 due 2025-05-02.</t>
        </is>
      </c>
    </row>
    <row r="543">
      <c r="A543" t="inlineStr">
        <is>
          <t>COL0011566</t>
        </is>
      </c>
      <c r="B543" t="inlineStr">
        <is>
          <t>MER00902</t>
        </is>
      </c>
      <c r="C543" t="inlineStr">
        <is>
          <t>INV0019124</t>
        </is>
      </c>
      <c r="D543" s="8" t="n">
        <v>45795</v>
      </c>
      <c r="E543" t="inlineStr">
        <is>
          <t>Email</t>
        </is>
      </c>
      <c r="F543" t="inlineStr">
        <is>
          <t>Email</t>
        </is>
      </c>
      <c r="G543" t="inlineStr">
        <is>
          <t>Nandini Rajan</t>
        </is>
      </c>
      <c r="H543" t="inlineStr">
        <is>
          <t>Promise to Pay</t>
        </is>
      </c>
      <c r="I543" s="8" t="n">
        <v>45798</v>
      </c>
      <c r="J543" t="n">
        <v>234.78</v>
      </c>
      <c r="K543" t="inlineStr">
        <is>
          <t>Followed up via email regarding outstanding invoice INV0019124.</t>
        </is>
      </c>
    </row>
    <row r="544">
      <c r="A544" t="inlineStr">
        <is>
          <t>COL0011567</t>
        </is>
      </c>
      <c r="B544" t="inlineStr">
        <is>
          <t>MER00902</t>
        </is>
      </c>
      <c r="C544" t="inlineStr">
        <is>
          <t>INV0019124</t>
        </is>
      </c>
      <c r="D544" s="8" t="n">
        <v>45805</v>
      </c>
      <c r="E544" t="inlineStr">
        <is>
          <t>Phone</t>
        </is>
      </c>
      <c r="F544" t="inlineStr">
        <is>
          <t>Phone</t>
        </is>
      </c>
      <c r="G544" t="inlineStr">
        <is>
          <t>Sanjay Kumar</t>
        </is>
      </c>
      <c r="H544" t="inlineStr">
        <is>
          <t>Payment Received</t>
        </is>
      </c>
      <c r="I544" s="8" t="n"/>
      <c r="J544" t="n">
        <v/>
      </c>
      <c r="K544" t="inlineStr">
        <is>
          <t>Called merchant to discuss overdue invoice INV0019124.</t>
        </is>
      </c>
    </row>
    <row r="545">
      <c r="A545" t="inlineStr">
        <is>
          <t>COL0011568</t>
        </is>
      </c>
      <c r="B545" t="inlineStr">
        <is>
          <t>MER00902</t>
        </is>
      </c>
      <c r="C545" t="inlineStr">
        <is>
          <t>INV0019125</t>
        </is>
      </c>
      <c r="D545" s="8" t="n">
        <v>45818</v>
      </c>
      <c r="E545" t="inlineStr">
        <is>
          <t>Reminder</t>
        </is>
      </c>
      <c r="F545" t="inlineStr">
        <is>
          <t>Email</t>
        </is>
      </c>
      <c r="G545" t="inlineStr">
        <is>
          <t>Manish Tiwari</t>
        </is>
      </c>
      <c r="H545" t="inlineStr">
        <is>
          <t>Disputed</t>
        </is>
      </c>
      <c r="I545" s="8" t="n"/>
      <c r="J545" t="n">
        <v/>
      </c>
      <c r="K545" t="inlineStr">
        <is>
          <t>Automated reminder sent for invoice INV0019125 due 2025-06-01.</t>
        </is>
      </c>
    </row>
    <row r="546">
      <c r="A546" t="inlineStr">
        <is>
          <t>COL0011569</t>
        </is>
      </c>
      <c r="B546" t="inlineStr">
        <is>
          <t>MER00902</t>
        </is>
      </c>
      <c r="C546" t="inlineStr">
        <is>
          <t>INV0019125</t>
        </is>
      </c>
      <c r="D546" s="8" t="n">
        <v>45828</v>
      </c>
      <c r="E546" t="inlineStr">
        <is>
          <t>Email</t>
        </is>
      </c>
      <c r="F546" t="inlineStr">
        <is>
          <t>Email</t>
        </is>
      </c>
      <c r="G546" t="inlineStr">
        <is>
          <t>Ritu Bansal</t>
        </is>
      </c>
      <c r="H546" t="inlineStr">
        <is>
          <t>Promise to Pay</t>
        </is>
      </c>
      <c r="I546" s="8" t="n">
        <v>45832</v>
      </c>
      <c r="J546" t="n">
        <v>352.13</v>
      </c>
      <c r="K546" t="inlineStr">
        <is>
          <t>Followed up via email regarding outstanding invoice INV0019125.</t>
        </is>
      </c>
    </row>
    <row r="547">
      <c r="A547" t="inlineStr">
        <is>
          <t>COL0011570</t>
        </is>
      </c>
      <c r="B547" t="inlineStr">
        <is>
          <t>MER00902</t>
        </is>
      </c>
      <c r="C547" t="inlineStr">
        <is>
          <t>INV0019125</t>
        </is>
      </c>
      <c r="D547" s="8" t="n">
        <v>45842</v>
      </c>
      <c r="E547" t="inlineStr">
        <is>
          <t>Phone</t>
        </is>
      </c>
      <c r="F547" t="inlineStr">
        <is>
          <t>Phone</t>
        </is>
      </c>
      <c r="G547" t="inlineStr">
        <is>
          <t>Vivek Nair</t>
        </is>
      </c>
      <c r="H547" t="inlineStr">
        <is>
          <t>No Response</t>
        </is>
      </c>
      <c r="I547" s="8" t="n"/>
      <c r="J547" t="n">
        <v/>
      </c>
      <c r="K547" t="inlineStr">
        <is>
          <t>Called merchant to discuss overdue invoice INV0019125.</t>
        </is>
      </c>
    </row>
    <row r="548">
      <c r="A548" t="inlineStr">
        <is>
          <t>COL0011571</t>
        </is>
      </c>
      <c r="B548" t="inlineStr">
        <is>
          <t>MER00902</t>
        </is>
      </c>
      <c r="C548" t="inlineStr">
        <is>
          <t>INV0019125</t>
        </is>
      </c>
      <c r="D548" s="8" t="n">
        <v>45854</v>
      </c>
      <c r="E548" t="inlineStr">
        <is>
          <t>Escalation</t>
        </is>
      </c>
      <c r="F548" t="inlineStr">
        <is>
          <t>Phone</t>
        </is>
      </c>
      <c r="G548" t="inlineStr">
        <is>
          <t>Shweta Gupta</t>
        </is>
      </c>
      <c r="H548" t="inlineStr">
        <is>
          <t>Disputed</t>
        </is>
      </c>
      <c r="I548" s="8" t="n"/>
      <c r="J548" t="n">
        <v/>
      </c>
      <c r="K548" t="inlineStr">
        <is>
          <t>Escalated invoice INV0019125 to account manager for non-payment.</t>
        </is>
      </c>
    </row>
    <row r="549">
      <c r="A549" t="inlineStr">
        <is>
          <t>COL0011572</t>
        </is>
      </c>
      <c r="B549" t="inlineStr">
        <is>
          <t>MER00902</t>
        </is>
      </c>
      <c r="C549" t="inlineStr">
        <is>
          <t>INV0019127</t>
        </is>
      </c>
      <c r="D549" s="8" t="n">
        <v>45878</v>
      </c>
      <c r="E549" t="inlineStr">
        <is>
          <t>Reminder</t>
        </is>
      </c>
      <c r="F549" t="inlineStr">
        <is>
          <t>Email</t>
        </is>
      </c>
      <c r="G549" t="inlineStr">
        <is>
          <t>Farhan Sheikh</t>
        </is>
      </c>
      <c r="H549" t="inlineStr">
        <is>
          <t>No Response</t>
        </is>
      </c>
      <c r="I549" s="8" t="n"/>
      <c r="J549" t="n">
        <v/>
      </c>
      <c r="K549" t="inlineStr">
        <is>
          <t>Automated reminder sent for invoice INV0019127 due 2025-08-01.</t>
        </is>
      </c>
    </row>
    <row r="550">
      <c r="A550" t="inlineStr">
        <is>
          <t>COL0011573</t>
        </is>
      </c>
      <c r="B550" t="inlineStr">
        <is>
          <t>MER00902</t>
        </is>
      </c>
      <c r="C550" t="inlineStr">
        <is>
          <t>INV0019127</t>
        </is>
      </c>
      <c r="D550" s="8" t="n">
        <v>45885</v>
      </c>
      <c r="E550" t="inlineStr">
        <is>
          <t>Email</t>
        </is>
      </c>
      <c r="F550" t="inlineStr">
        <is>
          <t>Email</t>
        </is>
      </c>
      <c r="G550" t="inlineStr">
        <is>
          <t>Farhan Sheikh</t>
        </is>
      </c>
      <c r="H550" t="inlineStr">
        <is>
          <t>Promise to Pay</t>
        </is>
      </c>
      <c r="I550" s="8" t="n">
        <v>45897</v>
      </c>
      <c r="J550" t="n">
        <v>667.16</v>
      </c>
      <c r="K550" t="inlineStr">
        <is>
          <t>Followed up via email regarding outstanding invoice INV0019127.</t>
        </is>
      </c>
    </row>
    <row r="551">
      <c r="A551" t="inlineStr">
        <is>
          <t>COL0011574</t>
        </is>
      </c>
      <c r="B551" t="inlineStr">
        <is>
          <t>MER00902</t>
        </is>
      </c>
      <c r="C551" t="inlineStr">
        <is>
          <t>INV0019127</t>
        </is>
      </c>
      <c r="D551" s="8" t="n">
        <v>45894</v>
      </c>
      <c r="E551" t="inlineStr">
        <is>
          <t>Phone</t>
        </is>
      </c>
      <c r="F551" t="inlineStr">
        <is>
          <t>Phone</t>
        </is>
      </c>
      <c r="G551" t="inlineStr">
        <is>
          <t>Ritu Bansal</t>
        </is>
      </c>
      <c r="H551" t="inlineStr">
        <is>
          <t>Payment Received</t>
        </is>
      </c>
      <c r="I551" s="8" t="n"/>
      <c r="J551" t="n">
        <v/>
      </c>
      <c r="K551" t="inlineStr">
        <is>
          <t>Called merchant to discuss overdue invoice INV0019127.</t>
        </is>
      </c>
    </row>
    <row r="552">
      <c r="A552" t="inlineStr">
        <is>
          <t>COL0011575</t>
        </is>
      </c>
      <c r="B552" t="inlineStr">
        <is>
          <t>MER00902</t>
        </is>
      </c>
      <c r="C552" t="inlineStr">
        <is>
          <t>INV0019131</t>
        </is>
      </c>
      <c r="D552" s="8" t="n">
        <v>46001</v>
      </c>
      <c r="E552" t="inlineStr">
        <is>
          <t>Reminder</t>
        </is>
      </c>
      <c r="F552" t="inlineStr">
        <is>
          <t>Email</t>
        </is>
      </c>
      <c r="G552" t="inlineStr">
        <is>
          <t>Amit Saxena</t>
        </is>
      </c>
      <c r="H552" t="inlineStr">
        <is>
          <t>Promise to Pay</t>
        </is>
      </c>
      <c r="I552" s="8" t="n">
        <v>46011</v>
      </c>
      <c r="J552" t="n">
        <v>597.38</v>
      </c>
      <c r="K552" t="inlineStr">
        <is>
          <t>Automated reminder sent for invoice INV0019131 due 2025-12-02.</t>
        </is>
      </c>
    </row>
    <row r="553">
      <c r="A553" t="inlineStr">
        <is>
          <t>COL0011576</t>
        </is>
      </c>
      <c r="B553" t="inlineStr">
        <is>
          <t>MER00902</t>
        </is>
      </c>
      <c r="C553" t="inlineStr">
        <is>
          <t>INV0019131</t>
        </is>
      </c>
      <c r="D553" s="8" t="n">
        <v>46007</v>
      </c>
      <c r="E553" t="inlineStr">
        <is>
          <t>Email</t>
        </is>
      </c>
      <c r="F553" t="inlineStr">
        <is>
          <t>Email</t>
        </is>
      </c>
      <c r="G553" t="inlineStr">
        <is>
          <t>Amit Saxena</t>
        </is>
      </c>
      <c r="H553" t="inlineStr">
        <is>
          <t>No Response</t>
        </is>
      </c>
      <c r="I553" s="8" t="n"/>
      <c r="J553" t="n">
        <v/>
      </c>
      <c r="K553" t="inlineStr">
        <is>
          <t>Followed up via email regarding outstanding invoice INV0019131.</t>
        </is>
      </c>
    </row>
    <row r="554">
      <c r="A554" t="inlineStr">
        <is>
          <t>COL0011577</t>
        </is>
      </c>
      <c r="B554" t="inlineStr">
        <is>
          <t>MER00902</t>
        </is>
      </c>
      <c r="C554" t="inlineStr">
        <is>
          <t>INV0019134</t>
        </is>
      </c>
      <c r="D554" s="8" t="n">
        <v>46093</v>
      </c>
      <c r="E554" t="inlineStr">
        <is>
          <t>Reminder</t>
        </is>
      </c>
      <c r="F554" t="inlineStr">
        <is>
          <t>Email</t>
        </is>
      </c>
      <c r="G554" t="inlineStr">
        <is>
          <t>Vivek Nair</t>
        </is>
      </c>
      <c r="H554" t="inlineStr">
        <is>
          <t>No Response</t>
        </is>
      </c>
      <c r="I554" s="8" t="n"/>
      <c r="J554" t="n">
        <v/>
      </c>
      <c r="K554" t="inlineStr">
        <is>
          <t>Automated reminder sent for invoice INV0019134 due 2026-03-04.</t>
        </is>
      </c>
    </row>
    <row r="555">
      <c r="A555" t="inlineStr">
        <is>
          <t>COL0011578</t>
        </is>
      </c>
      <c r="B555" t="inlineStr">
        <is>
          <t>MER00902</t>
        </is>
      </c>
      <c r="C555" t="inlineStr">
        <is>
          <t>INV0019134</t>
        </is>
      </c>
      <c r="D555" s="8" t="n">
        <v>46107</v>
      </c>
      <c r="E555" t="inlineStr">
        <is>
          <t>Email</t>
        </is>
      </c>
      <c r="F555" t="inlineStr">
        <is>
          <t>Email</t>
        </is>
      </c>
      <c r="G555" t="inlineStr">
        <is>
          <t>Shweta Gupta</t>
        </is>
      </c>
      <c r="H555" t="inlineStr">
        <is>
          <t>Payment Received</t>
        </is>
      </c>
      <c r="I555" s="8" t="n"/>
      <c r="J555" t="n">
        <v/>
      </c>
      <c r="K555" t="inlineStr">
        <is>
          <t>Followed up via email regarding outstanding invoice INV0019134.</t>
        </is>
      </c>
    </row>
    <row r="556">
      <c r="A556" t="inlineStr">
        <is>
          <t>COL0011579</t>
        </is>
      </c>
      <c r="B556" t="inlineStr">
        <is>
          <t>MER00902</t>
        </is>
      </c>
      <c r="C556" t="inlineStr">
        <is>
          <t>INV0019139</t>
        </is>
      </c>
      <c r="D556" s="8" t="n">
        <v>46242</v>
      </c>
      <c r="E556" t="inlineStr">
        <is>
          <t>Reminder</t>
        </is>
      </c>
      <c r="F556" t="inlineStr">
        <is>
          <t>Email</t>
        </is>
      </c>
      <c r="G556" t="inlineStr">
        <is>
          <t>Manish Tiwari</t>
        </is>
      </c>
      <c r="H556" t="inlineStr">
        <is>
          <t>No Response</t>
        </is>
      </c>
      <c r="I556" s="8" t="n"/>
      <c r="J556" t="n">
        <v/>
      </c>
      <c r="K556" t="inlineStr">
        <is>
          <t>Automated reminder sent for invoice INV0019139 due 2026-08-01.</t>
        </is>
      </c>
    </row>
    <row r="557">
      <c r="A557" t="inlineStr">
        <is>
          <t>COL0011580</t>
        </is>
      </c>
      <c r="B557" t="inlineStr">
        <is>
          <t>MER00902</t>
        </is>
      </c>
      <c r="C557" t="inlineStr">
        <is>
          <t>INV0019139</t>
        </is>
      </c>
      <c r="D557" s="8" t="n">
        <v>46247</v>
      </c>
      <c r="E557" t="inlineStr">
        <is>
          <t>Email</t>
        </is>
      </c>
      <c r="F557" t="inlineStr">
        <is>
          <t>Email</t>
        </is>
      </c>
      <c r="G557" t="inlineStr">
        <is>
          <t>Amit Saxena</t>
        </is>
      </c>
      <c r="H557" t="inlineStr">
        <is>
          <t>No Response</t>
        </is>
      </c>
      <c r="I557" s="8" t="n"/>
      <c r="J557" t="n">
        <v/>
      </c>
      <c r="K557" t="inlineStr">
        <is>
          <t>Followed up via email regarding outstanding invoice INV0019139.</t>
        </is>
      </c>
    </row>
    <row r="558">
      <c r="A558" t="inlineStr">
        <is>
          <t>COL0011581</t>
        </is>
      </c>
      <c r="B558" t="inlineStr">
        <is>
          <t>MER00902</t>
        </is>
      </c>
      <c r="C558" t="inlineStr">
        <is>
          <t>INV0019139</t>
        </is>
      </c>
      <c r="D558" s="8" t="n">
        <v>46252</v>
      </c>
      <c r="E558" t="inlineStr">
        <is>
          <t>Phone</t>
        </is>
      </c>
      <c r="F558" t="inlineStr">
        <is>
          <t>Phone</t>
        </is>
      </c>
      <c r="G558" t="inlineStr">
        <is>
          <t>Manish Tiwari</t>
        </is>
      </c>
      <c r="H558" t="inlineStr">
        <is>
          <t>No Response</t>
        </is>
      </c>
      <c r="I558" s="8" t="n"/>
      <c r="J558" t="n">
        <v/>
      </c>
      <c r="K558" t="inlineStr">
        <is>
          <t>Called merchant to discuss overdue invoice INV0019139.</t>
        </is>
      </c>
    </row>
    <row r="559">
      <c r="A559" t="inlineStr">
        <is>
          <t>COL0012169</t>
        </is>
      </c>
      <c r="B559" t="inlineStr">
        <is>
          <t>MER00156</t>
        </is>
      </c>
      <c r="C559" t="inlineStr">
        <is>
          <t>INV0003323</t>
        </is>
      </c>
      <c r="D559" s="8" t="n">
        <v>46270</v>
      </c>
      <c r="E559" t="inlineStr">
        <is>
          <t>Reminder</t>
        </is>
      </c>
      <c r="F559" t="inlineStr">
        <is>
          <t>Email</t>
        </is>
      </c>
      <c r="G559" t="inlineStr">
        <is>
          <t>Sanjay Kumar</t>
        </is>
      </c>
      <c r="H559" t="inlineStr">
        <is>
          <t>No Response</t>
        </is>
      </c>
      <c r="I559" s="8" t="n"/>
      <c r="J559" t="n">
        <v/>
      </c>
      <c r="K559" t="inlineStr">
        <is>
          <t>Automated reminder sent for invoice INV0003323 due 2026-09-01.</t>
        </is>
      </c>
    </row>
    <row r="560">
      <c r="A560" t="inlineStr">
        <is>
          <t>COL0012170</t>
        </is>
      </c>
      <c r="B560" t="inlineStr">
        <is>
          <t>MER00156</t>
        </is>
      </c>
      <c r="C560" t="inlineStr">
        <is>
          <t>INV0003323</t>
        </is>
      </c>
      <c r="D560" s="8" t="n">
        <v>46275</v>
      </c>
      <c r="E560" t="inlineStr">
        <is>
          <t>Email</t>
        </is>
      </c>
      <c r="F560" t="inlineStr">
        <is>
          <t>Email</t>
        </is>
      </c>
      <c r="G560" t="inlineStr">
        <is>
          <t>Farhan Sheikh</t>
        </is>
      </c>
      <c r="H560" t="inlineStr">
        <is>
          <t>Promise to Pay</t>
        </is>
      </c>
      <c r="I560" s="8" t="n">
        <v>46285</v>
      </c>
      <c r="J560" t="n">
        <v>148.39</v>
      </c>
      <c r="K560" t="inlineStr">
        <is>
          <t>Followed up via email regarding outstanding invoice INV0003323.</t>
        </is>
      </c>
    </row>
    <row r="561">
      <c r="A561" t="inlineStr">
        <is>
          <t>COL0012171</t>
        </is>
      </c>
      <c r="B561" t="inlineStr">
        <is>
          <t>MER00156</t>
        </is>
      </c>
      <c r="C561" t="inlineStr">
        <is>
          <t>INV0003323</t>
        </is>
      </c>
      <c r="D561" s="8" t="n">
        <v>46283</v>
      </c>
      <c r="E561" t="inlineStr">
        <is>
          <t>Phone</t>
        </is>
      </c>
      <c r="F561" t="inlineStr">
        <is>
          <t>Phone</t>
        </is>
      </c>
      <c r="G561" t="inlineStr">
        <is>
          <t>Ritu Bansal</t>
        </is>
      </c>
      <c r="H561" t="inlineStr">
        <is>
          <t>Promise to Pay</t>
        </is>
      </c>
      <c r="I561" s="8" t="n">
        <v>46295</v>
      </c>
      <c r="J561" t="n">
        <v>176.23</v>
      </c>
      <c r="K561" t="inlineStr">
        <is>
          <t>Called merchant to discuss overdue invoice INV0003323.</t>
        </is>
      </c>
    </row>
    <row r="562">
      <c r="A562" t="inlineStr">
        <is>
          <t>COL0012172</t>
        </is>
      </c>
      <c r="B562" t="inlineStr">
        <is>
          <t>MER00156</t>
        </is>
      </c>
      <c r="C562" t="inlineStr">
        <is>
          <t>INV0003323</t>
        </is>
      </c>
      <c r="D562" s="8" t="n">
        <v>46294</v>
      </c>
      <c r="E562" t="inlineStr">
        <is>
          <t>Escalation</t>
        </is>
      </c>
      <c r="F562" t="inlineStr">
        <is>
          <t>Phone</t>
        </is>
      </c>
      <c r="G562" t="inlineStr">
        <is>
          <t>Farhan Sheikh</t>
        </is>
      </c>
      <c r="H562" t="inlineStr">
        <is>
          <t>Escalated</t>
        </is>
      </c>
      <c r="I562" s="8" t="n"/>
      <c r="J562" t="n">
        <v/>
      </c>
      <c r="K562" t="inlineStr">
        <is>
          <t>Escalated invoice INV0003323 to account manager for non-payment.</t>
        </is>
      </c>
    </row>
    <row r="565">
      <c r="A565" s="6" t="inlineStr">
        <is>
          <t>Channel Effectiveness</t>
        </is>
      </c>
    </row>
    <row r="566">
      <c r="A566" t="inlineStr">
        <is>
          <t>Channel</t>
        </is>
      </c>
      <c r="B566" t="inlineStr">
        <is>
          <t>Total Activities</t>
        </is>
      </c>
      <c r="C566" t="inlineStr">
        <is>
          <t>Payments Received</t>
        </is>
      </c>
      <c r="D566" t="inlineStr">
        <is>
          <t>Success Rate %</t>
        </is>
      </c>
    </row>
    <row r="567">
      <c r="A567" t="inlineStr">
        <is>
          <t>Email</t>
        </is>
      </c>
      <c r="B567">
        <f>COUNTIFS(F4:F562,A567)</f>
        <v/>
      </c>
      <c r="C567">
        <f>COUNTIFS(F4:F562,A567,G4:G562,"Payment Received")</f>
        <v/>
      </c>
      <c r="D567">
        <f>IF(B567=0,0,ROUND(100*C567/B567,2))</f>
        <v/>
      </c>
    </row>
    <row r="568">
      <c r="A568" t="inlineStr">
        <is>
          <t>Phone</t>
        </is>
      </c>
      <c r="B568">
        <f>COUNTIFS(F4:F562,A568)</f>
        <v/>
      </c>
      <c r="C568">
        <f>COUNTIFS(F4:F562,A568,G4:G562,"Payment Received")</f>
        <v/>
      </c>
      <c r="D568">
        <f>IF(B568=0,0,ROUND(100*C568/B568,2))</f>
        <v/>
      </c>
    </row>
    <row r="569">
      <c r="A569" t="inlineStr">
        <is>
          <t>WhatsApp</t>
        </is>
      </c>
      <c r="B569">
        <f>COUNTIFS(F4:F562,A569)</f>
        <v/>
      </c>
      <c r="C569">
        <f>COUNTIFS(F4:F562,A569,G4:G562,"Payment Received")</f>
        <v/>
      </c>
      <c r="D569">
        <f>IF(B569=0,0,ROUND(100*C569/B569,2))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Revenue Reconciliation - invoice vs. total payments, status via IFS</t>
        </is>
      </c>
    </row>
    <row r="3">
      <c r="A3" s="7" t="inlineStr">
        <is>
          <t>invoice_id</t>
        </is>
      </c>
      <c r="B3" s="7" t="inlineStr">
        <is>
          <t>merchant_id</t>
        </is>
      </c>
      <c r="C3" s="7" t="inlineStr">
        <is>
          <t>total_invoice_amount</t>
        </is>
      </c>
      <c r="D3" s="7" t="inlineStr">
        <is>
          <t>total_paid</t>
        </is>
      </c>
      <c r="E3" s="7" t="inlineStr">
        <is>
          <t>variance</t>
        </is>
      </c>
      <c r="F3" s="7" t="inlineStr">
        <is>
          <t>reconciliation_status</t>
        </is>
      </c>
    </row>
    <row r="4">
      <c r="A4" t="inlineStr">
        <is>
          <t>INV0000956</t>
        </is>
      </c>
      <c r="B4" t="inlineStr">
        <is>
          <t>MER00048</t>
        </is>
      </c>
      <c r="C4">
        <f>XLOOKUP(A4,tblInvoices[invoice_id],tblInvoices[total_invoice_amount])</f>
        <v/>
      </c>
      <c r="D4">
        <f>SUMIFS(tblPayments[payment_amount],tblPayments[invoice_id],A4,tblPayments[payment_status],"Success")</f>
        <v/>
      </c>
      <c r="E4">
        <f>D4-C4</f>
        <v/>
      </c>
      <c r="F4">
        <f>IFS(D4=0,"MISSING_PAYMENT",ABS(E4)&lt;=1,"MATCHED",E4&gt;1,"AMOUNT_MISMATCH",TRUE,"PARTIAL")</f>
        <v/>
      </c>
    </row>
    <row r="5">
      <c r="A5" t="inlineStr">
        <is>
          <t>INV0000957</t>
        </is>
      </c>
      <c r="B5" t="inlineStr">
        <is>
          <t>MER00048</t>
        </is>
      </c>
      <c r="C5">
        <f>XLOOKUP(A5,tblInvoices[invoice_id],tblInvoices[total_invoice_amount])</f>
        <v/>
      </c>
      <c r="D5">
        <f>SUMIFS(tblPayments[payment_amount],tblPayments[invoice_id],A5,tblPayments[payment_status],"Success")</f>
        <v/>
      </c>
      <c r="E5">
        <f>D5-C5</f>
        <v/>
      </c>
      <c r="F5">
        <f>IFS(D5=0,"MISSING_PAYMENT",ABS(E5)&lt;=1,"MATCHED",E5&gt;1,"AMOUNT_MISMATCH",TRUE,"PARTIAL")</f>
        <v/>
      </c>
    </row>
    <row r="6">
      <c r="A6" t="inlineStr">
        <is>
          <t>INV0000958</t>
        </is>
      </c>
      <c r="B6" t="inlineStr">
        <is>
          <t>MER00048</t>
        </is>
      </c>
      <c r="C6">
        <f>XLOOKUP(A6,tblInvoices[invoice_id],tblInvoices[total_invoice_amount])</f>
        <v/>
      </c>
      <c r="D6">
        <f>SUMIFS(tblPayments[payment_amount],tblPayments[invoice_id],A6,tblPayments[payment_status],"Success")</f>
        <v/>
      </c>
      <c r="E6">
        <f>D6-C6</f>
        <v/>
      </c>
      <c r="F6">
        <f>IFS(D6=0,"MISSING_PAYMENT",ABS(E6)&lt;=1,"MATCHED",E6&gt;1,"AMOUNT_MISMATCH",TRUE,"PARTIAL")</f>
        <v/>
      </c>
    </row>
    <row r="7">
      <c r="A7" t="inlineStr">
        <is>
          <t>INV0000959</t>
        </is>
      </c>
      <c r="B7" t="inlineStr">
        <is>
          <t>MER00048</t>
        </is>
      </c>
      <c r="C7">
        <f>XLOOKUP(A7,tblInvoices[invoice_id],tblInvoices[total_invoice_amount])</f>
        <v/>
      </c>
      <c r="D7">
        <f>SUMIFS(tblPayments[payment_amount],tblPayments[invoice_id],A7,tblPayments[payment_status],"Success")</f>
        <v/>
      </c>
      <c r="E7">
        <f>D7-C7</f>
        <v/>
      </c>
      <c r="F7">
        <f>IFS(D7=0,"MISSING_PAYMENT",ABS(E7)&lt;=1,"MATCHED",E7&gt;1,"AMOUNT_MISMATCH",TRUE,"PARTIAL")</f>
        <v/>
      </c>
    </row>
    <row r="8">
      <c r="A8" t="inlineStr">
        <is>
          <t>INV0000960</t>
        </is>
      </c>
      <c r="B8" t="inlineStr">
        <is>
          <t>MER00048</t>
        </is>
      </c>
      <c r="C8">
        <f>XLOOKUP(A8,tblInvoices[invoice_id],tblInvoices[total_invoice_amount])</f>
        <v/>
      </c>
      <c r="D8">
        <f>SUMIFS(tblPayments[payment_amount],tblPayments[invoice_id],A8,tblPayments[payment_status],"Success")</f>
        <v/>
      </c>
      <c r="E8">
        <f>D8-C8</f>
        <v/>
      </c>
      <c r="F8">
        <f>IFS(D8=0,"MISSING_PAYMENT",ABS(E8)&lt;=1,"MATCHED",E8&gt;1,"AMOUNT_MISMATCH",TRUE,"PARTIAL")</f>
        <v/>
      </c>
    </row>
    <row r="9">
      <c r="A9" t="inlineStr">
        <is>
          <t>INV0000961</t>
        </is>
      </c>
      <c r="B9" t="inlineStr">
        <is>
          <t>MER00048</t>
        </is>
      </c>
      <c r="C9">
        <f>XLOOKUP(A9,tblInvoices[invoice_id],tblInvoices[total_invoice_amount])</f>
        <v/>
      </c>
      <c r="D9">
        <f>SUMIFS(tblPayments[payment_amount],tblPayments[invoice_id],A9,tblPayments[payment_status],"Success")</f>
        <v/>
      </c>
      <c r="E9">
        <f>D9-C9</f>
        <v/>
      </c>
      <c r="F9">
        <f>IFS(D9=0,"MISSING_PAYMENT",ABS(E9)&lt;=1,"MATCHED",E9&gt;1,"AMOUNT_MISMATCH",TRUE,"PARTIAL")</f>
        <v/>
      </c>
    </row>
    <row r="10">
      <c r="A10" t="inlineStr">
        <is>
          <t>INV0000962</t>
        </is>
      </c>
      <c r="B10" t="inlineStr">
        <is>
          <t>MER00048</t>
        </is>
      </c>
      <c r="C10">
        <f>XLOOKUP(A10,tblInvoices[invoice_id],tblInvoices[total_invoice_amount])</f>
        <v/>
      </c>
      <c r="D10">
        <f>SUMIFS(tblPayments[payment_amount],tblPayments[invoice_id],A10,tblPayments[payment_status],"Success")</f>
        <v/>
      </c>
      <c r="E10">
        <f>D10-C10</f>
        <v/>
      </c>
      <c r="F10">
        <f>IFS(D10=0,"MISSING_PAYMENT",ABS(E10)&lt;=1,"MATCHED",E10&gt;1,"AMOUNT_MISMATCH",TRUE,"PARTIAL")</f>
        <v/>
      </c>
    </row>
    <row r="11">
      <c r="A11" t="inlineStr">
        <is>
          <t>INV0000963</t>
        </is>
      </c>
      <c r="B11" t="inlineStr">
        <is>
          <t>MER00048</t>
        </is>
      </c>
      <c r="C11">
        <f>XLOOKUP(A11,tblInvoices[invoice_id],tblInvoices[total_invoice_amount])</f>
        <v/>
      </c>
      <c r="D11">
        <f>SUMIFS(tblPayments[payment_amount],tblPayments[invoice_id],A11,tblPayments[payment_status],"Success")</f>
        <v/>
      </c>
      <c r="E11">
        <f>D11-C11</f>
        <v/>
      </c>
      <c r="F11">
        <f>IFS(D11=0,"MISSING_PAYMENT",ABS(E11)&lt;=1,"MATCHED",E11&gt;1,"AMOUNT_MISMATCH",TRUE,"PARTIAL")</f>
        <v/>
      </c>
    </row>
    <row r="12">
      <c r="A12" t="inlineStr">
        <is>
          <t>INV0000964</t>
        </is>
      </c>
      <c r="B12" t="inlineStr">
        <is>
          <t>MER00048</t>
        </is>
      </c>
      <c r="C12">
        <f>XLOOKUP(A12,tblInvoices[invoice_id],tblInvoices[total_invoice_amount])</f>
        <v/>
      </c>
      <c r="D12">
        <f>SUMIFS(tblPayments[payment_amount],tblPayments[invoice_id],A12,tblPayments[payment_status],"Success")</f>
        <v/>
      </c>
      <c r="E12">
        <f>D12-C12</f>
        <v/>
      </c>
      <c r="F12">
        <f>IFS(D12=0,"MISSING_PAYMENT",ABS(E12)&lt;=1,"MATCHED",E12&gt;1,"AMOUNT_MISMATCH",TRUE,"PARTIAL")</f>
        <v/>
      </c>
    </row>
    <row r="13">
      <c r="A13" t="inlineStr">
        <is>
          <t>INV0000965</t>
        </is>
      </c>
      <c r="B13" t="inlineStr">
        <is>
          <t>MER00048</t>
        </is>
      </c>
      <c r="C13">
        <f>XLOOKUP(A13,tblInvoices[invoice_id],tblInvoices[total_invoice_amount])</f>
        <v/>
      </c>
      <c r="D13">
        <f>SUMIFS(tblPayments[payment_amount],tblPayments[invoice_id],A13,tblPayments[payment_status],"Success")</f>
        <v/>
      </c>
      <c r="E13">
        <f>D13-C13</f>
        <v/>
      </c>
      <c r="F13">
        <f>IFS(D13=0,"MISSING_PAYMENT",ABS(E13)&lt;=1,"MATCHED",E13&gt;1,"AMOUNT_MISMATCH",TRUE,"PARTIAL")</f>
        <v/>
      </c>
    </row>
    <row r="14">
      <c r="A14" t="inlineStr">
        <is>
          <t>INV0000966</t>
        </is>
      </c>
      <c r="B14" t="inlineStr">
        <is>
          <t>MER00048</t>
        </is>
      </c>
      <c r="C14">
        <f>XLOOKUP(A14,tblInvoices[invoice_id],tblInvoices[total_invoice_amount])</f>
        <v/>
      </c>
      <c r="D14">
        <f>SUMIFS(tblPayments[payment_amount],tblPayments[invoice_id],A14,tblPayments[payment_status],"Success")</f>
        <v/>
      </c>
      <c r="E14">
        <f>D14-C14</f>
        <v/>
      </c>
      <c r="F14">
        <f>IFS(D14=0,"MISSING_PAYMENT",ABS(E14)&lt;=1,"MATCHED",E14&gt;1,"AMOUNT_MISMATCH",TRUE,"PARTIAL")</f>
        <v/>
      </c>
    </row>
    <row r="15">
      <c r="A15" t="inlineStr">
        <is>
          <t>INV0000967</t>
        </is>
      </c>
      <c r="B15" t="inlineStr">
        <is>
          <t>MER00048</t>
        </is>
      </c>
      <c r="C15">
        <f>XLOOKUP(A15,tblInvoices[invoice_id],tblInvoices[total_invoice_amount])</f>
        <v/>
      </c>
      <c r="D15">
        <f>SUMIFS(tblPayments[payment_amount],tblPayments[invoice_id],A15,tblPayments[payment_status],"Success")</f>
        <v/>
      </c>
      <c r="E15">
        <f>D15-C15</f>
        <v/>
      </c>
      <c r="F15">
        <f>IFS(D15=0,"MISSING_PAYMENT",ABS(E15)&lt;=1,"MATCHED",E15&gt;1,"AMOUNT_MISMATCH",TRUE,"PARTIAL")</f>
        <v/>
      </c>
    </row>
    <row r="16">
      <c r="A16" t="inlineStr">
        <is>
          <t>INV0000968</t>
        </is>
      </c>
      <c r="B16" t="inlineStr">
        <is>
          <t>MER00048</t>
        </is>
      </c>
      <c r="C16">
        <f>XLOOKUP(A16,tblInvoices[invoice_id],tblInvoices[total_invoice_amount])</f>
        <v/>
      </c>
      <c r="D16">
        <f>SUMIFS(tblPayments[payment_amount],tblPayments[invoice_id],A16,tblPayments[payment_status],"Success")</f>
        <v/>
      </c>
      <c r="E16">
        <f>D16-C16</f>
        <v/>
      </c>
      <c r="F16">
        <f>IFS(D16=0,"MISSING_PAYMENT",ABS(E16)&lt;=1,"MATCHED",E16&gt;1,"AMOUNT_MISMATCH",TRUE,"PARTIAL")</f>
        <v/>
      </c>
    </row>
    <row r="17">
      <c r="A17" t="inlineStr">
        <is>
          <t>INV0000969</t>
        </is>
      </c>
      <c r="B17" t="inlineStr">
        <is>
          <t>MER00048</t>
        </is>
      </c>
      <c r="C17">
        <f>XLOOKUP(A17,tblInvoices[invoice_id],tblInvoices[total_invoice_amount])</f>
        <v/>
      </c>
      <c r="D17">
        <f>SUMIFS(tblPayments[payment_amount],tblPayments[invoice_id],A17,tblPayments[payment_status],"Success")</f>
        <v/>
      </c>
      <c r="E17">
        <f>D17-C17</f>
        <v/>
      </c>
      <c r="F17">
        <f>IFS(D17=0,"MISSING_PAYMENT",ABS(E17)&lt;=1,"MATCHED",E17&gt;1,"AMOUNT_MISMATCH",TRUE,"PARTIAL")</f>
        <v/>
      </c>
    </row>
    <row r="18">
      <c r="A18" t="inlineStr">
        <is>
          <t>INV0000970</t>
        </is>
      </c>
      <c r="B18" t="inlineStr">
        <is>
          <t>MER00048</t>
        </is>
      </c>
      <c r="C18">
        <f>XLOOKUP(A18,tblInvoices[invoice_id],tblInvoices[total_invoice_amount])</f>
        <v/>
      </c>
      <c r="D18">
        <f>SUMIFS(tblPayments[payment_amount],tblPayments[invoice_id],A18,tblPayments[payment_status],"Success")</f>
        <v/>
      </c>
      <c r="E18">
        <f>D18-C18</f>
        <v/>
      </c>
      <c r="F18">
        <f>IFS(D18=0,"MISSING_PAYMENT",ABS(E18)&lt;=1,"MATCHED",E18&gt;1,"AMOUNT_MISMATCH",TRUE,"PARTIAL")</f>
        <v/>
      </c>
    </row>
    <row r="19">
      <c r="A19" t="inlineStr">
        <is>
          <t>INV0000971</t>
        </is>
      </c>
      <c r="B19" t="inlineStr">
        <is>
          <t>MER00048</t>
        </is>
      </c>
      <c r="C19">
        <f>XLOOKUP(A19,tblInvoices[invoice_id],tblInvoices[total_invoice_amount])</f>
        <v/>
      </c>
      <c r="D19">
        <f>SUMIFS(tblPayments[payment_amount],tblPayments[invoice_id],A19,tblPayments[payment_status],"Success")</f>
        <v/>
      </c>
      <c r="E19">
        <f>D19-C19</f>
        <v/>
      </c>
      <c r="F19">
        <f>IFS(D19=0,"MISSING_PAYMENT",ABS(E19)&lt;=1,"MATCHED",E19&gt;1,"AMOUNT_MISMATCH",TRUE,"PARTIAL")</f>
        <v/>
      </c>
    </row>
    <row r="20">
      <c r="A20" t="inlineStr">
        <is>
          <t>INV0000972</t>
        </is>
      </c>
      <c r="B20" t="inlineStr">
        <is>
          <t>MER00048</t>
        </is>
      </c>
      <c r="C20">
        <f>XLOOKUP(A20,tblInvoices[invoice_id],tblInvoices[total_invoice_amount])</f>
        <v/>
      </c>
      <c r="D20">
        <f>SUMIFS(tblPayments[payment_amount],tblPayments[invoice_id],A20,tblPayments[payment_status],"Success")</f>
        <v/>
      </c>
      <c r="E20">
        <f>D20-C20</f>
        <v/>
      </c>
      <c r="F20">
        <f>IFS(D20=0,"MISSING_PAYMENT",ABS(E20)&lt;=1,"MATCHED",E20&gt;1,"AMOUNT_MISMATCH",TRUE,"PARTIAL")</f>
        <v/>
      </c>
    </row>
    <row r="21">
      <c r="A21" t="inlineStr">
        <is>
          <t>INV0000973</t>
        </is>
      </c>
      <c r="B21" t="inlineStr">
        <is>
          <t>MER00048</t>
        </is>
      </c>
      <c r="C21">
        <f>XLOOKUP(A21,tblInvoices[invoice_id],tblInvoices[total_invoice_amount])</f>
        <v/>
      </c>
      <c r="D21">
        <f>SUMIFS(tblPayments[payment_amount],tblPayments[invoice_id],A21,tblPayments[payment_status],"Success")</f>
        <v/>
      </c>
      <c r="E21">
        <f>D21-C21</f>
        <v/>
      </c>
      <c r="F21">
        <f>IFS(D21=0,"MISSING_PAYMENT",ABS(E21)&lt;=1,"MATCHED",E21&gt;1,"AMOUNT_MISMATCH",TRUE,"PARTIAL")</f>
        <v/>
      </c>
    </row>
    <row r="22">
      <c r="A22" t="inlineStr">
        <is>
          <t>INV0000974</t>
        </is>
      </c>
      <c r="B22" t="inlineStr">
        <is>
          <t>MER00048</t>
        </is>
      </c>
      <c r="C22">
        <f>XLOOKUP(A22,tblInvoices[invoice_id],tblInvoices[total_invoice_amount])</f>
        <v/>
      </c>
      <c r="D22">
        <f>SUMIFS(tblPayments[payment_amount],tblPayments[invoice_id],A22,tblPayments[payment_status],"Success")</f>
        <v/>
      </c>
      <c r="E22">
        <f>D22-C22</f>
        <v/>
      </c>
      <c r="F22">
        <f>IFS(D22=0,"MISSING_PAYMENT",ABS(E22)&lt;=1,"MATCHED",E22&gt;1,"AMOUNT_MISMATCH",TRUE,"PARTIAL")</f>
        <v/>
      </c>
    </row>
    <row r="23">
      <c r="A23" t="inlineStr">
        <is>
          <t>INV0000975</t>
        </is>
      </c>
      <c r="B23" t="inlineStr">
        <is>
          <t>MER00048</t>
        </is>
      </c>
      <c r="C23">
        <f>XLOOKUP(A23,tblInvoices[invoice_id],tblInvoices[total_invoice_amount])</f>
        <v/>
      </c>
      <c r="D23">
        <f>SUMIFS(tblPayments[payment_amount],tblPayments[invoice_id],A23,tblPayments[payment_status],"Success")</f>
        <v/>
      </c>
      <c r="E23">
        <f>D23-C23</f>
        <v/>
      </c>
      <c r="F23">
        <f>IFS(D23=0,"MISSING_PAYMENT",ABS(E23)&lt;=1,"MATCHED",E23&gt;1,"AMOUNT_MISMATCH",TRUE,"PARTIAL")</f>
        <v/>
      </c>
    </row>
    <row r="24">
      <c r="A24" t="inlineStr">
        <is>
          <t>INV0000976</t>
        </is>
      </c>
      <c r="B24" t="inlineStr">
        <is>
          <t>MER00048</t>
        </is>
      </c>
      <c r="C24">
        <f>XLOOKUP(A24,tblInvoices[invoice_id],tblInvoices[total_invoice_amount])</f>
        <v/>
      </c>
      <c r="D24">
        <f>SUMIFS(tblPayments[payment_amount],tblPayments[invoice_id],A24,tblPayments[payment_status],"Success")</f>
        <v/>
      </c>
      <c r="E24">
        <f>D24-C24</f>
        <v/>
      </c>
      <c r="F24">
        <f>IFS(D24=0,"MISSING_PAYMENT",ABS(E24)&lt;=1,"MATCHED",E24&gt;1,"AMOUNT_MISMATCH",TRUE,"PARTIAL")</f>
        <v/>
      </c>
    </row>
    <row r="25">
      <c r="A25" t="inlineStr">
        <is>
          <t>INV0000977</t>
        </is>
      </c>
      <c r="B25" t="inlineStr">
        <is>
          <t>MER00048</t>
        </is>
      </c>
      <c r="C25">
        <f>XLOOKUP(A25,tblInvoices[invoice_id],tblInvoices[total_invoice_amount])</f>
        <v/>
      </c>
      <c r="D25">
        <f>SUMIFS(tblPayments[payment_amount],tblPayments[invoice_id],A25,tblPayments[payment_status],"Success")</f>
        <v/>
      </c>
      <c r="E25">
        <f>D25-C25</f>
        <v/>
      </c>
      <c r="F25">
        <f>IFS(D25=0,"MISSING_PAYMENT",ABS(E25)&lt;=1,"MATCHED",E25&gt;1,"AMOUNT_MISMATCH",TRUE,"PARTIAL")</f>
        <v/>
      </c>
    </row>
    <row r="26">
      <c r="A26" t="inlineStr">
        <is>
          <t>INV0000978</t>
        </is>
      </c>
      <c r="B26" t="inlineStr">
        <is>
          <t>MER00048</t>
        </is>
      </c>
      <c r="C26">
        <f>XLOOKUP(A26,tblInvoices[invoice_id],tblInvoices[total_invoice_amount])</f>
        <v/>
      </c>
      <c r="D26">
        <f>SUMIFS(tblPayments[payment_amount],tblPayments[invoice_id],A26,tblPayments[payment_status],"Success")</f>
        <v/>
      </c>
      <c r="E26">
        <f>D26-C26</f>
        <v/>
      </c>
      <c r="F26">
        <f>IFS(D26=0,"MISSING_PAYMENT",ABS(E26)&lt;=1,"MATCHED",E26&gt;1,"AMOUNT_MISMATCH",TRUE,"PARTIAL")</f>
        <v/>
      </c>
    </row>
    <row r="27">
      <c r="A27" t="inlineStr">
        <is>
          <t>INV0001101</t>
        </is>
      </c>
      <c r="B27" t="inlineStr">
        <is>
          <t>MER00055</t>
        </is>
      </c>
      <c r="C27">
        <f>XLOOKUP(A27,tblInvoices[invoice_id],tblInvoices[total_invoice_amount])</f>
        <v/>
      </c>
      <c r="D27">
        <f>SUMIFS(tblPayments[payment_amount],tblPayments[invoice_id],A27,tblPayments[payment_status],"Success")</f>
        <v/>
      </c>
      <c r="E27">
        <f>D27-C27</f>
        <v/>
      </c>
      <c r="F27">
        <f>IFS(D27=0,"MISSING_PAYMENT",ABS(E27)&lt;=1,"MATCHED",E27&gt;1,"AMOUNT_MISMATCH",TRUE,"PARTIAL")</f>
        <v/>
      </c>
    </row>
    <row r="28">
      <c r="A28" t="inlineStr">
        <is>
          <t>INV0001102</t>
        </is>
      </c>
      <c r="B28" t="inlineStr">
        <is>
          <t>MER00055</t>
        </is>
      </c>
      <c r="C28">
        <f>XLOOKUP(A28,tblInvoices[invoice_id],tblInvoices[total_invoice_amount])</f>
        <v/>
      </c>
      <c r="D28">
        <f>SUMIFS(tblPayments[payment_amount],tblPayments[invoice_id],A28,tblPayments[payment_status],"Success")</f>
        <v/>
      </c>
      <c r="E28">
        <f>D28-C28</f>
        <v/>
      </c>
      <c r="F28">
        <f>IFS(D28=0,"MISSING_PAYMENT",ABS(E28)&lt;=1,"MATCHED",E28&gt;1,"AMOUNT_MISMATCH",TRUE,"PARTIAL")</f>
        <v/>
      </c>
    </row>
    <row r="29">
      <c r="A29" t="inlineStr">
        <is>
          <t>INV0001103</t>
        </is>
      </c>
      <c r="B29" t="inlineStr">
        <is>
          <t>MER00055</t>
        </is>
      </c>
      <c r="C29">
        <f>XLOOKUP(A29,tblInvoices[invoice_id],tblInvoices[total_invoice_amount])</f>
        <v/>
      </c>
      <c r="D29">
        <f>SUMIFS(tblPayments[payment_amount],tblPayments[invoice_id],A29,tblPayments[payment_status],"Success")</f>
        <v/>
      </c>
      <c r="E29">
        <f>D29-C29</f>
        <v/>
      </c>
      <c r="F29">
        <f>IFS(D29=0,"MISSING_PAYMENT",ABS(E29)&lt;=1,"MATCHED",E29&gt;1,"AMOUNT_MISMATCH",TRUE,"PARTIAL")</f>
        <v/>
      </c>
    </row>
    <row r="30">
      <c r="A30" t="inlineStr">
        <is>
          <t>INV0001104</t>
        </is>
      </c>
      <c r="B30" t="inlineStr">
        <is>
          <t>MER00055</t>
        </is>
      </c>
      <c r="C30">
        <f>XLOOKUP(A30,tblInvoices[invoice_id],tblInvoices[total_invoice_amount])</f>
        <v/>
      </c>
      <c r="D30">
        <f>SUMIFS(tblPayments[payment_amount],tblPayments[invoice_id],A30,tblPayments[payment_status],"Success")</f>
        <v/>
      </c>
      <c r="E30">
        <f>D30-C30</f>
        <v/>
      </c>
      <c r="F30">
        <f>IFS(D30=0,"MISSING_PAYMENT",ABS(E30)&lt;=1,"MATCHED",E30&gt;1,"AMOUNT_MISMATCH",TRUE,"PARTIAL")</f>
        <v/>
      </c>
    </row>
    <row r="31">
      <c r="A31" t="inlineStr">
        <is>
          <t>INV0001105</t>
        </is>
      </c>
      <c r="B31" t="inlineStr">
        <is>
          <t>MER00055</t>
        </is>
      </c>
      <c r="C31">
        <f>XLOOKUP(A31,tblInvoices[invoice_id],tblInvoices[total_invoice_amount])</f>
        <v/>
      </c>
      <c r="D31">
        <f>SUMIFS(tblPayments[payment_amount],tblPayments[invoice_id],A31,tblPayments[payment_status],"Success")</f>
        <v/>
      </c>
      <c r="E31">
        <f>D31-C31</f>
        <v/>
      </c>
      <c r="F31">
        <f>IFS(D31=0,"MISSING_PAYMENT",ABS(E31)&lt;=1,"MATCHED",E31&gt;1,"AMOUNT_MISMATCH",TRUE,"PARTIAL")</f>
        <v/>
      </c>
    </row>
    <row r="32">
      <c r="A32" t="inlineStr">
        <is>
          <t>INV0001106</t>
        </is>
      </c>
      <c r="B32" t="inlineStr">
        <is>
          <t>MER00055</t>
        </is>
      </c>
      <c r="C32">
        <f>XLOOKUP(A32,tblInvoices[invoice_id],tblInvoices[total_invoice_amount])</f>
        <v/>
      </c>
      <c r="D32">
        <f>SUMIFS(tblPayments[payment_amount],tblPayments[invoice_id],A32,tblPayments[payment_status],"Success")</f>
        <v/>
      </c>
      <c r="E32">
        <f>D32-C32</f>
        <v/>
      </c>
      <c r="F32">
        <f>IFS(D32=0,"MISSING_PAYMENT",ABS(E32)&lt;=1,"MATCHED",E32&gt;1,"AMOUNT_MISMATCH",TRUE,"PARTIAL")</f>
        <v/>
      </c>
    </row>
    <row r="33">
      <c r="A33" t="inlineStr">
        <is>
          <t>INV0001107</t>
        </is>
      </c>
      <c r="B33" t="inlineStr">
        <is>
          <t>MER00055</t>
        </is>
      </c>
      <c r="C33">
        <f>XLOOKUP(A33,tblInvoices[invoice_id],tblInvoices[total_invoice_amount])</f>
        <v/>
      </c>
      <c r="D33">
        <f>SUMIFS(tblPayments[payment_amount],tblPayments[invoice_id],A33,tblPayments[payment_status],"Success")</f>
        <v/>
      </c>
      <c r="E33">
        <f>D33-C33</f>
        <v/>
      </c>
      <c r="F33">
        <f>IFS(D33=0,"MISSING_PAYMENT",ABS(E33)&lt;=1,"MATCHED",E33&gt;1,"AMOUNT_MISMATCH",TRUE,"PARTIAL")</f>
        <v/>
      </c>
    </row>
    <row r="34">
      <c r="A34" t="inlineStr">
        <is>
          <t>INV0001108</t>
        </is>
      </c>
      <c r="B34" t="inlineStr">
        <is>
          <t>MER00055</t>
        </is>
      </c>
      <c r="C34">
        <f>XLOOKUP(A34,tblInvoices[invoice_id],tblInvoices[total_invoice_amount])</f>
        <v/>
      </c>
      <c r="D34">
        <f>SUMIFS(tblPayments[payment_amount],tblPayments[invoice_id],A34,tblPayments[payment_status],"Success")</f>
        <v/>
      </c>
      <c r="E34">
        <f>D34-C34</f>
        <v/>
      </c>
      <c r="F34">
        <f>IFS(D34=0,"MISSING_PAYMENT",ABS(E34)&lt;=1,"MATCHED",E34&gt;1,"AMOUNT_MISMATCH",TRUE,"PARTIAL")</f>
        <v/>
      </c>
    </row>
    <row r="35">
      <c r="A35" t="inlineStr">
        <is>
          <t>INV0001109</t>
        </is>
      </c>
      <c r="B35" t="inlineStr">
        <is>
          <t>MER00055</t>
        </is>
      </c>
      <c r="C35">
        <f>XLOOKUP(A35,tblInvoices[invoice_id],tblInvoices[total_invoice_amount])</f>
        <v/>
      </c>
      <c r="D35">
        <f>SUMIFS(tblPayments[payment_amount],tblPayments[invoice_id],A35,tblPayments[payment_status],"Success")</f>
        <v/>
      </c>
      <c r="E35">
        <f>D35-C35</f>
        <v/>
      </c>
      <c r="F35">
        <f>IFS(D35=0,"MISSING_PAYMENT",ABS(E35)&lt;=1,"MATCHED",E35&gt;1,"AMOUNT_MISMATCH",TRUE,"PARTIAL")</f>
        <v/>
      </c>
    </row>
    <row r="36">
      <c r="A36" t="inlineStr">
        <is>
          <t>INV0001110</t>
        </is>
      </c>
      <c r="B36" t="inlineStr">
        <is>
          <t>MER00055</t>
        </is>
      </c>
      <c r="C36">
        <f>XLOOKUP(A36,tblInvoices[invoice_id],tblInvoices[total_invoice_amount])</f>
        <v/>
      </c>
      <c r="D36">
        <f>SUMIFS(tblPayments[payment_amount],tblPayments[invoice_id],A36,tblPayments[payment_status],"Success")</f>
        <v/>
      </c>
      <c r="E36">
        <f>D36-C36</f>
        <v/>
      </c>
      <c r="F36">
        <f>IFS(D36=0,"MISSING_PAYMENT",ABS(E36)&lt;=1,"MATCHED",E36&gt;1,"AMOUNT_MISMATCH",TRUE,"PARTIAL")</f>
        <v/>
      </c>
    </row>
    <row r="37">
      <c r="A37" t="inlineStr">
        <is>
          <t>INV0001111</t>
        </is>
      </c>
      <c r="B37" t="inlineStr">
        <is>
          <t>MER00055</t>
        </is>
      </c>
      <c r="C37">
        <f>XLOOKUP(A37,tblInvoices[invoice_id],tblInvoices[total_invoice_amount])</f>
        <v/>
      </c>
      <c r="D37">
        <f>SUMIFS(tblPayments[payment_amount],tblPayments[invoice_id],A37,tblPayments[payment_status],"Success")</f>
        <v/>
      </c>
      <c r="E37">
        <f>D37-C37</f>
        <v/>
      </c>
      <c r="F37">
        <f>IFS(D37=0,"MISSING_PAYMENT",ABS(E37)&lt;=1,"MATCHED",E37&gt;1,"AMOUNT_MISMATCH",TRUE,"PARTIAL")</f>
        <v/>
      </c>
    </row>
    <row r="38">
      <c r="A38" t="inlineStr">
        <is>
          <t>INV0001112</t>
        </is>
      </c>
      <c r="B38" t="inlineStr">
        <is>
          <t>MER00055</t>
        </is>
      </c>
      <c r="C38">
        <f>XLOOKUP(A38,tblInvoices[invoice_id],tblInvoices[total_invoice_amount])</f>
        <v/>
      </c>
      <c r="D38">
        <f>SUMIFS(tblPayments[payment_amount],tblPayments[invoice_id],A38,tblPayments[payment_status],"Success")</f>
        <v/>
      </c>
      <c r="E38">
        <f>D38-C38</f>
        <v/>
      </c>
      <c r="F38">
        <f>IFS(D38=0,"MISSING_PAYMENT",ABS(E38)&lt;=1,"MATCHED",E38&gt;1,"AMOUNT_MISMATCH",TRUE,"PARTIAL")</f>
        <v/>
      </c>
    </row>
    <row r="39">
      <c r="A39" t="inlineStr">
        <is>
          <t>INV0001113</t>
        </is>
      </c>
      <c r="B39" t="inlineStr">
        <is>
          <t>MER00055</t>
        </is>
      </c>
      <c r="C39">
        <f>XLOOKUP(A39,tblInvoices[invoice_id],tblInvoices[total_invoice_amount])</f>
        <v/>
      </c>
      <c r="D39">
        <f>SUMIFS(tblPayments[payment_amount],tblPayments[invoice_id],A39,tblPayments[payment_status],"Success")</f>
        <v/>
      </c>
      <c r="E39">
        <f>D39-C39</f>
        <v/>
      </c>
      <c r="F39">
        <f>IFS(D39=0,"MISSING_PAYMENT",ABS(E39)&lt;=1,"MATCHED",E39&gt;1,"AMOUNT_MISMATCH",TRUE,"PARTIAL")</f>
        <v/>
      </c>
    </row>
    <row r="40">
      <c r="A40" t="inlineStr">
        <is>
          <t>INV0001114</t>
        </is>
      </c>
      <c r="B40" t="inlineStr">
        <is>
          <t>MER00055</t>
        </is>
      </c>
      <c r="C40">
        <f>XLOOKUP(A40,tblInvoices[invoice_id],tblInvoices[total_invoice_amount])</f>
        <v/>
      </c>
      <c r="D40">
        <f>SUMIFS(tblPayments[payment_amount],tblPayments[invoice_id],A40,tblPayments[payment_status],"Success")</f>
        <v/>
      </c>
      <c r="E40">
        <f>D40-C40</f>
        <v/>
      </c>
      <c r="F40">
        <f>IFS(D40=0,"MISSING_PAYMENT",ABS(E40)&lt;=1,"MATCHED",E40&gt;1,"AMOUNT_MISMATCH",TRUE,"PARTIAL")</f>
        <v/>
      </c>
    </row>
    <row r="41">
      <c r="A41" t="inlineStr">
        <is>
          <t>INV0001115</t>
        </is>
      </c>
      <c r="B41" t="inlineStr">
        <is>
          <t>MER00055</t>
        </is>
      </c>
      <c r="C41">
        <f>XLOOKUP(A41,tblInvoices[invoice_id],tblInvoices[total_invoice_amount])</f>
        <v/>
      </c>
      <c r="D41">
        <f>SUMIFS(tblPayments[payment_amount],tblPayments[invoice_id],A41,tblPayments[payment_status],"Success")</f>
        <v/>
      </c>
      <c r="E41">
        <f>D41-C41</f>
        <v/>
      </c>
      <c r="F41">
        <f>IFS(D41=0,"MISSING_PAYMENT",ABS(E41)&lt;=1,"MATCHED",E41&gt;1,"AMOUNT_MISMATCH",TRUE,"PARTIAL")</f>
        <v/>
      </c>
    </row>
    <row r="42">
      <c r="A42" t="inlineStr">
        <is>
          <t>INV0001116</t>
        </is>
      </c>
      <c r="B42" t="inlineStr">
        <is>
          <t>MER00055</t>
        </is>
      </c>
      <c r="C42">
        <f>XLOOKUP(A42,tblInvoices[invoice_id],tblInvoices[total_invoice_amount])</f>
        <v/>
      </c>
      <c r="D42">
        <f>SUMIFS(tblPayments[payment_amount],tblPayments[invoice_id],A42,tblPayments[payment_status],"Success")</f>
        <v/>
      </c>
      <c r="E42">
        <f>D42-C42</f>
        <v/>
      </c>
      <c r="F42">
        <f>IFS(D42=0,"MISSING_PAYMENT",ABS(E42)&lt;=1,"MATCHED",E42&gt;1,"AMOUNT_MISMATCH",TRUE,"PARTIAL")</f>
        <v/>
      </c>
    </row>
    <row r="43">
      <c r="A43" t="inlineStr">
        <is>
          <t>INV0001117</t>
        </is>
      </c>
      <c r="B43" t="inlineStr">
        <is>
          <t>MER00055</t>
        </is>
      </c>
      <c r="C43">
        <f>XLOOKUP(A43,tblInvoices[invoice_id],tblInvoices[total_invoice_amount])</f>
        <v/>
      </c>
      <c r="D43">
        <f>SUMIFS(tblPayments[payment_amount],tblPayments[invoice_id],A43,tblPayments[payment_status],"Success")</f>
        <v/>
      </c>
      <c r="E43">
        <f>D43-C43</f>
        <v/>
      </c>
      <c r="F43">
        <f>IFS(D43=0,"MISSING_PAYMENT",ABS(E43)&lt;=1,"MATCHED",E43&gt;1,"AMOUNT_MISMATCH",TRUE,"PARTIAL")</f>
        <v/>
      </c>
    </row>
    <row r="44">
      <c r="A44" t="inlineStr">
        <is>
          <t>INV0001118</t>
        </is>
      </c>
      <c r="B44" t="inlineStr">
        <is>
          <t>MER00055</t>
        </is>
      </c>
      <c r="C44">
        <f>XLOOKUP(A44,tblInvoices[invoice_id],tblInvoices[total_invoice_amount])</f>
        <v/>
      </c>
      <c r="D44">
        <f>SUMIFS(tblPayments[payment_amount],tblPayments[invoice_id],A44,tblPayments[payment_status],"Success")</f>
        <v/>
      </c>
      <c r="E44">
        <f>D44-C44</f>
        <v/>
      </c>
      <c r="F44">
        <f>IFS(D44=0,"MISSING_PAYMENT",ABS(E44)&lt;=1,"MATCHED",E44&gt;1,"AMOUNT_MISMATCH",TRUE,"PARTIAL")</f>
        <v/>
      </c>
    </row>
    <row r="45">
      <c r="A45" t="inlineStr">
        <is>
          <t>INV0001119</t>
        </is>
      </c>
      <c r="B45" t="inlineStr">
        <is>
          <t>MER00055</t>
        </is>
      </c>
      <c r="C45">
        <f>XLOOKUP(A45,tblInvoices[invoice_id],tblInvoices[total_invoice_amount])</f>
        <v/>
      </c>
      <c r="D45">
        <f>SUMIFS(tblPayments[payment_amount],tblPayments[invoice_id],A45,tblPayments[payment_status],"Success")</f>
        <v/>
      </c>
      <c r="E45">
        <f>D45-C45</f>
        <v/>
      </c>
      <c r="F45">
        <f>IFS(D45=0,"MISSING_PAYMENT",ABS(E45)&lt;=1,"MATCHED",E45&gt;1,"AMOUNT_MISMATCH",TRUE,"PARTIAL")</f>
        <v/>
      </c>
    </row>
    <row r="46">
      <c r="A46" t="inlineStr">
        <is>
          <t>INV0001120</t>
        </is>
      </c>
      <c r="B46" t="inlineStr">
        <is>
          <t>MER00055</t>
        </is>
      </c>
      <c r="C46">
        <f>XLOOKUP(A46,tblInvoices[invoice_id],tblInvoices[total_invoice_amount])</f>
        <v/>
      </c>
      <c r="D46">
        <f>SUMIFS(tblPayments[payment_amount],tblPayments[invoice_id],A46,tblPayments[payment_status],"Success")</f>
        <v/>
      </c>
      <c r="E46">
        <f>D46-C46</f>
        <v/>
      </c>
      <c r="F46">
        <f>IFS(D46=0,"MISSING_PAYMENT",ABS(E46)&lt;=1,"MATCHED",E46&gt;1,"AMOUNT_MISMATCH",TRUE,"PARTIAL")</f>
        <v/>
      </c>
    </row>
    <row r="47">
      <c r="A47" t="inlineStr">
        <is>
          <t>INV0001121</t>
        </is>
      </c>
      <c r="B47" t="inlineStr">
        <is>
          <t>MER00055</t>
        </is>
      </c>
      <c r="C47">
        <f>XLOOKUP(A47,tblInvoices[invoice_id],tblInvoices[total_invoice_amount])</f>
        <v/>
      </c>
      <c r="D47">
        <f>SUMIFS(tblPayments[payment_amount],tblPayments[invoice_id],A47,tblPayments[payment_status],"Success")</f>
        <v/>
      </c>
      <c r="E47">
        <f>D47-C47</f>
        <v/>
      </c>
      <c r="F47">
        <f>IFS(D47=0,"MISSING_PAYMENT",ABS(E47)&lt;=1,"MATCHED",E47&gt;1,"AMOUNT_MISMATCH",TRUE,"PARTIAL")</f>
        <v/>
      </c>
    </row>
    <row r="48">
      <c r="A48" t="inlineStr">
        <is>
          <t>INV0001122</t>
        </is>
      </c>
      <c r="B48" t="inlineStr">
        <is>
          <t>MER00055</t>
        </is>
      </c>
      <c r="C48">
        <f>XLOOKUP(A48,tblInvoices[invoice_id],tblInvoices[total_invoice_amount])</f>
        <v/>
      </c>
      <c r="D48">
        <f>SUMIFS(tblPayments[payment_amount],tblPayments[invoice_id],A48,tblPayments[payment_status],"Success")</f>
        <v/>
      </c>
      <c r="E48">
        <f>D48-C48</f>
        <v/>
      </c>
      <c r="F48">
        <f>IFS(D48=0,"MISSING_PAYMENT",ABS(E48)&lt;=1,"MATCHED",E48&gt;1,"AMOUNT_MISMATCH",TRUE,"PARTIAL")</f>
        <v/>
      </c>
    </row>
    <row r="49">
      <c r="A49" t="inlineStr">
        <is>
          <t>INV0001123</t>
        </is>
      </c>
      <c r="B49" t="inlineStr">
        <is>
          <t>MER00055</t>
        </is>
      </c>
      <c r="C49">
        <f>XLOOKUP(A49,tblInvoices[invoice_id],tblInvoices[total_invoice_amount])</f>
        <v/>
      </c>
      <c r="D49">
        <f>SUMIFS(tblPayments[payment_amount],tblPayments[invoice_id],A49,tblPayments[payment_status],"Success")</f>
        <v/>
      </c>
      <c r="E49">
        <f>D49-C49</f>
        <v/>
      </c>
      <c r="F49">
        <f>IFS(D49=0,"MISSING_PAYMENT",ABS(E49)&lt;=1,"MATCHED",E49&gt;1,"AMOUNT_MISMATCH",TRUE,"PARTIAL")</f>
        <v/>
      </c>
    </row>
    <row r="50">
      <c r="A50" t="inlineStr">
        <is>
          <t>INV0001540</t>
        </is>
      </c>
      <c r="B50" t="inlineStr">
        <is>
          <t>MER00074</t>
        </is>
      </c>
      <c r="C50">
        <f>XLOOKUP(A50,tblInvoices[invoice_id],tblInvoices[total_invoice_amount])</f>
        <v/>
      </c>
      <c r="D50">
        <f>SUMIFS(tblPayments[payment_amount],tblPayments[invoice_id],A50,tblPayments[payment_status],"Success")</f>
        <v/>
      </c>
      <c r="E50">
        <f>D50-C50</f>
        <v/>
      </c>
      <c r="F50">
        <f>IFS(D50=0,"MISSING_PAYMENT",ABS(E50)&lt;=1,"MATCHED",E50&gt;1,"AMOUNT_MISMATCH",TRUE,"PARTIAL")</f>
        <v/>
      </c>
    </row>
    <row r="51">
      <c r="A51" t="inlineStr">
        <is>
          <t>INV0001541</t>
        </is>
      </c>
      <c r="B51" t="inlineStr">
        <is>
          <t>MER00074</t>
        </is>
      </c>
      <c r="C51">
        <f>XLOOKUP(A51,tblInvoices[invoice_id],tblInvoices[total_invoice_amount])</f>
        <v/>
      </c>
      <c r="D51">
        <f>SUMIFS(tblPayments[payment_amount],tblPayments[invoice_id],A51,tblPayments[payment_status],"Success")</f>
        <v/>
      </c>
      <c r="E51">
        <f>D51-C51</f>
        <v/>
      </c>
      <c r="F51">
        <f>IFS(D51=0,"MISSING_PAYMENT",ABS(E51)&lt;=1,"MATCHED",E51&gt;1,"AMOUNT_MISMATCH",TRUE,"PARTIAL")</f>
        <v/>
      </c>
    </row>
    <row r="52">
      <c r="A52" t="inlineStr">
        <is>
          <t>INV0001542</t>
        </is>
      </c>
      <c r="B52" t="inlineStr">
        <is>
          <t>MER00074</t>
        </is>
      </c>
      <c r="C52">
        <f>XLOOKUP(A52,tblInvoices[invoice_id],tblInvoices[total_invoice_amount])</f>
        <v/>
      </c>
      <c r="D52">
        <f>SUMIFS(tblPayments[payment_amount],tblPayments[invoice_id],A52,tblPayments[payment_status],"Success")</f>
        <v/>
      </c>
      <c r="E52">
        <f>D52-C52</f>
        <v/>
      </c>
      <c r="F52">
        <f>IFS(D52=0,"MISSING_PAYMENT",ABS(E52)&lt;=1,"MATCHED",E52&gt;1,"AMOUNT_MISMATCH",TRUE,"PARTIAL")</f>
        <v/>
      </c>
    </row>
    <row r="53">
      <c r="A53" t="inlineStr">
        <is>
          <t>INV0001543</t>
        </is>
      </c>
      <c r="B53" t="inlineStr">
        <is>
          <t>MER00074</t>
        </is>
      </c>
      <c r="C53">
        <f>XLOOKUP(A53,tblInvoices[invoice_id],tblInvoices[total_invoice_amount])</f>
        <v/>
      </c>
      <c r="D53">
        <f>SUMIFS(tblPayments[payment_amount],tblPayments[invoice_id],A53,tblPayments[payment_status],"Success")</f>
        <v/>
      </c>
      <c r="E53">
        <f>D53-C53</f>
        <v/>
      </c>
      <c r="F53">
        <f>IFS(D53=0,"MISSING_PAYMENT",ABS(E53)&lt;=1,"MATCHED",E53&gt;1,"AMOUNT_MISMATCH",TRUE,"PARTIAL")</f>
        <v/>
      </c>
    </row>
    <row r="54">
      <c r="A54" t="inlineStr">
        <is>
          <t>INV0001544</t>
        </is>
      </c>
      <c r="B54" t="inlineStr">
        <is>
          <t>MER00074</t>
        </is>
      </c>
      <c r="C54">
        <f>XLOOKUP(A54,tblInvoices[invoice_id],tblInvoices[total_invoice_amount])</f>
        <v/>
      </c>
      <c r="D54">
        <f>SUMIFS(tblPayments[payment_amount],tblPayments[invoice_id],A54,tblPayments[payment_status],"Success")</f>
        <v/>
      </c>
      <c r="E54">
        <f>D54-C54</f>
        <v/>
      </c>
      <c r="F54">
        <f>IFS(D54=0,"MISSING_PAYMENT",ABS(E54)&lt;=1,"MATCHED",E54&gt;1,"AMOUNT_MISMATCH",TRUE,"PARTIAL")</f>
        <v/>
      </c>
    </row>
    <row r="55">
      <c r="A55" t="inlineStr">
        <is>
          <t>INV0001545</t>
        </is>
      </c>
      <c r="B55" t="inlineStr">
        <is>
          <t>MER00074</t>
        </is>
      </c>
      <c r="C55">
        <f>XLOOKUP(A55,tblInvoices[invoice_id],tblInvoices[total_invoice_amount])</f>
        <v/>
      </c>
      <c r="D55">
        <f>SUMIFS(tblPayments[payment_amount],tblPayments[invoice_id],A55,tblPayments[payment_status],"Success")</f>
        <v/>
      </c>
      <c r="E55">
        <f>D55-C55</f>
        <v/>
      </c>
      <c r="F55">
        <f>IFS(D55=0,"MISSING_PAYMENT",ABS(E55)&lt;=1,"MATCHED",E55&gt;1,"AMOUNT_MISMATCH",TRUE,"PARTIAL")</f>
        <v/>
      </c>
    </row>
    <row r="56">
      <c r="A56" t="inlineStr">
        <is>
          <t>INV0001546</t>
        </is>
      </c>
      <c r="B56" t="inlineStr">
        <is>
          <t>MER00074</t>
        </is>
      </c>
      <c r="C56">
        <f>XLOOKUP(A56,tblInvoices[invoice_id],tblInvoices[total_invoice_amount])</f>
        <v/>
      </c>
      <c r="D56">
        <f>SUMIFS(tblPayments[payment_amount],tblPayments[invoice_id],A56,tblPayments[payment_status],"Success")</f>
        <v/>
      </c>
      <c r="E56">
        <f>D56-C56</f>
        <v/>
      </c>
      <c r="F56">
        <f>IFS(D56=0,"MISSING_PAYMENT",ABS(E56)&lt;=1,"MATCHED",E56&gt;1,"AMOUNT_MISMATCH",TRUE,"PARTIAL")</f>
        <v/>
      </c>
    </row>
    <row r="57">
      <c r="A57" t="inlineStr">
        <is>
          <t>INV0001547</t>
        </is>
      </c>
      <c r="B57" t="inlineStr">
        <is>
          <t>MER00074</t>
        </is>
      </c>
      <c r="C57">
        <f>XLOOKUP(A57,tblInvoices[invoice_id],tblInvoices[total_invoice_amount])</f>
        <v/>
      </c>
      <c r="D57">
        <f>SUMIFS(tblPayments[payment_amount],tblPayments[invoice_id],A57,tblPayments[payment_status],"Success")</f>
        <v/>
      </c>
      <c r="E57">
        <f>D57-C57</f>
        <v/>
      </c>
      <c r="F57">
        <f>IFS(D57=0,"MISSING_PAYMENT",ABS(E57)&lt;=1,"MATCHED",E57&gt;1,"AMOUNT_MISMATCH",TRUE,"PARTIAL")</f>
        <v/>
      </c>
    </row>
    <row r="58">
      <c r="A58" t="inlineStr">
        <is>
          <t>INV0001548</t>
        </is>
      </c>
      <c r="B58" t="inlineStr">
        <is>
          <t>MER00074</t>
        </is>
      </c>
      <c r="C58">
        <f>XLOOKUP(A58,tblInvoices[invoice_id],tblInvoices[total_invoice_amount])</f>
        <v/>
      </c>
      <c r="D58">
        <f>SUMIFS(tblPayments[payment_amount],tblPayments[invoice_id],A58,tblPayments[payment_status],"Success")</f>
        <v/>
      </c>
      <c r="E58">
        <f>D58-C58</f>
        <v/>
      </c>
      <c r="F58">
        <f>IFS(D58=0,"MISSING_PAYMENT",ABS(E58)&lt;=1,"MATCHED",E58&gt;1,"AMOUNT_MISMATCH",TRUE,"PARTIAL")</f>
        <v/>
      </c>
    </row>
    <row r="59">
      <c r="A59" t="inlineStr">
        <is>
          <t>INV0001549</t>
        </is>
      </c>
      <c r="B59" t="inlineStr">
        <is>
          <t>MER00074</t>
        </is>
      </c>
      <c r="C59">
        <f>XLOOKUP(A59,tblInvoices[invoice_id],tblInvoices[total_invoice_amount])</f>
        <v/>
      </c>
      <c r="D59">
        <f>SUMIFS(tblPayments[payment_amount],tblPayments[invoice_id],A59,tblPayments[payment_status],"Success")</f>
        <v/>
      </c>
      <c r="E59">
        <f>D59-C59</f>
        <v/>
      </c>
      <c r="F59">
        <f>IFS(D59=0,"MISSING_PAYMENT",ABS(E59)&lt;=1,"MATCHED",E59&gt;1,"AMOUNT_MISMATCH",TRUE,"PARTIAL")</f>
        <v/>
      </c>
    </row>
    <row r="60">
      <c r="A60" t="inlineStr">
        <is>
          <t>INV0001550</t>
        </is>
      </c>
      <c r="B60" t="inlineStr">
        <is>
          <t>MER00074</t>
        </is>
      </c>
      <c r="C60">
        <f>XLOOKUP(A60,tblInvoices[invoice_id],tblInvoices[total_invoice_amount])</f>
        <v/>
      </c>
      <c r="D60">
        <f>SUMIFS(tblPayments[payment_amount],tblPayments[invoice_id],A60,tblPayments[payment_status],"Success")</f>
        <v/>
      </c>
      <c r="E60">
        <f>D60-C60</f>
        <v/>
      </c>
      <c r="F60">
        <f>IFS(D60=0,"MISSING_PAYMENT",ABS(E60)&lt;=1,"MATCHED",E60&gt;1,"AMOUNT_MISMATCH",TRUE,"PARTIAL")</f>
        <v/>
      </c>
    </row>
    <row r="61">
      <c r="A61" t="inlineStr">
        <is>
          <t>INV0001551</t>
        </is>
      </c>
      <c r="B61" t="inlineStr">
        <is>
          <t>MER00074</t>
        </is>
      </c>
      <c r="C61">
        <f>XLOOKUP(A61,tblInvoices[invoice_id],tblInvoices[total_invoice_amount])</f>
        <v/>
      </c>
      <c r="D61">
        <f>SUMIFS(tblPayments[payment_amount],tblPayments[invoice_id],A61,tblPayments[payment_status],"Success")</f>
        <v/>
      </c>
      <c r="E61">
        <f>D61-C61</f>
        <v/>
      </c>
      <c r="F61">
        <f>IFS(D61=0,"MISSING_PAYMENT",ABS(E61)&lt;=1,"MATCHED",E61&gt;1,"AMOUNT_MISMATCH",TRUE,"PARTIAL")</f>
        <v/>
      </c>
    </row>
    <row r="62">
      <c r="A62" t="inlineStr">
        <is>
          <t>INV0001552</t>
        </is>
      </c>
      <c r="B62" t="inlineStr">
        <is>
          <t>MER00074</t>
        </is>
      </c>
      <c r="C62">
        <f>XLOOKUP(A62,tblInvoices[invoice_id],tblInvoices[total_invoice_amount])</f>
        <v/>
      </c>
      <c r="D62">
        <f>SUMIFS(tblPayments[payment_amount],tblPayments[invoice_id],A62,tblPayments[payment_status],"Success")</f>
        <v/>
      </c>
      <c r="E62">
        <f>D62-C62</f>
        <v/>
      </c>
      <c r="F62">
        <f>IFS(D62=0,"MISSING_PAYMENT",ABS(E62)&lt;=1,"MATCHED",E62&gt;1,"AMOUNT_MISMATCH",TRUE,"PARTIAL")</f>
        <v/>
      </c>
    </row>
    <row r="63">
      <c r="A63" t="inlineStr">
        <is>
          <t>INV0001553</t>
        </is>
      </c>
      <c r="B63" t="inlineStr">
        <is>
          <t>MER00074</t>
        </is>
      </c>
      <c r="C63">
        <f>XLOOKUP(A63,tblInvoices[invoice_id],tblInvoices[total_invoice_amount])</f>
        <v/>
      </c>
      <c r="D63">
        <f>SUMIFS(tblPayments[payment_amount],tblPayments[invoice_id],A63,tblPayments[payment_status],"Success")</f>
        <v/>
      </c>
      <c r="E63">
        <f>D63-C63</f>
        <v/>
      </c>
      <c r="F63">
        <f>IFS(D63=0,"MISSING_PAYMENT",ABS(E63)&lt;=1,"MATCHED",E63&gt;1,"AMOUNT_MISMATCH",TRUE,"PARTIAL")</f>
        <v/>
      </c>
    </row>
    <row r="64">
      <c r="A64" t="inlineStr">
        <is>
          <t>INV0001554</t>
        </is>
      </c>
      <c r="B64" t="inlineStr">
        <is>
          <t>MER00074</t>
        </is>
      </c>
      <c r="C64">
        <f>XLOOKUP(A64,tblInvoices[invoice_id],tblInvoices[total_invoice_amount])</f>
        <v/>
      </c>
      <c r="D64">
        <f>SUMIFS(tblPayments[payment_amount],tblPayments[invoice_id],A64,tblPayments[payment_status],"Success")</f>
        <v/>
      </c>
      <c r="E64">
        <f>D64-C64</f>
        <v/>
      </c>
      <c r="F64">
        <f>IFS(D64=0,"MISSING_PAYMENT",ABS(E64)&lt;=1,"MATCHED",E64&gt;1,"AMOUNT_MISMATCH",TRUE,"PARTIAL")</f>
        <v/>
      </c>
    </row>
    <row r="65">
      <c r="A65" t="inlineStr">
        <is>
          <t>INV0001555</t>
        </is>
      </c>
      <c r="B65" t="inlineStr">
        <is>
          <t>MER00074</t>
        </is>
      </c>
      <c r="C65">
        <f>XLOOKUP(A65,tblInvoices[invoice_id],tblInvoices[total_invoice_amount])</f>
        <v/>
      </c>
      <c r="D65">
        <f>SUMIFS(tblPayments[payment_amount],tblPayments[invoice_id],A65,tblPayments[payment_status],"Success")</f>
        <v/>
      </c>
      <c r="E65">
        <f>D65-C65</f>
        <v/>
      </c>
      <c r="F65">
        <f>IFS(D65=0,"MISSING_PAYMENT",ABS(E65)&lt;=1,"MATCHED",E65&gt;1,"AMOUNT_MISMATCH",TRUE,"PARTIAL")</f>
        <v/>
      </c>
    </row>
    <row r="66">
      <c r="A66" t="inlineStr">
        <is>
          <t>INV0001556</t>
        </is>
      </c>
      <c r="B66" t="inlineStr">
        <is>
          <t>MER00074</t>
        </is>
      </c>
      <c r="C66">
        <f>XLOOKUP(A66,tblInvoices[invoice_id],tblInvoices[total_invoice_amount])</f>
        <v/>
      </c>
      <c r="D66">
        <f>SUMIFS(tblPayments[payment_amount],tblPayments[invoice_id],A66,tblPayments[payment_status],"Success")</f>
        <v/>
      </c>
      <c r="E66">
        <f>D66-C66</f>
        <v/>
      </c>
      <c r="F66">
        <f>IFS(D66=0,"MISSING_PAYMENT",ABS(E66)&lt;=1,"MATCHED",E66&gt;1,"AMOUNT_MISMATCH",TRUE,"PARTIAL")</f>
        <v/>
      </c>
    </row>
    <row r="67">
      <c r="A67" t="inlineStr">
        <is>
          <t>INV0001557</t>
        </is>
      </c>
      <c r="B67" t="inlineStr">
        <is>
          <t>MER00074</t>
        </is>
      </c>
      <c r="C67">
        <f>XLOOKUP(A67,tblInvoices[invoice_id],tblInvoices[total_invoice_amount])</f>
        <v/>
      </c>
      <c r="D67">
        <f>SUMIFS(tblPayments[payment_amount],tblPayments[invoice_id],A67,tblPayments[payment_status],"Success")</f>
        <v/>
      </c>
      <c r="E67">
        <f>D67-C67</f>
        <v/>
      </c>
      <c r="F67">
        <f>IFS(D67=0,"MISSING_PAYMENT",ABS(E67)&lt;=1,"MATCHED",E67&gt;1,"AMOUNT_MISMATCH",TRUE,"PARTIAL")</f>
        <v/>
      </c>
    </row>
    <row r="68">
      <c r="A68" t="inlineStr">
        <is>
          <t>INV0001558</t>
        </is>
      </c>
      <c r="B68" t="inlineStr">
        <is>
          <t>MER00074</t>
        </is>
      </c>
      <c r="C68">
        <f>XLOOKUP(A68,tblInvoices[invoice_id],tblInvoices[total_invoice_amount])</f>
        <v/>
      </c>
      <c r="D68">
        <f>SUMIFS(tblPayments[payment_amount],tblPayments[invoice_id],A68,tblPayments[payment_status],"Success")</f>
        <v/>
      </c>
      <c r="E68">
        <f>D68-C68</f>
        <v/>
      </c>
      <c r="F68">
        <f>IFS(D68=0,"MISSING_PAYMENT",ABS(E68)&lt;=1,"MATCHED",E68&gt;1,"AMOUNT_MISMATCH",TRUE,"PARTIAL")</f>
        <v/>
      </c>
    </row>
    <row r="69">
      <c r="A69" t="inlineStr">
        <is>
          <t>INV0001559</t>
        </is>
      </c>
      <c r="B69" t="inlineStr">
        <is>
          <t>MER00074</t>
        </is>
      </c>
      <c r="C69">
        <f>XLOOKUP(A69,tblInvoices[invoice_id],tblInvoices[total_invoice_amount])</f>
        <v/>
      </c>
      <c r="D69">
        <f>SUMIFS(tblPayments[payment_amount],tblPayments[invoice_id],A69,tblPayments[payment_status],"Success")</f>
        <v/>
      </c>
      <c r="E69">
        <f>D69-C69</f>
        <v/>
      </c>
      <c r="F69">
        <f>IFS(D69=0,"MISSING_PAYMENT",ABS(E69)&lt;=1,"MATCHED",E69&gt;1,"AMOUNT_MISMATCH",TRUE,"PARTIAL")</f>
        <v/>
      </c>
    </row>
    <row r="70">
      <c r="A70" t="inlineStr">
        <is>
          <t>INV0001560</t>
        </is>
      </c>
      <c r="B70" t="inlineStr">
        <is>
          <t>MER00074</t>
        </is>
      </c>
      <c r="C70">
        <f>XLOOKUP(A70,tblInvoices[invoice_id],tblInvoices[total_invoice_amount])</f>
        <v/>
      </c>
      <c r="D70">
        <f>SUMIFS(tblPayments[payment_amount],tblPayments[invoice_id],A70,tblPayments[payment_status],"Success")</f>
        <v/>
      </c>
      <c r="E70">
        <f>D70-C70</f>
        <v/>
      </c>
      <c r="F70">
        <f>IFS(D70=0,"MISSING_PAYMENT",ABS(E70)&lt;=1,"MATCHED",E70&gt;1,"AMOUNT_MISMATCH",TRUE,"PARTIAL")</f>
        <v/>
      </c>
    </row>
    <row r="71">
      <c r="A71" t="inlineStr">
        <is>
          <t>INV0001561</t>
        </is>
      </c>
      <c r="B71" t="inlineStr">
        <is>
          <t>MER00074</t>
        </is>
      </c>
      <c r="C71">
        <f>XLOOKUP(A71,tblInvoices[invoice_id],tblInvoices[total_invoice_amount])</f>
        <v/>
      </c>
      <c r="D71">
        <f>SUMIFS(tblPayments[payment_amount],tblPayments[invoice_id],A71,tblPayments[payment_status],"Success")</f>
        <v/>
      </c>
      <c r="E71">
        <f>D71-C71</f>
        <v/>
      </c>
      <c r="F71">
        <f>IFS(D71=0,"MISSING_PAYMENT",ABS(E71)&lt;=1,"MATCHED",E71&gt;1,"AMOUNT_MISMATCH",TRUE,"PARTIAL")</f>
        <v/>
      </c>
    </row>
    <row r="72">
      <c r="A72" t="inlineStr">
        <is>
          <t>INV0001562</t>
        </is>
      </c>
      <c r="B72" t="inlineStr">
        <is>
          <t>MER00074</t>
        </is>
      </c>
      <c r="C72">
        <f>XLOOKUP(A72,tblInvoices[invoice_id],tblInvoices[total_invoice_amount])</f>
        <v/>
      </c>
      <c r="D72">
        <f>SUMIFS(tblPayments[payment_amount],tblPayments[invoice_id],A72,tblPayments[payment_status],"Success")</f>
        <v/>
      </c>
      <c r="E72">
        <f>D72-C72</f>
        <v/>
      </c>
      <c r="F72">
        <f>IFS(D72=0,"MISSING_PAYMENT",ABS(E72)&lt;=1,"MATCHED",E72&gt;1,"AMOUNT_MISMATCH",TRUE,"PARTIAL")</f>
        <v/>
      </c>
    </row>
    <row r="73">
      <c r="A73" t="inlineStr">
        <is>
          <t>INV0001610</t>
        </is>
      </c>
      <c r="B73" t="inlineStr">
        <is>
          <t>MER00077</t>
        </is>
      </c>
      <c r="C73">
        <f>XLOOKUP(A73,tblInvoices[invoice_id],tblInvoices[total_invoice_amount])</f>
        <v/>
      </c>
      <c r="D73">
        <f>SUMIFS(tblPayments[payment_amount],tblPayments[invoice_id],A73,tblPayments[payment_status],"Success")</f>
        <v/>
      </c>
      <c r="E73">
        <f>D73-C73</f>
        <v/>
      </c>
      <c r="F73">
        <f>IFS(D73=0,"MISSING_PAYMENT",ABS(E73)&lt;=1,"MATCHED",E73&gt;1,"AMOUNT_MISMATCH",TRUE,"PARTIAL")</f>
        <v/>
      </c>
    </row>
    <row r="74">
      <c r="A74" t="inlineStr">
        <is>
          <t>INV0001611</t>
        </is>
      </c>
      <c r="B74" t="inlineStr">
        <is>
          <t>MER00077</t>
        </is>
      </c>
      <c r="C74">
        <f>XLOOKUP(A74,tblInvoices[invoice_id],tblInvoices[total_invoice_amount])</f>
        <v/>
      </c>
      <c r="D74">
        <f>SUMIFS(tblPayments[payment_amount],tblPayments[invoice_id],A74,tblPayments[payment_status],"Success")</f>
        <v/>
      </c>
      <c r="E74">
        <f>D74-C74</f>
        <v/>
      </c>
      <c r="F74">
        <f>IFS(D74=0,"MISSING_PAYMENT",ABS(E74)&lt;=1,"MATCHED",E74&gt;1,"AMOUNT_MISMATCH",TRUE,"PARTIAL")</f>
        <v/>
      </c>
    </row>
    <row r="75">
      <c r="A75" t="inlineStr">
        <is>
          <t>INV0001612</t>
        </is>
      </c>
      <c r="B75" t="inlineStr">
        <is>
          <t>MER00077</t>
        </is>
      </c>
      <c r="C75">
        <f>XLOOKUP(A75,tblInvoices[invoice_id],tblInvoices[total_invoice_amount])</f>
        <v/>
      </c>
      <c r="D75">
        <f>SUMIFS(tblPayments[payment_amount],tblPayments[invoice_id],A75,tblPayments[payment_status],"Success")</f>
        <v/>
      </c>
      <c r="E75">
        <f>D75-C75</f>
        <v/>
      </c>
      <c r="F75">
        <f>IFS(D75=0,"MISSING_PAYMENT",ABS(E75)&lt;=1,"MATCHED",E75&gt;1,"AMOUNT_MISMATCH",TRUE,"PARTIAL")</f>
        <v/>
      </c>
    </row>
    <row r="76">
      <c r="A76" t="inlineStr">
        <is>
          <t>INV0001613</t>
        </is>
      </c>
      <c r="B76" t="inlineStr">
        <is>
          <t>MER00077</t>
        </is>
      </c>
      <c r="C76">
        <f>XLOOKUP(A76,tblInvoices[invoice_id],tblInvoices[total_invoice_amount])</f>
        <v/>
      </c>
      <c r="D76">
        <f>SUMIFS(tblPayments[payment_amount],tblPayments[invoice_id],A76,tblPayments[payment_status],"Success")</f>
        <v/>
      </c>
      <c r="E76">
        <f>D76-C76</f>
        <v/>
      </c>
      <c r="F76">
        <f>IFS(D76=0,"MISSING_PAYMENT",ABS(E76)&lt;=1,"MATCHED",E76&gt;1,"AMOUNT_MISMATCH",TRUE,"PARTIAL")</f>
        <v/>
      </c>
    </row>
    <row r="77">
      <c r="A77" t="inlineStr">
        <is>
          <t>INV0001614</t>
        </is>
      </c>
      <c r="B77" t="inlineStr">
        <is>
          <t>MER00077</t>
        </is>
      </c>
      <c r="C77">
        <f>XLOOKUP(A77,tblInvoices[invoice_id],tblInvoices[total_invoice_amount])</f>
        <v/>
      </c>
      <c r="D77">
        <f>SUMIFS(tblPayments[payment_amount],tblPayments[invoice_id],A77,tblPayments[payment_status],"Success")</f>
        <v/>
      </c>
      <c r="E77">
        <f>D77-C77</f>
        <v/>
      </c>
      <c r="F77">
        <f>IFS(D77=0,"MISSING_PAYMENT",ABS(E77)&lt;=1,"MATCHED",E77&gt;1,"AMOUNT_MISMATCH",TRUE,"PARTIAL")</f>
        <v/>
      </c>
    </row>
    <row r="78">
      <c r="A78" t="inlineStr">
        <is>
          <t>INV0001615</t>
        </is>
      </c>
      <c r="B78" t="inlineStr">
        <is>
          <t>MER00077</t>
        </is>
      </c>
      <c r="C78">
        <f>XLOOKUP(A78,tblInvoices[invoice_id],tblInvoices[total_invoice_amount])</f>
        <v/>
      </c>
      <c r="D78">
        <f>SUMIFS(tblPayments[payment_amount],tblPayments[invoice_id],A78,tblPayments[payment_status],"Success")</f>
        <v/>
      </c>
      <c r="E78">
        <f>D78-C78</f>
        <v/>
      </c>
      <c r="F78">
        <f>IFS(D78=0,"MISSING_PAYMENT",ABS(E78)&lt;=1,"MATCHED",E78&gt;1,"AMOUNT_MISMATCH",TRUE,"PARTIAL")</f>
        <v/>
      </c>
    </row>
    <row r="79">
      <c r="A79" t="inlineStr">
        <is>
          <t>INV0001616</t>
        </is>
      </c>
      <c r="B79" t="inlineStr">
        <is>
          <t>MER00077</t>
        </is>
      </c>
      <c r="C79">
        <f>XLOOKUP(A79,tblInvoices[invoice_id],tblInvoices[total_invoice_amount])</f>
        <v/>
      </c>
      <c r="D79">
        <f>SUMIFS(tblPayments[payment_amount],tblPayments[invoice_id],A79,tblPayments[payment_status],"Success")</f>
        <v/>
      </c>
      <c r="E79">
        <f>D79-C79</f>
        <v/>
      </c>
      <c r="F79">
        <f>IFS(D79=0,"MISSING_PAYMENT",ABS(E79)&lt;=1,"MATCHED",E79&gt;1,"AMOUNT_MISMATCH",TRUE,"PARTIAL")</f>
        <v/>
      </c>
    </row>
    <row r="80">
      <c r="A80" t="inlineStr">
        <is>
          <t>INV0001617</t>
        </is>
      </c>
      <c r="B80" t="inlineStr">
        <is>
          <t>MER00077</t>
        </is>
      </c>
      <c r="C80">
        <f>XLOOKUP(A80,tblInvoices[invoice_id],tblInvoices[total_invoice_amount])</f>
        <v/>
      </c>
      <c r="D80">
        <f>SUMIFS(tblPayments[payment_amount],tblPayments[invoice_id],A80,tblPayments[payment_status],"Success")</f>
        <v/>
      </c>
      <c r="E80">
        <f>D80-C80</f>
        <v/>
      </c>
      <c r="F80">
        <f>IFS(D80=0,"MISSING_PAYMENT",ABS(E80)&lt;=1,"MATCHED",E80&gt;1,"AMOUNT_MISMATCH",TRUE,"PARTIAL")</f>
        <v/>
      </c>
    </row>
    <row r="81">
      <c r="A81" t="inlineStr">
        <is>
          <t>INV0001618</t>
        </is>
      </c>
      <c r="B81" t="inlineStr">
        <is>
          <t>MER00077</t>
        </is>
      </c>
      <c r="C81">
        <f>XLOOKUP(A81,tblInvoices[invoice_id],tblInvoices[total_invoice_amount])</f>
        <v/>
      </c>
      <c r="D81">
        <f>SUMIFS(tblPayments[payment_amount],tblPayments[invoice_id],A81,tblPayments[payment_status],"Success")</f>
        <v/>
      </c>
      <c r="E81">
        <f>D81-C81</f>
        <v/>
      </c>
      <c r="F81">
        <f>IFS(D81=0,"MISSING_PAYMENT",ABS(E81)&lt;=1,"MATCHED",E81&gt;1,"AMOUNT_MISMATCH",TRUE,"PARTIAL")</f>
        <v/>
      </c>
    </row>
    <row r="82">
      <c r="A82" t="inlineStr">
        <is>
          <t>INV0001619</t>
        </is>
      </c>
      <c r="B82" t="inlineStr">
        <is>
          <t>MER00077</t>
        </is>
      </c>
      <c r="C82">
        <f>XLOOKUP(A82,tblInvoices[invoice_id],tblInvoices[total_invoice_amount])</f>
        <v/>
      </c>
      <c r="D82">
        <f>SUMIFS(tblPayments[payment_amount],tblPayments[invoice_id],A82,tblPayments[payment_status],"Success")</f>
        <v/>
      </c>
      <c r="E82">
        <f>D82-C82</f>
        <v/>
      </c>
      <c r="F82">
        <f>IFS(D82=0,"MISSING_PAYMENT",ABS(E82)&lt;=1,"MATCHED",E82&gt;1,"AMOUNT_MISMATCH",TRUE,"PARTIAL")</f>
        <v/>
      </c>
    </row>
    <row r="83">
      <c r="A83" t="inlineStr">
        <is>
          <t>INV0001620</t>
        </is>
      </c>
      <c r="B83" t="inlineStr">
        <is>
          <t>MER00077</t>
        </is>
      </c>
      <c r="C83">
        <f>XLOOKUP(A83,tblInvoices[invoice_id],tblInvoices[total_invoice_amount])</f>
        <v/>
      </c>
      <c r="D83">
        <f>SUMIFS(tblPayments[payment_amount],tblPayments[invoice_id],A83,tblPayments[payment_status],"Success")</f>
        <v/>
      </c>
      <c r="E83">
        <f>D83-C83</f>
        <v/>
      </c>
      <c r="F83">
        <f>IFS(D83=0,"MISSING_PAYMENT",ABS(E83)&lt;=1,"MATCHED",E83&gt;1,"AMOUNT_MISMATCH",TRUE,"PARTIAL")</f>
        <v/>
      </c>
    </row>
    <row r="84">
      <c r="A84" t="inlineStr">
        <is>
          <t>INV0001621</t>
        </is>
      </c>
      <c r="B84" t="inlineStr">
        <is>
          <t>MER00077</t>
        </is>
      </c>
      <c r="C84">
        <f>XLOOKUP(A84,tblInvoices[invoice_id],tblInvoices[total_invoice_amount])</f>
        <v/>
      </c>
      <c r="D84">
        <f>SUMIFS(tblPayments[payment_amount],tblPayments[invoice_id],A84,tblPayments[payment_status],"Success")</f>
        <v/>
      </c>
      <c r="E84">
        <f>D84-C84</f>
        <v/>
      </c>
      <c r="F84">
        <f>IFS(D84=0,"MISSING_PAYMENT",ABS(E84)&lt;=1,"MATCHED",E84&gt;1,"AMOUNT_MISMATCH",TRUE,"PARTIAL")</f>
        <v/>
      </c>
    </row>
    <row r="85">
      <c r="A85" t="inlineStr">
        <is>
          <t>INV0001622</t>
        </is>
      </c>
      <c r="B85" t="inlineStr">
        <is>
          <t>MER00077</t>
        </is>
      </c>
      <c r="C85">
        <f>XLOOKUP(A85,tblInvoices[invoice_id],tblInvoices[total_invoice_amount])</f>
        <v/>
      </c>
      <c r="D85">
        <f>SUMIFS(tblPayments[payment_amount],tblPayments[invoice_id],A85,tblPayments[payment_status],"Success")</f>
        <v/>
      </c>
      <c r="E85">
        <f>D85-C85</f>
        <v/>
      </c>
      <c r="F85">
        <f>IFS(D85=0,"MISSING_PAYMENT",ABS(E85)&lt;=1,"MATCHED",E85&gt;1,"AMOUNT_MISMATCH",TRUE,"PARTIAL")</f>
        <v/>
      </c>
    </row>
    <row r="86">
      <c r="A86" t="inlineStr">
        <is>
          <t>INV0001623</t>
        </is>
      </c>
      <c r="B86" t="inlineStr">
        <is>
          <t>MER00077</t>
        </is>
      </c>
      <c r="C86">
        <f>XLOOKUP(A86,tblInvoices[invoice_id],tblInvoices[total_invoice_amount])</f>
        <v/>
      </c>
      <c r="D86">
        <f>SUMIFS(tblPayments[payment_amount],tblPayments[invoice_id],A86,tblPayments[payment_status],"Success")</f>
        <v/>
      </c>
      <c r="E86">
        <f>D86-C86</f>
        <v/>
      </c>
      <c r="F86">
        <f>IFS(D86=0,"MISSING_PAYMENT",ABS(E86)&lt;=1,"MATCHED",E86&gt;1,"AMOUNT_MISMATCH",TRUE,"PARTIAL")</f>
        <v/>
      </c>
    </row>
    <row r="87">
      <c r="A87" t="inlineStr">
        <is>
          <t>INV0001624</t>
        </is>
      </c>
      <c r="B87" t="inlineStr">
        <is>
          <t>MER00077</t>
        </is>
      </c>
      <c r="C87">
        <f>XLOOKUP(A87,tblInvoices[invoice_id],tblInvoices[total_invoice_amount])</f>
        <v/>
      </c>
      <c r="D87">
        <f>SUMIFS(tblPayments[payment_amount],tblPayments[invoice_id],A87,tblPayments[payment_status],"Success")</f>
        <v/>
      </c>
      <c r="E87">
        <f>D87-C87</f>
        <v/>
      </c>
      <c r="F87">
        <f>IFS(D87=0,"MISSING_PAYMENT",ABS(E87)&lt;=1,"MATCHED",E87&gt;1,"AMOUNT_MISMATCH",TRUE,"PARTIAL")</f>
        <v/>
      </c>
    </row>
    <row r="88">
      <c r="A88" t="inlineStr">
        <is>
          <t>INV0001625</t>
        </is>
      </c>
      <c r="B88" t="inlineStr">
        <is>
          <t>MER00077</t>
        </is>
      </c>
      <c r="C88">
        <f>XLOOKUP(A88,tblInvoices[invoice_id],tblInvoices[total_invoice_amount])</f>
        <v/>
      </c>
      <c r="D88">
        <f>SUMIFS(tblPayments[payment_amount],tblPayments[invoice_id],A88,tblPayments[payment_status],"Success")</f>
        <v/>
      </c>
      <c r="E88">
        <f>D88-C88</f>
        <v/>
      </c>
      <c r="F88">
        <f>IFS(D88=0,"MISSING_PAYMENT",ABS(E88)&lt;=1,"MATCHED",E88&gt;1,"AMOUNT_MISMATCH",TRUE,"PARTIAL")</f>
        <v/>
      </c>
    </row>
    <row r="89">
      <c r="A89" t="inlineStr">
        <is>
          <t>INV0001626</t>
        </is>
      </c>
      <c r="B89" t="inlineStr">
        <is>
          <t>MER00077</t>
        </is>
      </c>
      <c r="C89">
        <f>XLOOKUP(A89,tblInvoices[invoice_id],tblInvoices[total_invoice_amount])</f>
        <v/>
      </c>
      <c r="D89">
        <f>SUMIFS(tblPayments[payment_amount],tblPayments[invoice_id],A89,tblPayments[payment_status],"Success")</f>
        <v/>
      </c>
      <c r="E89">
        <f>D89-C89</f>
        <v/>
      </c>
      <c r="F89">
        <f>IFS(D89=0,"MISSING_PAYMENT",ABS(E89)&lt;=1,"MATCHED",E89&gt;1,"AMOUNT_MISMATCH",TRUE,"PARTIAL")</f>
        <v/>
      </c>
    </row>
    <row r="90">
      <c r="A90" t="inlineStr">
        <is>
          <t>INV0001627</t>
        </is>
      </c>
      <c r="B90" t="inlineStr">
        <is>
          <t>MER00077</t>
        </is>
      </c>
      <c r="C90">
        <f>XLOOKUP(A90,tblInvoices[invoice_id],tblInvoices[total_invoice_amount])</f>
        <v/>
      </c>
      <c r="D90">
        <f>SUMIFS(tblPayments[payment_amount],tblPayments[invoice_id],A90,tblPayments[payment_status],"Success")</f>
        <v/>
      </c>
      <c r="E90">
        <f>D90-C90</f>
        <v/>
      </c>
      <c r="F90">
        <f>IFS(D90=0,"MISSING_PAYMENT",ABS(E90)&lt;=1,"MATCHED",E90&gt;1,"AMOUNT_MISMATCH",TRUE,"PARTIAL")</f>
        <v/>
      </c>
    </row>
    <row r="91">
      <c r="A91" t="inlineStr">
        <is>
          <t>INV0001628</t>
        </is>
      </c>
      <c r="B91" t="inlineStr">
        <is>
          <t>MER00077</t>
        </is>
      </c>
      <c r="C91">
        <f>XLOOKUP(A91,tblInvoices[invoice_id],tblInvoices[total_invoice_amount])</f>
        <v/>
      </c>
      <c r="D91">
        <f>SUMIFS(tblPayments[payment_amount],tblPayments[invoice_id],A91,tblPayments[payment_status],"Success")</f>
        <v/>
      </c>
      <c r="E91">
        <f>D91-C91</f>
        <v/>
      </c>
      <c r="F91">
        <f>IFS(D91=0,"MISSING_PAYMENT",ABS(E91)&lt;=1,"MATCHED",E91&gt;1,"AMOUNT_MISMATCH",TRUE,"PARTIAL")</f>
        <v/>
      </c>
    </row>
    <row r="92">
      <c r="A92" t="inlineStr">
        <is>
          <t>INV0001629</t>
        </is>
      </c>
      <c r="B92" t="inlineStr">
        <is>
          <t>MER00077</t>
        </is>
      </c>
      <c r="C92">
        <f>XLOOKUP(A92,tblInvoices[invoice_id],tblInvoices[total_invoice_amount])</f>
        <v/>
      </c>
      <c r="D92">
        <f>SUMIFS(tblPayments[payment_amount],tblPayments[invoice_id],A92,tblPayments[payment_status],"Success")</f>
        <v/>
      </c>
      <c r="E92">
        <f>D92-C92</f>
        <v/>
      </c>
      <c r="F92">
        <f>IFS(D92=0,"MISSING_PAYMENT",ABS(E92)&lt;=1,"MATCHED",E92&gt;1,"AMOUNT_MISMATCH",TRUE,"PARTIAL")</f>
        <v/>
      </c>
    </row>
    <row r="93">
      <c r="A93" t="inlineStr">
        <is>
          <t>INV0001630</t>
        </is>
      </c>
      <c r="B93" t="inlineStr">
        <is>
          <t>MER00077</t>
        </is>
      </c>
      <c r="C93">
        <f>XLOOKUP(A93,tblInvoices[invoice_id],tblInvoices[total_invoice_amount])</f>
        <v/>
      </c>
      <c r="D93">
        <f>SUMIFS(tblPayments[payment_amount],tblPayments[invoice_id],A93,tblPayments[payment_status],"Success")</f>
        <v/>
      </c>
      <c r="E93">
        <f>D93-C93</f>
        <v/>
      </c>
      <c r="F93">
        <f>IFS(D93=0,"MISSING_PAYMENT",ABS(E93)&lt;=1,"MATCHED",E93&gt;1,"AMOUNT_MISMATCH",TRUE,"PARTIAL")</f>
        <v/>
      </c>
    </row>
    <row r="94">
      <c r="A94" t="inlineStr">
        <is>
          <t>INV0001631</t>
        </is>
      </c>
      <c r="B94" t="inlineStr">
        <is>
          <t>MER00077</t>
        </is>
      </c>
      <c r="C94">
        <f>XLOOKUP(A94,tblInvoices[invoice_id],tblInvoices[total_invoice_amount])</f>
        <v/>
      </c>
      <c r="D94">
        <f>SUMIFS(tblPayments[payment_amount],tblPayments[invoice_id],A94,tblPayments[payment_status],"Success")</f>
        <v/>
      </c>
      <c r="E94">
        <f>D94-C94</f>
        <v/>
      </c>
      <c r="F94">
        <f>IFS(D94=0,"MISSING_PAYMENT",ABS(E94)&lt;=1,"MATCHED",E94&gt;1,"AMOUNT_MISMATCH",TRUE,"PARTIAL")</f>
        <v/>
      </c>
    </row>
    <row r="95">
      <c r="A95" t="inlineStr">
        <is>
          <t>INV0001632</t>
        </is>
      </c>
      <c r="B95" t="inlineStr">
        <is>
          <t>MER00077</t>
        </is>
      </c>
      <c r="C95">
        <f>XLOOKUP(A95,tblInvoices[invoice_id],tblInvoices[total_invoice_amount])</f>
        <v/>
      </c>
      <c r="D95">
        <f>SUMIFS(tblPayments[payment_amount],tblPayments[invoice_id],A95,tblPayments[payment_status],"Success")</f>
        <v/>
      </c>
      <c r="E95">
        <f>D95-C95</f>
        <v/>
      </c>
      <c r="F95">
        <f>IFS(D95=0,"MISSING_PAYMENT",ABS(E95)&lt;=1,"MATCHED",E95&gt;1,"AMOUNT_MISMATCH",TRUE,"PARTIAL")</f>
        <v/>
      </c>
    </row>
    <row r="96">
      <c r="A96" t="inlineStr">
        <is>
          <t>INV0001633</t>
        </is>
      </c>
      <c r="B96" t="inlineStr">
        <is>
          <t>MER00077</t>
        </is>
      </c>
      <c r="C96">
        <f>XLOOKUP(A96,tblInvoices[invoice_id],tblInvoices[total_invoice_amount])</f>
        <v/>
      </c>
      <c r="D96">
        <f>SUMIFS(tblPayments[payment_amount],tblPayments[invoice_id],A96,tblPayments[payment_status],"Success")</f>
        <v/>
      </c>
      <c r="E96">
        <f>D96-C96</f>
        <v/>
      </c>
      <c r="F96">
        <f>IFS(D96=0,"MISSING_PAYMENT",ABS(E96)&lt;=1,"MATCHED",E96&gt;1,"AMOUNT_MISMATCH",TRUE,"PARTIAL")</f>
        <v/>
      </c>
    </row>
    <row r="97">
      <c r="A97" t="inlineStr">
        <is>
          <t>INV0002946</t>
        </is>
      </c>
      <c r="B97" t="inlineStr">
        <is>
          <t>MER00139</t>
        </is>
      </c>
      <c r="C97">
        <f>XLOOKUP(A97,tblInvoices[invoice_id],tblInvoices[total_invoice_amount])</f>
        <v/>
      </c>
      <c r="D97">
        <f>SUMIFS(tblPayments[payment_amount],tblPayments[invoice_id],A97,tblPayments[payment_status],"Success")</f>
        <v/>
      </c>
      <c r="E97">
        <f>D97-C97</f>
        <v/>
      </c>
      <c r="F97">
        <f>IFS(D97=0,"MISSING_PAYMENT",ABS(E97)&lt;=1,"MATCHED",E97&gt;1,"AMOUNT_MISMATCH",TRUE,"PARTIAL")</f>
        <v/>
      </c>
    </row>
    <row r="98">
      <c r="A98" t="inlineStr">
        <is>
          <t>INV0002947</t>
        </is>
      </c>
      <c r="B98" t="inlineStr">
        <is>
          <t>MER00139</t>
        </is>
      </c>
      <c r="C98">
        <f>XLOOKUP(A98,tblInvoices[invoice_id],tblInvoices[total_invoice_amount])</f>
        <v/>
      </c>
      <c r="D98">
        <f>SUMIFS(tblPayments[payment_amount],tblPayments[invoice_id],A98,tblPayments[payment_status],"Success")</f>
        <v/>
      </c>
      <c r="E98">
        <f>D98-C98</f>
        <v/>
      </c>
      <c r="F98">
        <f>IFS(D98=0,"MISSING_PAYMENT",ABS(E98)&lt;=1,"MATCHED",E98&gt;1,"AMOUNT_MISMATCH",TRUE,"PARTIAL")</f>
        <v/>
      </c>
    </row>
    <row r="99">
      <c r="A99" t="inlineStr">
        <is>
          <t>INV0002948</t>
        </is>
      </c>
      <c r="B99" t="inlineStr">
        <is>
          <t>MER00139</t>
        </is>
      </c>
      <c r="C99">
        <f>XLOOKUP(A99,tblInvoices[invoice_id],tblInvoices[total_invoice_amount])</f>
        <v/>
      </c>
      <c r="D99">
        <f>SUMIFS(tblPayments[payment_amount],tblPayments[invoice_id],A99,tblPayments[payment_status],"Success")</f>
        <v/>
      </c>
      <c r="E99">
        <f>D99-C99</f>
        <v/>
      </c>
      <c r="F99">
        <f>IFS(D99=0,"MISSING_PAYMENT",ABS(E99)&lt;=1,"MATCHED",E99&gt;1,"AMOUNT_MISMATCH",TRUE,"PARTIAL")</f>
        <v/>
      </c>
    </row>
    <row r="100">
      <c r="A100" t="inlineStr">
        <is>
          <t>INV0002949</t>
        </is>
      </c>
      <c r="B100" t="inlineStr">
        <is>
          <t>MER00139</t>
        </is>
      </c>
      <c r="C100">
        <f>XLOOKUP(A100,tblInvoices[invoice_id],tblInvoices[total_invoice_amount])</f>
        <v/>
      </c>
      <c r="D100">
        <f>SUMIFS(tblPayments[payment_amount],tblPayments[invoice_id],A100,tblPayments[payment_status],"Success")</f>
        <v/>
      </c>
      <c r="E100">
        <f>D100-C100</f>
        <v/>
      </c>
      <c r="F100">
        <f>IFS(D100=0,"MISSING_PAYMENT",ABS(E100)&lt;=1,"MATCHED",E100&gt;1,"AMOUNT_MISMATCH",TRUE,"PARTIAL")</f>
        <v/>
      </c>
    </row>
    <row r="101">
      <c r="A101" t="inlineStr">
        <is>
          <t>INV0002950</t>
        </is>
      </c>
      <c r="B101" t="inlineStr">
        <is>
          <t>MER00139</t>
        </is>
      </c>
      <c r="C101">
        <f>XLOOKUP(A101,tblInvoices[invoice_id],tblInvoices[total_invoice_amount])</f>
        <v/>
      </c>
      <c r="D101">
        <f>SUMIFS(tblPayments[payment_amount],tblPayments[invoice_id],A101,tblPayments[payment_status],"Success")</f>
        <v/>
      </c>
      <c r="E101">
        <f>D101-C101</f>
        <v/>
      </c>
      <c r="F101">
        <f>IFS(D101=0,"MISSING_PAYMENT",ABS(E101)&lt;=1,"MATCHED",E101&gt;1,"AMOUNT_MISMATCH",TRUE,"PARTIAL")</f>
        <v/>
      </c>
    </row>
    <row r="102">
      <c r="A102" t="inlineStr">
        <is>
          <t>INV0002951</t>
        </is>
      </c>
      <c r="B102" t="inlineStr">
        <is>
          <t>MER00139</t>
        </is>
      </c>
      <c r="C102">
        <f>XLOOKUP(A102,tblInvoices[invoice_id],tblInvoices[total_invoice_amount])</f>
        <v/>
      </c>
      <c r="D102">
        <f>SUMIFS(tblPayments[payment_amount],tblPayments[invoice_id],A102,tblPayments[payment_status],"Success")</f>
        <v/>
      </c>
      <c r="E102">
        <f>D102-C102</f>
        <v/>
      </c>
      <c r="F102">
        <f>IFS(D102=0,"MISSING_PAYMENT",ABS(E102)&lt;=1,"MATCHED",E102&gt;1,"AMOUNT_MISMATCH",TRUE,"PARTIAL")</f>
        <v/>
      </c>
    </row>
    <row r="103">
      <c r="A103" t="inlineStr">
        <is>
          <t>INV0002952</t>
        </is>
      </c>
      <c r="B103" t="inlineStr">
        <is>
          <t>MER00139</t>
        </is>
      </c>
      <c r="C103">
        <f>XLOOKUP(A103,tblInvoices[invoice_id],tblInvoices[total_invoice_amount])</f>
        <v/>
      </c>
      <c r="D103">
        <f>SUMIFS(tblPayments[payment_amount],tblPayments[invoice_id],A103,tblPayments[payment_status],"Success")</f>
        <v/>
      </c>
      <c r="E103">
        <f>D103-C103</f>
        <v/>
      </c>
      <c r="F103">
        <f>IFS(D103=0,"MISSING_PAYMENT",ABS(E103)&lt;=1,"MATCHED",E103&gt;1,"AMOUNT_MISMATCH",TRUE,"PARTIAL")</f>
        <v/>
      </c>
    </row>
    <row r="104">
      <c r="A104" t="inlineStr">
        <is>
          <t>INV0002953</t>
        </is>
      </c>
      <c r="B104" t="inlineStr">
        <is>
          <t>MER00139</t>
        </is>
      </c>
      <c r="C104">
        <f>XLOOKUP(A104,tblInvoices[invoice_id],tblInvoices[total_invoice_amount])</f>
        <v/>
      </c>
      <c r="D104">
        <f>SUMIFS(tblPayments[payment_amount],tblPayments[invoice_id],A104,tblPayments[payment_status],"Success")</f>
        <v/>
      </c>
      <c r="E104">
        <f>D104-C104</f>
        <v/>
      </c>
      <c r="F104">
        <f>IFS(D104=0,"MISSING_PAYMENT",ABS(E104)&lt;=1,"MATCHED",E104&gt;1,"AMOUNT_MISMATCH",TRUE,"PARTIAL")</f>
        <v/>
      </c>
    </row>
    <row r="105">
      <c r="A105" t="inlineStr">
        <is>
          <t>INV0002954</t>
        </is>
      </c>
      <c r="B105" t="inlineStr">
        <is>
          <t>MER00139</t>
        </is>
      </c>
      <c r="C105">
        <f>XLOOKUP(A105,tblInvoices[invoice_id],tblInvoices[total_invoice_amount])</f>
        <v/>
      </c>
      <c r="D105">
        <f>SUMIFS(tblPayments[payment_amount],tblPayments[invoice_id],A105,tblPayments[payment_status],"Success")</f>
        <v/>
      </c>
      <c r="E105">
        <f>D105-C105</f>
        <v/>
      </c>
      <c r="F105">
        <f>IFS(D105=0,"MISSING_PAYMENT",ABS(E105)&lt;=1,"MATCHED",E105&gt;1,"AMOUNT_MISMATCH",TRUE,"PARTIAL")</f>
        <v/>
      </c>
    </row>
    <row r="106">
      <c r="A106" t="inlineStr">
        <is>
          <t>INV0002955</t>
        </is>
      </c>
      <c r="B106" t="inlineStr">
        <is>
          <t>MER00139</t>
        </is>
      </c>
      <c r="C106">
        <f>XLOOKUP(A106,tblInvoices[invoice_id],tblInvoices[total_invoice_amount])</f>
        <v/>
      </c>
      <c r="D106">
        <f>SUMIFS(tblPayments[payment_amount],tblPayments[invoice_id],A106,tblPayments[payment_status],"Success")</f>
        <v/>
      </c>
      <c r="E106">
        <f>D106-C106</f>
        <v/>
      </c>
      <c r="F106">
        <f>IFS(D106=0,"MISSING_PAYMENT",ABS(E106)&lt;=1,"MATCHED",E106&gt;1,"AMOUNT_MISMATCH",TRUE,"PARTIAL")</f>
        <v/>
      </c>
    </row>
    <row r="107">
      <c r="A107" t="inlineStr">
        <is>
          <t>INV0002956</t>
        </is>
      </c>
      <c r="B107" t="inlineStr">
        <is>
          <t>MER00139</t>
        </is>
      </c>
      <c r="C107">
        <f>XLOOKUP(A107,tblInvoices[invoice_id],tblInvoices[total_invoice_amount])</f>
        <v/>
      </c>
      <c r="D107">
        <f>SUMIFS(tblPayments[payment_amount],tblPayments[invoice_id],A107,tblPayments[payment_status],"Success")</f>
        <v/>
      </c>
      <c r="E107">
        <f>D107-C107</f>
        <v/>
      </c>
      <c r="F107">
        <f>IFS(D107=0,"MISSING_PAYMENT",ABS(E107)&lt;=1,"MATCHED",E107&gt;1,"AMOUNT_MISMATCH",TRUE,"PARTIAL")</f>
        <v/>
      </c>
    </row>
    <row r="108">
      <c r="A108" t="inlineStr">
        <is>
          <t>INV0002957</t>
        </is>
      </c>
      <c r="B108" t="inlineStr">
        <is>
          <t>MER00139</t>
        </is>
      </c>
      <c r="C108">
        <f>XLOOKUP(A108,tblInvoices[invoice_id],tblInvoices[total_invoice_amount])</f>
        <v/>
      </c>
      <c r="D108">
        <f>SUMIFS(tblPayments[payment_amount],tblPayments[invoice_id],A108,tblPayments[payment_status],"Success")</f>
        <v/>
      </c>
      <c r="E108">
        <f>D108-C108</f>
        <v/>
      </c>
      <c r="F108">
        <f>IFS(D108=0,"MISSING_PAYMENT",ABS(E108)&lt;=1,"MATCHED",E108&gt;1,"AMOUNT_MISMATCH",TRUE,"PARTIAL")</f>
        <v/>
      </c>
    </row>
    <row r="109">
      <c r="A109" t="inlineStr">
        <is>
          <t>INV0002958</t>
        </is>
      </c>
      <c r="B109" t="inlineStr">
        <is>
          <t>MER00139</t>
        </is>
      </c>
      <c r="C109">
        <f>XLOOKUP(A109,tblInvoices[invoice_id],tblInvoices[total_invoice_amount])</f>
        <v/>
      </c>
      <c r="D109">
        <f>SUMIFS(tblPayments[payment_amount],tblPayments[invoice_id],A109,tblPayments[payment_status],"Success")</f>
        <v/>
      </c>
      <c r="E109">
        <f>D109-C109</f>
        <v/>
      </c>
      <c r="F109">
        <f>IFS(D109=0,"MISSING_PAYMENT",ABS(E109)&lt;=1,"MATCHED",E109&gt;1,"AMOUNT_MISMATCH",TRUE,"PARTIAL")</f>
        <v/>
      </c>
    </row>
    <row r="110">
      <c r="A110" t="inlineStr">
        <is>
          <t>INV0002959</t>
        </is>
      </c>
      <c r="B110" t="inlineStr">
        <is>
          <t>MER00139</t>
        </is>
      </c>
      <c r="C110">
        <f>XLOOKUP(A110,tblInvoices[invoice_id],tblInvoices[total_invoice_amount])</f>
        <v/>
      </c>
      <c r="D110">
        <f>SUMIFS(tblPayments[payment_amount],tblPayments[invoice_id],A110,tblPayments[payment_status],"Success")</f>
        <v/>
      </c>
      <c r="E110">
        <f>D110-C110</f>
        <v/>
      </c>
      <c r="F110">
        <f>IFS(D110=0,"MISSING_PAYMENT",ABS(E110)&lt;=1,"MATCHED",E110&gt;1,"AMOUNT_MISMATCH",TRUE,"PARTIAL")</f>
        <v/>
      </c>
    </row>
    <row r="111">
      <c r="A111" t="inlineStr">
        <is>
          <t>INV0002960</t>
        </is>
      </c>
      <c r="B111" t="inlineStr">
        <is>
          <t>MER00139</t>
        </is>
      </c>
      <c r="C111">
        <f>XLOOKUP(A111,tblInvoices[invoice_id],tblInvoices[total_invoice_amount])</f>
        <v/>
      </c>
      <c r="D111">
        <f>SUMIFS(tblPayments[payment_amount],tblPayments[invoice_id],A111,tblPayments[payment_status],"Success")</f>
        <v/>
      </c>
      <c r="E111">
        <f>D111-C111</f>
        <v/>
      </c>
      <c r="F111">
        <f>IFS(D111=0,"MISSING_PAYMENT",ABS(E111)&lt;=1,"MATCHED",E111&gt;1,"AMOUNT_MISMATCH",TRUE,"PARTIAL")</f>
        <v/>
      </c>
    </row>
    <row r="112">
      <c r="A112" t="inlineStr">
        <is>
          <t>INV0002961</t>
        </is>
      </c>
      <c r="B112" t="inlineStr">
        <is>
          <t>MER00139</t>
        </is>
      </c>
      <c r="C112">
        <f>XLOOKUP(A112,tblInvoices[invoice_id],tblInvoices[total_invoice_amount])</f>
        <v/>
      </c>
      <c r="D112">
        <f>SUMIFS(tblPayments[payment_amount],tblPayments[invoice_id],A112,tblPayments[payment_status],"Success")</f>
        <v/>
      </c>
      <c r="E112">
        <f>D112-C112</f>
        <v/>
      </c>
      <c r="F112">
        <f>IFS(D112=0,"MISSING_PAYMENT",ABS(E112)&lt;=1,"MATCHED",E112&gt;1,"AMOUNT_MISMATCH",TRUE,"PARTIAL")</f>
        <v/>
      </c>
    </row>
    <row r="113">
      <c r="A113" t="inlineStr">
        <is>
          <t>INV0002962</t>
        </is>
      </c>
      <c r="B113" t="inlineStr">
        <is>
          <t>MER00139</t>
        </is>
      </c>
      <c r="C113">
        <f>XLOOKUP(A113,tblInvoices[invoice_id],tblInvoices[total_invoice_amount])</f>
        <v/>
      </c>
      <c r="D113">
        <f>SUMIFS(tblPayments[payment_amount],tblPayments[invoice_id],A113,tblPayments[payment_status],"Success")</f>
        <v/>
      </c>
      <c r="E113">
        <f>D113-C113</f>
        <v/>
      </c>
      <c r="F113">
        <f>IFS(D113=0,"MISSING_PAYMENT",ABS(E113)&lt;=1,"MATCHED",E113&gt;1,"AMOUNT_MISMATCH",TRUE,"PARTIAL")</f>
        <v/>
      </c>
    </row>
    <row r="114">
      <c r="A114" t="inlineStr">
        <is>
          <t>INV0002963</t>
        </is>
      </c>
      <c r="B114" t="inlineStr">
        <is>
          <t>MER00139</t>
        </is>
      </c>
      <c r="C114">
        <f>XLOOKUP(A114,tblInvoices[invoice_id],tblInvoices[total_invoice_amount])</f>
        <v/>
      </c>
      <c r="D114">
        <f>SUMIFS(tblPayments[payment_amount],tblPayments[invoice_id],A114,tblPayments[payment_status],"Success")</f>
        <v/>
      </c>
      <c r="E114">
        <f>D114-C114</f>
        <v/>
      </c>
      <c r="F114">
        <f>IFS(D114=0,"MISSING_PAYMENT",ABS(E114)&lt;=1,"MATCHED",E114&gt;1,"AMOUNT_MISMATCH",TRUE,"PARTIAL")</f>
        <v/>
      </c>
    </row>
    <row r="115">
      <c r="A115" t="inlineStr">
        <is>
          <t>INV0002964</t>
        </is>
      </c>
      <c r="B115" t="inlineStr">
        <is>
          <t>MER00139</t>
        </is>
      </c>
      <c r="C115">
        <f>XLOOKUP(A115,tblInvoices[invoice_id],tblInvoices[total_invoice_amount])</f>
        <v/>
      </c>
      <c r="D115">
        <f>SUMIFS(tblPayments[payment_amount],tblPayments[invoice_id],A115,tblPayments[payment_status],"Success")</f>
        <v/>
      </c>
      <c r="E115">
        <f>D115-C115</f>
        <v/>
      </c>
      <c r="F115">
        <f>IFS(D115=0,"MISSING_PAYMENT",ABS(E115)&lt;=1,"MATCHED",E115&gt;1,"AMOUNT_MISMATCH",TRUE,"PARTIAL")</f>
        <v/>
      </c>
    </row>
    <row r="116">
      <c r="A116" t="inlineStr">
        <is>
          <t>INV0002965</t>
        </is>
      </c>
      <c r="B116" t="inlineStr">
        <is>
          <t>MER00139</t>
        </is>
      </c>
      <c r="C116">
        <f>XLOOKUP(A116,tblInvoices[invoice_id],tblInvoices[total_invoice_amount])</f>
        <v/>
      </c>
      <c r="D116">
        <f>SUMIFS(tblPayments[payment_amount],tblPayments[invoice_id],A116,tblPayments[payment_status],"Success")</f>
        <v/>
      </c>
      <c r="E116">
        <f>D116-C116</f>
        <v/>
      </c>
      <c r="F116">
        <f>IFS(D116=0,"MISSING_PAYMENT",ABS(E116)&lt;=1,"MATCHED",E116&gt;1,"AMOUNT_MISMATCH",TRUE,"PARTIAL")</f>
        <v/>
      </c>
    </row>
    <row r="117">
      <c r="A117" t="inlineStr">
        <is>
          <t>INV0002966</t>
        </is>
      </c>
      <c r="B117" t="inlineStr">
        <is>
          <t>MER00139</t>
        </is>
      </c>
      <c r="C117">
        <f>XLOOKUP(A117,tblInvoices[invoice_id],tblInvoices[total_invoice_amount])</f>
        <v/>
      </c>
      <c r="D117">
        <f>SUMIFS(tblPayments[payment_amount],tblPayments[invoice_id],A117,tblPayments[payment_status],"Success")</f>
        <v/>
      </c>
      <c r="E117">
        <f>D117-C117</f>
        <v/>
      </c>
      <c r="F117">
        <f>IFS(D117=0,"MISSING_PAYMENT",ABS(E117)&lt;=1,"MATCHED",E117&gt;1,"AMOUNT_MISMATCH",TRUE,"PARTIAL")</f>
        <v/>
      </c>
    </row>
    <row r="118">
      <c r="A118" t="inlineStr">
        <is>
          <t>INV0002967</t>
        </is>
      </c>
      <c r="B118" t="inlineStr">
        <is>
          <t>MER00139</t>
        </is>
      </c>
      <c r="C118">
        <f>XLOOKUP(A118,tblInvoices[invoice_id],tblInvoices[total_invoice_amount])</f>
        <v/>
      </c>
      <c r="D118">
        <f>SUMIFS(tblPayments[payment_amount],tblPayments[invoice_id],A118,tblPayments[payment_status],"Success")</f>
        <v/>
      </c>
      <c r="E118">
        <f>D118-C118</f>
        <v/>
      </c>
      <c r="F118">
        <f>IFS(D118=0,"MISSING_PAYMENT",ABS(E118)&lt;=1,"MATCHED",E118&gt;1,"AMOUNT_MISMATCH",TRUE,"PARTIAL")</f>
        <v/>
      </c>
    </row>
    <row r="119">
      <c r="A119" t="inlineStr">
        <is>
          <t>INV0002968</t>
        </is>
      </c>
      <c r="B119" t="inlineStr">
        <is>
          <t>MER00139</t>
        </is>
      </c>
      <c r="C119">
        <f>XLOOKUP(A119,tblInvoices[invoice_id],tblInvoices[total_invoice_amount])</f>
        <v/>
      </c>
      <c r="D119">
        <f>SUMIFS(tblPayments[payment_amount],tblPayments[invoice_id],A119,tblPayments[payment_status],"Success")</f>
        <v/>
      </c>
      <c r="E119">
        <f>D119-C119</f>
        <v/>
      </c>
      <c r="F119">
        <f>IFS(D119=0,"MISSING_PAYMENT",ABS(E119)&lt;=1,"MATCHED",E119&gt;1,"AMOUNT_MISMATCH",TRUE,"PARTIAL")</f>
        <v/>
      </c>
    </row>
    <row r="120">
      <c r="A120" t="inlineStr">
        <is>
          <t>INV0002969</t>
        </is>
      </c>
      <c r="B120" t="inlineStr">
        <is>
          <t>MER00140</t>
        </is>
      </c>
      <c r="C120">
        <f>XLOOKUP(A120,tblInvoices[invoice_id],tblInvoices[total_invoice_amount])</f>
        <v/>
      </c>
      <c r="D120">
        <f>SUMIFS(tblPayments[payment_amount],tblPayments[invoice_id],A120,tblPayments[payment_status],"Success")</f>
        <v/>
      </c>
      <c r="E120">
        <f>D120-C120</f>
        <v/>
      </c>
      <c r="F120">
        <f>IFS(D120=0,"MISSING_PAYMENT",ABS(E120)&lt;=1,"MATCHED",E120&gt;1,"AMOUNT_MISMATCH",TRUE,"PARTIAL")</f>
        <v/>
      </c>
    </row>
    <row r="121">
      <c r="A121" t="inlineStr">
        <is>
          <t>INV0002970</t>
        </is>
      </c>
      <c r="B121" t="inlineStr">
        <is>
          <t>MER00140</t>
        </is>
      </c>
      <c r="C121">
        <f>XLOOKUP(A121,tblInvoices[invoice_id],tblInvoices[total_invoice_amount])</f>
        <v/>
      </c>
      <c r="D121">
        <f>SUMIFS(tblPayments[payment_amount],tblPayments[invoice_id],A121,tblPayments[payment_status],"Success")</f>
        <v/>
      </c>
      <c r="E121">
        <f>D121-C121</f>
        <v/>
      </c>
      <c r="F121">
        <f>IFS(D121=0,"MISSING_PAYMENT",ABS(E121)&lt;=1,"MATCHED",E121&gt;1,"AMOUNT_MISMATCH",TRUE,"PARTIAL")</f>
        <v/>
      </c>
    </row>
    <row r="122">
      <c r="A122" t="inlineStr">
        <is>
          <t>INV0002971</t>
        </is>
      </c>
      <c r="B122" t="inlineStr">
        <is>
          <t>MER00140</t>
        </is>
      </c>
      <c r="C122">
        <f>XLOOKUP(A122,tblInvoices[invoice_id],tblInvoices[total_invoice_amount])</f>
        <v/>
      </c>
      <c r="D122">
        <f>SUMIFS(tblPayments[payment_amount],tblPayments[invoice_id],A122,tblPayments[payment_status],"Success")</f>
        <v/>
      </c>
      <c r="E122">
        <f>D122-C122</f>
        <v/>
      </c>
      <c r="F122">
        <f>IFS(D122=0,"MISSING_PAYMENT",ABS(E122)&lt;=1,"MATCHED",E122&gt;1,"AMOUNT_MISMATCH",TRUE,"PARTIAL")</f>
        <v/>
      </c>
    </row>
    <row r="123">
      <c r="A123" t="inlineStr">
        <is>
          <t>INV0002972</t>
        </is>
      </c>
      <c r="B123" t="inlineStr">
        <is>
          <t>MER00140</t>
        </is>
      </c>
      <c r="C123">
        <f>XLOOKUP(A123,tblInvoices[invoice_id],tblInvoices[total_invoice_amount])</f>
        <v/>
      </c>
      <c r="D123">
        <f>SUMIFS(tblPayments[payment_amount],tblPayments[invoice_id],A123,tblPayments[payment_status],"Success")</f>
        <v/>
      </c>
      <c r="E123">
        <f>D123-C123</f>
        <v/>
      </c>
      <c r="F123">
        <f>IFS(D123=0,"MISSING_PAYMENT",ABS(E123)&lt;=1,"MATCHED",E123&gt;1,"AMOUNT_MISMATCH",TRUE,"PARTIAL")</f>
        <v/>
      </c>
    </row>
    <row r="124">
      <c r="A124" t="inlineStr">
        <is>
          <t>INV0002973</t>
        </is>
      </c>
      <c r="B124" t="inlineStr">
        <is>
          <t>MER00140</t>
        </is>
      </c>
      <c r="C124">
        <f>XLOOKUP(A124,tblInvoices[invoice_id],tblInvoices[total_invoice_amount])</f>
        <v/>
      </c>
      <c r="D124">
        <f>SUMIFS(tblPayments[payment_amount],tblPayments[invoice_id],A124,tblPayments[payment_status],"Success")</f>
        <v/>
      </c>
      <c r="E124">
        <f>D124-C124</f>
        <v/>
      </c>
      <c r="F124">
        <f>IFS(D124=0,"MISSING_PAYMENT",ABS(E124)&lt;=1,"MATCHED",E124&gt;1,"AMOUNT_MISMATCH",TRUE,"PARTIAL")</f>
        <v/>
      </c>
    </row>
    <row r="125">
      <c r="A125" t="inlineStr">
        <is>
          <t>INV0002974</t>
        </is>
      </c>
      <c r="B125" t="inlineStr">
        <is>
          <t>MER00140</t>
        </is>
      </c>
      <c r="C125">
        <f>XLOOKUP(A125,tblInvoices[invoice_id],tblInvoices[total_invoice_amount])</f>
        <v/>
      </c>
      <c r="D125">
        <f>SUMIFS(tblPayments[payment_amount],tblPayments[invoice_id],A125,tblPayments[payment_status],"Success")</f>
        <v/>
      </c>
      <c r="E125">
        <f>D125-C125</f>
        <v/>
      </c>
      <c r="F125">
        <f>IFS(D125=0,"MISSING_PAYMENT",ABS(E125)&lt;=1,"MATCHED",E125&gt;1,"AMOUNT_MISMATCH",TRUE,"PARTIAL")</f>
        <v/>
      </c>
    </row>
    <row r="126">
      <c r="A126" t="inlineStr">
        <is>
          <t>INV0002975</t>
        </is>
      </c>
      <c r="B126" t="inlineStr">
        <is>
          <t>MER00140</t>
        </is>
      </c>
      <c r="C126">
        <f>XLOOKUP(A126,tblInvoices[invoice_id],tblInvoices[total_invoice_amount])</f>
        <v/>
      </c>
      <c r="D126">
        <f>SUMIFS(tblPayments[payment_amount],tblPayments[invoice_id],A126,tblPayments[payment_status],"Success")</f>
        <v/>
      </c>
      <c r="E126">
        <f>D126-C126</f>
        <v/>
      </c>
      <c r="F126">
        <f>IFS(D126=0,"MISSING_PAYMENT",ABS(E126)&lt;=1,"MATCHED",E126&gt;1,"AMOUNT_MISMATCH",TRUE,"PARTIAL")</f>
        <v/>
      </c>
    </row>
    <row r="127">
      <c r="A127" t="inlineStr">
        <is>
          <t>INV0002976</t>
        </is>
      </c>
      <c r="B127" t="inlineStr">
        <is>
          <t>MER00140</t>
        </is>
      </c>
      <c r="C127">
        <f>XLOOKUP(A127,tblInvoices[invoice_id],tblInvoices[total_invoice_amount])</f>
        <v/>
      </c>
      <c r="D127">
        <f>SUMIFS(tblPayments[payment_amount],tblPayments[invoice_id],A127,tblPayments[payment_status],"Success")</f>
        <v/>
      </c>
      <c r="E127">
        <f>D127-C127</f>
        <v/>
      </c>
      <c r="F127">
        <f>IFS(D127=0,"MISSING_PAYMENT",ABS(E127)&lt;=1,"MATCHED",E127&gt;1,"AMOUNT_MISMATCH",TRUE,"PARTIAL")</f>
        <v/>
      </c>
    </row>
    <row r="128">
      <c r="A128" t="inlineStr">
        <is>
          <t>INV0002977</t>
        </is>
      </c>
      <c r="B128" t="inlineStr">
        <is>
          <t>MER00140</t>
        </is>
      </c>
      <c r="C128">
        <f>XLOOKUP(A128,tblInvoices[invoice_id],tblInvoices[total_invoice_amount])</f>
        <v/>
      </c>
      <c r="D128">
        <f>SUMIFS(tblPayments[payment_amount],tblPayments[invoice_id],A128,tblPayments[payment_status],"Success")</f>
        <v/>
      </c>
      <c r="E128">
        <f>D128-C128</f>
        <v/>
      </c>
      <c r="F128">
        <f>IFS(D128=0,"MISSING_PAYMENT",ABS(E128)&lt;=1,"MATCHED",E128&gt;1,"AMOUNT_MISMATCH",TRUE,"PARTIAL")</f>
        <v/>
      </c>
    </row>
    <row r="129">
      <c r="A129" t="inlineStr">
        <is>
          <t>INV0002978</t>
        </is>
      </c>
      <c r="B129" t="inlineStr">
        <is>
          <t>MER00140</t>
        </is>
      </c>
      <c r="C129">
        <f>XLOOKUP(A129,tblInvoices[invoice_id],tblInvoices[total_invoice_amount])</f>
        <v/>
      </c>
      <c r="D129">
        <f>SUMIFS(tblPayments[payment_amount],tblPayments[invoice_id],A129,tblPayments[payment_status],"Success")</f>
        <v/>
      </c>
      <c r="E129">
        <f>D129-C129</f>
        <v/>
      </c>
      <c r="F129">
        <f>IFS(D129=0,"MISSING_PAYMENT",ABS(E129)&lt;=1,"MATCHED",E129&gt;1,"AMOUNT_MISMATCH",TRUE,"PARTIAL")</f>
        <v/>
      </c>
    </row>
    <row r="130">
      <c r="A130" t="inlineStr">
        <is>
          <t>INV0002979</t>
        </is>
      </c>
      <c r="B130" t="inlineStr">
        <is>
          <t>MER00140</t>
        </is>
      </c>
      <c r="C130">
        <f>XLOOKUP(A130,tblInvoices[invoice_id],tblInvoices[total_invoice_amount])</f>
        <v/>
      </c>
      <c r="D130">
        <f>SUMIFS(tblPayments[payment_amount],tblPayments[invoice_id],A130,tblPayments[payment_status],"Success")</f>
        <v/>
      </c>
      <c r="E130">
        <f>D130-C130</f>
        <v/>
      </c>
      <c r="F130">
        <f>IFS(D130=0,"MISSING_PAYMENT",ABS(E130)&lt;=1,"MATCHED",E130&gt;1,"AMOUNT_MISMATCH",TRUE,"PARTIAL")</f>
        <v/>
      </c>
    </row>
    <row r="131">
      <c r="A131" t="inlineStr">
        <is>
          <t>INV0002980</t>
        </is>
      </c>
      <c r="B131" t="inlineStr">
        <is>
          <t>MER00140</t>
        </is>
      </c>
      <c r="C131">
        <f>XLOOKUP(A131,tblInvoices[invoice_id],tblInvoices[total_invoice_amount])</f>
        <v/>
      </c>
      <c r="D131">
        <f>SUMIFS(tblPayments[payment_amount],tblPayments[invoice_id],A131,tblPayments[payment_status],"Success")</f>
        <v/>
      </c>
      <c r="E131">
        <f>D131-C131</f>
        <v/>
      </c>
      <c r="F131">
        <f>IFS(D131=0,"MISSING_PAYMENT",ABS(E131)&lt;=1,"MATCHED",E131&gt;1,"AMOUNT_MISMATCH",TRUE,"PARTIAL")</f>
        <v/>
      </c>
    </row>
    <row r="132">
      <c r="A132" t="inlineStr">
        <is>
          <t>INV0002981</t>
        </is>
      </c>
      <c r="B132" t="inlineStr">
        <is>
          <t>MER00140</t>
        </is>
      </c>
      <c r="C132">
        <f>XLOOKUP(A132,tblInvoices[invoice_id],tblInvoices[total_invoice_amount])</f>
        <v/>
      </c>
      <c r="D132">
        <f>SUMIFS(tblPayments[payment_amount],tblPayments[invoice_id],A132,tblPayments[payment_status],"Success")</f>
        <v/>
      </c>
      <c r="E132">
        <f>D132-C132</f>
        <v/>
      </c>
      <c r="F132">
        <f>IFS(D132=0,"MISSING_PAYMENT",ABS(E132)&lt;=1,"MATCHED",E132&gt;1,"AMOUNT_MISMATCH",TRUE,"PARTIAL")</f>
        <v/>
      </c>
    </row>
    <row r="133">
      <c r="A133" t="inlineStr">
        <is>
          <t>INV0002982</t>
        </is>
      </c>
      <c r="B133" t="inlineStr">
        <is>
          <t>MER00140</t>
        </is>
      </c>
      <c r="C133">
        <f>XLOOKUP(A133,tblInvoices[invoice_id],tblInvoices[total_invoice_amount])</f>
        <v/>
      </c>
      <c r="D133">
        <f>SUMIFS(tblPayments[payment_amount],tblPayments[invoice_id],A133,tblPayments[payment_status],"Success")</f>
        <v/>
      </c>
      <c r="E133">
        <f>D133-C133</f>
        <v/>
      </c>
      <c r="F133">
        <f>IFS(D133=0,"MISSING_PAYMENT",ABS(E133)&lt;=1,"MATCHED",E133&gt;1,"AMOUNT_MISMATCH",TRUE,"PARTIAL")</f>
        <v/>
      </c>
    </row>
    <row r="134">
      <c r="A134" t="inlineStr">
        <is>
          <t>INV0002983</t>
        </is>
      </c>
      <c r="B134" t="inlineStr">
        <is>
          <t>MER00140</t>
        </is>
      </c>
      <c r="C134">
        <f>XLOOKUP(A134,tblInvoices[invoice_id],tblInvoices[total_invoice_amount])</f>
        <v/>
      </c>
      <c r="D134">
        <f>SUMIFS(tblPayments[payment_amount],tblPayments[invoice_id],A134,tblPayments[payment_status],"Success")</f>
        <v/>
      </c>
      <c r="E134">
        <f>D134-C134</f>
        <v/>
      </c>
      <c r="F134">
        <f>IFS(D134=0,"MISSING_PAYMENT",ABS(E134)&lt;=1,"MATCHED",E134&gt;1,"AMOUNT_MISMATCH",TRUE,"PARTIAL")</f>
        <v/>
      </c>
    </row>
    <row r="135">
      <c r="A135" t="inlineStr">
        <is>
          <t>INV0002984</t>
        </is>
      </c>
      <c r="B135" t="inlineStr">
        <is>
          <t>MER00140</t>
        </is>
      </c>
      <c r="C135">
        <f>XLOOKUP(A135,tblInvoices[invoice_id],tblInvoices[total_invoice_amount])</f>
        <v/>
      </c>
      <c r="D135">
        <f>SUMIFS(tblPayments[payment_amount],tblPayments[invoice_id],A135,tblPayments[payment_status],"Success")</f>
        <v/>
      </c>
      <c r="E135">
        <f>D135-C135</f>
        <v/>
      </c>
      <c r="F135">
        <f>IFS(D135=0,"MISSING_PAYMENT",ABS(E135)&lt;=1,"MATCHED",E135&gt;1,"AMOUNT_MISMATCH",TRUE,"PARTIAL")</f>
        <v/>
      </c>
    </row>
    <row r="136">
      <c r="A136" t="inlineStr">
        <is>
          <t>INV0002985</t>
        </is>
      </c>
      <c r="B136" t="inlineStr">
        <is>
          <t>MER00140</t>
        </is>
      </c>
      <c r="C136">
        <f>XLOOKUP(A136,tblInvoices[invoice_id],tblInvoices[total_invoice_amount])</f>
        <v/>
      </c>
      <c r="D136">
        <f>SUMIFS(tblPayments[payment_amount],tblPayments[invoice_id],A136,tblPayments[payment_status],"Success")</f>
        <v/>
      </c>
      <c r="E136">
        <f>D136-C136</f>
        <v/>
      </c>
      <c r="F136">
        <f>IFS(D136=0,"MISSING_PAYMENT",ABS(E136)&lt;=1,"MATCHED",E136&gt;1,"AMOUNT_MISMATCH",TRUE,"PARTIAL")</f>
        <v/>
      </c>
    </row>
    <row r="137">
      <c r="A137" t="inlineStr">
        <is>
          <t>INV0002986</t>
        </is>
      </c>
      <c r="B137" t="inlineStr">
        <is>
          <t>MER00140</t>
        </is>
      </c>
      <c r="C137">
        <f>XLOOKUP(A137,tblInvoices[invoice_id],tblInvoices[total_invoice_amount])</f>
        <v/>
      </c>
      <c r="D137">
        <f>SUMIFS(tblPayments[payment_amount],tblPayments[invoice_id],A137,tblPayments[payment_status],"Success")</f>
        <v/>
      </c>
      <c r="E137">
        <f>D137-C137</f>
        <v/>
      </c>
      <c r="F137">
        <f>IFS(D137=0,"MISSING_PAYMENT",ABS(E137)&lt;=1,"MATCHED",E137&gt;1,"AMOUNT_MISMATCH",TRUE,"PARTIAL")</f>
        <v/>
      </c>
    </row>
    <row r="138">
      <c r="A138" t="inlineStr">
        <is>
          <t>INV0002987</t>
        </is>
      </c>
      <c r="B138" t="inlineStr">
        <is>
          <t>MER00140</t>
        </is>
      </c>
      <c r="C138">
        <f>XLOOKUP(A138,tblInvoices[invoice_id],tblInvoices[total_invoice_amount])</f>
        <v/>
      </c>
      <c r="D138">
        <f>SUMIFS(tblPayments[payment_amount],tblPayments[invoice_id],A138,tblPayments[payment_status],"Success")</f>
        <v/>
      </c>
      <c r="E138">
        <f>D138-C138</f>
        <v/>
      </c>
      <c r="F138">
        <f>IFS(D138=0,"MISSING_PAYMENT",ABS(E138)&lt;=1,"MATCHED",E138&gt;1,"AMOUNT_MISMATCH",TRUE,"PARTIAL")</f>
        <v/>
      </c>
    </row>
    <row r="139">
      <c r="A139" t="inlineStr">
        <is>
          <t>INV0002988</t>
        </is>
      </c>
      <c r="B139" t="inlineStr">
        <is>
          <t>MER00140</t>
        </is>
      </c>
      <c r="C139">
        <f>XLOOKUP(A139,tblInvoices[invoice_id],tblInvoices[total_invoice_amount])</f>
        <v/>
      </c>
      <c r="D139">
        <f>SUMIFS(tblPayments[payment_amount],tblPayments[invoice_id],A139,tblPayments[payment_status],"Success")</f>
        <v/>
      </c>
      <c r="E139">
        <f>D139-C139</f>
        <v/>
      </c>
      <c r="F139">
        <f>IFS(D139=0,"MISSING_PAYMENT",ABS(E139)&lt;=1,"MATCHED",E139&gt;1,"AMOUNT_MISMATCH",TRUE,"PARTIAL")</f>
        <v/>
      </c>
    </row>
    <row r="140">
      <c r="A140" t="inlineStr">
        <is>
          <t>INV0002989</t>
        </is>
      </c>
      <c r="B140" t="inlineStr">
        <is>
          <t>MER00140</t>
        </is>
      </c>
      <c r="C140">
        <f>XLOOKUP(A140,tblInvoices[invoice_id],tblInvoices[total_invoice_amount])</f>
        <v/>
      </c>
      <c r="D140">
        <f>SUMIFS(tblPayments[payment_amount],tblPayments[invoice_id],A140,tblPayments[payment_status],"Success")</f>
        <v/>
      </c>
      <c r="E140">
        <f>D140-C140</f>
        <v/>
      </c>
      <c r="F140">
        <f>IFS(D140=0,"MISSING_PAYMENT",ABS(E140)&lt;=1,"MATCHED",E140&gt;1,"AMOUNT_MISMATCH",TRUE,"PARTIAL")</f>
        <v/>
      </c>
    </row>
    <row r="141">
      <c r="A141" t="inlineStr">
        <is>
          <t>INV0002990</t>
        </is>
      </c>
      <c r="B141" t="inlineStr">
        <is>
          <t>MER00140</t>
        </is>
      </c>
      <c r="C141">
        <f>XLOOKUP(A141,tblInvoices[invoice_id],tblInvoices[total_invoice_amount])</f>
        <v/>
      </c>
      <c r="D141">
        <f>SUMIFS(tblPayments[payment_amount],tblPayments[invoice_id],A141,tblPayments[payment_status],"Success")</f>
        <v/>
      </c>
      <c r="E141">
        <f>D141-C141</f>
        <v/>
      </c>
      <c r="F141">
        <f>IFS(D141=0,"MISSING_PAYMENT",ABS(E141)&lt;=1,"MATCHED",E141&gt;1,"AMOUNT_MISMATCH",TRUE,"PARTIAL")</f>
        <v/>
      </c>
    </row>
    <row r="142">
      <c r="A142" t="inlineStr">
        <is>
          <t>INV0002991</t>
        </is>
      </c>
      <c r="B142" t="inlineStr">
        <is>
          <t>MER00140</t>
        </is>
      </c>
      <c r="C142">
        <f>XLOOKUP(A142,tblInvoices[invoice_id],tblInvoices[total_invoice_amount])</f>
        <v/>
      </c>
      <c r="D142">
        <f>SUMIFS(tblPayments[payment_amount],tblPayments[invoice_id],A142,tblPayments[payment_status],"Success")</f>
        <v/>
      </c>
      <c r="E142">
        <f>D142-C142</f>
        <v/>
      </c>
      <c r="F142">
        <f>IFS(D142=0,"MISSING_PAYMENT",ABS(E142)&lt;=1,"MATCHED",E142&gt;1,"AMOUNT_MISMATCH",TRUE,"PARTIAL")</f>
        <v/>
      </c>
    </row>
    <row r="143">
      <c r="A143" t="inlineStr">
        <is>
          <t>INV0003305</t>
        </is>
      </c>
      <c r="B143" t="inlineStr">
        <is>
          <t>MER00156</t>
        </is>
      </c>
      <c r="C143">
        <f>XLOOKUP(A143,tblInvoices[invoice_id],tblInvoices[total_invoice_amount])</f>
        <v/>
      </c>
      <c r="D143">
        <f>SUMIFS(tblPayments[payment_amount],tblPayments[invoice_id],A143,tblPayments[payment_status],"Success")</f>
        <v/>
      </c>
      <c r="E143">
        <f>D143-C143</f>
        <v/>
      </c>
      <c r="F143">
        <f>IFS(D143=0,"MISSING_PAYMENT",ABS(E143)&lt;=1,"MATCHED",E143&gt;1,"AMOUNT_MISMATCH",TRUE,"PARTIAL")</f>
        <v/>
      </c>
    </row>
    <row r="144">
      <c r="A144" t="inlineStr">
        <is>
          <t>INV0003306</t>
        </is>
      </c>
      <c r="B144" t="inlineStr">
        <is>
          <t>MER00156</t>
        </is>
      </c>
      <c r="C144">
        <f>XLOOKUP(A144,tblInvoices[invoice_id],tblInvoices[total_invoice_amount])</f>
        <v/>
      </c>
      <c r="D144">
        <f>SUMIFS(tblPayments[payment_amount],tblPayments[invoice_id],A144,tblPayments[payment_status],"Success")</f>
        <v/>
      </c>
      <c r="E144">
        <f>D144-C144</f>
        <v/>
      </c>
      <c r="F144">
        <f>IFS(D144=0,"MISSING_PAYMENT",ABS(E144)&lt;=1,"MATCHED",E144&gt;1,"AMOUNT_MISMATCH",TRUE,"PARTIAL")</f>
        <v/>
      </c>
    </row>
    <row r="145">
      <c r="A145" t="inlineStr">
        <is>
          <t>INV0003307</t>
        </is>
      </c>
      <c r="B145" t="inlineStr">
        <is>
          <t>MER00156</t>
        </is>
      </c>
      <c r="C145">
        <f>XLOOKUP(A145,tblInvoices[invoice_id],tblInvoices[total_invoice_amount])</f>
        <v/>
      </c>
      <c r="D145">
        <f>SUMIFS(tblPayments[payment_amount],tblPayments[invoice_id],A145,tblPayments[payment_status],"Success")</f>
        <v/>
      </c>
      <c r="E145">
        <f>D145-C145</f>
        <v/>
      </c>
      <c r="F145">
        <f>IFS(D145=0,"MISSING_PAYMENT",ABS(E145)&lt;=1,"MATCHED",E145&gt;1,"AMOUNT_MISMATCH",TRUE,"PARTIAL")</f>
        <v/>
      </c>
    </row>
    <row r="146">
      <c r="A146" t="inlineStr">
        <is>
          <t>INV0003308</t>
        </is>
      </c>
      <c r="B146" t="inlineStr">
        <is>
          <t>MER00156</t>
        </is>
      </c>
      <c r="C146">
        <f>XLOOKUP(A146,tblInvoices[invoice_id],tblInvoices[total_invoice_amount])</f>
        <v/>
      </c>
      <c r="D146">
        <f>SUMIFS(tblPayments[payment_amount],tblPayments[invoice_id],A146,tblPayments[payment_status],"Success")</f>
        <v/>
      </c>
      <c r="E146">
        <f>D146-C146</f>
        <v/>
      </c>
      <c r="F146">
        <f>IFS(D146=0,"MISSING_PAYMENT",ABS(E146)&lt;=1,"MATCHED",E146&gt;1,"AMOUNT_MISMATCH",TRUE,"PARTIAL")</f>
        <v/>
      </c>
    </row>
    <row r="147">
      <c r="A147" t="inlineStr">
        <is>
          <t>INV0003309</t>
        </is>
      </c>
      <c r="B147" t="inlineStr">
        <is>
          <t>MER00156</t>
        </is>
      </c>
      <c r="C147">
        <f>XLOOKUP(A147,tblInvoices[invoice_id],tblInvoices[total_invoice_amount])</f>
        <v/>
      </c>
      <c r="D147">
        <f>SUMIFS(tblPayments[payment_amount],tblPayments[invoice_id],A147,tblPayments[payment_status],"Success")</f>
        <v/>
      </c>
      <c r="E147">
        <f>D147-C147</f>
        <v/>
      </c>
      <c r="F147">
        <f>IFS(D147=0,"MISSING_PAYMENT",ABS(E147)&lt;=1,"MATCHED",E147&gt;1,"AMOUNT_MISMATCH",TRUE,"PARTIAL")</f>
        <v/>
      </c>
    </row>
    <row r="148">
      <c r="A148" t="inlineStr">
        <is>
          <t>INV0003310</t>
        </is>
      </c>
      <c r="B148" t="inlineStr">
        <is>
          <t>MER00156</t>
        </is>
      </c>
      <c r="C148">
        <f>XLOOKUP(A148,tblInvoices[invoice_id],tblInvoices[total_invoice_amount])</f>
        <v/>
      </c>
      <c r="D148">
        <f>SUMIFS(tblPayments[payment_amount],tblPayments[invoice_id],A148,tblPayments[payment_status],"Success")</f>
        <v/>
      </c>
      <c r="E148">
        <f>D148-C148</f>
        <v/>
      </c>
      <c r="F148">
        <f>IFS(D148=0,"MISSING_PAYMENT",ABS(E148)&lt;=1,"MATCHED",E148&gt;1,"AMOUNT_MISMATCH",TRUE,"PARTIAL")</f>
        <v/>
      </c>
    </row>
    <row r="149">
      <c r="A149" t="inlineStr">
        <is>
          <t>INV0003311</t>
        </is>
      </c>
      <c r="B149" t="inlineStr">
        <is>
          <t>MER00156</t>
        </is>
      </c>
      <c r="C149">
        <f>XLOOKUP(A149,tblInvoices[invoice_id],tblInvoices[total_invoice_amount])</f>
        <v/>
      </c>
      <c r="D149">
        <f>SUMIFS(tblPayments[payment_amount],tblPayments[invoice_id],A149,tblPayments[payment_status],"Success")</f>
        <v/>
      </c>
      <c r="E149">
        <f>D149-C149</f>
        <v/>
      </c>
      <c r="F149">
        <f>IFS(D149=0,"MISSING_PAYMENT",ABS(E149)&lt;=1,"MATCHED",E149&gt;1,"AMOUNT_MISMATCH",TRUE,"PARTIAL")</f>
        <v/>
      </c>
    </row>
    <row r="150">
      <c r="A150" t="inlineStr">
        <is>
          <t>INV0003312</t>
        </is>
      </c>
      <c r="B150" t="inlineStr">
        <is>
          <t>MER00156</t>
        </is>
      </c>
      <c r="C150">
        <f>XLOOKUP(A150,tblInvoices[invoice_id],tblInvoices[total_invoice_amount])</f>
        <v/>
      </c>
      <c r="D150">
        <f>SUMIFS(tblPayments[payment_amount],tblPayments[invoice_id],A150,tblPayments[payment_status],"Success")</f>
        <v/>
      </c>
      <c r="E150">
        <f>D150-C150</f>
        <v/>
      </c>
      <c r="F150">
        <f>IFS(D150=0,"MISSING_PAYMENT",ABS(E150)&lt;=1,"MATCHED",E150&gt;1,"AMOUNT_MISMATCH",TRUE,"PARTIAL")</f>
        <v/>
      </c>
    </row>
    <row r="151">
      <c r="A151" t="inlineStr">
        <is>
          <t>INV0003313</t>
        </is>
      </c>
      <c r="B151" t="inlineStr">
        <is>
          <t>MER00156</t>
        </is>
      </c>
      <c r="C151">
        <f>XLOOKUP(A151,tblInvoices[invoice_id],tblInvoices[total_invoice_amount])</f>
        <v/>
      </c>
      <c r="D151">
        <f>SUMIFS(tblPayments[payment_amount],tblPayments[invoice_id],A151,tblPayments[payment_status],"Success")</f>
        <v/>
      </c>
      <c r="E151">
        <f>D151-C151</f>
        <v/>
      </c>
      <c r="F151">
        <f>IFS(D151=0,"MISSING_PAYMENT",ABS(E151)&lt;=1,"MATCHED",E151&gt;1,"AMOUNT_MISMATCH",TRUE,"PARTIAL")</f>
        <v/>
      </c>
    </row>
    <row r="152">
      <c r="A152" t="inlineStr">
        <is>
          <t>INV0003314</t>
        </is>
      </c>
      <c r="B152" t="inlineStr">
        <is>
          <t>MER00156</t>
        </is>
      </c>
      <c r="C152">
        <f>XLOOKUP(A152,tblInvoices[invoice_id],tblInvoices[total_invoice_amount])</f>
        <v/>
      </c>
      <c r="D152">
        <f>SUMIFS(tblPayments[payment_amount],tblPayments[invoice_id],A152,tblPayments[payment_status],"Success")</f>
        <v/>
      </c>
      <c r="E152">
        <f>D152-C152</f>
        <v/>
      </c>
      <c r="F152">
        <f>IFS(D152=0,"MISSING_PAYMENT",ABS(E152)&lt;=1,"MATCHED",E152&gt;1,"AMOUNT_MISMATCH",TRUE,"PARTIAL")</f>
        <v/>
      </c>
    </row>
    <row r="153">
      <c r="A153" t="inlineStr">
        <is>
          <t>INV0003315</t>
        </is>
      </c>
      <c r="B153" t="inlineStr">
        <is>
          <t>MER00156</t>
        </is>
      </c>
      <c r="C153">
        <f>XLOOKUP(A153,tblInvoices[invoice_id],tblInvoices[total_invoice_amount])</f>
        <v/>
      </c>
      <c r="D153">
        <f>SUMIFS(tblPayments[payment_amount],tblPayments[invoice_id],A153,tblPayments[payment_status],"Success")</f>
        <v/>
      </c>
      <c r="E153">
        <f>D153-C153</f>
        <v/>
      </c>
      <c r="F153">
        <f>IFS(D153=0,"MISSING_PAYMENT",ABS(E153)&lt;=1,"MATCHED",E153&gt;1,"AMOUNT_MISMATCH",TRUE,"PARTIAL")</f>
        <v/>
      </c>
    </row>
    <row r="154">
      <c r="A154" t="inlineStr">
        <is>
          <t>INV0003316</t>
        </is>
      </c>
      <c r="B154" t="inlineStr">
        <is>
          <t>MER00156</t>
        </is>
      </c>
      <c r="C154">
        <f>XLOOKUP(A154,tblInvoices[invoice_id],tblInvoices[total_invoice_amount])</f>
        <v/>
      </c>
      <c r="D154">
        <f>SUMIFS(tblPayments[payment_amount],tblPayments[invoice_id],A154,tblPayments[payment_status],"Success")</f>
        <v/>
      </c>
      <c r="E154">
        <f>D154-C154</f>
        <v/>
      </c>
      <c r="F154">
        <f>IFS(D154=0,"MISSING_PAYMENT",ABS(E154)&lt;=1,"MATCHED",E154&gt;1,"AMOUNT_MISMATCH",TRUE,"PARTIAL")</f>
        <v/>
      </c>
    </row>
    <row r="155">
      <c r="A155" t="inlineStr">
        <is>
          <t>INV0003317</t>
        </is>
      </c>
      <c r="B155" t="inlineStr">
        <is>
          <t>MER00156</t>
        </is>
      </c>
      <c r="C155">
        <f>XLOOKUP(A155,tblInvoices[invoice_id],tblInvoices[total_invoice_amount])</f>
        <v/>
      </c>
      <c r="D155">
        <f>SUMIFS(tblPayments[payment_amount],tblPayments[invoice_id],A155,tblPayments[payment_status],"Success")</f>
        <v/>
      </c>
      <c r="E155">
        <f>D155-C155</f>
        <v/>
      </c>
      <c r="F155">
        <f>IFS(D155=0,"MISSING_PAYMENT",ABS(E155)&lt;=1,"MATCHED",E155&gt;1,"AMOUNT_MISMATCH",TRUE,"PARTIAL")</f>
        <v/>
      </c>
    </row>
    <row r="156">
      <c r="A156" t="inlineStr">
        <is>
          <t>INV0003318</t>
        </is>
      </c>
      <c r="B156" t="inlineStr">
        <is>
          <t>MER00156</t>
        </is>
      </c>
      <c r="C156">
        <f>XLOOKUP(A156,tblInvoices[invoice_id],tblInvoices[total_invoice_amount])</f>
        <v/>
      </c>
      <c r="D156">
        <f>SUMIFS(tblPayments[payment_amount],tblPayments[invoice_id],A156,tblPayments[payment_status],"Success")</f>
        <v/>
      </c>
      <c r="E156">
        <f>D156-C156</f>
        <v/>
      </c>
      <c r="F156">
        <f>IFS(D156=0,"MISSING_PAYMENT",ABS(E156)&lt;=1,"MATCHED",E156&gt;1,"AMOUNT_MISMATCH",TRUE,"PARTIAL")</f>
        <v/>
      </c>
    </row>
    <row r="157">
      <c r="A157" t="inlineStr">
        <is>
          <t>INV0003319</t>
        </is>
      </c>
      <c r="B157" t="inlineStr">
        <is>
          <t>MER00156</t>
        </is>
      </c>
      <c r="C157">
        <f>XLOOKUP(A157,tblInvoices[invoice_id],tblInvoices[total_invoice_amount])</f>
        <v/>
      </c>
      <c r="D157">
        <f>SUMIFS(tblPayments[payment_amount],tblPayments[invoice_id],A157,tblPayments[payment_status],"Success")</f>
        <v/>
      </c>
      <c r="E157">
        <f>D157-C157</f>
        <v/>
      </c>
      <c r="F157">
        <f>IFS(D157=0,"MISSING_PAYMENT",ABS(E157)&lt;=1,"MATCHED",E157&gt;1,"AMOUNT_MISMATCH",TRUE,"PARTIAL")</f>
        <v/>
      </c>
    </row>
    <row r="158">
      <c r="A158" t="inlineStr">
        <is>
          <t>INV0003320</t>
        </is>
      </c>
      <c r="B158" t="inlineStr">
        <is>
          <t>MER00156</t>
        </is>
      </c>
      <c r="C158">
        <f>XLOOKUP(A158,tblInvoices[invoice_id],tblInvoices[total_invoice_amount])</f>
        <v/>
      </c>
      <c r="D158">
        <f>SUMIFS(tblPayments[payment_amount],tblPayments[invoice_id],A158,tblPayments[payment_status],"Success")</f>
        <v/>
      </c>
      <c r="E158">
        <f>D158-C158</f>
        <v/>
      </c>
      <c r="F158">
        <f>IFS(D158=0,"MISSING_PAYMENT",ABS(E158)&lt;=1,"MATCHED",E158&gt;1,"AMOUNT_MISMATCH",TRUE,"PARTIAL")</f>
        <v/>
      </c>
    </row>
    <row r="159">
      <c r="A159" t="inlineStr">
        <is>
          <t>INV0003321</t>
        </is>
      </c>
      <c r="B159" t="inlineStr">
        <is>
          <t>MER00156</t>
        </is>
      </c>
      <c r="C159">
        <f>XLOOKUP(A159,tblInvoices[invoice_id],tblInvoices[total_invoice_amount])</f>
        <v/>
      </c>
      <c r="D159">
        <f>SUMIFS(tblPayments[payment_amount],tblPayments[invoice_id],A159,tblPayments[payment_status],"Success")</f>
        <v/>
      </c>
      <c r="E159">
        <f>D159-C159</f>
        <v/>
      </c>
      <c r="F159">
        <f>IFS(D159=0,"MISSING_PAYMENT",ABS(E159)&lt;=1,"MATCHED",E159&gt;1,"AMOUNT_MISMATCH",TRUE,"PARTIAL")</f>
        <v/>
      </c>
    </row>
    <row r="160">
      <c r="A160" t="inlineStr">
        <is>
          <t>INV0003322</t>
        </is>
      </c>
      <c r="B160" t="inlineStr">
        <is>
          <t>MER00156</t>
        </is>
      </c>
      <c r="C160">
        <f>XLOOKUP(A160,tblInvoices[invoice_id],tblInvoices[total_invoice_amount])</f>
        <v/>
      </c>
      <c r="D160">
        <f>SUMIFS(tblPayments[payment_amount],tblPayments[invoice_id],A160,tblPayments[payment_status],"Success")</f>
        <v/>
      </c>
      <c r="E160">
        <f>D160-C160</f>
        <v/>
      </c>
      <c r="F160">
        <f>IFS(D160=0,"MISSING_PAYMENT",ABS(E160)&lt;=1,"MATCHED",E160&gt;1,"AMOUNT_MISMATCH",TRUE,"PARTIAL")</f>
        <v/>
      </c>
    </row>
    <row r="161">
      <c r="A161" t="inlineStr">
        <is>
          <t>INV0003323</t>
        </is>
      </c>
      <c r="B161" t="inlineStr">
        <is>
          <t>MER00156</t>
        </is>
      </c>
      <c r="C161">
        <f>XLOOKUP(A161,tblInvoices[invoice_id],tblInvoices[total_invoice_amount])</f>
        <v/>
      </c>
      <c r="D161">
        <f>SUMIFS(tblPayments[payment_amount],tblPayments[invoice_id],A161,tblPayments[payment_status],"Success")</f>
        <v/>
      </c>
      <c r="E161">
        <f>D161-C161</f>
        <v/>
      </c>
      <c r="F161">
        <f>IFS(D161=0,"MISSING_PAYMENT",ABS(E161)&lt;=1,"MATCHED",E161&gt;1,"AMOUNT_MISMATCH",TRUE,"PARTIAL")</f>
        <v/>
      </c>
    </row>
    <row r="162">
      <c r="A162" t="inlineStr">
        <is>
          <t>INV0003903</t>
        </is>
      </c>
      <c r="B162" t="inlineStr">
        <is>
          <t>MER00184</t>
        </is>
      </c>
      <c r="C162">
        <f>XLOOKUP(A162,tblInvoices[invoice_id],tblInvoices[total_invoice_amount])</f>
        <v/>
      </c>
      <c r="D162">
        <f>SUMIFS(tblPayments[payment_amount],tblPayments[invoice_id],A162,tblPayments[payment_status],"Success")</f>
        <v/>
      </c>
      <c r="E162">
        <f>D162-C162</f>
        <v/>
      </c>
      <c r="F162">
        <f>IFS(D162=0,"MISSING_PAYMENT",ABS(E162)&lt;=1,"MATCHED",E162&gt;1,"AMOUNT_MISMATCH",TRUE,"PARTIAL")</f>
        <v/>
      </c>
    </row>
    <row r="163">
      <c r="A163" t="inlineStr">
        <is>
          <t>INV0003904</t>
        </is>
      </c>
      <c r="B163" t="inlineStr">
        <is>
          <t>MER00184</t>
        </is>
      </c>
      <c r="C163">
        <f>XLOOKUP(A163,tblInvoices[invoice_id],tblInvoices[total_invoice_amount])</f>
        <v/>
      </c>
      <c r="D163">
        <f>SUMIFS(tblPayments[payment_amount],tblPayments[invoice_id],A163,tblPayments[payment_status],"Success")</f>
        <v/>
      </c>
      <c r="E163">
        <f>D163-C163</f>
        <v/>
      </c>
      <c r="F163">
        <f>IFS(D163=0,"MISSING_PAYMENT",ABS(E163)&lt;=1,"MATCHED",E163&gt;1,"AMOUNT_MISMATCH",TRUE,"PARTIAL")</f>
        <v/>
      </c>
    </row>
    <row r="164">
      <c r="A164" t="inlineStr">
        <is>
          <t>INV0003905</t>
        </is>
      </c>
      <c r="B164" t="inlineStr">
        <is>
          <t>MER00184</t>
        </is>
      </c>
      <c r="C164">
        <f>XLOOKUP(A164,tblInvoices[invoice_id],tblInvoices[total_invoice_amount])</f>
        <v/>
      </c>
      <c r="D164">
        <f>SUMIFS(tblPayments[payment_amount],tblPayments[invoice_id],A164,tblPayments[payment_status],"Success")</f>
        <v/>
      </c>
      <c r="E164">
        <f>D164-C164</f>
        <v/>
      </c>
      <c r="F164">
        <f>IFS(D164=0,"MISSING_PAYMENT",ABS(E164)&lt;=1,"MATCHED",E164&gt;1,"AMOUNT_MISMATCH",TRUE,"PARTIAL")</f>
        <v/>
      </c>
    </row>
    <row r="165">
      <c r="A165" t="inlineStr">
        <is>
          <t>INV0003906</t>
        </is>
      </c>
      <c r="B165" t="inlineStr">
        <is>
          <t>MER00184</t>
        </is>
      </c>
      <c r="C165">
        <f>XLOOKUP(A165,tblInvoices[invoice_id],tblInvoices[total_invoice_amount])</f>
        <v/>
      </c>
      <c r="D165">
        <f>SUMIFS(tblPayments[payment_amount],tblPayments[invoice_id],A165,tblPayments[payment_status],"Success")</f>
        <v/>
      </c>
      <c r="E165">
        <f>D165-C165</f>
        <v/>
      </c>
      <c r="F165">
        <f>IFS(D165=0,"MISSING_PAYMENT",ABS(E165)&lt;=1,"MATCHED",E165&gt;1,"AMOUNT_MISMATCH",TRUE,"PARTIAL")</f>
        <v/>
      </c>
    </row>
    <row r="166">
      <c r="A166" t="inlineStr">
        <is>
          <t>INV0003907</t>
        </is>
      </c>
      <c r="B166" t="inlineStr">
        <is>
          <t>MER00184</t>
        </is>
      </c>
      <c r="C166">
        <f>XLOOKUP(A166,tblInvoices[invoice_id],tblInvoices[total_invoice_amount])</f>
        <v/>
      </c>
      <c r="D166">
        <f>SUMIFS(tblPayments[payment_amount],tblPayments[invoice_id],A166,tblPayments[payment_status],"Success")</f>
        <v/>
      </c>
      <c r="E166">
        <f>D166-C166</f>
        <v/>
      </c>
      <c r="F166">
        <f>IFS(D166=0,"MISSING_PAYMENT",ABS(E166)&lt;=1,"MATCHED",E166&gt;1,"AMOUNT_MISMATCH",TRUE,"PARTIAL")</f>
        <v/>
      </c>
    </row>
    <row r="167">
      <c r="A167" t="inlineStr">
        <is>
          <t>INV0003908</t>
        </is>
      </c>
      <c r="B167" t="inlineStr">
        <is>
          <t>MER00184</t>
        </is>
      </c>
      <c r="C167">
        <f>XLOOKUP(A167,tblInvoices[invoice_id],tblInvoices[total_invoice_amount])</f>
        <v/>
      </c>
      <c r="D167">
        <f>SUMIFS(tblPayments[payment_amount],tblPayments[invoice_id],A167,tblPayments[payment_status],"Success")</f>
        <v/>
      </c>
      <c r="E167">
        <f>D167-C167</f>
        <v/>
      </c>
      <c r="F167">
        <f>IFS(D167=0,"MISSING_PAYMENT",ABS(E167)&lt;=1,"MATCHED",E167&gt;1,"AMOUNT_MISMATCH",TRUE,"PARTIAL")</f>
        <v/>
      </c>
    </row>
    <row r="168">
      <c r="A168" t="inlineStr">
        <is>
          <t>INV0003909</t>
        </is>
      </c>
      <c r="B168" t="inlineStr">
        <is>
          <t>MER00184</t>
        </is>
      </c>
      <c r="C168">
        <f>XLOOKUP(A168,tblInvoices[invoice_id],tblInvoices[total_invoice_amount])</f>
        <v/>
      </c>
      <c r="D168">
        <f>SUMIFS(tblPayments[payment_amount],tblPayments[invoice_id],A168,tblPayments[payment_status],"Success")</f>
        <v/>
      </c>
      <c r="E168">
        <f>D168-C168</f>
        <v/>
      </c>
      <c r="F168">
        <f>IFS(D168=0,"MISSING_PAYMENT",ABS(E168)&lt;=1,"MATCHED",E168&gt;1,"AMOUNT_MISMATCH",TRUE,"PARTIAL")</f>
        <v/>
      </c>
    </row>
    <row r="169">
      <c r="A169" t="inlineStr">
        <is>
          <t>INV0003910</t>
        </is>
      </c>
      <c r="B169" t="inlineStr">
        <is>
          <t>MER00184</t>
        </is>
      </c>
      <c r="C169">
        <f>XLOOKUP(A169,tblInvoices[invoice_id],tblInvoices[total_invoice_amount])</f>
        <v/>
      </c>
      <c r="D169">
        <f>SUMIFS(tblPayments[payment_amount],tblPayments[invoice_id],A169,tblPayments[payment_status],"Success")</f>
        <v/>
      </c>
      <c r="E169">
        <f>D169-C169</f>
        <v/>
      </c>
      <c r="F169">
        <f>IFS(D169=0,"MISSING_PAYMENT",ABS(E169)&lt;=1,"MATCHED",E169&gt;1,"AMOUNT_MISMATCH",TRUE,"PARTIAL")</f>
        <v/>
      </c>
    </row>
    <row r="170">
      <c r="A170" t="inlineStr">
        <is>
          <t>INV0003911</t>
        </is>
      </c>
      <c r="B170" t="inlineStr">
        <is>
          <t>MER00184</t>
        </is>
      </c>
      <c r="C170">
        <f>XLOOKUP(A170,tblInvoices[invoice_id],tblInvoices[total_invoice_amount])</f>
        <v/>
      </c>
      <c r="D170">
        <f>SUMIFS(tblPayments[payment_amount],tblPayments[invoice_id],A170,tblPayments[payment_status],"Success")</f>
        <v/>
      </c>
      <c r="E170">
        <f>D170-C170</f>
        <v/>
      </c>
      <c r="F170">
        <f>IFS(D170=0,"MISSING_PAYMENT",ABS(E170)&lt;=1,"MATCHED",E170&gt;1,"AMOUNT_MISMATCH",TRUE,"PARTIAL")</f>
        <v/>
      </c>
    </row>
    <row r="171">
      <c r="A171" t="inlineStr">
        <is>
          <t>INV0003912</t>
        </is>
      </c>
      <c r="B171" t="inlineStr">
        <is>
          <t>MER00184</t>
        </is>
      </c>
      <c r="C171">
        <f>XLOOKUP(A171,tblInvoices[invoice_id],tblInvoices[total_invoice_amount])</f>
        <v/>
      </c>
      <c r="D171">
        <f>SUMIFS(tblPayments[payment_amount],tblPayments[invoice_id],A171,tblPayments[payment_status],"Success")</f>
        <v/>
      </c>
      <c r="E171">
        <f>D171-C171</f>
        <v/>
      </c>
      <c r="F171">
        <f>IFS(D171=0,"MISSING_PAYMENT",ABS(E171)&lt;=1,"MATCHED",E171&gt;1,"AMOUNT_MISMATCH",TRUE,"PARTIAL")</f>
        <v/>
      </c>
    </row>
    <row r="172">
      <c r="A172" t="inlineStr">
        <is>
          <t>INV0003913</t>
        </is>
      </c>
      <c r="B172" t="inlineStr">
        <is>
          <t>MER00184</t>
        </is>
      </c>
      <c r="C172">
        <f>XLOOKUP(A172,tblInvoices[invoice_id],tblInvoices[total_invoice_amount])</f>
        <v/>
      </c>
      <c r="D172">
        <f>SUMIFS(tblPayments[payment_amount],tblPayments[invoice_id],A172,tblPayments[payment_status],"Success")</f>
        <v/>
      </c>
      <c r="E172">
        <f>D172-C172</f>
        <v/>
      </c>
      <c r="F172">
        <f>IFS(D172=0,"MISSING_PAYMENT",ABS(E172)&lt;=1,"MATCHED",E172&gt;1,"AMOUNT_MISMATCH",TRUE,"PARTIAL")</f>
        <v/>
      </c>
    </row>
    <row r="173">
      <c r="A173" t="inlineStr">
        <is>
          <t>INV0003914</t>
        </is>
      </c>
      <c r="B173" t="inlineStr">
        <is>
          <t>MER00184</t>
        </is>
      </c>
      <c r="C173">
        <f>XLOOKUP(A173,tblInvoices[invoice_id],tblInvoices[total_invoice_amount])</f>
        <v/>
      </c>
      <c r="D173">
        <f>SUMIFS(tblPayments[payment_amount],tblPayments[invoice_id],A173,tblPayments[payment_status],"Success")</f>
        <v/>
      </c>
      <c r="E173">
        <f>D173-C173</f>
        <v/>
      </c>
      <c r="F173">
        <f>IFS(D173=0,"MISSING_PAYMENT",ABS(E173)&lt;=1,"MATCHED",E173&gt;1,"AMOUNT_MISMATCH",TRUE,"PARTIAL")</f>
        <v/>
      </c>
    </row>
    <row r="174">
      <c r="A174" t="inlineStr">
        <is>
          <t>INV0003915</t>
        </is>
      </c>
      <c r="B174" t="inlineStr">
        <is>
          <t>MER00184</t>
        </is>
      </c>
      <c r="C174">
        <f>XLOOKUP(A174,tblInvoices[invoice_id],tblInvoices[total_invoice_amount])</f>
        <v/>
      </c>
      <c r="D174">
        <f>SUMIFS(tblPayments[payment_amount],tblPayments[invoice_id],A174,tblPayments[payment_status],"Success")</f>
        <v/>
      </c>
      <c r="E174">
        <f>D174-C174</f>
        <v/>
      </c>
      <c r="F174">
        <f>IFS(D174=0,"MISSING_PAYMENT",ABS(E174)&lt;=1,"MATCHED",E174&gt;1,"AMOUNT_MISMATCH",TRUE,"PARTIAL")</f>
        <v/>
      </c>
    </row>
    <row r="175">
      <c r="A175" t="inlineStr">
        <is>
          <t>INV0004011</t>
        </is>
      </c>
      <c r="B175" t="inlineStr">
        <is>
          <t>MER00189</t>
        </is>
      </c>
      <c r="C175">
        <f>XLOOKUP(A175,tblInvoices[invoice_id],tblInvoices[total_invoice_amount])</f>
        <v/>
      </c>
      <c r="D175">
        <f>SUMIFS(tblPayments[payment_amount],tblPayments[invoice_id],A175,tblPayments[payment_status],"Success")</f>
        <v/>
      </c>
      <c r="E175">
        <f>D175-C175</f>
        <v/>
      </c>
      <c r="F175">
        <f>IFS(D175=0,"MISSING_PAYMENT",ABS(E175)&lt;=1,"MATCHED",E175&gt;1,"AMOUNT_MISMATCH",TRUE,"PARTIAL")</f>
        <v/>
      </c>
    </row>
    <row r="176">
      <c r="A176" t="inlineStr">
        <is>
          <t>INV0004012</t>
        </is>
      </c>
      <c r="B176" t="inlineStr">
        <is>
          <t>MER00189</t>
        </is>
      </c>
      <c r="C176">
        <f>XLOOKUP(A176,tblInvoices[invoice_id],tblInvoices[total_invoice_amount])</f>
        <v/>
      </c>
      <c r="D176">
        <f>SUMIFS(tblPayments[payment_amount],tblPayments[invoice_id],A176,tblPayments[payment_status],"Success")</f>
        <v/>
      </c>
      <c r="E176">
        <f>D176-C176</f>
        <v/>
      </c>
      <c r="F176">
        <f>IFS(D176=0,"MISSING_PAYMENT",ABS(E176)&lt;=1,"MATCHED",E176&gt;1,"AMOUNT_MISMATCH",TRUE,"PARTIAL")</f>
        <v/>
      </c>
    </row>
    <row r="177">
      <c r="A177" t="inlineStr">
        <is>
          <t>INV0004013</t>
        </is>
      </c>
      <c r="B177" t="inlineStr">
        <is>
          <t>MER00189</t>
        </is>
      </c>
      <c r="C177">
        <f>XLOOKUP(A177,tblInvoices[invoice_id],tblInvoices[total_invoice_amount])</f>
        <v/>
      </c>
      <c r="D177">
        <f>SUMIFS(tblPayments[payment_amount],tblPayments[invoice_id],A177,tblPayments[payment_status],"Success")</f>
        <v/>
      </c>
      <c r="E177">
        <f>D177-C177</f>
        <v/>
      </c>
      <c r="F177">
        <f>IFS(D177=0,"MISSING_PAYMENT",ABS(E177)&lt;=1,"MATCHED",E177&gt;1,"AMOUNT_MISMATCH",TRUE,"PARTIAL")</f>
        <v/>
      </c>
    </row>
    <row r="178">
      <c r="A178" t="inlineStr">
        <is>
          <t>INV0004014</t>
        </is>
      </c>
      <c r="B178" t="inlineStr">
        <is>
          <t>MER00189</t>
        </is>
      </c>
      <c r="C178">
        <f>XLOOKUP(A178,tblInvoices[invoice_id],tblInvoices[total_invoice_amount])</f>
        <v/>
      </c>
      <c r="D178">
        <f>SUMIFS(tblPayments[payment_amount],tblPayments[invoice_id],A178,tblPayments[payment_status],"Success")</f>
        <v/>
      </c>
      <c r="E178">
        <f>D178-C178</f>
        <v/>
      </c>
      <c r="F178">
        <f>IFS(D178=0,"MISSING_PAYMENT",ABS(E178)&lt;=1,"MATCHED",E178&gt;1,"AMOUNT_MISMATCH",TRUE,"PARTIAL")</f>
        <v/>
      </c>
    </row>
    <row r="179">
      <c r="A179" t="inlineStr">
        <is>
          <t>INV0004015</t>
        </is>
      </c>
      <c r="B179" t="inlineStr">
        <is>
          <t>MER00189</t>
        </is>
      </c>
      <c r="C179">
        <f>XLOOKUP(A179,tblInvoices[invoice_id],tblInvoices[total_invoice_amount])</f>
        <v/>
      </c>
      <c r="D179">
        <f>SUMIFS(tblPayments[payment_amount],tblPayments[invoice_id],A179,tblPayments[payment_status],"Success")</f>
        <v/>
      </c>
      <c r="E179">
        <f>D179-C179</f>
        <v/>
      </c>
      <c r="F179">
        <f>IFS(D179=0,"MISSING_PAYMENT",ABS(E179)&lt;=1,"MATCHED",E179&gt;1,"AMOUNT_MISMATCH",TRUE,"PARTIAL")</f>
        <v/>
      </c>
    </row>
    <row r="180">
      <c r="A180" t="inlineStr">
        <is>
          <t>INV0004016</t>
        </is>
      </c>
      <c r="B180" t="inlineStr">
        <is>
          <t>MER00189</t>
        </is>
      </c>
      <c r="C180">
        <f>XLOOKUP(A180,tblInvoices[invoice_id],tblInvoices[total_invoice_amount])</f>
        <v/>
      </c>
      <c r="D180">
        <f>SUMIFS(tblPayments[payment_amount],tblPayments[invoice_id],A180,tblPayments[payment_status],"Success")</f>
        <v/>
      </c>
      <c r="E180">
        <f>D180-C180</f>
        <v/>
      </c>
      <c r="F180">
        <f>IFS(D180=0,"MISSING_PAYMENT",ABS(E180)&lt;=1,"MATCHED",E180&gt;1,"AMOUNT_MISMATCH",TRUE,"PARTIAL")</f>
        <v/>
      </c>
    </row>
    <row r="181">
      <c r="A181" t="inlineStr">
        <is>
          <t>INV0004017</t>
        </is>
      </c>
      <c r="B181" t="inlineStr">
        <is>
          <t>MER00189</t>
        </is>
      </c>
      <c r="C181">
        <f>XLOOKUP(A181,tblInvoices[invoice_id],tblInvoices[total_invoice_amount])</f>
        <v/>
      </c>
      <c r="D181">
        <f>SUMIFS(tblPayments[payment_amount],tblPayments[invoice_id],A181,tblPayments[payment_status],"Success")</f>
        <v/>
      </c>
      <c r="E181">
        <f>D181-C181</f>
        <v/>
      </c>
      <c r="F181">
        <f>IFS(D181=0,"MISSING_PAYMENT",ABS(E181)&lt;=1,"MATCHED",E181&gt;1,"AMOUNT_MISMATCH",TRUE,"PARTIAL")</f>
        <v/>
      </c>
    </row>
    <row r="182">
      <c r="A182" t="inlineStr">
        <is>
          <t>INV0004018</t>
        </is>
      </c>
      <c r="B182" t="inlineStr">
        <is>
          <t>MER00189</t>
        </is>
      </c>
      <c r="C182">
        <f>XLOOKUP(A182,tblInvoices[invoice_id],tblInvoices[total_invoice_amount])</f>
        <v/>
      </c>
      <c r="D182">
        <f>SUMIFS(tblPayments[payment_amount],tblPayments[invoice_id],A182,tblPayments[payment_status],"Success")</f>
        <v/>
      </c>
      <c r="E182">
        <f>D182-C182</f>
        <v/>
      </c>
      <c r="F182">
        <f>IFS(D182=0,"MISSING_PAYMENT",ABS(E182)&lt;=1,"MATCHED",E182&gt;1,"AMOUNT_MISMATCH",TRUE,"PARTIAL")</f>
        <v/>
      </c>
    </row>
    <row r="183">
      <c r="A183" t="inlineStr">
        <is>
          <t>INV0004019</t>
        </is>
      </c>
      <c r="B183" t="inlineStr">
        <is>
          <t>MER00189</t>
        </is>
      </c>
      <c r="C183">
        <f>XLOOKUP(A183,tblInvoices[invoice_id],tblInvoices[total_invoice_amount])</f>
        <v/>
      </c>
      <c r="D183">
        <f>SUMIFS(tblPayments[payment_amount],tblPayments[invoice_id],A183,tblPayments[payment_status],"Success")</f>
        <v/>
      </c>
      <c r="E183">
        <f>D183-C183</f>
        <v/>
      </c>
      <c r="F183">
        <f>IFS(D183=0,"MISSING_PAYMENT",ABS(E183)&lt;=1,"MATCHED",E183&gt;1,"AMOUNT_MISMATCH",TRUE,"PARTIAL")</f>
        <v/>
      </c>
    </row>
    <row r="184">
      <c r="A184" t="inlineStr">
        <is>
          <t>INV0004020</t>
        </is>
      </c>
      <c r="B184" t="inlineStr">
        <is>
          <t>MER00189</t>
        </is>
      </c>
      <c r="C184">
        <f>XLOOKUP(A184,tblInvoices[invoice_id],tblInvoices[total_invoice_amount])</f>
        <v/>
      </c>
      <c r="D184">
        <f>SUMIFS(tblPayments[payment_amount],tblPayments[invoice_id],A184,tblPayments[payment_status],"Success")</f>
        <v/>
      </c>
      <c r="E184">
        <f>D184-C184</f>
        <v/>
      </c>
      <c r="F184">
        <f>IFS(D184=0,"MISSING_PAYMENT",ABS(E184)&lt;=1,"MATCHED",E184&gt;1,"AMOUNT_MISMATCH",TRUE,"PARTIAL")</f>
        <v/>
      </c>
    </row>
    <row r="185">
      <c r="A185" t="inlineStr">
        <is>
          <t>INV0004021</t>
        </is>
      </c>
      <c r="B185" t="inlineStr">
        <is>
          <t>MER00189</t>
        </is>
      </c>
      <c r="C185">
        <f>XLOOKUP(A185,tblInvoices[invoice_id],tblInvoices[total_invoice_amount])</f>
        <v/>
      </c>
      <c r="D185">
        <f>SUMIFS(tblPayments[payment_amount],tblPayments[invoice_id],A185,tblPayments[payment_status],"Success")</f>
        <v/>
      </c>
      <c r="E185">
        <f>D185-C185</f>
        <v/>
      </c>
      <c r="F185">
        <f>IFS(D185=0,"MISSING_PAYMENT",ABS(E185)&lt;=1,"MATCHED",E185&gt;1,"AMOUNT_MISMATCH",TRUE,"PARTIAL")</f>
        <v/>
      </c>
    </row>
    <row r="186">
      <c r="A186" t="inlineStr">
        <is>
          <t>INV0004022</t>
        </is>
      </c>
      <c r="B186" t="inlineStr">
        <is>
          <t>MER00189</t>
        </is>
      </c>
      <c r="C186">
        <f>XLOOKUP(A186,tblInvoices[invoice_id],tblInvoices[total_invoice_amount])</f>
        <v/>
      </c>
      <c r="D186">
        <f>SUMIFS(tblPayments[payment_amount],tblPayments[invoice_id],A186,tblPayments[payment_status],"Success")</f>
        <v/>
      </c>
      <c r="E186">
        <f>D186-C186</f>
        <v/>
      </c>
      <c r="F186">
        <f>IFS(D186=0,"MISSING_PAYMENT",ABS(E186)&lt;=1,"MATCHED",E186&gt;1,"AMOUNT_MISMATCH",TRUE,"PARTIAL")</f>
        <v/>
      </c>
    </row>
    <row r="187">
      <c r="A187" t="inlineStr">
        <is>
          <t>INV0004023</t>
        </is>
      </c>
      <c r="B187" t="inlineStr">
        <is>
          <t>MER00189</t>
        </is>
      </c>
      <c r="C187">
        <f>XLOOKUP(A187,tblInvoices[invoice_id],tblInvoices[total_invoice_amount])</f>
        <v/>
      </c>
      <c r="D187">
        <f>SUMIFS(tblPayments[payment_amount],tblPayments[invoice_id],A187,tblPayments[payment_status],"Success")</f>
        <v/>
      </c>
      <c r="E187">
        <f>D187-C187</f>
        <v/>
      </c>
      <c r="F187">
        <f>IFS(D187=0,"MISSING_PAYMENT",ABS(E187)&lt;=1,"MATCHED",E187&gt;1,"AMOUNT_MISMATCH",TRUE,"PARTIAL")</f>
        <v/>
      </c>
    </row>
    <row r="188">
      <c r="A188" t="inlineStr">
        <is>
          <t>INV0004024</t>
        </is>
      </c>
      <c r="B188" t="inlineStr">
        <is>
          <t>MER00189</t>
        </is>
      </c>
      <c r="C188">
        <f>XLOOKUP(A188,tblInvoices[invoice_id],tblInvoices[total_invoice_amount])</f>
        <v/>
      </c>
      <c r="D188">
        <f>SUMIFS(tblPayments[payment_amount],tblPayments[invoice_id],A188,tblPayments[payment_status],"Success")</f>
        <v/>
      </c>
      <c r="E188">
        <f>D188-C188</f>
        <v/>
      </c>
      <c r="F188">
        <f>IFS(D188=0,"MISSING_PAYMENT",ABS(E188)&lt;=1,"MATCHED",E188&gt;1,"AMOUNT_MISMATCH",TRUE,"PARTIAL")</f>
        <v/>
      </c>
    </row>
    <row r="189">
      <c r="A189" t="inlineStr">
        <is>
          <t>INV0004025</t>
        </is>
      </c>
      <c r="B189" t="inlineStr">
        <is>
          <t>MER00189</t>
        </is>
      </c>
      <c r="C189">
        <f>XLOOKUP(A189,tblInvoices[invoice_id],tblInvoices[total_invoice_amount])</f>
        <v/>
      </c>
      <c r="D189">
        <f>SUMIFS(tblPayments[payment_amount],tblPayments[invoice_id],A189,tblPayments[payment_status],"Success")</f>
        <v/>
      </c>
      <c r="E189">
        <f>D189-C189</f>
        <v/>
      </c>
      <c r="F189">
        <f>IFS(D189=0,"MISSING_PAYMENT",ABS(E189)&lt;=1,"MATCHED",E189&gt;1,"AMOUNT_MISMATCH",TRUE,"PARTIAL")</f>
        <v/>
      </c>
    </row>
    <row r="190">
      <c r="A190" t="inlineStr">
        <is>
          <t>INV0004026</t>
        </is>
      </c>
      <c r="B190" t="inlineStr">
        <is>
          <t>MER00189</t>
        </is>
      </c>
      <c r="C190">
        <f>XLOOKUP(A190,tblInvoices[invoice_id],tblInvoices[total_invoice_amount])</f>
        <v/>
      </c>
      <c r="D190">
        <f>SUMIFS(tblPayments[payment_amount],tblPayments[invoice_id],A190,tblPayments[payment_status],"Success")</f>
        <v/>
      </c>
      <c r="E190">
        <f>D190-C190</f>
        <v/>
      </c>
      <c r="F190">
        <f>IFS(D190=0,"MISSING_PAYMENT",ABS(E190)&lt;=1,"MATCHED",E190&gt;1,"AMOUNT_MISMATCH",TRUE,"PARTIAL")</f>
        <v/>
      </c>
    </row>
    <row r="191">
      <c r="A191" t="inlineStr">
        <is>
          <t>INV0004027</t>
        </is>
      </c>
      <c r="B191" t="inlineStr">
        <is>
          <t>MER00189</t>
        </is>
      </c>
      <c r="C191">
        <f>XLOOKUP(A191,tblInvoices[invoice_id],tblInvoices[total_invoice_amount])</f>
        <v/>
      </c>
      <c r="D191">
        <f>SUMIFS(tblPayments[payment_amount],tblPayments[invoice_id],A191,tblPayments[payment_status],"Success")</f>
        <v/>
      </c>
      <c r="E191">
        <f>D191-C191</f>
        <v/>
      </c>
      <c r="F191">
        <f>IFS(D191=0,"MISSING_PAYMENT",ABS(E191)&lt;=1,"MATCHED",E191&gt;1,"AMOUNT_MISMATCH",TRUE,"PARTIAL")</f>
        <v/>
      </c>
    </row>
    <row r="192">
      <c r="A192" t="inlineStr">
        <is>
          <t>INV0004028</t>
        </is>
      </c>
      <c r="B192" t="inlineStr">
        <is>
          <t>MER00189</t>
        </is>
      </c>
      <c r="C192">
        <f>XLOOKUP(A192,tblInvoices[invoice_id],tblInvoices[total_invoice_amount])</f>
        <v/>
      </c>
      <c r="D192">
        <f>SUMIFS(tblPayments[payment_amount],tblPayments[invoice_id],A192,tblPayments[payment_status],"Success")</f>
        <v/>
      </c>
      <c r="E192">
        <f>D192-C192</f>
        <v/>
      </c>
      <c r="F192">
        <f>IFS(D192=0,"MISSING_PAYMENT",ABS(E192)&lt;=1,"MATCHED",E192&gt;1,"AMOUNT_MISMATCH",TRUE,"PARTIAL")</f>
        <v/>
      </c>
    </row>
    <row r="193">
      <c r="A193" t="inlineStr">
        <is>
          <t>INV0004029</t>
        </is>
      </c>
      <c r="B193" t="inlineStr">
        <is>
          <t>MER00189</t>
        </is>
      </c>
      <c r="C193">
        <f>XLOOKUP(A193,tblInvoices[invoice_id],tblInvoices[total_invoice_amount])</f>
        <v/>
      </c>
      <c r="D193">
        <f>SUMIFS(tblPayments[payment_amount],tblPayments[invoice_id],A193,tblPayments[payment_status],"Success")</f>
        <v/>
      </c>
      <c r="E193">
        <f>D193-C193</f>
        <v/>
      </c>
      <c r="F193">
        <f>IFS(D193=0,"MISSING_PAYMENT",ABS(E193)&lt;=1,"MATCHED",E193&gt;1,"AMOUNT_MISMATCH",TRUE,"PARTIAL")</f>
        <v/>
      </c>
    </row>
    <row r="194">
      <c r="A194" t="inlineStr">
        <is>
          <t>INV0004030</t>
        </is>
      </c>
      <c r="B194" t="inlineStr">
        <is>
          <t>MER00189</t>
        </is>
      </c>
      <c r="C194">
        <f>XLOOKUP(A194,tblInvoices[invoice_id],tblInvoices[total_invoice_amount])</f>
        <v/>
      </c>
      <c r="D194">
        <f>SUMIFS(tblPayments[payment_amount],tblPayments[invoice_id],A194,tblPayments[payment_status],"Success")</f>
        <v/>
      </c>
      <c r="E194">
        <f>D194-C194</f>
        <v/>
      </c>
      <c r="F194">
        <f>IFS(D194=0,"MISSING_PAYMENT",ABS(E194)&lt;=1,"MATCHED",E194&gt;1,"AMOUNT_MISMATCH",TRUE,"PARTIAL")</f>
        <v/>
      </c>
    </row>
    <row r="195">
      <c r="A195" t="inlineStr">
        <is>
          <t>INV0004031</t>
        </is>
      </c>
      <c r="B195" t="inlineStr">
        <is>
          <t>MER00189</t>
        </is>
      </c>
      <c r="C195">
        <f>XLOOKUP(A195,tblInvoices[invoice_id],tblInvoices[total_invoice_amount])</f>
        <v/>
      </c>
      <c r="D195">
        <f>SUMIFS(tblPayments[payment_amount],tblPayments[invoice_id],A195,tblPayments[payment_status],"Success")</f>
        <v/>
      </c>
      <c r="E195">
        <f>D195-C195</f>
        <v/>
      </c>
      <c r="F195">
        <f>IFS(D195=0,"MISSING_PAYMENT",ABS(E195)&lt;=1,"MATCHED",E195&gt;1,"AMOUNT_MISMATCH",TRUE,"PARTIAL")</f>
        <v/>
      </c>
    </row>
    <row r="196">
      <c r="A196" t="inlineStr">
        <is>
          <t>INV0004032</t>
        </is>
      </c>
      <c r="B196" t="inlineStr">
        <is>
          <t>MER00189</t>
        </is>
      </c>
      <c r="C196">
        <f>XLOOKUP(A196,tblInvoices[invoice_id],tblInvoices[total_invoice_amount])</f>
        <v/>
      </c>
      <c r="D196">
        <f>SUMIFS(tblPayments[payment_amount],tblPayments[invoice_id],A196,tblPayments[payment_status],"Success")</f>
        <v/>
      </c>
      <c r="E196">
        <f>D196-C196</f>
        <v/>
      </c>
      <c r="F196">
        <f>IFS(D196=0,"MISSING_PAYMENT",ABS(E196)&lt;=1,"MATCHED",E196&gt;1,"AMOUNT_MISMATCH",TRUE,"PARTIAL")</f>
        <v/>
      </c>
    </row>
    <row r="197">
      <c r="A197" t="inlineStr">
        <is>
          <t>INV0004033</t>
        </is>
      </c>
      <c r="B197" t="inlineStr">
        <is>
          <t>MER00189</t>
        </is>
      </c>
      <c r="C197">
        <f>XLOOKUP(A197,tblInvoices[invoice_id],tblInvoices[total_invoice_amount])</f>
        <v/>
      </c>
      <c r="D197">
        <f>SUMIFS(tblPayments[payment_amount],tblPayments[invoice_id],A197,tblPayments[payment_status],"Success")</f>
        <v/>
      </c>
      <c r="E197">
        <f>D197-C197</f>
        <v/>
      </c>
      <c r="F197">
        <f>IFS(D197=0,"MISSING_PAYMENT",ABS(E197)&lt;=1,"MATCHED",E197&gt;1,"AMOUNT_MISMATCH",TRUE,"PARTIAL")</f>
        <v/>
      </c>
    </row>
    <row r="198">
      <c r="A198" t="inlineStr">
        <is>
          <t>INV0004034</t>
        </is>
      </c>
      <c r="B198" t="inlineStr">
        <is>
          <t>MER00189</t>
        </is>
      </c>
      <c r="C198">
        <f>XLOOKUP(A198,tblInvoices[invoice_id],tblInvoices[total_invoice_amount])</f>
        <v/>
      </c>
      <c r="D198">
        <f>SUMIFS(tblPayments[payment_amount],tblPayments[invoice_id],A198,tblPayments[payment_status],"Success")</f>
        <v/>
      </c>
      <c r="E198">
        <f>D198-C198</f>
        <v/>
      </c>
      <c r="F198">
        <f>IFS(D198=0,"MISSING_PAYMENT",ABS(E198)&lt;=1,"MATCHED",E198&gt;1,"AMOUNT_MISMATCH",TRUE,"PARTIAL")</f>
        <v/>
      </c>
    </row>
    <row r="199">
      <c r="A199" t="inlineStr">
        <is>
          <t>INV0004313</t>
        </is>
      </c>
      <c r="B199" t="inlineStr">
        <is>
          <t>MER00203</t>
        </is>
      </c>
      <c r="C199">
        <f>XLOOKUP(A199,tblInvoices[invoice_id],tblInvoices[total_invoice_amount])</f>
        <v/>
      </c>
      <c r="D199">
        <f>SUMIFS(tblPayments[payment_amount],tblPayments[invoice_id],A199,tblPayments[payment_status],"Success")</f>
        <v/>
      </c>
      <c r="E199">
        <f>D199-C199</f>
        <v/>
      </c>
      <c r="F199">
        <f>IFS(D199=0,"MISSING_PAYMENT",ABS(E199)&lt;=1,"MATCHED",E199&gt;1,"AMOUNT_MISMATCH",TRUE,"PARTIAL")</f>
        <v/>
      </c>
    </row>
    <row r="200">
      <c r="A200" t="inlineStr">
        <is>
          <t>INV0004314</t>
        </is>
      </c>
      <c r="B200" t="inlineStr">
        <is>
          <t>MER00203</t>
        </is>
      </c>
      <c r="C200">
        <f>XLOOKUP(A200,tblInvoices[invoice_id],tblInvoices[total_invoice_amount])</f>
        <v/>
      </c>
      <c r="D200">
        <f>SUMIFS(tblPayments[payment_amount],tblPayments[invoice_id],A200,tblPayments[payment_status],"Success")</f>
        <v/>
      </c>
      <c r="E200">
        <f>D200-C200</f>
        <v/>
      </c>
      <c r="F200">
        <f>IFS(D200=0,"MISSING_PAYMENT",ABS(E200)&lt;=1,"MATCHED",E200&gt;1,"AMOUNT_MISMATCH",TRUE,"PARTIAL")</f>
        <v/>
      </c>
    </row>
    <row r="201">
      <c r="A201" t="inlineStr">
        <is>
          <t>INV0004315</t>
        </is>
      </c>
      <c r="B201" t="inlineStr">
        <is>
          <t>MER00203</t>
        </is>
      </c>
      <c r="C201">
        <f>XLOOKUP(A201,tblInvoices[invoice_id],tblInvoices[total_invoice_amount])</f>
        <v/>
      </c>
      <c r="D201">
        <f>SUMIFS(tblPayments[payment_amount],tblPayments[invoice_id],A201,tblPayments[payment_status],"Success")</f>
        <v/>
      </c>
      <c r="E201">
        <f>D201-C201</f>
        <v/>
      </c>
      <c r="F201">
        <f>IFS(D201=0,"MISSING_PAYMENT",ABS(E201)&lt;=1,"MATCHED",E201&gt;1,"AMOUNT_MISMATCH",TRUE,"PARTIAL")</f>
        <v/>
      </c>
    </row>
    <row r="202">
      <c r="A202" t="inlineStr">
        <is>
          <t>INV0004316</t>
        </is>
      </c>
      <c r="B202" t="inlineStr">
        <is>
          <t>MER00203</t>
        </is>
      </c>
      <c r="C202">
        <f>XLOOKUP(A202,tblInvoices[invoice_id],tblInvoices[total_invoice_amount])</f>
        <v/>
      </c>
      <c r="D202">
        <f>SUMIFS(tblPayments[payment_amount],tblPayments[invoice_id],A202,tblPayments[payment_status],"Success")</f>
        <v/>
      </c>
      <c r="E202">
        <f>D202-C202</f>
        <v/>
      </c>
      <c r="F202">
        <f>IFS(D202=0,"MISSING_PAYMENT",ABS(E202)&lt;=1,"MATCHED",E202&gt;1,"AMOUNT_MISMATCH",TRUE,"PARTIAL")</f>
        <v/>
      </c>
    </row>
    <row r="203">
      <c r="A203" t="inlineStr">
        <is>
          <t>INV0004317</t>
        </is>
      </c>
      <c r="B203" t="inlineStr">
        <is>
          <t>MER00203</t>
        </is>
      </c>
      <c r="C203">
        <f>XLOOKUP(A203,tblInvoices[invoice_id],tblInvoices[total_invoice_amount])</f>
        <v/>
      </c>
      <c r="D203">
        <f>SUMIFS(tblPayments[payment_amount],tblPayments[invoice_id],A203,tblPayments[payment_status],"Success")</f>
        <v/>
      </c>
      <c r="E203">
        <f>D203-C203</f>
        <v/>
      </c>
      <c r="F203">
        <f>IFS(D203=0,"MISSING_PAYMENT",ABS(E203)&lt;=1,"MATCHED",E203&gt;1,"AMOUNT_MISMATCH",TRUE,"PARTIAL")</f>
        <v/>
      </c>
    </row>
    <row r="204">
      <c r="A204" t="inlineStr">
        <is>
          <t>INV0004318</t>
        </is>
      </c>
      <c r="B204" t="inlineStr">
        <is>
          <t>MER00203</t>
        </is>
      </c>
      <c r="C204">
        <f>XLOOKUP(A204,tblInvoices[invoice_id],tblInvoices[total_invoice_amount])</f>
        <v/>
      </c>
      <c r="D204">
        <f>SUMIFS(tblPayments[payment_amount],tblPayments[invoice_id],A204,tblPayments[payment_status],"Success")</f>
        <v/>
      </c>
      <c r="E204">
        <f>D204-C204</f>
        <v/>
      </c>
      <c r="F204">
        <f>IFS(D204=0,"MISSING_PAYMENT",ABS(E204)&lt;=1,"MATCHED",E204&gt;1,"AMOUNT_MISMATCH",TRUE,"PARTIAL")</f>
        <v/>
      </c>
    </row>
    <row r="205">
      <c r="A205" t="inlineStr">
        <is>
          <t>INV0004319</t>
        </is>
      </c>
      <c r="B205" t="inlineStr">
        <is>
          <t>MER00203</t>
        </is>
      </c>
      <c r="C205">
        <f>XLOOKUP(A205,tblInvoices[invoice_id],tblInvoices[total_invoice_amount])</f>
        <v/>
      </c>
      <c r="D205">
        <f>SUMIFS(tblPayments[payment_amount],tblPayments[invoice_id],A205,tblPayments[payment_status],"Success")</f>
        <v/>
      </c>
      <c r="E205">
        <f>D205-C205</f>
        <v/>
      </c>
      <c r="F205">
        <f>IFS(D205=0,"MISSING_PAYMENT",ABS(E205)&lt;=1,"MATCHED",E205&gt;1,"AMOUNT_MISMATCH",TRUE,"PARTIAL")</f>
        <v/>
      </c>
    </row>
    <row r="206">
      <c r="A206" t="inlineStr">
        <is>
          <t>INV0004320</t>
        </is>
      </c>
      <c r="B206" t="inlineStr">
        <is>
          <t>MER00203</t>
        </is>
      </c>
      <c r="C206">
        <f>XLOOKUP(A206,tblInvoices[invoice_id],tblInvoices[total_invoice_amount])</f>
        <v/>
      </c>
      <c r="D206">
        <f>SUMIFS(tblPayments[payment_amount],tblPayments[invoice_id],A206,tblPayments[payment_status],"Success")</f>
        <v/>
      </c>
      <c r="E206">
        <f>D206-C206</f>
        <v/>
      </c>
      <c r="F206">
        <f>IFS(D206=0,"MISSING_PAYMENT",ABS(E206)&lt;=1,"MATCHED",E206&gt;1,"AMOUNT_MISMATCH",TRUE,"PARTIAL")</f>
        <v/>
      </c>
    </row>
    <row r="207">
      <c r="A207" t="inlineStr">
        <is>
          <t>INV0004321</t>
        </is>
      </c>
      <c r="B207" t="inlineStr">
        <is>
          <t>MER00203</t>
        </is>
      </c>
      <c r="C207">
        <f>XLOOKUP(A207,tblInvoices[invoice_id],tblInvoices[total_invoice_amount])</f>
        <v/>
      </c>
      <c r="D207">
        <f>SUMIFS(tblPayments[payment_amount],tblPayments[invoice_id],A207,tblPayments[payment_status],"Success")</f>
        <v/>
      </c>
      <c r="E207">
        <f>D207-C207</f>
        <v/>
      </c>
      <c r="F207">
        <f>IFS(D207=0,"MISSING_PAYMENT",ABS(E207)&lt;=1,"MATCHED",E207&gt;1,"AMOUNT_MISMATCH",TRUE,"PARTIAL")</f>
        <v/>
      </c>
    </row>
    <row r="208">
      <c r="A208" t="inlineStr">
        <is>
          <t>INV0004322</t>
        </is>
      </c>
      <c r="B208" t="inlineStr">
        <is>
          <t>MER00203</t>
        </is>
      </c>
      <c r="C208">
        <f>XLOOKUP(A208,tblInvoices[invoice_id],tblInvoices[total_invoice_amount])</f>
        <v/>
      </c>
      <c r="D208">
        <f>SUMIFS(tblPayments[payment_amount],tblPayments[invoice_id],A208,tblPayments[payment_status],"Success")</f>
        <v/>
      </c>
      <c r="E208">
        <f>D208-C208</f>
        <v/>
      </c>
      <c r="F208">
        <f>IFS(D208=0,"MISSING_PAYMENT",ABS(E208)&lt;=1,"MATCHED",E208&gt;1,"AMOUNT_MISMATCH",TRUE,"PARTIAL")</f>
        <v/>
      </c>
    </row>
    <row r="209">
      <c r="A209" t="inlineStr">
        <is>
          <t>INV0004323</t>
        </is>
      </c>
      <c r="B209" t="inlineStr">
        <is>
          <t>MER00203</t>
        </is>
      </c>
      <c r="C209">
        <f>XLOOKUP(A209,tblInvoices[invoice_id],tblInvoices[total_invoice_amount])</f>
        <v/>
      </c>
      <c r="D209">
        <f>SUMIFS(tblPayments[payment_amount],tblPayments[invoice_id],A209,tblPayments[payment_status],"Success")</f>
        <v/>
      </c>
      <c r="E209">
        <f>D209-C209</f>
        <v/>
      </c>
      <c r="F209">
        <f>IFS(D209=0,"MISSING_PAYMENT",ABS(E209)&lt;=1,"MATCHED",E209&gt;1,"AMOUNT_MISMATCH",TRUE,"PARTIAL")</f>
        <v/>
      </c>
    </row>
    <row r="210">
      <c r="A210" t="inlineStr">
        <is>
          <t>INV0004324</t>
        </is>
      </c>
      <c r="B210" t="inlineStr">
        <is>
          <t>MER00203</t>
        </is>
      </c>
      <c r="C210">
        <f>XLOOKUP(A210,tblInvoices[invoice_id],tblInvoices[total_invoice_amount])</f>
        <v/>
      </c>
      <c r="D210">
        <f>SUMIFS(tblPayments[payment_amount],tblPayments[invoice_id],A210,tblPayments[payment_status],"Success")</f>
        <v/>
      </c>
      <c r="E210">
        <f>D210-C210</f>
        <v/>
      </c>
      <c r="F210">
        <f>IFS(D210=0,"MISSING_PAYMENT",ABS(E210)&lt;=1,"MATCHED",E210&gt;1,"AMOUNT_MISMATCH",TRUE,"PARTIAL")</f>
        <v/>
      </c>
    </row>
    <row r="211">
      <c r="A211" t="inlineStr">
        <is>
          <t>INV0004325</t>
        </is>
      </c>
      <c r="B211" t="inlineStr">
        <is>
          <t>MER00203</t>
        </is>
      </c>
      <c r="C211">
        <f>XLOOKUP(A211,tblInvoices[invoice_id],tblInvoices[total_invoice_amount])</f>
        <v/>
      </c>
      <c r="D211">
        <f>SUMIFS(tblPayments[payment_amount],tblPayments[invoice_id],A211,tblPayments[payment_status],"Success")</f>
        <v/>
      </c>
      <c r="E211">
        <f>D211-C211</f>
        <v/>
      </c>
      <c r="F211">
        <f>IFS(D211=0,"MISSING_PAYMENT",ABS(E211)&lt;=1,"MATCHED",E211&gt;1,"AMOUNT_MISMATCH",TRUE,"PARTIAL")</f>
        <v/>
      </c>
    </row>
    <row r="212">
      <c r="A212" t="inlineStr">
        <is>
          <t>INV0004326</t>
        </is>
      </c>
      <c r="B212" t="inlineStr">
        <is>
          <t>MER00203</t>
        </is>
      </c>
      <c r="C212">
        <f>XLOOKUP(A212,tblInvoices[invoice_id],tblInvoices[total_invoice_amount])</f>
        <v/>
      </c>
      <c r="D212">
        <f>SUMIFS(tblPayments[payment_amount],tblPayments[invoice_id],A212,tblPayments[payment_status],"Success")</f>
        <v/>
      </c>
      <c r="E212">
        <f>D212-C212</f>
        <v/>
      </c>
      <c r="F212">
        <f>IFS(D212=0,"MISSING_PAYMENT",ABS(E212)&lt;=1,"MATCHED",E212&gt;1,"AMOUNT_MISMATCH",TRUE,"PARTIAL")</f>
        <v/>
      </c>
    </row>
    <row r="213">
      <c r="A213" t="inlineStr">
        <is>
          <t>INV0004327</t>
        </is>
      </c>
      <c r="B213" t="inlineStr">
        <is>
          <t>MER00203</t>
        </is>
      </c>
      <c r="C213">
        <f>XLOOKUP(A213,tblInvoices[invoice_id],tblInvoices[total_invoice_amount])</f>
        <v/>
      </c>
      <c r="D213">
        <f>SUMIFS(tblPayments[payment_amount],tblPayments[invoice_id],A213,tblPayments[payment_status],"Success")</f>
        <v/>
      </c>
      <c r="E213">
        <f>D213-C213</f>
        <v/>
      </c>
      <c r="F213">
        <f>IFS(D213=0,"MISSING_PAYMENT",ABS(E213)&lt;=1,"MATCHED",E213&gt;1,"AMOUNT_MISMATCH",TRUE,"PARTIAL")</f>
        <v/>
      </c>
    </row>
    <row r="214">
      <c r="A214" t="inlineStr">
        <is>
          <t>INV0004328</t>
        </is>
      </c>
      <c r="B214" t="inlineStr">
        <is>
          <t>MER00203</t>
        </is>
      </c>
      <c r="C214">
        <f>XLOOKUP(A214,tblInvoices[invoice_id],tblInvoices[total_invoice_amount])</f>
        <v/>
      </c>
      <c r="D214">
        <f>SUMIFS(tblPayments[payment_amount],tblPayments[invoice_id],A214,tblPayments[payment_status],"Success")</f>
        <v/>
      </c>
      <c r="E214">
        <f>D214-C214</f>
        <v/>
      </c>
      <c r="F214">
        <f>IFS(D214=0,"MISSING_PAYMENT",ABS(E214)&lt;=1,"MATCHED",E214&gt;1,"AMOUNT_MISMATCH",TRUE,"PARTIAL")</f>
        <v/>
      </c>
    </row>
    <row r="215">
      <c r="A215" t="inlineStr">
        <is>
          <t>INV0004329</t>
        </is>
      </c>
      <c r="B215" t="inlineStr">
        <is>
          <t>MER00203</t>
        </is>
      </c>
      <c r="C215">
        <f>XLOOKUP(A215,tblInvoices[invoice_id],tblInvoices[total_invoice_amount])</f>
        <v/>
      </c>
      <c r="D215">
        <f>SUMIFS(tblPayments[payment_amount],tblPayments[invoice_id],A215,tblPayments[payment_status],"Success")</f>
        <v/>
      </c>
      <c r="E215">
        <f>D215-C215</f>
        <v/>
      </c>
      <c r="F215">
        <f>IFS(D215=0,"MISSING_PAYMENT",ABS(E215)&lt;=1,"MATCHED",E215&gt;1,"AMOUNT_MISMATCH",TRUE,"PARTIAL")</f>
        <v/>
      </c>
    </row>
    <row r="216">
      <c r="A216" t="inlineStr">
        <is>
          <t>INV0004330</t>
        </is>
      </c>
      <c r="B216" t="inlineStr">
        <is>
          <t>MER00203</t>
        </is>
      </c>
      <c r="C216">
        <f>XLOOKUP(A216,tblInvoices[invoice_id],tblInvoices[total_invoice_amount])</f>
        <v/>
      </c>
      <c r="D216">
        <f>SUMIFS(tblPayments[payment_amount],tblPayments[invoice_id],A216,tblPayments[payment_status],"Success")</f>
        <v/>
      </c>
      <c r="E216">
        <f>D216-C216</f>
        <v/>
      </c>
      <c r="F216">
        <f>IFS(D216=0,"MISSING_PAYMENT",ABS(E216)&lt;=1,"MATCHED",E216&gt;1,"AMOUNT_MISMATCH",TRUE,"PARTIAL")</f>
        <v/>
      </c>
    </row>
    <row r="217">
      <c r="A217" t="inlineStr">
        <is>
          <t>INV0004331</t>
        </is>
      </c>
      <c r="B217" t="inlineStr">
        <is>
          <t>MER00203</t>
        </is>
      </c>
      <c r="C217">
        <f>XLOOKUP(A217,tblInvoices[invoice_id],tblInvoices[total_invoice_amount])</f>
        <v/>
      </c>
      <c r="D217">
        <f>SUMIFS(tblPayments[payment_amount],tblPayments[invoice_id],A217,tblPayments[payment_status],"Success")</f>
        <v/>
      </c>
      <c r="E217">
        <f>D217-C217</f>
        <v/>
      </c>
      <c r="F217">
        <f>IFS(D217=0,"MISSING_PAYMENT",ABS(E217)&lt;=1,"MATCHED",E217&gt;1,"AMOUNT_MISMATCH",TRUE,"PARTIAL")</f>
        <v/>
      </c>
    </row>
    <row r="218">
      <c r="A218" t="inlineStr">
        <is>
          <t>INV0004332</t>
        </is>
      </c>
      <c r="B218" t="inlineStr">
        <is>
          <t>MER00203</t>
        </is>
      </c>
      <c r="C218">
        <f>XLOOKUP(A218,tblInvoices[invoice_id],tblInvoices[total_invoice_amount])</f>
        <v/>
      </c>
      <c r="D218">
        <f>SUMIFS(tblPayments[payment_amount],tblPayments[invoice_id],A218,tblPayments[payment_status],"Success")</f>
        <v/>
      </c>
      <c r="E218">
        <f>D218-C218</f>
        <v/>
      </c>
      <c r="F218">
        <f>IFS(D218=0,"MISSING_PAYMENT",ABS(E218)&lt;=1,"MATCHED",E218&gt;1,"AMOUNT_MISMATCH",TRUE,"PARTIAL")</f>
        <v/>
      </c>
    </row>
    <row r="219">
      <c r="A219" t="inlineStr">
        <is>
          <t>INV0004333</t>
        </is>
      </c>
      <c r="B219" t="inlineStr">
        <is>
          <t>MER00203</t>
        </is>
      </c>
      <c r="C219">
        <f>XLOOKUP(A219,tblInvoices[invoice_id],tblInvoices[total_invoice_amount])</f>
        <v/>
      </c>
      <c r="D219">
        <f>SUMIFS(tblPayments[payment_amount],tblPayments[invoice_id],A219,tblPayments[payment_status],"Success")</f>
        <v/>
      </c>
      <c r="E219">
        <f>D219-C219</f>
        <v/>
      </c>
      <c r="F219">
        <f>IFS(D219=0,"MISSING_PAYMENT",ABS(E219)&lt;=1,"MATCHED",E219&gt;1,"AMOUNT_MISMATCH",TRUE,"PARTIAL")</f>
        <v/>
      </c>
    </row>
    <row r="220">
      <c r="A220" t="inlineStr">
        <is>
          <t>INV0004334</t>
        </is>
      </c>
      <c r="B220" t="inlineStr">
        <is>
          <t>MER00203</t>
        </is>
      </c>
      <c r="C220">
        <f>XLOOKUP(A220,tblInvoices[invoice_id],tblInvoices[total_invoice_amount])</f>
        <v/>
      </c>
      <c r="D220">
        <f>SUMIFS(tblPayments[payment_amount],tblPayments[invoice_id],A220,tblPayments[payment_status],"Success")</f>
        <v/>
      </c>
      <c r="E220">
        <f>D220-C220</f>
        <v/>
      </c>
      <c r="F220">
        <f>IFS(D220=0,"MISSING_PAYMENT",ABS(E220)&lt;=1,"MATCHED",E220&gt;1,"AMOUNT_MISMATCH",TRUE,"PARTIAL")</f>
        <v/>
      </c>
    </row>
    <row r="221">
      <c r="A221" t="inlineStr">
        <is>
          <t>INV0004335</t>
        </is>
      </c>
      <c r="B221" t="inlineStr">
        <is>
          <t>MER00203</t>
        </is>
      </c>
      <c r="C221">
        <f>XLOOKUP(A221,tblInvoices[invoice_id],tblInvoices[total_invoice_amount])</f>
        <v/>
      </c>
      <c r="D221">
        <f>SUMIFS(tblPayments[payment_amount],tblPayments[invoice_id],A221,tblPayments[payment_status],"Success")</f>
        <v/>
      </c>
      <c r="E221">
        <f>D221-C221</f>
        <v/>
      </c>
      <c r="F221">
        <f>IFS(D221=0,"MISSING_PAYMENT",ABS(E221)&lt;=1,"MATCHED",E221&gt;1,"AMOUNT_MISMATCH",TRUE,"PARTIAL")</f>
        <v/>
      </c>
    </row>
    <row r="222">
      <c r="A222" t="inlineStr">
        <is>
          <t>INV0004336</t>
        </is>
      </c>
      <c r="B222" t="inlineStr">
        <is>
          <t>MER00203</t>
        </is>
      </c>
      <c r="C222">
        <f>XLOOKUP(A222,tblInvoices[invoice_id],tblInvoices[total_invoice_amount])</f>
        <v/>
      </c>
      <c r="D222">
        <f>SUMIFS(tblPayments[payment_amount],tblPayments[invoice_id],A222,tblPayments[payment_status],"Success")</f>
        <v/>
      </c>
      <c r="E222">
        <f>D222-C222</f>
        <v/>
      </c>
      <c r="F222">
        <f>IFS(D222=0,"MISSING_PAYMENT",ABS(E222)&lt;=1,"MATCHED",E222&gt;1,"AMOUNT_MISMATCH",TRUE,"PARTIAL")</f>
        <v/>
      </c>
    </row>
    <row r="223">
      <c r="A223" t="inlineStr">
        <is>
          <t>INV0007295</t>
        </is>
      </c>
      <c r="B223" t="inlineStr">
        <is>
          <t>MER00346</t>
        </is>
      </c>
      <c r="C223">
        <f>XLOOKUP(A223,tblInvoices[invoice_id],tblInvoices[total_invoice_amount])</f>
        <v/>
      </c>
      <c r="D223">
        <f>SUMIFS(tblPayments[payment_amount],tblPayments[invoice_id],A223,tblPayments[payment_status],"Success")</f>
        <v/>
      </c>
      <c r="E223">
        <f>D223-C223</f>
        <v/>
      </c>
      <c r="F223">
        <f>IFS(D223=0,"MISSING_PAYMENT",ABS(E223)&lt;=1,"MATCHED",E223&gt;1,"AMOUNT_MISMATCH",TRUE,"PARTIAL")</f>
        <v/>
      </c>
    </row>
    <row r="224">
      <c r="A224" t="inlineStr">
        <is>
          <t>INV0007296</t>
        </is>
      </c>
      <c r="B224" t="inlineStr">
        <is>
          <t>MER00346</t>
        </is>
      </c>
      <c r="C224">
        <f>XLOOKUP(A224,tblInvoices[invoice_id],tblInvoices[total_invoice_amount])</f>
        <v/>
      </c>
      <c r="D224">
        <f>SUMIFS(tblPayments[payment_amount],tblPayments[invoice_id],A224,tblPayments[payment_status],"Success")</f>
        <v/>
      </c>
      <c r="E224">
        <f>D224-C224</f>
        <v/>
      </c>
      <c r="F224">
        <f>IFS(D224=0,"MISSING_PAYMENT",ABS(E224)&lt;=1,"MATCHED",E224&gt;1,"AMOUNT_MISMATCH",TRUE,"PARTIAL")</f>
        <v/>
      </c>
    </row>
    <row r="225">
      <c r="A225" t="inlineStr">
        <is>
          <t>INV0007297</t>
        </is>
      </c>
      <c r="B225" t="inlineStr">
        <is>
          <t>MER00346</t>
        </is>
      </c>
      <c r="C225">
        <f>XLOOKUP(A225,tblInvoices[invoice_id],tblInvoices[total_invoice_amount])</f>
        <v/>
      </c>
      <c r="D225">
        <f>SUMIFS(tblPayments[payment_amount],tblPayments[invoice_id],A225,tblPayments[payment_status],"Success")</f>
        <v/>
      </c>
      <c r="E225">
        <f>D225-C225</f>
        <v/>
      </c>
      <c r="F225">
        <f>IFS(D225=0,"MISSING_PAYMENT",ABS(E225)&lt;=1,"MATCHED",E225&gt;1,"AMOUNT_MISMATCH",TRUE,"PARTIAL")</f>
        <v/>
      </c>
    </row>
    <row r="226">
      <c r="A226" t="inlineStr">
        <is>
          <t>INV0007298</t>
        </is>
      </c>
      <c r="B226" t="inlineStr">
        <is>
          <t>MER00346</t>
        </is>
      </c>
      <c r="C226">
        <f>XLOOKUP(A226,tblInvoices[invoice_id],tblInvoices[total_invoice_amount])</f>
        <v/>
      </c>
      <c r="D226">
        <f>SUMIFS(tblPayments[payment_amount],tblPayments[invoice_id],A226,tblPayments[payment_status],"Success")</f>
        <v/>
      </c>
      <c r="E226">
        <f>D226-C226</f>
        <v/>
      </c>
      <c r="F226">
        <f>IFS(D226=0,"MISSING_PAYMENT",ABS(E226)&lt;=1,"MATCHED",E226&gt;1,"AMOUNT_MISMATCH",TRUE,"PARTIAL")</f>
        <v/>
      </c>
    </row>
    <row r="227">
      <c r="A227" t="inlineStr">
        <is>
          <t>INV0007299</t>
        </is>
      </c>
      <c r="B227" t="inlineStr">
        <is>
          <t>MER00346</t>
        </is>
      </c>
      <c r="C227">
        <f>XLOOKUP(A227,tblInvoices[invoice_id],tblInvoices[total_invoice_amount])</f>
        <v/>
      </c>
      <c r="D227">
        <f>SUMIFS(tblPayments[payment_amount],tblPayments[invoice_id],A227,tblPayments[payment_status],"Success")</f>
        <v/>
      </c>
      <c r="E227">
        <f>D227-C227</f>
        <v/>
      </c>
      <c r="F227">
        <f>IFS(D227=0,"MISSING_PAYMENT",ABS(E227)&lt;=1,"MATCHED",E227&gt;1,"AMOUNT_MISMATCH",TRUE,"PARTIAL")</f>
        <v/>
      </c>
    </row>
    <row r="228">
      <c r="A228" t="inlineStr">
        <is>
          <t>INV0007300</t>
        </is>
      </c>
      <c r="B228" t="inlineStr">
        <is>
          <t>MER00346</t>
        </is>
      </c>
      <c r="C228">
        <f>XLOOKUP(A228,tblInvoices[invoice_id],tblInvoices[total_invoice_amount])</f>
        <v/>
      </c>
      <c r="D228">
        <f>SUMIFS(tblPayments[payment_amount],tblPayments[invoice_id],A228,tblPayments[payment_status],"Success")</f>
        <v/>
      </c>
      <c r="E228">
        <f>D228-C228</f>
        <v/>
      </c>
      <c r="F228">
        <f>IFS(D228=0,"MISSING_PAYMENT",ABS(E228)&lt;=1,"MATCHED",E228&gt;1,"AMOUNT_MISMATCH",TRUE,"PARTIAL")</f>
        <v/>
      </c>
    </row>
    <row r="229">
      <c r="A229" t="inlineStr">
        <is>
          <t>INV0007301</t>
        </is>
      </c>
      <c r="B229" t="inlineStr">
        <is>
          <t>MER00346</t>
        </is>
      </c>
      <c r="C229">
        <f>XLOOKUP(A229,tblInvoices[invoice_id],tblInvoices[total_invoice_amount])</f>
        <v/>
      </c>
      <c r="D229">
        <f>SUMIFS(tblPayments[payment_amount],tblPayments[invoice_id],A229,tblPayments[payment_status],"Success")</f>
        <v/>
      </c>
      <c r="E229">
        <f>D229-C229</f>
        <v/>
      </c>
      <c r="F229">
        <f>IFS(D229=0,"MISSING_PAYMENT",ABS(E229)&lt;=1,"MATCHED",E229&gt;1,"AMOUNT_MISMATCH",TRUE,"PARTIAL")</f>
        <v/>
      </c>
    </row>
    <row r="230">
      <c r="A230" t="inlineStr">
        <is>
          <t>INV0007302</t>
        </is>
      </c>
      <c r="B230" t="inlineStr">
        <is>
          <t>MER00346</t>
        </is>
      </c>
      <c r="C230">
        <f>XLOOKUP(A230,tblInvoices[invoice_id],tblInvoices[total_invoice_amount])</f>
        <v/>
      </c>
      <c r="D230">
        <f>SUMIFS(tblPayments[payment_amount],tblPayments[invoice_id],A230,tblPayments[payment_status],"Success")</f>
        <v/>
      </c>
      <c r="E230">
        <f>D230-C230</f>
        <v/>
      </c>
      <c r="F230">
        <f>IFS(D230=0,"MISSING_PAYMENT",ABS(E230)&lt;=1,"MATCHED",E230&gt;1,"AMOUNT_MISMATCH",TRUE,"PARTIAL")</f>
        <v/>
      </c>
    </row>
    <row r="231">
      <c r="A231" t="inlineStr">
        <is>
          <t>INV0007303</t>
        </is>
      </c>
      <c r="B231" t="inlineStr">
        <is>
          <t>MER00346</t>
        </is>
      </c>
      <c r="C231">
        <f>XLOOKUP(A231,tblInvoices[invoice_id],tblInvoices[total_invoice_amount])</f>
        <v/>
      </c>
      <c r="D231">
        <f>SUMIFS(tblPayments[payment_amount],tblPayments[invoice_id],A231,tblPayments[payment_status],"Success")</f>
        <v/>
      </c>
      <c r="E231">
        <f>D231-C231</f>
        <v/>
      </c>
      <c r="F231">
        <f>IFS(D231=0,"MISSING_PAYMENT",ABS(E231)&lt;=1,"MATCHED",E231&gt;1,"AMOUNT_MISMATCH",TRUE,"PARTIAL")</f>
        <v/>
      </c>
    </row>
    <row r="232">
      <c r="A232" t="inlineStr">
        <is>
          <t>INV0007304</t>
        </is>
      </c>
      <c r="B232" t="inlineStr">
        <is>
          <t>MER00346</t>
        </is>
      </c>
      <c r="C232">
        <f>XLOOKUP(A232,tblInvoices[invoice_id],tblInvoices[total_invoice_amount])</f>
        <v/>
      </c>
      <c r="D232">
        <f>SUMIFS(tblPayments[payment_amount],tblPayments[invoice_id],A232,tblPayments[payment_status],"Success")</f>
        <v/>
      </c>
      <c r="E232">
        <f>D232-C232</f>
        <v/>
      </c>
      <c r="F232">
        <f>IFS(D232=0,"MISSING_PAYMENT",ABS(E232)&lt;=1,"MATCHED",E232&gt;1,"AMOUNT_MISMATCH",TRUE,"PARTIAL")</f>
        <v/>
      </c>
    </row>
    <row r="233">
      <c r="A233" t="inlineStr">
        <is>
          <t>INV0007305</t>
        </is>
      </c>
      <c r="B233" t="inlineStr">
        <is>
          <t>MER00346</t>
        </is>
      </c>
      <c r="C233">
        <f>XLOOKUP(A233,tblInvoices[invoice_id],tblInvoices[total_invoice_amount])</f>
        <v/>
      </c>
      <c r="D233">
        <f>SUMIFS(tblPayments[payment_amount],tblPayments[invoice_id],A233,tblPayments[payment_status],"Success")</f>
        <v/>
      </c>
      <c r="E233">
        <f>D233-C233</f>
        <v/>
      </c>
      <c r="F233">
        <f>IFS(D233=0,"MISSING_PAYMENT",ABS(E233)&lt;=1,"MATCHED",E233&gt;1,"AMOUNT_MISMATCH",TRUE,"PARTIAL")</f>
        <v/>
      </c>
    </row>
    <row r="234">
      <c r="A234" t="inlineStr">
        <is>
          <t>INV0007306</t>
        </is>
      </c>
      <c r="B234" t="inlineStr">
        <is>
          <t>MER00346</t>
        </is>
      </c>
      <c r="C234">
        <f>XLOOKUP(A234,tblInvoices[invoice_id],tblInvoices[total_invoice_amount])</f>
        <v/>
      </c>
      <c r="D234">
        <f>SUMIFS(tblPayments[payment_amount],tblPayments[invoice_id],A234,tblPayments[payment_status],"Success")</f>
        <v/>
      </c>
      <c r="E234">
        <f>D234-C234</f>
        <v/>
      </c>
      <c r="F234">
        <f>IFS(D234=0,"MISSING_PAYMENT",ABS(E234)&lt;=1,"MATCHED",E234&gt;1,"AMOUNT_MISMATCH",TRUE,"PARTIAL")</f>
        <v/>
      </c>
    </row>
    <row r="235">
      <c r="A235" t="inlineStr">
        <is>
          <t>INV0007307</t>
        </is>
      </c>
      <c r="B235" t="inlineStr">
        <is>
          <t>MER00346</t>
        </is>
      </c>
      <c r="C235">
        <f>XLOOKUP(A235,tblInvoices[invoice_id],tblInvoices[total_invoice_amount])</f>
        <v/>
      </c>
      <c r="D235">
        <f>SUMIFS(tblPayments[payment_amount],tblPayments[invoice_id],A235,tblPayments[payment_status],"Success")</f>
        <v/>
      </c>
      <c r="E235">
        <f>D235-C235</f>
        <v/>
      </c>
      <c r="F235">
        <f>IFS(D235=0,"MISSING_PAYMENT",ABS(E235)&lt;=1,"MATCHED",E235&gt;1,"AMOUNT_MISMATCH",TRUE,"PARTIAL")</f>
        <v/>
      </c>
    </row>
    <row r="236">
      <c r="A236" t="inlineStr">
        <is>
          <t>INV0007308</t>
        </is>
      </c>
      <c r="B236" t="inlineStr">
        <is>
          <t>MER00346</t>
        </is>
      </c>
      <c r="C236">
        <f>XLOOKUP(A236,tblInvoices[invoice_id],tblInvoices[total_invoice_amount])</f>
        <v/>
      </c>
      <c r="D236">
        <f>SUMIFS(tblPayments[payment_amount],tblPayments[invoice_id],A236,tblPayments[payment_status],"Success")</f>
        <v/>
      </c>
      <c r="E236">
        <f>D236-C236</f>
        <v/>
      </c>
      <c r="F236">
        <f>IFS(D236=0,"MISSING_PAYMENT",ABS(E236)&lt;=1,"MATCHED",E236&gt;1,"AMOUNT_MISMATCH",TRUE,"PARTIAL")</f>
        <v/>
      </c>
    </row>
    <row r="237">
      <c r="A237" t="inlineStr">
        <is>
          <t>INV0007309</t>
        </is>
      </c>
      <c r="B237" t="inlineStr">
        <is>
          <t>MER00346</t>
        </is>
      </c>
      <c r="C237">
        <f>XLOOKUP(A237,tblInvoices[invoice_id],tblInvoices[total_invoice_amount])</f>
        <v/>
      </c>
      <c r="D237">
        <f>SUMIFS(tblPayments[payment_amount],tblPayments[invoice_id],A237,tblPayments[payment_status],"Success")</f>
        <v/>
      </c>
      <c r="E237">
        <f>D237-C237</f>
        <v/>
      </c>
      <c r="F237">
        <f>IFS(D237=0,"MISSING_PAYMENT",ABS(E237)&lt;=1,"MATCHED",E237&gt;1,"AMOUNT_MISMATCH",TRUE,"PARTIAL")</f>
        <v/>
      </c>
    </row>
    <row r="238">
      <c r="A238" t="inlineStr">
        <is>
          <t>INV0007310</t>
        </is>
      </c>
      <c r="B238" t="inlineStr">
        <is>
          <t>MER00346</t>
        </is>
      </c>
      <c r="C238">
        <f>XLOOKUP(A238,tblInvoices[invoice_id],tblInvoices[total_invoice_amount])</f>
        <v/>
      </c>
      <c r="D238">
        <f>SUMIFS(tblPayments[payment_amount],tblPayments[invoice_id],A238,tblPayments[payment_status],"Success")</f>
        <v/>
      </c>
      <c r="E238">
        <f>D238-C238</f>
        <v/>
      </c>
      <c r="F238">
        <f>IFS(D238=0,"MISSING_PAYMENT",ABS(E238)&lt;=1,"MATCHED",E238&gt;1,"AMOUNT_MISMATCH",TRUE,"PARTIAL")</f>
        <v/>
      </c>
    </row>
    <row r="239">
      <c r="A239" t="inlineStr">
        <is>
          <t>INV0007311</t>
        </is>
      </c>
      <c r="B239" t="inlineStr">
        <is>
          <t>MER00346</t>
        </is>
      </c>
      <c r="C239">
        <f>XLOOKUP(A239,tblInvoices[invoice_id],tblInvoices[total_invoice_amount])</f>
        <v/>
      </c>
      <c r="D239">
        <f>SUMIFS(tblPayments[payment_amount],tblPayments[invoice_id],A239,tblPayments[payment_status],"Success")</f>
        <v/>
      </c>
      <c r="E239">
        <f>D239-C239</f>
        <v/>
      </c>
      <c r="F239">
        <f>IFS(D239=0,"MISSING_PAYMENT",ABS(E239)&lt;=1,"MATCHED",E239&gt;1,"AMOUNT_MISMATCH",TRUE,"PARTIAL")</f>
        <v/>
      </c>
    </row>
    <row r="240">
      <c r="A240" t="inlineStr">
        <is>
          <t>INV0007312</t>
        </is>
      </c>
      <c r="B240" t="inlineStr">
        <is>
          <t>MER00346</t>
        </is>
      </c>
      <c r="C240">
        <f>XLOOKUP(A240,tblInvoices[invoice_id],tblInvoices[total_invoice_amount])</f>
        <v/>
      </c>
      <c r="D240">
        <f>SUMIFS(tblPayments[payment_amount],tblPayments[invoice_id],A240,tblPayments[payment_status],"Success")</f>
        <v/>
      </c>
      <c r="E240">
        <f>D240-C240</f>
        <v/>
      </c>
      <c r="F240">
        <f>IFS(D240=0,"MISSING_PAYMENT",ABS(E240)&lt;=1,"MATCHED",E240&gt;1,"AMOUNT_MISMATCH",TRUE,"PARTIAL")</f>
        <v/>
      </c>
    </row>
    <row r="241">
      <c r="A241" t="inlineStr">
        <is>
          <t>INV0007313</t>
        </is>
      </c>
      <c r="B241" t="inlineStr">
        <is>
          <t>MER00346</t>
        </is>
      </c>
      <c r="C241">
        <f>XLOOKUP(A241,tblInvoices[invoice_id],tblInvoices[total_invoice_amount])</f>
        <v/>
      </c>
      <c r="D241">
        <f>SUMIFS(tblPayments[payment_amount],tblPayments[invoice_id],A241,tblPayments[payment_status],"Success")</f>
        <v/>
      </c>
      <c r="E241">
        <f>D241-C241</f>
        <v/>
      </c>
      <c r="F241">
        <f>IFS(D241=0,"MISSING_PAYMENT",ABS(E241)&lt;=1,"MATCHED",E241&gt;1,"AMOUNT_MISMATCH",TRUE,"PARTIAL")</f>
        <v/>
      </c>
    </row>
    <row r="242">
      <c r="A242" t="inlineStr">
        <is>
          <t>INV0007314</t>
        </is>
      </c>
      <c r="B242" t="inlineStr">
        <is>
          <t>MER00346</t>
        </is>
      </c>
      <c r="C242">
        <f>XLOOKUP(A242,tblInvoices[invoice_id],tblInvoices[total_invoice_amount])</f>
        <v/>
      </c>
      <c r="D242">
        <f>SUMIFS(tblPayments[payment_amount],tblPayments[invoice_id],A242,tblPayments[payment_status],"Success")</f>
        <v/>
      </c>
      <c r="E242">
        <f>D242-C242</f>
        <v/>
      </c>
      <c r="F242">
        <f>IFS(D242=0,"MISSING_PAYMENT",ABS(E242)&lt;=1,"MATCHED",E242&gt;1,"AMOUNT_MISMATCH",TRUE,"PARTIAL")</f>
        <v/>
      </c>
    </row>
    <row r="243">
      <c r="A243" t="inlineStr">
        <is>
          <t>INV0007315</t>
        </is>
      </c>
      <c r="B243" t="inlineStr">
        <is>
          <t>MER00346</t>
        </is>
      </c>
      <c r="C243">
        <f>XLOOKUP(A243,tblInvoices[invoice_id],tblInvoices[total_invoice_amount])</f>
        <v/>
      </c>
      <c r="D243">
        <f>SUMIFS(tblPayments[payment_amount],tblPayments[invoice_id],A243,tblPayments[payment_status],"Success")</f>
        <v/>
      </c>
      <c r="E243">
        <f>D243-C243</f>
        <v/>
      </c>
      <c r="F243">
        <f>IFS(D243=0,"MISSING_PAYMENT",ABS(E243)&lt;=1,"MATCHED",E243&gt;1,"AMOUNT_MISMATCH",TRUE,"PARTIAL")</f>
        <v/>
      </c>
    </row>
    <row r="244">
      <c r="A244" t="inlineStr">
        <is>
          <t>INV0007316</t>
        </is>
      </c>
      <c r="B244" t="inlineStr">
        <is>
          <t>MER00346</t>
        </is>
      </c>
      <c r="C244">
        <f>XLOOKUP(A244,tblInvoices[invoice_id],tblInvoices[total_invoice_amount])</f>
        <v/>
      </c>
      <c r="D244">
        <f>SUMIFS(tblPayments[payment_amount],tblPayments[invoice_id],A244,tblPayments[payment_status],"Success")</f>
        <v/>
      </c>
      <c r="E244">
        <f>D244-C244</f>
        <v/>
      </c>
      <c r="F244">
        <f>IFS(D244=0,"MISSING_PAYMENT",ABS(E244)&lt;=1,"MATCHED",E244&gt;1,"AMOUNT_MISMATCH",TRUE,"PARTIAL")</f>
        <v/>
      </c>
    </row>
    <row r="245">
      <c r="A245" t="inlineStr">
        <is>
          <t>INV0007317</t>
        </is>
      </c>
      <c r="B245" t="inlineStr">
        <is>
          <t>MER00346</t>
        </is>
      </c>
      <c r="C245">
        <f>XLOOKUP(A245,tblInvoices[invoice_id],tblInvoices[total_invoice_amount])</f>
        <v/>
      </c>
      <c r="D245">
        <f>SUMIFS(tblPayments[payment_amount],tblPayments[invoice_id],A245,tblPayments[payment_status],"Success")</f>
        <v/>
      </c>
      <c r="E245">
        <f>D245-C245</f>
        <v/>
      </c>
      <c r="F245">
        <f>IFS(D245=0,"MISSING_PAYMENT",ABS(E245)&lt;=1,"MATCHED",E245&gt;1,"AMOUNT_MISMATCH",TRUE,"PARTIAL")</f>
        <v/>
      </c>
    </row>
    <row r="246">
      <c r="A246" t="inlineStr">
        <is>
          <t>INV0007318</t>
        </is>
      </c>
      <c r="B246" t="inlineStr">
        <is>
          <t>MER00347</t>
        </is>
      </c>
      <c r="C246">
        <f>XLOOKUP(A246,tblInvoices[invoice_id],tblInvoices[total_invoice_amount])</f>
        <v/>
      </c>
      <c r="D246">
        <f>SUMIFS(tblPayments[payment_amount],tblPayments[invoice_id],A246,tblPayments[payment_status],"Success")</f>
        <v/>
      </c>
      <c r="E246">
        <f>D246-C246</f>
        <v/>
      </c>
      <c r="F246">
        <f>IFS(D246=0,"MISSING_PAYMENT",ABS(E246)&lt;=1,"MATCHED",E246&gt;1,"AMOUNT_MISMATCH",TRUE,"PARTIAL")</f>
        <v/>
      </c>
    </row>
    <row r="247">
      <c r="A247" t="inlineStr">
        <is>
          <t>INV0007319</t>
        </is>
      </c>
      <c r="B247" t="inlineStr">
        <is>
          <t>MER00347</t>
        </is>
      </c>
      <c r="C247">
        <f>XLOOKUP(A247,tblInvoices[invoice_id],tblInvoices[total_invoice_amount])</f>
        <v/>
      </c>
      <c r="D247">
        <f>SUMIFS(tblPayments[payment_amount],tblPayments[invoice_id],A247,tblPayments[payment_status],"Success")</f>
        <v/>
      </c>
      <c r="E247">
        <f>D247-C247</f>
        <v/>
      </c>
      <c r="F247">
        <f>IFS(D247=0,"MISSING_PAYMENT",ABS(E247)&lt;=1,"MATCHED",E247&gt;1,"AMOUNT_MISMATCH",TRUE,"PARTIAL")</f>
        <v/>
      </c>
    </row>
    <row r="248">
      <c r="A248" t="inlineStr">
        <is>
          <t>INV0007320</t>
        </is>
      </c>
      <c r="B248" t="inlineStr">
        <is>
          <t>MER00347</t>
        </is>
      </c>
      <c r="C248">
        <f>XLOOKUP(A248,tblInvoices[invoice_id],tblInvoices[total_invoice_amount])</f>
        <v/>
      </c>
      <c r="D248">
        <f>SUMIFS(tblPayments[payment_amount],tblPayments[invoice_id],A248,tblPayments[payment_status],"Success")</f>
        <v/>
      </c>
      <c r="E248">
        <f>D248-C248</f>
        <v/>
      </c>
      <c r="F248">
        <f>IFS(D248=0,"MISSING_PAYMENT",ABS(E248)&lt;=1,"MATCHED",E248&gt;1,"AMOUNT_MISMATCH",TRUE,"PARTIAL")</f>
        <v/>
      </c>
    </row>
    <row r="249">
      <c r="A249" t="inlineStr">
        <is>
          <t>INV0007477</t>
        </is>
      </c>
      <c r="B249" t="inlineStr">
        <is>
          <t>MER00355</t>
        </is>
      </c>
      <c r="C249">
        <f>XLOOKUP(A249,tblInvoices[invoice_id],tblInvoices[total_invoice_amount])</f>
        <v/>
      </c>
      <c r="D249">
        <f>SUMIFS(tblPayments[payment_amount],tblPayments[invoice_id],A249,tblPayments[payment_status],"Success")</f>
        <v/>
      </c>
      <c r="E249">
        <f>D249-C249</f>
        <v/>
      </c>
      <c r="F249">
        <f>IFS(D249=0,"MISSING_PAYMENT",ABS(E249)&lt;=1,"MATCHED",E249&gt;1,"AMOUNT_MISMATCH",TRUE,"PARTIAL")</f>
        <v/>
      </c>
    </row>
    <row r="250">
      <c r="A250" t="inlineStr">
        <is>
          <t>INV0007478</t>
        </is>
      </c>
      <c r="B250" t="inlineStr">
        <is>
          <t>MER00355</t>
        </is>
      </c>
      <c r="C250">
        <f>XLOOKUP(A250,tblInvoices[invoice_id],tblInvoices[total_invoice_amount])</f>
        <v/>
      </c>
      <c r="D250">
        <f>SUMIFS(tblPayments[payment_amount],tblPayments[invoice_id],A250,tblPayments[payment_status],"Success")</f>
        <v/>
      </c>
      <c r="E250">
        <f>D250-C250</f>
        <v/>
      </c>
      <c r="F250">
        <f>IFS(D250=0,"MISSING_PAYMENT",ABS(E250)&lt;=1,"MATCHED",E250&gt;1,"AMOUNT_MISMATCH",TRUE,"PARTIAL")</f>
        <v/>
      </c>
    </row>
    <row r="251">
      <c r="A251" t="inlineStr">
        <is>
          <t>INV0007479</t>
        </is>
      </c>
      <c r="B251" t="inlineStr">
        <is>
          <t>MER00355</t>
        </is>
      </c>
      <c r="C251">
        <f>XLOOKUP(A251,tblInvoices[invoice_id],tblInvoices[total_invoice_amount])</f>
        <v/>
      </c>
      <c r="D251">
        <f>SUMIFS(tblPayments[payment_amount],tblPayments[invoice_id],A251,tblPayments[payment_status],"Success")</f>
        <v/>
      </c>
      <c r="E251">
        <f>D251-C251</f>
        <v/>
      </c>
      <c r="F251">
        <f>IFS(D251=0,"MISSING_PAYMENT",ABS(E251)&lt;=1,"MATCHED",E251&gt;1,"AMOUNT_MISMATCH",TRUE,"PARTIAL")</f>
        <v/>
      </c>
    </row>
    <row r="252">
      <c r="A252" t="inlineStr">
        <is>
          <t>INV0007480</t>
        </is>
      </c>
      <c r="B252" t="inlineStr">
        <is>
          <t>MER00355</t>
        </is>
      </c>
      <c r="C252">
        <f>XLOOKUP(A252,tblInvoices[invoice_id],tblInvoices[total_invoice_amount])</f>
        <v/>
      </c>
      <c r="D252">
        <f>SUMIFS(tblPayments[payment_amount],tblPayments[invoice_id],A252,tblPayments[payment_status],"Success")</f>
        <v/>
      </c>
      <c r="E252">
        <f>D252-C252</f>
        <v/>
      </c>
      <c r="F252">
        <f>IFS(D252=0,"MISSING_PAYMENT",ABS(E252)&lt;=1,"MATCHED",E252&gt;1,"AMOUNT_MISMATCH",TRUE,"PARTIAL")</f>
        <v/>
      </c>
    </row>
    <row r="253">
      <c r="A253" t="inlineStr">
        <is>
          <t>INV0007481</t>
        </is>
      </c>
      <c r="B253" t="inlineStr">
        <is>
          <t>MER00355</t>
        </is>
      </c>
      <c r="C253">
        <f>XLOOKUP(A253,tblInvoices[invoice_id],tblInvoices[total_invoice_amount])</f>
        <v/>
      </c>
      <c r="D253">
        <f>SUMIFS(tblPayments[payment_amount],tblPayments[invoice_id],A253,tblPayments[payment_status],"Success")</f>
        <v/>
      </c>
      <c r="E253">
        <f>D253-C253</f>
        <v/>
      </c>
      <c r="F253">
        <f>IFS(D253=0,"MISSING_PAYMENT",ABS(E253)&lt;=1,"MATCHED",E253&gt;1,"AMOUNT_MISMATCH",TRUE,"PARTIAL")</f>
        <v/>
      </c>
    </row>
    <row r="254">
      <c r="A254" t="inlineStr">
        <is>
          <t>INV0007482</t>
        </is>
      </c>
      <c r="B254" t="inlineStr">
        <is>
          <t>MER00355</t>
        </is>
      </c>
      <c r="C254">
        <f>XLOOKUP(A254,tblInvoices[invoice_id],tblInvoices[total_invoice_amount])</f>
        <v/>
      </c>
      <c r="D254">
        <f>SUMIFS(tblPayments[payment_amount],tblPayments[invoice_id],A254,tblPayments[payment_status],"Success")</f>
        <v/>
      </c>
      <c r="E254">
        <f>D254-C254</f>
        <v/>
      </c>
      <c r="F254">
        <f>IFS(D254=0,"MISSING_PAYMENT",ABS(E254)&lt;=1,"MATCHED",E254&gt;1,"AMOUNT_MISMATCH",TRUE,"PARTIAL")</f>
        <v/>
      </c>
    </row>
    <row r="255">
      <c r="A255" t="inlineStr">
        <is>
          <t>INV0007483</t>
        </is>
      </c>
      <c r="B255" t="inlineStr">
        <is>
          <t>MER00355</t>
        </is>
      </c>
      <c r="C255">
        <f>XLOOKUP(A255,tblInvoices[invoice_id],tblInvoices[total_invoice_amount])</f>
        <v/>
      </c>
      <c r="D255">
        <f>SUMIFS(tblPayments[payment_amount],tblPayments[invoice_id],A255,tblPayments[payment_status],"Success")</f>
        <v/>
      </c>
      <c r="E255">
        <f>D255-C255</f>
        <v/>
      </c>
      <c r="F255">
        <f>IFS(D255=0,"MISSING_PAYMENT",ABS(E255)&lt;=1,"MATCHED",E255&gt;1,"AMOUNT_MISMATCH",TRUE,"PARTIAL")</f>
        <v/>
      </c>
    </row>
    <row r="256">
      <c r="A256" t="inlineStr">
        <is>
          <t>INV0007484</t>
        </is>
      </c>
      <c r="B256" t="inlineStr">
        <is>
          <t>MER00355</t>
        </is>
      </c>
      <c r="C256">
        <f>XLOOKUP(A256,tblInvoices[invoice_id],tblInvoices[total_invoice_amount])</f>
        <v/>
      </c>
      <c r="D256">
        <f>SUMIFS(tblPayments[payment_amount],tblPayments[invoice_id],A256,tblPayments[payment_status],"Success")</f>
        <v/>
      </c>
      <c r="E256">
        <f>D256-C256</f>
        <v/>
      </c>
      <c r="F256">
        <f>IFS(D256=0,"MISSING_PAYMENT",ABS(E256)&lt;=1,"MATCHED",E256&gt;1,"AMOUNT_MISMATCH",TRUE,"PARTIAL")</f>
        <v/>
      </c>
    </row>
    <row r="257">
      <c r="A257" t="inlineStr">
        <is>
          <t>INV0007485</t>
        </is>
      </c>
      <c r="B257" t="inlineStr">
        <is>
          <t>MER00355</t>
        </is>
      </c>
      <c r="C257">
        <f>XLOOKUP(A257,tblInvoices[invoice_id],tblInvoices[total_invoice_amount])</f>
        <v/>
      </c>
      <c r="D257">
        <f>SUMIFS(tblPayments[payment_amount],tblPayments[invoice_id],A257,tblPayments[payment_status],"Success")</f>
        <v/>
      </c>
      <c r="E257">
        <f>D257-C257</f>
        <v/>
      </c>
      <c r="F257">
        <f>IFS(D257=0,"MISSING_PAYMENT",ABS(E257)&lt;=1,"MATCHED",E257&gt;1,"AMOUNT_MISMATCH",TRUE,"PARTIAL")</f>
        <v/>
      </c>
    </row>
    <row r="258">
      <c r="A258" t="inlineStr">
        <is>
          <t>INV0007486</t>
        </is>
      </c>
      <c r="B258" t="inlineStr">
        <is>
          <t>MER00355</t>
        </is>
      </c>
      <c r="C258">
        <f>XLOOKUP(A258,tblInvoices[invoice_id],tblInvoices[total_invoice_amount])</f>
        <v/>
      </c>
      <c r="D258">
        <f>SUMIFS(tblPayments[payment_amount],tblPayments[invoice_id],A258,tblPayments[payment_status],"Success")</f>
        <v/>
      </c>
      <c r="E258">
        <f>D258-C258</f>
        <v/>
      </c>
      <c r="F258">
        <f>IFS(D258=0,"MISSING_PAYMENT",ABS(E258)&lt;=1,"MATCHED",E258&gt;1,"AMOUNT_MISMATCH",TRUE,"PARTIAL")</f>
        <v/>
      </c>
    </row>
    <row r="259">
      <c r="A259" t="inlineStr">
        <is>
          <t>INV0007487</t>
        </is>
      </c>
      <c r="B259" t="inlineStr">
        <is>
          <t>MER00355</t>
        </is>
      </c>
      <c r="C259">
        <f>XLOOKUP(A259,tblInvoices[invoice_id],tblInvoices[total_invoice_amount])</f>
        <v/>
      </c>
      <c r="D259">
        <f>SUMIFS(tblPayments[payment_amount],tblPayments[invoice_id],A259,tblPayments[payment_status],"Success")</f>
        <v/>
      </c>
      <c r="E259">
        <f>D259-C259</f>
        <v/>
      </c>
      <c r="F259">
        <f>IFS(D259=0,"MISSING_PAYMENT",ABS(E259)&lt;=1,"MATCHED",E259&gt;1,"AMOUNT_MISMATCH",TRUE,"PARTIAL")</f>
        <v/>
      </c>
    </row>
    <row r="260">
      <c r="A260" t="inlineStr">
        <is>
          <t>INV0007488</t>
        </is>
      </c>
      <c r="B260" t="inlineStr">
        <is>
          <t>MER00355</t>
        </is>
      </c>
      <c r="C260">
        <f>XLOOKUP(A260,tblInvoices[invoice_id],tblInvoices[total_invoice_amount])</f>
        <v/>
      </c>
      <c r="D260">
        <f>SUMIFS(tblPayments[payment_amount],tblPayments[invoice_id],A260,tblPayments[payment_status],"Success")</f>
        <v/>
      </c>
      <c r="E260">
        <f>D260-C260</f>
        <v/>
      </c>
      <c r="F260">
        <f>IFS(D260=0,"MISSING_PAYMENT",ABS(E260)&lt;=1,"MATCHED",E260&gt;1,"AMOUNT_MISMATCH",TRUE,"PARTIAL")</f>
        <v/>
      </c>
    </row>
    <row r="261">
      <c r="A261" t="inlineStr">
        <is>
          <t>INV0007489</t>
        </is>
      </c>
      <c r="B261" t="inlineStr">
        <is>
          <t>MER00355</t>
        </is>
      </c>
      <c r="C261">
        <f>XLOOKUP(A261,tblInvoices[invoice_id],tblInvoices[total_invoice_amount])</f>
        <v/>
      </c>
      <c r="D261">
        <f>SUMIFS(tblPayments[payment_amount],tblPayments[invoice_id],A261,tblPayments[payment_status],"Success")</f>
        <v/>
      </c>
      <c r="E261">
        <f>D261-C261</f>
        <v/>
      </c>
      <c r="F261">
        <f>IFS(D261=0,"MISSING_PAYMENT",ABS(E261)&lt;=1,"MATCHED",E261&gt;1,"AMOUNT_MISMATCH",TRUE,"PARTIAL")</f>
        <v/>
      </c>
    </row>
    <row r="262">
      <c r="A262" t="inlineStr">
        <is>
          <t>INV0007490</t>
        </is>
      </c>
      <c r="B262" t="inlineStr">
        <is>
          <t>MER00355</t>
        </is>
      </c>
      <c r="C262">
        <f>XLOOKUP(A262,tblInvoices[invoice_id],tblInvoices[total_invoice_amount])</f>
        <v/>
      </c>
      <c r="D262">
        <f>SUMIFS(tblPayments[payment_amount],tblPayments[invoice_id],A262,tblPayments[payment_status],"Success")</f>
        <v/>
      </c>
      <c r="E262">
        <f>D262-C262</f>
        <v/>
      </c>
      <c r="F262">
        <f>IFS(D262=0,"MISSING_PAYMENT",ABS(E262)&lt;=1,"MATCHED",E262&gt;1,"AMOUNT_MISMATCH",TRUE,"PARTIAL")</f>
        <v/>
      </c>
    </row>
    <row r="263">
      <c r="A263" t="inlineStr">
        <is>
          <t>INV0007491</t>
        </is>
      </c>
      <c r="B263" t="inlineStr">
        <is>
          <t>MER00355</t>
        </is>
      </c>
      <c r="C263">
        <f>XLOOKUP(A263,tblInvoices[invoice_id],tblInvoices[total_invoice_amount])</f>
        <v/>
      </c>
      <c r="D263">
        <f>SUMIFS(tblPayments[payment_amount],tblPayments[invoice_id],A263,tblPayments[payment_status],"Success")</f>
        <v/>
      </c>
      <c r="E263">
        <f>D263-C263</f>
        <v/>
      </c>
      <c r="F263">
        <f>IFS(D263=0,"MISSING_PAYMENT",ABS(E263)&lt;=1,"MATCHED",E263&gt;1,"AMOUNT_MISMATCH",TRUE,"PARTIAL")</f>
        <v/>
      </c>
    </row>
    <row r="264">
      <c r="A264" t="inlineStr">
        <is>
          <t>INV0007492</t>
        </is>
      </c>
      <c r="B264" t="inlineStr">
        <is>
          <t>MER00355</t>
        </is>
      </c>
      <c r="C264">
        <f>XLOOKUP(A264,tblInvoices[invoice_id],tblInvoices[total_invoice_amount])</f>
        <v/>
      </c>
      <c r="D264">
        <f>SUMIFS(tblPayments[payment_amount],tblPayments[invoice_id],A264,tblPayments[payment_status],"Success")</f>
        <v/>
      </c>
      <c r="E264">
        <f>D264-C264</f>
        <v/>
      </c>
      <c r="F264">
        <f>IFS(D264=0,"MISSING_PAYMENT",ABS(E264)&lt;=1,"MATCHED",E264&gt;1,"AMOUNT_MISMATCH",TRUE,"PARTIAL")</f>
        <v/>
      </c>
    </row>
    <row r="265">
      <c r="A265" t="inlineStr">
        <is>
          <t>INV0007493</t>
        </is>
      </c>
      <c r="B265" t="inlineStr">
        <is>
          <t>MER00355</t>
        </is>
      </c>
      <c r="C265">
        <f>XLOOKUP(A265,tblInvoices[invoice_id],tblInvoices[total_invoice_amount])</f>
        <v/>
      </c>
      <c r="D265">
        <f>SUMIFS(tblPayments[payment_amount],tblPayments[invoice_id],A265,tblPayments[payment_status],"Success")</f>
        <v/>
      </c>
      <c r="E265">
        <f>D265-C265</f>
        <v/>
      </c>
      <c r="F265">
        <f>IFS(D265=0,"MISSING_PAYMENT",ABS(E265)&lt;=1,"MATCHED",E265&gt;1,"AMOUNT_MISMATCH",TRUE,"PARTIAL")</f>
        <v/>
      </c>
    </row>
    <row r="266">
      <c r="A266" t="inlineStr">
        <is>
          <t>INV0007494</t>
        </is>
      </c>
      <c r="B266" t="inlineStr">
        <is>
          <t>MER00355</t>
        </is>
      </c>
      <c r="C266">
        <f>XLOOKUP(A266,tblInvoices[invoice_id],tblInvoices[total_invoice_amount])</f>
        <v/>
      </c>
      <c r="D266">
        <f>SUMIFS(tblPayments[payment_amount],tblPayments[invoice_id],A266,tblPayments[payment_status],"Success")</f>
        <v/>
      </c>
      <c r="E266">
        <f>D266-C266</f>
        <v/>
      </c>
      <c r="F266">
        <f>IFS(D266=0,"MISSING_PAYMENT",ABS(E266)&lt;=1,"MATCHED",E266&gt;1,"AMOUNT_MISMATCH",TRUE,"PARTIAL")</f>
        <v/>
      </c>
    </row>
    <row r="267">
      <c r="A267" t="inlineStr">
        <is>
          <t>INV0007495</t>
        </is>
      </c>
      <c r="B267" t="inlineStr">
        <is>
          <t>MER00355</t>
        </is>
      </c>
      <c r="C267">
        <f>XLOOKUP(A267,tblInvoices[invoice_id],tblInvoices[total_invoice_amount])</f>
        <v/>
      </c>
      <c r="D267">
        <f>SUMIFS(tblPayments[payment_amount],tblPayments[invoice_id],A267,tblPayments[payment_status],"Success")</f>
        <v/>
      </c>
      <c r="E267">
        <f>D267-C267</f>
        <v/>
      </c>
      <c r="F267">
        <f>IFS(D267=0,"MISSING_PAYMENT",ABS(E267)&lt;=1,"MATCHED",E267&gt;1,"AMOUNT_MISMATCH",TRUE,"PARTIAL")</f>
        <v/>
      </c>
    </row>
    <row r="268">
      <c r="A268" t="inlineStr">
        <is>
          <t>INV0007496</t>
        </is>
      </c>
      <c r="B268" t="inlineStr">
        <is>
          <t>MER00355</t>
        </is>
      </c>
      <c r="C268">
        <f>XLOOKUP(A268,tblInvoices[invoice_id],tblInvoices[total_invoice_amount])</f>
        <v/>
      </c>
      <c r="D268">
        <f>SUMIFS(tblPayments[payment_amount],tblPayments[invoice_id],A268,tblPayments[payment_status],"Success")</f>
        <v/>
      </c>
      <c r="E268">
        <f>D268-C268</f>
        <v/>
      </c>
      <c r="F268">
        <f>IFS(D268=0,"MISSING_PAYMENT",ABS(E268)&lt;=1,"MATCHED",E268&gt;1,"AMOUNT_MISMATCH",TRUE,"PARTIAL")</f>
        <v/>
      </c>
    </row>
    <row r="269">
      <c r="A269" t="inlineStr">
        <is>
          <t>INV0007497</t>
        </is>
      </c>
      <c r="B269" t="inlineStr">
        <is>
          <t>MER00355</t>
        </is>
      </c>
      <c r="C269">
        <f>XLOOKUP(A269,tblInvoices[invoice_id],tblInvoices[total_invoice_amount])</f>
        <v/>
      </c>
      <c r="D269">
        <f>SUMIFS(tblPayments[payment_amount],tblPayments[invoice_id],A269,tblPayments[payment_status],"Success")</f>
        <v/>
      </c>
      <c r="E269">
        <f>D269-C269</f>
        <v/>
      </c>
      <c r="F269">
        <f>IFS(D269=0,"MISSING_PAYMENT",ABS(E269)&lt;=1,"MATCHED",E269&gt;1,"AMOUNT_MISMATCH",TRUE,"PARTIAL")</f>
        <v/>
      </c>
    </row>
    <row r="270">
      <c r="A270" t="inlineStr">
        <is>
          <t>INV0007498</t>
        </is>
      </c>
      <c r="B270" t="inlineStr">
        <is>
          <t>MER00355</t>
        </is>
      </c>
      <c r="C270">
        <f>XLOOKUP(A270,tblInvoices[invoice_id],tblInvoices[total_invoice_amount])</f>
        <v/>
      </c>
      <c r="D270">
        <f>SUMIFS(tblPayments[payment_amount],tblPayments[invoice_id],A270,tblPayments[payment_status],"Success")</f>
        <v/>
      </c>
      <c r="E270">
        <f>D270-C270</f>
        <v/>
      </c>
      <c r="F270">
        <f>IFS(D270=0,"MISSING_PAYMENT",ABS(E270)&lt;=1,"MATCHED",E270&gt;1,"AMOUNT_MISMATCH",TRUE,"PARTIAL")</f>
        <v/>
      </c>
    </row>
    <row r="271">
      <c r="A271" t="inlineStr">
        <is>
          <t>INV0007499</t>
        </is>
      </c>
      <c r="B271" t="inlineStr">
        <is>
          <t>MER00355</t>
        </is>
      </c>
      <c r="C271">
        <f>XLOOKUP(A271,tblInvoices[invoice_id],tblInvoices[total_invoice_amount])</f>
        <v/>
      </c>
      <c r="D271">
        <f>SUMIFS(tblPayments[payment_amount],tblPayments[invoice_id],A271,tblPayments[payment_status],"Success")</f>
        <v/>
      </c>
      <c r="E271">
        <f>D271-C271</f>
        <v/>
      </c>
      <c r="F271">
        <f>IFS(D271=0,"MISSING_PAYMENT",ABS(E271)&lt;=1,"MATCHED",E271&gt;1,"AMOUNT_MISMATCH",TRUE,"PARTIAL")</f>
        <v/>
      </c>
    </row>
    <row r="272">
      <c r="A272" t="inlineStr">
        <is>
          <t>INV0007500</t>
        </is>
      </c>
      <c r="B272" t="inlineStr">
        <is>
          <t>MER00355</t>
        </is>
      </c>
      <c r="C272">
        <f>XLOOKUP(A272,tblInvoices[invoice_id],tblInvoices[total_invoice_amount])</f>
        <v/>
      </c>
      <c r="D272">
        <f>SUMIFS(tblPayments[payment_amount],tblPayments[invoice_id],A272,tblPayments[payment_status],"Success")</f>
        <v/>
      </c>
      <c r="E272">
        <f>D272-C272</f>
        <v/>
      </c>
      <c r="F272">
        <f>IFS(D272=0,"MISSING_PAYMENT",ABS(E272)&lt;=1,"MATCHED",E272&gt;1,"AMOUNT_MISMATCH",TRUE,"PARTIAL")</f>
        <v/>
      </c>
    </row>
    <row r="273">
      <c r="A273" t="inlineStr">
        <is>
          <t>INV0008006</t>
        </is>
      </c>
      <c r="B273" t="inlineStr">
        <is>
          <t>MER00381</t>
        </is>
      </c>
      <c r="C273">
        <f>XLOOKUP(A273,tblInvoices[invoice_id],tblInvoices[total_invoice_amount])</f>
        <v/>
      </c>
      <c r="D273">
        <f>SUMIFS(tblPayments[payment_amount],tblPayments[invoice_id],A273,tblPayments[payment_status],"Success")</f>
        <v/>
      </c>
      <c r="E273">
        <f>D273-C273</f>
        <v/>
      </c>
      <c r="F273">
        <f>IFS(D273=0,"MISSING_PAYMENT",ABS(E273)&lt;=1,"MATCHED",E273&gt;1,"AMOUNT_MISMATCH",TRUE,"PARTIAL")</f>
        <v/>
      </c>
    </row>
    <row r="274">
      <c r="A274" t="inlineStr">
        <is>
          <t>INV0008007</t>
        </is>
      </c>
      <c r="B274" t="inlineStr">
        <is>
          <t>MER00381</t>
        </is>
      </c>
      <c r="C274">
        <f>XLOOKUP(A274,tblInvoices[invoice_id],tblInvoices[total_invoice_amount])</f>
        <v/>
      </c>
      <c r="D274">
        <f>SUMIFS(tblPayments[payment_amount],tblPayments[invoice_id],A274,tblPayments[payment_status],"Success")</f>
        <v/>
      </c>
      <c r="E274">
        <f>D274-C274</f>
        <v/>
      </c>
      <c r="F274">
        <f>IFS(D274=0,"MISSING_PAYMENT",ABS(E274)&lt;=1,"MATCHED",E274&gt;1,"AMOUNT_MISMATCH",TRUE,"PARTIAL")</f>
        <v/>
      </c>
    </row>
    <row r="275">
      <c r="A275" t="inlineStr">
        <is>
          <t>INV0008008</t>
        </is>
      </c>
      <c r="B275" t="inlineStr">
        <is>
          <t>MER00381</t>
        </is>
      </c>
      <c r="C275">
        <f>XLOOKUP(A275,tblInvoices[invoice_id],tblInvoices[total_invoice_amount])</f>
        <v/>
      </c>
      <c r="D275">
        <f>SUMIFS(tblPayments[payment_amount],tblPayments[invoice_id],A275,tblPayments[payment_status],"Success")</f>
        <v/>
      </c>
      <c r="E275">
        <f>D275-C275</f>
        <v/>
      </c>
      <c r="F275">
        <f>IFS(D275=0,"MISSING_PAYMENT",ABS(E275)&lt;=1,"MATCHED",E275&gt;1,"AMOUNT_MISMATCH",TRUE,"PARTIAL")</f>
        <v/>
      </c>
    </row>
    <row r="276">
      <c r="A276" t="inlineStr">
        <is>
          <t>INV0008009</t>
        </is>
      </c>
      <c r="B276" t="inlineStr">
        <is>
          <t>MER00381</t>
        </is>
      </c>
      <c r="C276">
        <f>XLOOKUP(A276,tblInvoices[invoice_id],tblInvoices[total_invoice_amount])</f>
        <v/>
      </c>
      <c r="D276">
        <f>SUMIFS(tblPayments[payment_amount],tblPayments[invoice_id],A276,tblPayments[payment_status],"Success")</f>
        <v/>
      </c>
      <c r="E276">
        <f>D276-C276</f>
        <v/>
      </c>
      <c r="F276">
        <f>IFS(D276=0,"MISSING_PAYMENT",ABS(E276)&lt;=1,"MATCHED",E276&gt;1,"AMOUNT_MISMATCH",TRUE,"PARTIAL")</f>
        <v/>
      </c>
    </row>
    <row r="277">
      <c r="A277" t="inlineStr">
        <is>
          <t>INV0008010</t>
        </is>
      </c>
      <c r="B277" t="inlineStr">
        <is>
          <t>MER00381</t>
        </is>
      </c>
      <c r="C277">
        <f>XLOOKUP(A277,tblInvoices[invoice_id],tblInvoices[total_invoice_amount])</f>
        <v/>
      </c>
      <c r="D277">
        <f>SUMIFS(tblPayments[payment_amount],tblPayments[invoice_id],A277,tblPayments[payment_status],"Success")</f>
        <v/>
      </c>
      <c r="E277">
        <f>D277-C277</f>
        <v/>
      </c>
      <c r="F277">
        <f>IFS(D277=0,"MISSING_PAYMENT",ABS(E277)&lt;=1,"MATCHED",E277&gt;1,"AMOUNT_MISMATCH",TRUE,"PARTIAL")</f>
        <v/>
      </c>
    </row>
    <row r="278">
      <c r="A278" t="inlineStr">
        <is>
          <t>INV0008011</t>
        </is>
      </c>
      <c r="B278" t="inlineStr">
        <is>
          <t>MER00381</t>
        </is>
      </c>
      <c r="C278">
        <f>XLOOKUP(A278,tblInvoices[invoice_id],tblInvoices[total_invoice_amount])</f>
        <v/>
      </c>
      <c r="D278">
        <f>SUMIFS(tblPayments[payment_amount],tblPayments[invoice_id],A278,tblPayments[payment_status],"Success")</f>
        <v/>
      </c>
      <c r="E278">
        <f>D278-C278</f>
        <v/>
      </c>
      <c r="F278">
        <f>IFS(D278=0,"MISSING_PAYMENT",ABS(E278)&lt;=1,"MATCHED",E278&gt;1,"AMOUNT_MISMATCH",TRUE,"PARTIAL")</f>
        <v/>
      </c>
    </row>
    <row r="279">
      <c r="A279" t="inlineStr">
        <is>
          <t>INV0008012</t>
        </is>
      </c>
      <c r="B279" t="inlineStr">
        <is>
          <t>MER00381</t>
        </is>
      </c>
      <c r="C279">
        <f>XLOOKUP(A279,tblInvoices[invoice_id],tblInvoices[total_invoice_amount])</f>
        <v/>
      </c>
      <c r="D279">
        <f>SUMIFS(tblPayments[payment_amount],tblPayments[invoice_id],A279,tblPayments[payment_status],"Success")</f>
        <v/>
      </c>
      <c r="E279">
        <f>D279-C279</f>
        <v/>
      </c>
      <c r="F279">
        <f>IFS(D279=0,"MISSING_PAYMENT",ABS(E279)&lt;=1,"MATCHED",E279&gt;1,"AMOUNT_MISMATCH",TRUE,"PARTIAL")</f>
        <v/>
      </c>
    </row>
    <row r="280">
      <c r="A280" t="inlineStr">
        <is>
          <t>INV0008013</t>
        </is>
      </c>
      <c r="B280" t="inlineStr">
        <is>
          <t>MER00381</t>
        </is>
      </c>
      <c r="C280">
        <f>XLOOKUP(A280,tblInvoices[invoice_id],tblInvoices[total_invoice_amount])</f>
        <v/>
      </c>
      <c r="D280">
        <f>SUMIFS(tblPayments[payment_amount],tblPayments[invoice_id],A280,tblPayments[payment_status],"Success")</f>
        <v/>
      </c>
      <c r="E280">
        <f>D280-C280</f>
        <v/>
      </c>
      <c r="F280">
        <f>IFS(D280=0,"MISSING_PAYMENT",ABS(E280)&lt;=1,"MATCHED",E280&gt;1,"AMOUNT_MISMATCH",TRUE,"PARTIAL")</f>
        <v/>
      </c>
    </row>
    <row r="281">
      <c r="A281" t="inlineStr">
        <is>
          <t>INV0008014</t>
        </is>
      </c>
      <c r="B281" t="inlineStr">
        <is>
          <t>MER00381</t>
        </is>
      </c>
      <c r="C281">
        <f>XLOOKUP(A281,tblInvoices[invoice_id],tblInvoices[total_invoice_amount])</f>
        <v/>
      </c>
      <c r="D281">
        <f>SUMIFS(tblPayments[payment_amount],tblPayments[invoice_id],A281,tblPayments[payment_status],"Success")</f>
        <v/>
      </c>
      <c r="E281">
        <f>D281-C281</f>
        <v/>
      </c>
      <c r="F281">
        <f>IFS(D281=0,"MISSING_PAYMENT",ABS(E281)&lt;=1,"MATCHED",E281&gt;1,"AMOUNT_MISMATCH",TRUE,"PARTIAL")</f>
        <v/>
      </c>
    </row>
    <row r="282">
      <c r="A282" t="inlineStr">
        <is>
          <t>INV0008015</t>
        </is>
      </c>
      <c r="B282" t="inlineStr">
        <is>
          <t>MER00381</t>
        </is>
      </c>
      <c r="C282">
        <f>XLOOKUP(A282,tblInvoices[invoice_id],tblInvoices[total_invoice_amount])</f>
        <v/>
      </c>
      <c r="D282">
        <f>SUMIFS(tblPayments[payment_amount],tblPayments[invoice_id],A282,tblPayments[payment_status],"Success")</f>
        <v/>
      </c>
      <c r="E282">
        <f>D282-C282</f>
        <v/>
      </c>
      <c r="F282">
        <f>IFS(D282=0,"MISSING_PAYMENT",ABS(E282)&lt;=1,"MATCHED",E282&gt;1,"AMOUNT_MISMATCH",TRUE,"PARTIAL")</f>
        <v/>
      </c>
    </row>
    <row r="283">
      <c r="A283" t="inlineStr">
        <is>
          <t>INV0008016</t>
        </is>
      </c>
      <c r="B283" t="inlineStr">
        <is>
          <t>MER00381</t>
        </is>
      </c>
      <c r="C283">
        <f>XLOOKUP(A283,tblInvoices[invoice_id],tblInvoices[total_invoice_amount])</f>
        <v/>
      </c>
      <c r="D283">
        <f>SUMIFS(tblPayments[payment_amount],tblPayments[invoice_id],A283,tblPayments[payment_status],"Success")</f>
        <v/>
      </c>
      <c r="E283">
        <f>D283-C283</f>
        <v/>
      </c>
      <c r="F283">
        <f>IFS(D283=0,"MISSING_PAYMENT",ABS(E283)&lt;=1,"MATCHED",E283&gt;1,"AMOUNT_MISMATCH",TRUE,"PARTIAL")</f>
        <v/>
      </c>
    </row>
    <row r="284">
      <c r="A284" t="inlineStr">
        <is>
          <t>INV0008017</t>
        </is>
      </c>
      <c r="B284" t="inlineStr">
        <is>
          <t>MER00381</t>
        </is>
      </c>
      <c r="C284">
        <f>XLOOKUP(A284,tblInvoices[invoice_id],tblInvoices[total_invoice_amount])</f>
        <v/>
      </c>
      <c r="D284">
        <f>SUMIFS(tblPayments[payment_amount],tblPayments[invoice_id],A284,tblPayments[payment_status],"Success")</f>
        <v/>
      </c>
      <c r="E284">
        <f>D284-C284</f>
        <v/>
      </c>
      <c r="F284">
        <f>IFS(D284=0,"MISSING_PAYMENT",ABS(E284)&lt;=1,"MATCHED",E284&gt;1,"AMOUNT_MISMATCH",TRUE,"PARTIAL")</f>
        <v/>
      </c>
    </row>
    <row r="285">
      <c r="A285" t="inlineStr">
        <is>
          <t>INV0008018</t>
        </is>
      </c>
      <c r="B285" t="inlineStr">
        <is>
          <t>MER00381</t>
        </is>
      </c>
      <c r="C285">
        <f>XLOOKUP(A285,tblInvoices[invoice_id],tblInvoices[total_invoice_amount])</f>
        <v/>
      </c>
      <c r="D285">
        <f>SUMIFS(tblPayments[payment_amount],tblPayments[invoice_id],A285,tblPayments[payment_status],"Success")</f>
        <v/>
      </c>
      <c r="E285">
        <f>D285-C285</f>
        <v/>
      </c>
      <c r="F285">
        <f>IFS(D285=0,"MISSING_PAYMENT",ABS(E285)&lt;=1,"MATCHED",E285&gt;1,"AMOUNT_MISMATCH",TRUE,"PARTIAL")</f>
        <v/>
      </c>
    </row>
    <row r="286">
      <c r="A286" t="inlineStr">
        <is>
          <t>INV0008019</t>
        </is>
      </c>
      <c r="B286" t="inlineStr">
        <is>
          <t>MER00381</t>
        </is>
      </c>
      <c r="C286">
        <f>XLOOKUP(A286,tblInvoices[invoice_id],tblInvoices[total_invoice_amount])</f>
        <v/>
      </c>
      <c r="D286">
        <f>SUMIFS(tblPayments[payment_amount],tblPayments[invoice_id],A286,tblPayments[payment_status],"Success")</f>
        <v/>
      </c>
      <c r="E286">
        <f>D286-C286</f>
        <v/>
      </c>
      <c r="F286">
        <f>IFS(D286=0,"MISSING_PAYMENT",ABS(E286)&lt;=1,"MATCHED",E286&gt;1,"AMOUNT_MISMATCH",TRUE,"PARTIAL")</f>
        <v/>
      </c>
    </row>
    <row r="287">
      <c r="A287" t="inlineStr">
        <is>
          <t>INV0008020</t>
        </is>
      </c>
      <c r="B287" t="inlineStr">
        <is>
          <t>MER00381</t>
        </is>
      </c>
      <c r="C287">
        <f>XLOOKUP(A287,tblInvoices[invoice_id],tblInvoices[total_invoice_amount])</f>
        <v/>
      </c>
      <c r="D287">
        <f>SUMIFS(tblPayments[payment_amount],tblPayments[invoice_id],A287,tblPayments[payment_status],"Success")</f>
        <v/>
      </c>
      <c r="E287">
        <f>D287-C287</f>
        <v/>
      </c>
      <c r="F287">
        <f>IFS(D287=0,"MISSING_PAYMENT",ABS(E287)&lt;=1,"MATCHED",E287&gt;1,"AMOUNT_MISMATCH",TRUE,"PARTIAL")</f>
        <v/>
      </c>
    </row>
    <row r="288">
      <c r="A288" t="inlineStr">
        <is>
          <t>INV0008021</t>
        </is>
      </c>
      <c r="B288" t="inlineStr">
        <is>
          <t>MER00381</t>
        </is>
      </c>
      <c r="C288">
        <f>XLOOKUP(A288,tblInvoices[invoice_id],tblInvoices[total_invoice_amount])</f>
        <v/>
      </c>
      <c r="D288">
        <f>SUMIFS(tblPayments[payment_amount],tblPayments[invoice_id],A288,tblPayments[payment_status],"Success")</f>
        <v/>
      </c>
      <c r="E288">
        <f>D288-C288</f>
        <v/>
      </c>
      <c r="F288">
        <f>IFS(D288=0,"MISSING_PAYMENT",ABS(E288)&lt;=1,"MATCHED",E288&gt;1,"AMOUNT_MISMATCH",TRUE,"PARTIAL")</f>
        <v/>
      </c>
    </row>
    <row r="289">
      <c r="A289" t="inlineStr">
        <is>
          <t>INV0008022</t>
        </is>
      </c>
      <c r="B289" t="inlineStr">
        <is>
          <t>MER00381</t>
        </is>
      </c>
      <c r="C289">
        <f>XLOOKUP(A289,tblInvoices[invoice_id],tblInvoices[total_invoice_amount])</f>
        <v/>
      </c>
      <c r="D289">
        <f>SUMIFS(tblPayments[payment_amount],tblPayments[invoice_id],A289,tblPayments[payment_status],"Success")</f>
        <v/>
      </c>
      <c r="E289">
        <f>D289-C289</f>
        <v/>
      </c>
      <c r="F289">
        <f>IFS(D289=0,"MISSING_PAYMENT",ABS(E289)&lt;=1,"MATCHED",E289&gt;1,"AMOUNT_MISMATCH",TRUE,"PARTIAL")</f>
        <v/>
      </c>
    </row>
    <row r="290">
      <c r="A290" t="inlineStr">
        <is>
          <t>INV0008023</t>
        </is>
      </c>
      <c r="B290" t="inlineStr">
        <is>
          <t>MER00381</t>
        </is>
      </c>
      <c r="C290">
        <f>XLOOKUP(A290,tblInvoices[invoice_id],tblInvoices[total_invoice_amount])</f>
        <v/>
      </c>
      <c r="D290">
        <f>SUMIFS(tblPayments[payment_amount],tblPayments[invoice_id],A290,tblPayments[payment_status],"Success")</f>
        <v/>
      </c>
      <c r="E290">
        <f>D290-C290</f>
        <v/>
      </c>
      <c r="F290">
        <f>IFS(D290=0,"MISSING_PAYMENT",ABS(E290)&lt;=1,"MATCHED",E290&gt;1,"AMOUNT_MISMATCH",TRUE,"PARTIAL")</f>
        <v/>
      </c>
    </row>
    <row r="291">
      <c r="A291" t="inlineStr">
        <is>
          <t>INV0008024</t>
        </is>
      </c>
      <c r="B291" t="inlineStr">
        <is>
          <t>MER00381</t>
        </is>
      </c>
      <c r="C291">
        <f>XLOOKUP(A291,tblInvoices[invoice_id],tblInvoices[total_invoice_amount])</f>
        <v/>
      </c>
      <c r="D291">
        <f>SUMIFS(tblPayments[payment_amount],tblPayments[invoice_id],A291,tblPayments[payment_status],"Success")</f>
        <v/>
      </c>
      <c r="E291">
        <f>D291-C291</f>
        <v/>
      </c>
      <c r="F291">
        <f>IFS(D291=0,"MISSING_PAYMENT",ABS(E291)&lt;=1,"MATCHED",E291&gt;1,"AMOUNT_MISMATCH",TRUE,"PARTIAL")</f>
        <v/>
      </c>
    </row>
    <row r="292">
      <c r="A292" t="inlineStr">
        <is>
          <t>INV0008025</t>
        </is>
      </c>
      <c r="B292" t="inlineStr">
        <is>
          <t>MER00381</t>
        </is>
      </c>
      <c r="C292">
        <f>XLOOKUP(A292,tblInvoices[invoice_id],tblInvoices[total_invoice_amount])</f>
        <v/>
      </c>
      <c r="D292">
        <f>SUMIFS(tblPayments[payment_amount],tblPayments[invoice_id],A292,tblPayments[payment_status],"Success")</f>
        <v/>
      </c>
      <c r="E292">
        <f>D292-C292</f>
        <v/>
      </c>
      <c r="F292">
        <f>IFS(D292=0,"MISSING_PAYMENT",ABS(E292)&lt;=1,"MATCHED",E292&gt;1,"AMOUNT_MISMATCH",TRUE,"PARTIAL")</f>
        <v/>
      </c>
    </row>
    <row r="293">
      <c r="A293" t="inlineStr">
        <is>
          <t>INV0008026</t>
        </is>
      </c>
      <c r="B293" t="inlineStr">
        <is>
          <t>MER00381</t>
        </is>
      </c>
      <c r="C293">
        <f>XLOOKUP(A293,tblInvoices[invoice_id],tblInvoices[total_invoice_amount])</f>
        <v/>
      </c>
      <c r="D293">
        <f>SUMIFS(tblPayments[payment_amount],tblPayments[invoice_id],A293,tblPayments[payment_status],"Success")</f>
        <v/>
      </c>
      <c r="E293">
        <f>D293-C293</f>
        <v/>
      </c>
      <c r="F293">
        <f>IFS(D293=0,"MISSING_PAYMENT",ABS(E293)&lt;=1,"MATCHED",E293&gt;1,"AMOUNT_MISMATCH",TRUE,"PARTIAL")</f>
        <v/>
      </c>
    </row>
    <row r="294">
      <c r="A294" t="inlineStr">
        <is>
          <t>INV0008027</t>
        </is>
      </c>
      <c r="B294" t="inlineStr">
        <is>
          <t>MER00381</t>
        </is>
      </c>
      <c r="C294">
        <f>XLOOKUP(A294,tblInvoices[invoice_id],tblInvoices[total_invoice_amount])</f>
        <v/>
      </c>
      <c r="D294">
        <f>SUMIFS(tblPayments[payment_amount],tblPayments[invoice_id],A294,tblPayments[payment_status],"Success")</f>
        <v/>
      </c>
      <c r="E294">
        <f>D294-C294</f>
        <v/>
      </c>
      <c r="F294">
        <f>IFS(D294=0,"MISSING_PAYMENT",ABS(E294)&lt;=1,"MATCHED",E294&gt;1,"AMOUNT_MISMATCH",TRUE,"PARTIAL")</f>
        <v/>
      </c>
    </row>
    <row r="295">
      <c r="A295" t="inlineStr">
        <is>
          <t>INV0008028</t>
        </is>
      </c>
      <c r="B295" t="inlineStr">
        <is>
          <t>MER00381</t>
        </is>
      </c>
      <c r="C295">
        <f>XLOOKUP(A295,tblInvoices[invoice_id],tblInvoices[total_invoice_amount])</f>
        <v/>
      </c>
      <c r="D295">
        <f>SUMIFS(tblPayments[payment_amount],tblPayments[invoice_id],A295,tblPayments[payment_status],"Success")</f>
        <v/>
      </c>
      <c r="E295">
        <f>D295-C295</f>
        <v/>
      </c>
      <c r="F295">
        <f>IFS(D295=0,"MISSING_PAYMENT",ABS(E295)&lt;=1,"MATCHED",E295&gt;1,"AMOUNT_MISMATCH",TRUE,"PARTIAL")</f>
        <v/>
      </c>
    </row>
    <row r="296">
      <c r="A296" t="inlineStr">
        <is>
          <t>INV0008029</t>
        </is>
      </c>
      <c r="B296" t="inlineStr">
        <is>
          <t>MER00381</t>
        </is>
      </c>
      <c r="C296">
        <f>XLOOKUP(A296,tblInvoices[invoice_id],tblInvoices[total_invoice_amount])</f>
        <v/>
      </c>
      <c r="D296">
        <f>SUMIFS(tblPayments[payment_amount],tblPayments[invoice_id],A296,tblPayments[payment_status],"Success")</f>
        <v/>
      </c>
      <c r="E296">
        <f>D296-C296</f>
        <v/>
      </c>
      <c r="F296">
        <f>IFS(D296=0,"MISSING_PAYMENT",ABS(E296)&lt;=1,"MATCHED",E296&gt;1,"AMOUNT_MISMATCH",TRUE,"PARTIAL")</f>
        <v/>
      </c>
    </row>
    <row r="297">
      <c r="A297" t="inlineStr">
        <is>
          <t>INV0008124</t>
        </is>
      </c>
      <c r="B297" t="inlineStr">
        <is>
          <t>MER00386</t>
        </is>
      </c>
      <c r="C297">
        <f>XLOOKUP(A297,tblInvoices[invoice_id],tblInvoices[total_invoice_amount])</f>
        <v/>
      </c>
      <c r="D297">
        <f>SUMIFS(tblPayments[payment_amount],tblPayments[invoice_id],A297,tblPayments[payment_status],"Success")</f>
        <v/>
      </c>
      <c r="E297">
        <f>D297-C297</f>
        <v/>
      </c>
      <c r="F297">
        <f>IFS(D297=0,"MISSING_PAYMENT",ABS(E297)&lt;=1,"MATCHED",E297&gt;1,"AMOUNT_MISMATCH",TRUE,"PARTIAL")</f>
        <v/>
      </c>
    </row>
    <row r="298">
      <c r="A298" t="inlineStr">
        <is>
          <t>INV0008125</t>
        </is>
      </c>
      <c r="B298" t="inlineStr">
        <is>
          <t>MER00386</t>
        </is>
      </c>
      <c r="C298">
        <f>XLOOKUP(A298,tblInvoices[invoice_id],tblInvoices[total_invoice_amount])</f>
        <v/>
      </c>
      <c r="D298">
        <f>SUMIFS(tblPayments[payment_amount],tblPayments[invoice_id],A298,tblPayments[payment_status],"Success")</f>
        <v/>
      </c>
      <c r="E298">
        <f>D298-C298</f>
        <v/>
      </c>
      <c r="F298">
        <f>IFS(D298=0,"MISSING_PAYMENT",ABS(E298)&lt;=1,"MATCHED",E298&gt;1,"AMOUNT_MISMATCH",TRUE,"PARTIAL")</f>
        <v/>
      </c>
    </row>
    <row r="299">
      <c r="A299" t="inlineStr">
        <is>
          <t>INV0008126</t>
        </is>
      </c>
      <c r="B299" t="inlineStr">
        <is>
          <t>MER00386</t>
        </is>
      </c>
      <c r="C299">
        <f>XLOOKUP(A299,tblInvoices[invoice_id],tblInvoices[total_invoice_amount])</f>
        <v/>
      </c>
      <c r="D299">
        <f>SUMIFS(tblPayments[payment_amount],tblPayments[invoice_id],A299,tblPayments[payment_status],"Success")</f>
        <v/>
      </c>
      <c r="E299">
        <f>D299-C299</f>
        <v/>
      </c>
      <c r="F299">
        <f>IFS(D299=0,"MISSING_PAYMENT",ABS(E299)&lt;=1,"MATCHED",E299&gt;1,"AMOUNT_MISMATCH",TRUE,"PARTIAL")</f>
        <v/>
      </c>
    </row>
    <row r="300">
      <c r="A300" t="inlineStr">
        <is>
          <t>INV0008127</t>
        </is>
      </c>
      <c r="B300" t="inlineStr">
        <is>
          <t>MER00386</t>
        </is>
      </c>
      <c r="C300">
        <f>XLOOKUP(A300,tblInvoices[invoice_id],tblInvoices[total_invoice_amount])</f>
        <v/>
      </c>
      <c r="D300">
        <f>SUMIFS(tblPayments[payment_amount],tblPayments[invoice_id],A300,tblPayments[payment_status],"Success")</f>
        <v/>
      </c>
      <c r="E300">
        <f>D300-C300</f>
        <v/>
      </c>
      <c r="F300">
        <f>IFS(D300=0,"MISSING_PAYMENT",ABS(E300)&lt;=1,"MATCHED",E300&gt;1,"AMOUNT_MISMATCH",TRUE,"PARTIAL")</f>
        <v/>
      </c>
    </row>
    <row r="301">
      <c r="A301" t="inlineStr">
        <is>
          <t>INV0008128</t>
        </is>
      </c>
      <c r="B301" t="inlineStr">
        <is>
          <t>MER00386</t>
        </is>
      </c>
      <c r="C301">
        <f>XLOOKUP(A301,tblInvoices[invoice_id],tblInvoices[total_invoice_amount])</f>
        <v/>
      </c>
      <c r="D301">
        <f>SUMIFS(tblPayments[payment_amount],tblPayments[invoice_id],A301,tblPayments[payment_status],"Success")</f>
        <v/>
      </c>
      <c r="E301">
        <f>D301-C301</f>
        <v/>
      </c>
      <c r="F301">
        <f>IFS(D301=0,"MISSING_PAYMENT",ABS(E301)&lt;=1,"MATCHED",E301&gt;1,"AMOUNT_MISMATCH",TRUE,"PARTIAL")</f>
        <v/>
      </c>
    </row>
    <row r="302">
      <c r="A302" t="inlineStr">
        <is>
          <t>INV0008129</t>
        </is>
      </c>
      <c r="B302" t="inlineStr">
        <is>
          <t>MER00386</t>
        </is>
      </c>
      <c r="C302">
        <f>XLOOKUP(A302,tblInvoices[invoice_id],tblInvoices[total_invoice_amount])</f>
        <v/>
      </c>
      <c r="D302">
        <f>SUMIFS(tblPayments[payment_amount],tblPayments[invoice_id],A302,tblPayments[payment_status],"Success")</f>
        <v/>
      </c>
      <c r="E302">
        <f>D302-C302</f>
        <v/>
      </c>
      <c r="F302">
        <f>IFS(D302=0,"MISSING_PAYMENT",ABS(E302)&lt;=1,"MATCHED",E302&gt;1,"AMOUNT_MISMATCH",TRUE,"PARTIAL")</f>
        <v/>
      </c>
    </row>
    <row r="303">
      <c r="A303" t="inlineStr">
        <is>
          <t>INV0008130</t>
        </is>
      </c>
      <c r="B303" t="inlineStr">
        <is>
          <t>MER00386</t>
        </is>
      </c>
      <c r="C303">
        <f>XLOOKUP(A303,tblInvoices[invoice_id],tblInvoices[total_invoice_amount])</f>
        <v/>
      </c>
      <c r="D303">
        <f>SUMIFS(tblPayments[payment_amount],tblPayments[invoice_id],A303,tblPayments[payment_status],"Success")</f>
        <v/>
      </c>
      <c r="E303">
        <f>D303-C303</f>
        <v/>
      </c>
      <c r="F303">
        <f>IFS(D303=0,"MISSING_PAYMENT",ABS(E303)&lt;=1,"MATCHED",E303&gt;1,"AMOUNT_MISMATCH",TRUE,"PARTIAL")</f>
        <v/>
      </c>
    </row>
    <row r="304">
      <c r="A304" t="inlineStr">
        <is>
          <t>INV0008131</t>
        </is>
      </c>
      <c r="B304" t="inlineStr">
        <is>
          <t>MER00386</t>
        </is>
      </c>
      <c r="C304">
        <f>XLOOKUP(A304,tblInvoices[invoice_id],tblInvoices[total_invoice_amount])</f>
        <v/>
      </c>
      <c r="D304">
        <f>SUMIFS(tblPayments[payment_amount],tblPayments[invoice_id],A304,tblPayments[payment_status],"Success")</f>
        <v/>
      </c>
      <c r="E304">
        <f>D304-C304</f>
        <v/>
      </c>
      <c r="F304">
        <f>IFS(D304=0,"MISSING_PAYMENT",ABS(E304)&lt;=1,"MATCHED",E304&gt;1,"AMOUNT_MISMATCH",TRUE,"PARTIAL")</f>
        <v/>
      </c>
    </row>
    <row r="305">
      <c r="A305" t="inlineStr">
        <is>
          <t>INV0008132</t>
        </is>
      </c>
      <c r="B305" t="inlineStr">
        <is>
          <t>MER00386</t>
        </is>
      </c>
      <c r="C305">
        <f>XLOOKUP(A305,tblInvoices[invoice_id],tblInvoices[total_invoice_amount])</f>
        <v/>
      </c>
      <c r="D305">
        <f>SUMIFS(tblPayments[payment_amount],tblPayments[invoice_id],A305,tblPayments[payment_status],"Success")</f>
        <v/>
      </c>
      <c r="E305">
        <f>D305-C305</f>
        <v/>
      </c>
      <c r="F305">
        <f>IFS(D305=0,"MISSING_PAYMENT",ABS(E305)&lt;=1,"MATCHED",E305&gt;1,"AMOUNT_MISMATCH",TRUE,"PARTIAL")</f>
        <v/>
      </c>
    </row>
    <row r="306">
      <c r="A306" t="inlineStr">
        <is>
          <t>INV0008133</t>
        </is>
      </c>
      <c r="B306" t="inlineStr">
        <is>
          <t>MER00386</t>
        </is>
      </c>
      <c r="C306">
        <f>XLOOKUP(A306,tblInvoices[invoice_id],tblInvoices[total_invoice_amount])</f>
        <v/>
      </c>
      <c r="D306">
        <f>SUMIFS(tblPayments[payment_amount],tblPayments[invoice_id],A306,tblPayments[payment_status],"Success")</f>
        <v/>
      </c>
      <c r="E306">
        <f>D306-C306</f>
        <v/>
      </c>
      <c r="F306">
        <f>IFS(D306=0,"MISSING_PAYMENT",ABS(E306)&lt;=1,"MATCHED",E306&gt;1,"AMOUNT_MISMATCH",TRUE,"PARTIAL")</f>
        <v/>
      </c>
    </row>
    <row r="307">
      <c r="A307" t="inlineStr">
        <is>
          <t>INV0008134</t>
        </is>
      </c>
      <c r="B307" t="inlineStr">
        <is>
          <t>MER00386</t>
        </is>
      </c>
      <c r="C307">
        <f>XLOOKUP(A307,tblInvoices[invoice_id],tblInvoices[total_invoice_amount])</f>
        <v/>
      </c>
      <c r="D307">
        <f>SUMIFS(tblPayments[payment_amount],tblPayments[invoice_id],A307,tblPayments[payment_status],"Success")</f>
        <v/>
      </c>
      <c r="E307">
        <f>D307-C307</f>
        <v/>
      </c>
      <c r="F307">
        <f>IFS(D307=0,"MISSING_PAYMENT",ABS(E307)&lt;=1,"MATCHED",E307&gt;1,"AMOUNT_MISMATCH",TRUE,"PARTIAL")</f>
        <v/>
      </c>
    </row>
    <row r="308">
      <c r="A308" t="inlineStr">
        <is>
          <t>INV0008135</t>
        </is>
      </c>
      <c r="B308" t="inlineStr">
        <is>
          <t>MER00386</t>
        </is>
      </c>
      <c r="C308">
        <f>XLOOKUP(A308,tblInvoices[invoice_id],tblInvoices[total_invoice_amount])</f>
        <v/>
      </c>
      <c r="D308">
        <f>SUMIFS(tblPayments[payment_amount],tblPayments[invoice_id],A308,tblPayments[payment_status],"Success")</f>
        <v/>
      </c>
      <c r="E308">
        <f>D308-C308</f>
        <v/>
      </c>
      <c r="F308">
        <f>IFS(D308=0,"MISSING_PAYMENT",ABS(E308)&lt;=1,"MATCHED",E308&gt;1,"AMOUNT_MISMATCH",TRUE,"PARTIAL")</f>
        <v/>
      </c>
    </row>
    <row r="309">
      <c r="A309" t="inlineStr">
        <is>
          <t>INV0008136</t>
        </is>
      </c>
      <c r="B309" t="inlineStr">
        <is>
          <t>MER00386</t>
        </is>
      </c>
      <c r="C309">
        <f>XLOOKUP(A309,tblInvoices[invoice_id],tblInvoices[total_invoice_amount])</f>
        <v/>
      </c>
      <c r="D309">
        <f>SUMIFS(tblPayments[payment_amount],tblPayments[invoice_id],A309,tblPayments[payment_status],"Success")</f>
        <v/>
      </c>
      <c r="E309">
        <f>D309-C309</f>
        <v/>
      </c>
      <c r="F309">
        <f>IFS(D309=0,"MISSING_PAYMENT",ABS(E309)&lt;=1,"MATCHED",E309&gt;1,"AMOUNT_MISMATCH",TRUE,"PARTIAL")</f>
        <v/>
      </c>
    </row>
    <row r="310">
      <c r="A310" t="inlineStr">
        <is>
          <t>INV0009199</t>
        </is>
      </c>
      <c r="B310" t="inlineStr">
        <is>
          <t>MER00436</t>
        </is>
      </c>
      <c r="C310">
        <f>XLOOKUP(A310,tblInvoices[invoice_id],tblInvoices[total_invoice_amount])</f>
        <v/>
      </c>
      <c r="D310">
        <f>SUMIFS(tblPayments[payment_amount],tblPayments[invoice_id],A310,tblPayments[payment_status],"Success")</f>
        <v/>
      </c>
      <c r="E310">
        <f>D310-C310</f>
        <v/>
      </c>
      <c r="F310">
        <f>IFS(D310=0,"MISSING_PAYMENT",ABS(E310)&lt;=1,"MATCHED",E310&gt;1,"AMOUNT_MISMATCH",TRUE,"PARTIAL")</f>
        <v/>
      </c>
    </row>
    <row r="311">
      <c r="A311" t="inlineStr">
        <is>
          <t>INV0009200</t>
        </is>
      </c>
      <c r="B311" t="inlineStr">
        <is>
          <t>MER00436</t>
        </is>
      </c>
      <c r="C311">
        <f>XLOOKUP(A311,tblInvoices[invoice_id],tblInvoices[total_invoice_amount])</f>
        <v/>
      </c>
      <c r="D311">
        <f>SUMIFS(tblPayments[payment_amount],tblPayments[invoice_id],A311,tblPayments[payment_status],"Success")</f>
        <v/>
      </c>
      <c r="E311">
        <f>D311-C311</f>
        <v/>
      </c>
      <c r="F311">
        <f>IFS(D311=0,"MISSING_PAYMENT",ABS(E311)&lt;=1,"MATCHED",E311&gt;1,"AMOUNT_MISMATCH",TRUE,"PARTIAL")</f>
        <v/>
      </c>
    </row>
    <row r="312">
      <c r="A312" t="inlineStr">
        <is>
          <t>INV0009201</t>
        </is>
      </c>
      <c r="B312" t="inlineStr">
        <is>
          <t>MER00436</t>
        </is>
      </c>
      <c r="C312">
        <f>XLOOKUP(A312,tblInvoices[invoice_id],tblInvoices[total_invoice_amount])</f>
        <v/>
      </c>
      <c r="D312">
        <f>SUMIFS(tblPayments[payment_amount],tblPayments[invoice_id],A312,tblPayments[payment_status],"Success")</f>
        <v/>
      </c>
      <c r="E312">
        <f>D312-C312</f>
        <v/>
      </c>
      <c r="F312">
        <f>IFS(D312=0,"MISSING_PAYMENT",ABS(E312)&lt;=1,"MATCHED",E312&gt;1,"AMOUNT_MISMATCH",TRUE,"PARTIAL")</f>
        <v/>
      </c>
    </row>
    <row r="313">
      <c r="A313" t="inlineStr">
        <is>
          <t>INV0009202</t>
        </is>
      </c>
      <c r="B313" t="inlineStr">
        <is>
          <t>MER00436</t>
        </is>
      </c>
      <c r="C313">
        <f>XLOOKUP(A313,tblInvoices[invoice_id],tblInvoices[total_invoice_amount])</f>
        <v/>
      </c>
      <c r="D313">
        <f>SUMIFS(tblPayments[payment_amount],tblPayments[invoice_id],A313,tblPayments[payment_status],"Success")</f>
        <v/>
      </c>
      <c r="E313">
        <f>D313-C313</f>
        <v/>
      </c>
      <c r="F313">
        <f>IFS(D313=0,"MISSING_PAYMENT",ABS(E313)&lt;=1,"MATCHED",E313&gt;1,"AMOUNT_MISMATCH",TRUE,"PARTIAL")</f>
        <v/>
      </c>
    </row>
    <row r="314">
      <c r="A314" t="inlineStr">
        <is>
          <t>INV0009203</t>
        </is>
      </c>
      <c r="B314" t="inlineStr">
        <is>
          <t>MER00436</t>
        </is>
      </c>
      <c r="C314">
        <f>XLOOKUP(A314,tblInvoices[invoice_id],tblInvoices[total_invoice_amount])</f>
        <v/>
      </c>
      <c r="D314">
        <f>SUMIFS(tblPayments[payment_amount],tblPayments[invoice_id],A314,tblPayments[payment_status],"Success")</f>
        <v/>
      </c>
      <c r="E314">
        <f>D314-C314</f>
        <v/>
      </c>
      <c r="F314">
        <f>IFS(D314=0,"MISSING_PAYMENT",ABS(E314)&lt;=1,"MATCHED",E314&gt;1,"AMOUNT_MISMATCH",TRUE,"PARTIAL")</f>
        <v/>
      </c>
    </row>
    <row r="315">
      <c r="A315" t="inlineStr">
        <is>
          <t>INV0009204</t>
        </is>
      </c>
      <c r="B315" t="inlineStr">
        <is>
          <t>MER00436</t>
        </is>
      </c>
      <c r="C315">
        <f>XLOOKUP(A315,tblInvoices[invoice_id],tblInvoices[total_invoice_amount])</f>
        <v/>
      </c>
      <c r="D315">
        <f>SUMIFS(tblPayments[payment_amount],tblPayments[invoice_id],A315,tblPayments[payment_status],"Success")</f>
        <v/>
      </c>
      <c r="E315">
        <f>D315-C315</f>
        <v/>
      </c>
      <c r="F315">
        <f>IFS(D315=0,"MISSING_PAYMENT",ABS(E315)&lt;=1,"MATCHED",E315&gt;1,"AMOUNT_MISMATCH",TRUE,"PARTIAL")</f>
        <v/>
      </c>
    </row>
    <row r="316">
      <c r="A316" t="inlineStr">
        <is>
          <t>INV0009205</t>
        </is>
      </c>
      <c r="B316" t="inlineStr">
        <is>
          <t>MER00436</t>
        </is>
      </c>
      <c r="C316">
        <f>XLOOKUP(A316,tblInvoices[invoice_id],tblInvoices[total_invoice_amount])</f>
        <v/>
      </c>
      <c r="D316">
        <f>SUMIFS(tblPayments[payment_amount],tblPayments[invoice_id],A316,tblPayments[payment_status],"Success")</f>
        <v/>
      </c>
      <c r="E316">
        <f>D316-C316</f>
        <v/>
      </c>
      <c r="F316">
        <f>IFS(D316=0,"MISSING_PAYMENT",ABS(E316)&lt;=1,"MATCHED",E316&gt;1,"AMOUNT_MISMATCH",TRUE,"PARTIAL")</f>
        <v/>
      </c>
    </row>
    <row r="317">
      <c r="A317" t="inlineStr">
        <is>
          <t>INV0009206</t>
        </is>
      </c>
      <c r="B317" t="inlineStr">
        <is>
          <t>MER00436</t>
        </is>
      </c>
      <c r="C317">
        <f>XLOOKUP(A317,tblInvoices[invoice_id],tblInvoices[total_invoice_amount])</f>
        <v/>
      </c>
      <c r="D317">
        <f>SUMIFS(tblPayments[payment_amount],tblPayments[invoice_id],A317,tblPayments[payment_status],"Success")</f>
        <v/>
      </c>
      <c r="E317">
        <f>D317-C317</f>
        <v/>
      </c>
      <c r="F317">
        <f>IFS(D317=0,"MISSING_PAYMENT",ABS(E317)&lt;=1,"MATCHED",E317&gt;1,"AMOUNT_MISMATCH",TRUE,"PARTIAL")</f>
        <v/>
      </c>
    </row>
    <row r="318">
      <c r="A318" t="inlineStr">
        <is>
          <t>INV0009207</t>
        </is>
      </c>
      <c r="B318" t="inlineStr">
        <is>
          <t>MER00436</t>
        </is>
      </c>
      <c r="C318">
        <f>XLOOKUP(A318,tblInvoices[invoice_id],tblInvoices[total_invoice_amount])</f>
        <v/>
      </c>
      <c r="D318">
        <f>SUMIFS(tblPayments[payment_amount],tblPayments[invoice_id],A318,tblPayments[payment_status],"Success")</f>
        <v/>
      </c>
      <c r="E318">
        <f>D318-C318</f>
        <v/>
      </c>
      <c r="F318">
        <f>IFS(D318=0,"MISSING_PAYMENT",ABS(E318)&lt;=1,"MATCHED",E318&gt;1,"AMOUNT_MISMATCH",TRUE,"PARTIAL")</f>
        <v/>
      </c>
    </row>
    <row r="319">
      <c r="A319" t="inlineStr">
        <is>
          <t>INV0009208</t>
        </is>
      </c>
      <c r="B319" t="inlineStr">
        <is>
          <t>MER00436</t>
        </is>
      </c>
      <c r="C319">
        <f>XLOOKUP(A319,tblInvoices[invoice_id],tblInvoices[total_invoice_amount])</f>
        <v/>
      </c>
      <c r="D319">
        <f>SUMIFS(tblPayments[payment_amount],tblPayments[invoice_id],A319,tblPayments[payment_status],"Success")</f>
        <v/>
      </c>
      <c r="E319">
        <f>D319-C319</f>
        <v/>
      </c>
      <c r="F319">
        <f>IFS(D319=0,"MISSING_PAYMENT",ABS(E319)&lt;=1,"MATCHED",E319&gt;1,"AMOUNT_MISMATCH",TRUE,"PARTIAL")</f>
        <v/>
      </c>
    </row>
    <row r="320">
      <c r="A320" t="inlineStr">
        <is>
          <t>INV0009209</t>
        </is>
      </c>
      <c r="B320" t="inlineStr">
        <is>
          <t>MER00436</t>
        </is>
      </c>
      <c r="C320">
        <f>XLOOKUP(A320,tblInvoices[invoice_id],tblInvoices[total_invoice_amount])</f>
        <v/>
      </c>
      <c r="D320">
        <f>SUMIFS(tblPayments[payment_amount],tblPayments[invoice_id],A320,tblPayments[payment_status],"Success")</f>
        <v/>
      </c>
      <c r="E320">
        <f>D320-C320</f>
        <v/>
      </c>
      <c r="F320">
        <f>IFS(D320=0,"MISSING_PAYMENT",ABS(E320)&lt;=1,"MATCHED",E320&gt;1,"AMOUNT_MISMATCH",TRUE,"PARTIAL")</f>
        <v/>
      </c>
    </row>
    <row r="321">
      <c r="A321" t="inlineStr">
        <is>
          <t>INV0009210</t>
        </is>
      </c>
      <c r="B321" t="inlineStr">
        <is>
          <t>MER00436</t>
        </is>
      </c>
      <c r="C321">
        <f>XLOOKUP(A321,tblInvoices[invoice_id],tblInvoices[total_invoice_amount])</f>
        <v/>
      </c>
      <c r="D321">
        <f>SUMIFS(tblPayments[payment_amount],tblPayments[invoice_id],A321,tblPayments[payment_status],"Success")</f>
        <v/>
      </c>
      <c r="E321">
        <f>D321-C321</f>
        <v/>
      </c>
      <c r="F321">
        <f>IFS(D321=0,"MISSING_PAYMENT",ABS(E321)&lt;=1,"MATCHED",E321&gt;1,"AMOUNT_MISMATCH",TRUE,"PARTIAL")</f>
        <v/>
      </c>
    </row>
    <row r="322">
      <c r="A322" t="inlineStr">
        <is>
          <t>INV0009211</t>
        </is>
      </c>
      <c r="B322" t="inlineStr">
        <is>
          <t>MER00436</t>
        </is>
      </c>
      <c r="C322">
        <f>XLOOKUP(A322,tblInvoices[invoice_id],tblInvoices[total_invoice_amount])</f>
        <v/>
      </c>
      <c r="D322">
        <f>SUMIFS(tblPayments[payment_amount],tblPayments[invoice_id],A322,tblPayments[payment_status],"Success")</f>
        <v/>
      </c>
      <c r="E322">
        <f>D322-C322</f>
        <v/>
      </c>
      <c r="F322">
        <f>IFS(D322=0,"MISSING_PAYMENT",ABS(E322)&lt;=1,"MATCHED",E322&gt;1,"AMOUNT_MISMATCH",TRUE,"PARTIAL")</f>
        <v/>
      </c>
    </row>
    <row r="323">
      <c r="A323" t="inlineStr">
        <is>
          <t>INV0009212</t>
        </is>
      </c>
      <c r="B323" t="inlineStr">
        <is>
          <t>MER00436</t>
        </is>
      </c>
      <c r="C323">
        <f>XLOOKUP(A323,tblInvoices[invoice_id],tblInvoices[total_invoice_amount])</f>
        <v/>
      </c>
      <c r="D323">
        <f>SUMIFS(tblPayments[payment_amount],tblPayments[invoice_id],A323,tblPayments[payment_status],"Success")</f>
        <v/>
      </c>
      <c r="E323">
        <f>D323-C323</f>
        <v/>
      </c>
      <c r="F323">
        <f>IFS(D323=0,"MISSING_PAYMENT",ABS(E323)&lt;=1,"MATCHED",E323&gt;1,"AMOUNT_MISMATCH",TRUE,"PARTIAL")</f>
        <v/>
      </c>
    </row>
    <row r="324">
      <c r="A324" t="inlineStr">
        <is>
          <t>INV0009213</t>
        </is>
      </c>
      <c r="B324" t="inlineStr">
        <is>
          <t>MER00436</t>
        </is>
      </c>
      <c r="C324">
        <f>XLOOKUP(A324,tblInvoices[invoice_id],tblInvoices[total_invoice_amount])</f>
        <v/>
      </c>
      <c r="D324">
        <f>SUMIFS(tblPayments[payment_amount],tblPayments[invoice_id],A324,tblPayments[payment_status],"Success")</f>
        <v/>
      </c>
      <c r="E324">
        <f>D324-C324</f>
        <v/>
      </c>
      <c r="F324">
        <f>IFS(D324=0,"MISSING_PAYMENT",ABS(E324)&lt;=1,"MATCHED",E324&gt;1,"AMOUNT_MISMATCH",TRUE,"PARTIAL")</f>
        <v/>
      </c>
    </row>
    <row r="325">
      <c r="A325" t="inlineStr">
        <is>
          <t>INV0009214</t>
        </is>
      </c>
      <c r="B325" t="inlineStr">
        <is>
          <t>MER00436</t>
        </is>
      </c>
      <c r="C325">
        <f>XLOOKUP(A325,tblInvoices[invoice_id],tblInvoices[total_invoice_amount])</f>
        <v/>
      </c>
      <c r="D325">
        <f>SUMIFS(tblPayments[payment_amount],tblPayments[invoice_id],A325,tblPayments[payment_status],"Success")</f>
        <v/>
      </c>
      <c r="E325">
        <f>D325-C325</f>
        <v/>
      </c>
      <c r="F325">
        <f>IFS(D325=0,"MISSING_PAYMENT",ABS(E325)&lt;=1,"MATCHED",E325&gt;1,"AMOUNT_MISMATCH",TRUE,"PARTIAL")</f>
        <v/>
      </c>
    </row>
    <row r="326">
      <c r="A326" t="inlineStr">
        <is>
          <t>INV0009215</t>
        </is>
      </c>
      <c r="B326" t="inlineStr">
        <is>
          <t>MER00436</t>
        </is>
      </c>
      <c r="C326">
        <f>XLOOKUP(A326,tblInvoices[invoice_id],tblInvoices[total_invoice_amount])</f>
        <v/>
      </c>
      <c r="D326">
        <f>SUMIFS(tblPayments[payment_amount],tblPayments[invoice_id],A326,tblPayments[payment_status],"Success")</f>
        <v/>
      </c>
      <c r="E326">
        <f>D326-C326</f>
        <v/>
      </c>
      <c r="F326">
        <f>IFS(D326=0,"MISSING_PAYMENT",ABS(E326)&lt;=1,"MATCHED",E326&gt;1,"AMOUNT_MISMATCH",TRUE,"PARTIAL")</f>
        <v/>
      </c>
    </row>
    <row r="327">
      <c r="A327" t="inlineStr">
        <is>
          <t>INV0009216</t>
        </is>
      </c>
      <c r="B327" t="inlineStr">
        <is>
          <t>MER00436</t>
        </is>
      </c>
      <c r="C327">
        <f>XLOOKUP(A327,tblInvoices[invoice_id],tblInvoices[total_invoice_amount])</f>
        <v/>
      </c>
      <c r="D327">
        <f>SUMIFS(tblPayments[payment_amount],tblPayments[invoice_id],A327,tblPayments[payment_status],"Success")</f>
        <v/>
      </c>
      <c r="E327">
        <f>D327-C327</f>
        <v/>
      </c>
      <c r="F327">
        <f>IFS(D327=0,"MISSING_PAYMENT",ABS(E327)&lt;=1,"MATCHED",E327&gt;1,"AMOUNT_MISMATCH",TRUE,"PARTIAL")</f>
        <v/>
      </c>
    </row>
    <row r="328">
      <c r="A328" t="inlineStr">
        <is>
          <t>INV0009217</t>
        </is>
      </c>
      <c r="B328" t="inlineStr">
        <is>
          <t>MER00436</t>
        </is>
      </c>
      <c r="C328">
        <f>XLOOKUP(A328,tblInvoices[invoice_id],tblInvoices[total_invoice_amount])</f>
        <v/>
      </c>
      <c r="D328">
        <f>SUMIFS(tblPayments[payment_amount],tblPayments[invoice_id],A328,tblPayments[payment_status],"Success")</f>
        <v/>
      </c>
      <c r="E328">
        <f>D328-C328</f>
        <v/>
      </c>
      <c r="F328">
        <f>IFS(D328=0,"MISSING_PAYMENT",ABS(E328)&lt;=1,"MATCHED",E328&gt;1,"AMOUNT_MISMATCH",TRUE,"PARTIAL")</f>
        <v/>
      </c>
    </row>
    <row r="329">
      <c r="A329" t="inlineStr">
        <is>
          <t>INV0009218</t>
        </is>
      </c>
      <c r="B329" t="inlineStr">
        <is>
          <t>MER00436</t>
        </is>
      </c>
      <c r="C329">
        <f>XLOOKUP(A329,tblInvoices[invoice_id],tblInvoices[total_invoice_amount])</f>
        <v/>
      </c>
      <c r="D329">
        <f>SUMIFS(tblPayments[payment_amount],tblPayments[invoice_id],A329,tblPayments[payment_status],"Success")</f>
        <v/>
      </c>
      <c r="E329">
        <f>D329-C329</f>
        <v/>
      </c>
      <c r="F329">
        <f>IFS(D329=0,"MISSING_PAYMENT",ABS(E329)&lt;=1,"MATCHED",E329&gt;1,"AMOUNT_MISMATCH",TRUE,"PARTIAL")</f>
        <v/>
      </c>
    </row>
    <row r="330">
      <c r="A330" t="inlineStr">
        <is>
          <t>INV0009219</t>
        </is>
      </c>
      <c r="B330" t="inlineStr">
        <is>
          <t>MER00436</t>
        </is>
      </c>
      <c r="C330">
        <f>XLOOKUP(A330,tblInvoices[invoice_id],tblInvoices[total_invoice_amount])</f>
        <v/>
      </c>
      <c r="D330">
        <f>SUMIFS(tblPayments[payment_amount],tblPayments[invoice_id],A330,tblPayments[payment_status],"Success")</f>
        <v/>
      </c>
      <c r="E330">
        <f>D330-C330</f>
        <v/>
      </c>
      <c r="F330">
        <f>IFS(D330=0,"MISSING_PAYMENT",ABS(E330)&lt;=1,"MATCHED",E330&gt;1,"AMOUNT_MISMATCH",TRUE,"PARTIAL")</f>
        <v/>
      </c>
    </row>
    <row r="331">
      <c r="A331" t="inlineStr">
        <is>
          <t>INV0009220</t>
        </is>
      </c>
      <c r="B331" t="inlineStr">
        <is>
          <t>MER00436</t>
        </is>
      </c>
      <c r="C331">
        <f>XLOOKUP(A331,tblInvoices[invoice_id],tblInvoices[total_invoice_amount])</f>
        <v/>
      </c>
      <c r="D331">
        <f>SUMIFS(tblPayments[payment_amount],tblPayments[invoice_id],A331,tblPayments[payment_status],"Success")</f>
        <v/>
      </c>
      <c r="E331">
        <f>D331-C331</f>
        <v/>
      </c>
      <c r="F331">
        <f>IFS(D331=0,"MISSING_PAYMENT",ABS(E331)&lt;=1,"MATCHED",E331&gt;1,"AMOUNT_MISMATCH",TRUE,"PARTIAL")</f>
        <v/>
      </c>
    </row>
    <row r="332">
      <c r="A332" t="inlineStr">
        <is>
          <t>INV0009221</t>
        </is>
      </c>
      <c r="B332" t="inlineStr">
        <is>
          <t>MER00436</t>
        </is>
      </c>
      <c r="C332">
        <f>XLOOKUP(A332,tblInvoices[invoice_id],tblInvoices[total_invoice_amount])</f>
        <v/>
      </c>
      <c r="D332">
        <f>SUMIFS(tblPayments[payment_amount],tblPayments[invoice_id],A332,tblPayments[payment_status],"Success")</f>
        <v/>
      </c>
      <c r="E332">
        <f>D332-C332</f>
        <v/>
      </c>
      <c r="F332">
        <f>IFS(D332=0,"MISSING_PAYMENT",ABS(E332)&lt;=1,"MATCHED",E332&gt;1,"AMOUNT_MISMATCH",TRUE,"PARTIAL")</f>
        <v/>
      </c>
    </row>
    <row r="333">
      <c r="A333" t="inlineStr">
        <is>
          <t>INV0009222</t>
        </is>
      </c>
      <c r="B333" t="inlineStr">
        <is>
          <t>MER00436</t>
        </is>
      </c>
      <c r="C333">
        <f>XLOOKUP(A333,tblInvoices[invoice_id],tblInvoices[total_invoice_amount])</f>
        <v/>
      </c>
      <c r="D333">
        <f>SUMIFS(tblPayments[payment_amount],tblPayments[invoice_id],A333,tblPayments[payment_status],"Success")</f>
        <v/>
      </c>
      <c r="E333">
        <f>D333-C333</f>
        <v/>
      </c>
      <c r="F333">
        <f>IFS(D333=0,"MISSING_PAYMENT",ABS(E333)&lt;=1,"MATCHED",E333&gt;1,"AMOUNT_MISMATCH",TRUE,"PARTIAL")</f>
        <v/>
      </c>
    </row>
    <row r="334">
      <c r="A334" t="inlineStr">
        <is>
          <t>INV0009635</t>
        </is>
      </c>
      <c r="B334" t="inlineStr">
        <is>
          <t>MER00457</t>
        </is>
      </c>
      <c r="C334">
        <f>XLOOKUP(A334,tblInvoices[invoice_id],tblInvoices[total_invoice_amount])</f>
        <v/>
      </c>
      <c r="D334">
        <f>SUMIFS(tblPayments[payment_amount],tblPayments[invoice_id],A334,tblPayments[payment_status],"Success")</f>
        <v/>
      </c>
      <c r="E334">
        <f>D334-C334</f>
        <v/>
      </c>
      <c r="F334">
        <f>IFS(D334=0,"MISSING_PAYMENT",ABS(E334)&lt;=1,"MATCHED",E334&gt;1,"AMOUNT_MISMATCH",TRUE,"PARTIAL")</f>
        <v/>
      </c>
    </row>
    <row r="335">
      <c r="A335" t="inlineStr">
        <is>
          <t>INV0009636</t>
        </is>
      </c>
      <c r="B335" t="inlineStr">
        <is>
          <t>MER00457</t>
        </is>
      </c>
      <c r="C335">
        <f>XLOOKUP(A335,tblInvoices[invoice_id],tblInvoices[total_invoice_amount])</f>
        <v/>
      </c>
      <c r="D335">
        <f>SUMIFS(tblPayments[payment_amount],tblPayments[invoice_id],A335,tblPayments[payment_status],"Success")</f>
        <v/>
      </c>
      <c r="E335">
        <f>D335-C335</f>
        <v/>
      </c>
      <c r="F335">
        <f>IFS(D335=0,"MISSING_PAYMENT",ABS(E335)&lt;=1,"MATCHED",E335&gt;1,"AMOUNT_MISMATCH",TRUE,"PARTIAL")</f>
        <v/>
      </c>
    </row>
    <row r="336">
      <c r="A336" t="inlineStr">
        <is>
          <t>INV0009637</t>
        </is>
      </c>
      <c r="B336" t="inlineStr">
        <is>
          <t>MER00457</t>
        </is>
      </c>
      <c r="C336">
        <f>XLOOKUP(A336,tblInvoices[invoice_id],tblInvoices[total_invoice_amount])</f>
        <v/>
      </c>
      <c r="D336">
        <f>SUMIFS(tblPayments[payment_amount],tblPayments[invoice_id],A336,tblPayments[payment_status],"Success")</f>
        <v/>
      </c>
      <c r="E336">
        <f>D336-C336</f>
        <v/>
      </c>
      <c r="F336">
        <f>IFS(D336=0,"MISSING_PAYMENT",ABS(E336)&lt;=1,"MATCHED",E336&gt;1,"AMOUNT_MISMATCH",TRUE,"PARTIAL")</f>
        <v/>
      </c>
    </row>
    <row r="337">
      <c r="A337" t="inlineStr">
        <is>
          <t>INV0009638</t>
        </is>
      </c>
      <c r="B337" t="inlineStr">
        <is>
          <t>MER00457</t>
        </is>
      </c>
      <c r="C337">
        <f>XLOOKUP(A337,tblInvoices[invoice_id],tblInvoices[total_invoice_amount])</f>
        <v/>
      </c>
      <c r="D337">
        <f>SUMIFS(tblPayments[payment_amount],tblPayments[invoice_id],A337,tblPayments[payment_status],"Success")</f>
        <v/>
      </c>
      <c r="E337">
        <f>D337-C337</f>
        <v/>
      </c>
      <c r="F337">
        <f>IFS(D337=0,"MISSING_PAYMENT",ABS(E337)&lt;=1,"MATCHED",E337&gt;1,"AMOUNT_MISMATCH",TRUE,"PARTIAL")</f>
        <v/>
      </c>
    </row>
    <row r="338">
      <c r="A338" t="inlineStr">
        <is>
          <t>INV0009639</t>
        </is>
      </c>
      <c r="B338" t="inlineStr">
        <is>
          <t>MER00457</t>
        </is>
      </c>
      <c r="C338">
        <f>XLOOKUP(A338,tblInvoices[invoice_id],tblInvoices[total_invoice_amount])</f>
        <v/>
      </c>
      <c r="D338">
        <f>SUMIFS(tblPayments[payment_amount],tblPayments[invoice_id],A338,tblPayments[payment_status],"Success")</f>
        <v/>
      </c>
      <c r="E338">
        <f>D338-C338</f>
        <v/>
      </c>
      <c r="F338">
        <f>IFS(D338=0,"MISSING_PAYMENT",ABS(E338)&lt;=1,"MATCHED",E338&gt;1,"AMOUNT_MISMATCH",TRUE,"PARTIAL")</f>
        <v/>
      </c>
    </row>
    <row r="339">
      <c r="A339" t="inlineStr">
        <is>
          <t>INV0009640</t>
        </is>
      </c>
      <c r="B339" t="inlineStr">
        <is>
          <t>MER00457</t>
        </is>
      </c>
      <c r="C339">
        <f>XLOOKUP(A339,tblInvoices[invoice_id],tblInvoices[total_invoice_amount])</f>
        <v/>
      </c>
      <c r="D339">
        <f>SUMIFS(tblPayments[payment_amount],tblPayments[invoice_id],A339,tblPayments[payment_status],"Success")</f>
        <v/>
      </c>
      <c r="E339">
        <f>D339-C339</f>
        <v/>
      </c>
      <c r="F339">
        <f>IFS(D339=0,"MISSING_PAYMENT",ABS(E339)&lt;=1,"MATCHED",E339&gt;1,"AMOUNT_MISMATCH",TRUE,"PARTIAL")</f>
        <v/>
      </c>
    </row>
    <row r="340">
      <c r="A340" t="inlineStr">
        <is>
          <t>INV0009641</t>
        </is>
      </c>
      <c r="B340" t="inlineStr">
        <is>
          <t>MER00457</t>
        </is>
      </c>
      <c r="C340">
        <f>XLOOKUP(A340,tblInvoices[invoice_id],tblInvoices[total_invoice_amount])</f>
        <v/>
      </c>
      <c r="D340">
        <f>SUMIFS(tblPayments[payment_amount],tblPayments[invoice_id],A340,tblPayments[payment_status],"Success")</f>
        <v/>
      </c>
      <c r="E340">
        <f>D340-C340</f>
        <v/>
      </c>
      <c r="F340">
        <f>IFS(D340=0,"MISSING_PAYMENT",ABS(E340)&lt;=1,"MATCHED",E340&gt;1,"AMOUNT_MISMATCH",TRUE,"PARTIAL")</f>
        <v/>
      </c>
    </row>
    <row r="341">
      <c r="A341" t="inlineStr">
        <is>
          <t>INV0009642</t>
        </is>
      </c>
      <c r="B341" t="inlineStr">
        <is>
          <t>MER00457</t>
        </is>
      </c>
      <c r="C341">
        <f>XLOOKUP(A341,tblInvoices[invoice_id],tblInvoices[total_invoice_amount])</f>
        <v/>
      </c>
      <c r="D341">
        <f>SUMIFS(tblPayments[payment_amount],tblPayments[invoice_id],A341,tblPayments[payment_status],"Success")</f>
        <v/>
      </c>
      <c r="E341">
        <f>D341-C341</f>
        <v/>
      </c>
      <c r="F341">
        <f>IFS(D341=0,"MISSING_PAYMENT",ABS(E341)&lt;=1,"MATCHED",E341&gt;1,"AMOUNT_MISMATCH",TRUE,"PARTIAL")</f>
        <v/>
      </c>
    </row>
    <row r="342">
      <c r="A342" t="inlineStr">
        <is>
          <t>INV0009643</t>
        </is>
      </c>
      <c r="B342" t="inlineStr">
        <is>
          <t>MER00457</t>
        </is>
      </c>
      <c r="C342">
        <f>XLOOKUP(A342,tblInvoices[invoice_id],tblInvoices[total_invoice_amount])</f>
        <v/>
      </c>
      <c r="D342">
        <f>SUMIFS(tblPayments[payment_amount],tblPayments[invoice_id],A342,tblPayments[payment_status],"Success")</f>
        <v/>
      </c>
      <c r="E342">
        <f>D342-C342</f>
        <v/>
      </c>
      <c r="F342">
        <f>IFS(D342=0,"MISSING_PAYMENT",ABS(E342)&lt;=1,"MATCHED",E342&gt;1,"AMOUNT_MISMATCH",TRUE,"PARTIAL")</f>
        <v/>
      </c>
    </row>
    <row r="343">
      <c r="A343" t="inlineStr">
        <is>
          <t>INV0009644</t>
        </is>
      </c>
      <c r="B343" t="inlineStr">
        <is>
          <t>MER00457</t>
        </is>
      </c>
      <c r="C343">
        <f>XLOOKUP(A343,tblInvoices[invoice_id],tblInvoices[total_invoice_amount])</f>
        <v/>
      </c>
      <c r="D343">
        <f>SUMIFS(tblPayments[payment_amount],tblPayments[invoice_id],A343,tblPayments[payment_status],"Success")</f>
        <v/>
      </c>
      <c r="E343">
        <f>D343-C343</f>
        <v/>
      </c>
      <c r="F343">
        <f>IFS(D343=0,"MISSING_PAYMENT",ABS(E343)&lt;=1,"MATCHED",E343&gt;1,"AMOUNT_MISMATCH",TRUE,"PARTIAL")</f>
        <v/>
      </c>
    </row>
    <row r="344">
      <c r="A344" t="inlineStr">
        <is>
          <t>INV0009645</t>
        </is>
      </c>
      <c r="B344" t="inlineStr">
        <is>
          <t>MER00457</t>
        </is>
      </c>
      <c r="C344">
        <f>XLOOKUP(A344,tblInvoices[invoice_id],tblInvoices[total_invoice_amount])</f>
        <v/>
      </c>
      <c r="D344">
        <f>SUMIFS(tblPayments[payment_amount],tblPayments[invoice_id],A344,tblPayments[payment_status],"Success")</f>
        <v/>
      </c>
      <c r="E344">
        <f>D344-C344</f>
        <v/>
      </c>
      <c r="F344">
        <f>IFS(D344=0,"MISSING_PAYMENT",ABS(E344)&lt;=1,"MATCHED",E344&gt;1,"AMOUNT_MISMATCH",TRUE,"PARTIAL")</f>
        <v/>
      </c>
    </row>
    <row r="345">
      <c r="A345" t="inlineStr">
        <is>
          <t>INV0009646</t>
        </is>
      </c>
      <c r="B345" t="inlineStr">
        <is>
          <t>MER00457</t>
        </is>
      </c>
      <c r="C345">
        <f>XLOOKUP(A345,tblInvoices[invoice_id],tblInvoices[total_invoice_amount])</f>
        <v/>
      </c>
      <c r="D345">
        <f>SUMIFS(tblPayments[payment_amount],tblPayments[invoice_id],A345,tblPayments[payment_status],"Success")</f>
        <v/>
      </c>
      <c r="E345">
        <f>D345-C345</f>
        <v/>
      </c>
      <c r="F345">
        <f>IFS(D345=0,"MISSING_PAYMENT",ABS(E345)&lt;=1,"MATCHED",E345&gt;1,"AMOUNT_MISMATCH",TRUE,"PARTIAL")</f>
        <v/>
      </c>
    </row>
    <row r="346">
      <c r="A346" t="inlineStr">
        <is>
          <t>INV0009647</t>
        </is>
      </c>
      <c r="B346" t="inlineStr">
        <is>
          <t>MER00457</t>
        </is>
      </c>
      <c r="C346">
        <f>XLOOKUP(A346,tblInvoices[invoice_id],tblInvoices[total_invoice_amount])</f>
        <v/>
      </c>
      <c r="D346">
        <f>SUMIFS(tblPayments[payment_amount],tblPayments[invoice_id],A346,tblPayments[payment_status],"Success")</f>
        <v/>
      </c>
      <c r="E346">
        <f>D346-C346</f>
        <v/>
      </c>
      <c r="F346">
        <f>IFS(D346=0,"MISSING_PAYMENT",ABS(E346)&lt;=1,"MATCHED",E346&gt;1,"AMOUNT_MISMATCH",TRUE,"PARTIAL")</f>
        <v/>
      </c>
    </row>
    <row r="347">
      <c r="A347" t="inlineStr">
        <is>
          <t>INV0009648</t>
        </is>
      </c>
      <c r="B347" t="inlineStr">
        <is>
          <t>MER00457</t>
        </is>
      </c>
      <c r="C347">
        <f>XLOOKUP(A347,tblInvoices[invoice_id],tblInvoices[total_invoice_amount])</f>
        <v/>
      </c>
      <c r="D347">
        <f>SUMIFS(tblPayments[payment_amount],tblPayments[invoice_id],A347,tblPayments[payment_status],"Success")</f>
        <v/>
      </c>
      <c r="E347">
        <f>D347-C347</f>
        <v/>
      </c>
      <c r="F347">
        <f>IFS(D347=0,"MISSING_PAYMENT",ABS(E347)&lt;=1,"MATCHED",E347&gt;1,"AMOUNT_MISMATCH",TRUE,"PARTIAL")</f>
        <v/>
      </c>
    </row>
    <row r="348">
      <c r="A348" t="inlineStr">
        <is>
          <t>INV0009649</t>
        </is>
      </c>
      <c r="B348" t="inlineStr">
        <is>
          <t>MER00457</t>
        </is>
      </c>
      <c r="C348">
        <f>XLOOKUP(A348,tblInvoices[invoice_id],tblInvoices[total_invoice_amount])</f>
        <v/>
      </c>
      <c r="D348">
        <f>SUMIFS(tblPayments[payment_amount],tblPayments[invoice_id],A348,tblPayments[payment_status],"Success")</f>
        <v/>
      </c>
      <c r="E348">
        <f>D348-C348</f>
        <v/>
      </c>
      <c r="F348">
        <f>IFS(D348=0,"MISSING_PAYMENT",ABS(E348)&lt;=1,"MATCHED",E348&gt;1,"AMOUNT_MISMATCH",TRUE,"PARTIAL")</f>
        <v/>
      </c>
    </row>
    <row r="349">
      <c r="A349" t="inlineStr">
        <is>
          <t>INV0009650</t>
        </is>
      </c>
      <c r="B349" t="inlineStr">
        <is>
          <t>MER00457</t>
        </is>
      </c>
      <c r="C349">
        <f>XLOOKUP(A349,tblInvoices[invoice_id],tblInvoices[total_invoice_amount])</f>
        <v/>
      </c>
      <c r="D349">
        <f>SUMIFS(tblPayments[payment_amount],tblPayments[invoice_id],A349,tblPayments[payment_status],"Success")</f>
        <v/>
      </c>
      <c r="E349">
        <f>D349-C349</f>
        <v/>
      </c>
      <c r="F349">
        <f>IFS(D349=0,"MISSING_PAYMENT",ABS(E349)&lt;=1,"MATCHED",E349&gt;1,"AMOUNT_MISMATCH",TRUE,"PARTIAL")</f>
        <v/>
      </c>
    </row>
    <row r="350">
      <c r="A350" t="inlineStr">
        <is>
          <t>INV0009651</t>
        </is>
      </c>
      <c r="B350" t="inlineStr">
        <is>
          <t>MER00457</t>
        </is>
      </c>
      <c r="C350">
        <f>XLOOKUP(A350,tblInvoices[invoice_id],tblInvoices[total_invoice_amount])</f>
        <v/>
      </c>
      <c r="D350">
        <f>SUMIFS(tblPayments[payment_amount],tblPayments[invoice_id],A350,tblPayments[payment_status],"Success")</f>
        <v/>
      </c>
      <c r="E350">
        <f>D350-C350</f>
        <v/>
      </c>
      <c r="F350">
        <f>IFS(D350=0,"MISSING_PAYMENT",ABS(E350)&lt;=1,"MATCHED",E350&gt;1,"AMOUNT_MISMATCH",TRUE,"PARTIAL")</f>
        <v/>
      </c>
    </row>
    <row r="351">
      <c r="A351" t="inlineStr">
        <is>
          <t>INV0009652</t>
        </is>
      </c>
      <c r="B351" t="inlineStr">
        <is>
          <t>MER00457</t>
        </is>
      </c>
      <c r="C351">
        <f>XLOOKUP(A351,tblInvoices[invoice_id],tblInvoices[total_invoice_amount])</f>
        <v/>
      </c>
      <c r="D351">
        <f>SUMIFS(tblPayments[payment_amount],tblPayments[invoice_id],A351,tblPayments[payment_status],"Success")</f>
        <v/>
      </c>
      <c r="E351">
        <f>D351-C351</f>
        <v/>
      </c>
      <c r="F351">
        <f>IFS(D351=0,"MISSING_PAYMENT",ABS(E351)&lt;=1,"MATCHED",E351&gt;1,"AMOUNT_MISMATCH",TRUE,"PARTIAL")</f>
        <v/>
      </c>
    </row>
    <row r="352">
      <c r="A352" t="inlineStr">
        <is>
          <t>INV0009653</t>
        </is>
      </c>
      <c r="B352" t="inlineStr">
        <is>
          <t>MER00457</t>
        </is>
      </c>
      <c r="C352">
        <f>XLOOKUP(A352,tblInvoices[invoice_id],tblInvoices[total_invoice_amount])</f>
        <v/>
      </c>
      <c r="D352">
        <f>SUMIFS(tblPayments[payment_amount],tblPayments[invoice_id],A352,tblPayments[payment_status],"Success")</f>
        <v/>
      </c>
      <c r="E352">
        <f>D352-C352</f>
        <v/>
      </c>
      <c r="F352">
        <f>IFS(D352=0,"MISSING_PAYMENT",ABS(E352)&lt;=1,"MATCHED",E352&gt;1,"AMOUNT_MISMATCH",TRUE,"PARTIAL")</f>
        <v/>
      </c>
    </row>
    <row r="353">
      <c r="A353" t="inlineStr">
        <is>
          <t>INV0009654</t>
        </is>
      </c>
      <c r="B353" t="inlineStr">
        <is>
          <t>MER00457</t>
        </is>
      </c>
      <c r="C353">
        <f>XLOOKUP(A353,tblInvoices[invoice_id],tblInvoices[total_invoice_amount])</f>
        <v/>
      </c>
      <c r="D353">
        <f>SUMIFS(tblPayments[payment_amount],tblPayments[invoice_id],A353,tblPayments[payment_status],"Success")</f>
        <v/>
      </c>
      <c r="E353">
        <f>D353-C353</f>
        <v/>
      </c>
      <c r="F353">
        <f>IFS(D353=0,"MISSING_PAYMENT",ABS(E353)&lt;=1,"MATCHED",E353&gt;1,"AMOUNT_MISMATCH",TRUE,"PARTIAL")</f>
        <v/>
      </c>
    </row>
    <row r="354">
      <c r="A354" t="inlineStr">
        <is>
          <t>INV0009655</t>
        </is>
      </c>
      <c r="B354" t="inlineStr">
        <is>
          <t>MER00457</t>
        </is>
      </c>
      <c r="C354">
        <f>XLOOKUP(A354,tblInvoices[invoice_id],tblInvoices[total_invoice_amount])</f>
        <v/>
      </c>
      <c r="D354">
        <f>SUMIFS(tblPayments[payment_amount],tblPayments[invoice_id],A354,tblPayments[payment_status],"Success")</f>
        <v/>
      </c>
      <c r="E354">
        <f>D354-C354</f>
        <v/>
      </c>
      <c r="F354">
        <f>IFS(D354=0,"MISSING_PAYMENT",ABS(E354)&lt;=1,"MATCHED",E354&gt;1,"AMOUNT_MISMATCH",TRUE,"PARTIAL")</f>
        <v/>
      </c>
    </row>
    <row r="355">
      <c r="A355" t="inlineStr">
        <is>
          <t>INV0009656</t>
        </is>
      </c>
      <c r="B355" t="inlineStr">
        <is>
          <t>MER00457</t>
        </is>
      </c>
      <c r="C355">
        <f>XLOOKUP(A355,tblInvoices[invoice_id],tblInvoices[total_invoice_amount])</f>
        <v/>
      </c>
      <c r="D355">
        <f>SUMIFS(tblPayments[payment_amount],tblPayments[invoice_id],A355,tblPayments[payment_status],"Success")</f>
        <v/>
      </c>
      <c r="E355">
        <f>D355-C355</f>
        <v/>
      </c>
      <c r="F355">
        <f>IFS(D355=0,"MISSING_PAYMENT",ABS(E355)&lt;=1,"MATCHED",E355&gt;1,"AMOUNT_MISMATCH",TRUE,"PARTIAL")</f>
        <v/>
      </c>
    </row>
    <row r="356">
      <c r="A356" t="inlineStr">
        <is>
          <t>INV0009657</t>
        </is>
      </c>
      <c r="B356" t="inlineStr">
        <is>
          <t>MER00457</t>
        </is>
      </c>
      <c r="C356">
        <f>XLOOKUP(A356,tblInvoices[invoice_id],tblInvoices[total_invoice_amount])</f>
        <v/>
      </c>
      <c r="D356">
        <f>SUMIFS(tblPayments[payment_amount],tblPayments[invoice_id],A356,tblPayments[payment_status],"Success")</f>
        <v/>
      </c>
      <c r="E356">
        <f>D356-C356</f>
        <v/>
      </c>
      <c r="F356">
        <f>IFS(D356=0,"MISSING_PAYMENT",ABS(E356)&lt;=1,"MATCHED",E356&gt;1,"AMOUNT_MISMATCH",TRUE,"PARTIAL")</f>
        <v/>
      </c>
    </row>
    <row r="357">
      <c r="A357" t="inlineStr">
        <is>
          <t>INV0009658</t>
        </is>
      </c>
      <c r="B357" t="inlineStr">
        <is>
          <t>MER00457</t>
        </is>
      </c>
      <c r="C357">
        <f>XLOOKUP(A357,tblInvoices[invoice_id],tblInvoices[total_invoice_amount])</f>
        <v/>
      </c>
      <c r="D357">
        <f>SUMIFS(tblPayments[payment_amount],tblPayments[invoice_id],A357,tblPayments[payment_status],"Success")</f>
        <v/>
      </c>
      <c r="E357">
        <f>D357-C357</f>
        <v/>
      </c>
      <c r="F357">
        <f>IFS(D357=0,"MISSING_PAYMENT",ABS(E357)&lt;=1,"MATCHED",E357&gt;1,"AMOUNT_MISMATCH",TRUE,"PARTIAL")</f>
        <v/>
      </c>
    </row>
    <row r="358">
      <c r="A358" t="inlineStr">
        <is>
          <t>INV0010152</t>
        </is>
      </c>
      <c r="B358" t="inlineStr">
        <is>
          <t>MER00480</t>
        </is>
      </c>
      <c r="C358">
        <f>XLOOKUP(A358,tblInvoices[invoice_id],tblInvoices[total_invoice_amount])</f>
        <v/>
      </c>
      <c r="D358">
        <f>SUMIFS(tblPayments[payment_amount],tblPayments[invoice_id],A358,tblPayments[payment_status],"Success")</f>
        <v/>
      </c>
      <c r="E358">
        <f>D358-C358</f>
        <v/>
      </c>
      <c r="F358">
        <f>IFS(D358=0,"MISSING_PAYMENT",ABS(E358)&lt;=1,"MATCHED",E358&gt;1,"AMOUNT_MISMATCH",TRUE,"PARTIAL")</f>
        <v/>
      </c>
    </row>
    <row r="359">
      <c r="A359" t="inlineStr">
        <is>
          <t>INV0010153</t>
        </is>
      </c>
      <c r="B359" t="inlineStr">
        <is>
          <t>MER00480</t>
        </is>
      </c>
      <c r="C359">
        <f>XLOOKUP(A359,tblInvoices[invoice_id],tblInvoices[total_invoice_amount])</f>
        <v/>
      </c>
      <c r="D359">
        <f>SUMIFS(tblPayments[payment_amount],tblPayments[invoice_id],A359,tblPayments[payment_status],"Success")</f>
        <v/>
      </c>
      <c r="E359">
        <f>D359-C359</f>
        <v/>
      </c>
      <c r="F359">
        <f>IFS(D359=0,"MISSING_PAYMENT",ABS(E359)&lt;=1,"MATCHED",E359&gt;1,"AMOUNT_MISMATCH",TRUE,"PARTIAL")</f>
        <v/>
      </c>
    </row>
    <row r="360">
      <c r="A360" t="inlineStr">
        <is>
          <t>INV0010154</t>
        </is>
      </c>
      <c r="B360" t="inlineStr">
        <is>
          <t>MER00480</t>
        </is>
      </c>
      <c r="C360">
        <f>XLOOKUP(A360,tblInvoices[invoice_id],tblInvoices[total_invoice_amount])</f>
        <v/>
      </c>
      <c r="D360">
        <f>SUMIFS(tblPayments[payment_amount],tblPayments[invoice_id],A360,tblPayments[payment_status],"Success")</f>
        <v/>
      </c>
      <c r="E360">
        <f>D360-C360</f>
        <v/>
      </c>
      <c r="F360">
        <f>IFS(D360=0,"MISSING_PAYMENT",ABS(E360)&lt;=1,"MATCHED",E360&gt;1,"AMOUNT_MISMATCH",TRUE,"PARTIAL")</f>
        <v/>
      </c>
    </row>
    <row r="361">
      <c r="A361" t="inlineStr">
        <is>
          <t>INV0010155</t>
        </is>
      </c>
      <c r="B361" t="inlineStr">
        <is>
          <t>MER00480</t>
        </is>
      </c>
      <c r="C361">
        <f>XLOOKUP(A361,tblInvoices[invoice_id],tblInvoices[total_invoice_amount])</f>
        <v/>
      </c>
      <c r="D361">
        <f>SUMIFS(tblPayments[payment_amount],tblPayments[invoice_id],A361,tblPayments[payment_status],"Success")</f>
        <v/>
      </c>
      <c r="E361">
        <f>D361-C361</f>
        <v/>
      </c>
      <c r="F361">
        <f>IFS(D361=0,"MISSING_PAYMENT",ABS(E361)&lt;=1,"MATCHED",E361&gt;1,"AMOUNT_MISMATCH",TRUE,"PARTIAL")</f>
        <v/>
      </c>
    </row>
    <row r="362">
      <c r="A362" t="inlineStr">
        <is>
          <t>INV0010156</t>
        </is>
      </c>
      <c r="B362" t="inlineStr">
        <is>
          <t>MER00480</t>
        </is>
      </c>
      <c r="C362">
        <f>XLOOKUP(A362,tblInvoices[invoice_id],tblInvoices[total_invoice_amount])</f>
        <v/>
      </c>
      <c r="D362">
        <f>SUMIFS(tblPayments[payment_amount],tblPayments[invoice_id],A362,tblPayments[payment_status],"Success")</f>
        <v/>
      </c>
      <c r="E362">
        <f>D362-C362</f>
        <v/>
      </c>
      <c r="F362">
        <f>IFS(D362=0,"MISSING_PAYMENT",ABS(E362)&lt;=1,"MATCHED",E362&gt;1,"AMOUNT_MISMATCH",TRUE,"PARTIAL")</f>
        <v/>
      </c>
    </row>
    <row r="363">
      <c r="A363" t="inlineStr">
        <is>
          <t>INV0010157</t>
        </is>
      </c>
      <c r="B363" t="inlineStr">
        <is>
          <t>MER00480</t>
        </is>
      </c>
      <c r="C363">
        <f>XLOOKUP(A363,tblInvoices[invoice_id],tblInvoices[total_invoice_amount])</f>
        <v/>
      </c>
      <c r="D363">
        <f>SUMIFS(tblPayments[payment_amount],tblPayments[invoice_id],A363,tblPayments[payment_status],"Success")</f>
        <v/>
      </c>
      <c r="E363">
        <f>D363-C363</f>
        <v/>
      </c>
      <c r="F363">
        <f>IFS(D363=0,"MISSING_PAYMENT",ABS(E363)&lt;=1,"MATCHED",E363&gt;1,"AMOUNT_MISMATCH",TRUE,"PARTIAL")</f>
        <v/>
      </c>
    </row>
    <row r="364">
      <c r="A364" t="inlineStr">
        <is>
          <t>INV0010158</t>
        </is>
      </c>
      <c r="B364" t="inlineStr">
        <is>
          <t>MER00480</t>
        </is>
      </c>
      <c r="C364">
        <f>XLOOKUP(A364,tblInvoices[invoice_id],tblInvoices[total_invoice_amount])</f>
        <v/>
      </c>
      <c r="D364">
        <f>SUMIFS(tblPayments[payment_amount],tblPayments[invoice_id],A364,tblPayments[payment_status],"Success")</f>
        <v/>
      </c>
      <c r="E364">
        <f>D364-C364</f>
        <v/>
      </c>
      <c r="F364">
        <f>IFS(D364=0,"MISSING_PAYMENT",ABS(E364)&lt;=1,"MATCHED",E364&gt;1,"AMOUNT_MISMATCH",TRUE,"PARTIAL")</f>
        <v/>
      </c>
    </row>
    <row r="365">
      <c r="A365" t="inlineStr">
        <is>
          <t>INV0010159</t>
        </is>
      </c>
      <c r="B365" t="inlineStr">
        <is>
          <t>MER00480</t>
        </is>
      </c>
      <c r="C365">
        <f>XLOOKUP(A365,tblInvoices[invoice_id],tblInvoices[total_invoice_amount])</f>
        <v/>
      </c>
      <c r="D365">
        <f>SUMIFS(tblPayments[payment_amount],tblPayments[invoice_id],A365,tblPayments[payment_status],"Success")</f>
        <v/>
      </c>
      <c r="E365">
        <f>D365-C365</f>
        <v/>
      </c>
      <c r="F365">
        <f>IFS(D365=0,"MISSING_PAYMENT",ABS(E365)&lt;=1,"MATCHED",E365&gt;1,"AMOUNT_MISMATCH",TRUE,"PARTIAL")</f>
        <v/>
      </c>
    </row>
    <row r="366">
      <c r="A366" t="inlineStr">
        <is>
          <t>INV0010160</t>
        </is>
      </c>
      <c r="B366" t="inlineStr">
        <is>
          <t>MER00480</t>
        </is>
      </c>
      <c r="C366">
        <f>XLOOKUP(A366,tblInvoices[invoice_id],tblInvoices[total_invoice_amount])</f>
        <v/>
      </c>
      <c r="D366">
        <f>SUMIFS(tblPayments[payment_amount],tblPayments[invoice_id],A366,tblPayments[payment_status],"Success")</f>
        <v/>
      </c>
      <c r="E366">
        <f>D366-C366</f>
        <v/>
      </c>
      <c r="F366">
        <f>IFS(D366=0,"MISSING_PAYMENT",ABS(E366)&lt;=1,"MATCHED",E366&gt;1,"AMOUNT_MISMATCH",TRUE,"PARTIAL")</f>
        <v/>
      </c>
    </row>
    <row r="367">
      <c r="A367" t="inlineStr">
        <is>
          <t>INV0010161</t>
        </is>
      </c>
      <c r="B367" t="inlineStr">
        <is>
          <t>MER00480</t>
        </is>
      </c>
      <c r="C367">
        <f>XLOOKUP(A367,tblInvoices[invoice_id],tblInvoices[total_invoice_amount])</f>
        <v/>
      </c>
      <c r="D367">
        <f>SUMIFS(tblPayments[payment_amount],tblPayments[invoice_id],A367,tblPayments[payment_status],"Success")</f>
        <v/>
      </c>
      <c r="E367">
        <f>D367-C367</f>
        <v/>
      </c>
      <c r="F367">
        <f>IFS(D367=0,"MISSING_PAYMENT",ABS(E367)&lt;=1,"MATCHED",E367&gt;1,"AMOUNT_MISMATCH",TRUE,"PARTIAL")</f>
        <v/>
      </c>
    </row>
    <row r="368">
      <c r="A368" t="inlineStr">
        <is>
          <t>INV0010162</t>
        </is>
      </c>
      <c r="B368" t="inlineStr">
        <is>
          <t>MER00480</t>
        </is>
      </c>
      <c r="C368">
        <f>XLOOKUP(A368,tblInvoices[invoice_id],tblInvoices[total_invoice_amount])</f>
        <v/>
      </c>
      <c r="D368">
        <f>SUMIFS(tblPayments[payment_amount],tblPayments[invoice_id],A368,tblPayments[payment_status],"Success")</f>
        <v/>
      </c>
      <c r="E368">
        <f>D368-C368</f>
        <v/>
      </c>
      <c r="F368">
        <f>IFS(D368=0,"MISSING_PAYMENT",ABS(E368)&lt;=1,"MATCHED",E368&gt;1,"AMOUNT_MISMATCH",TRUE,"PARTIAL")</f>
        <v/>
      </c>
    </row>
    <row r="369">
      <c r="A369" t="inlineStr">
        <is>
          <t>INV0010163</t>
        </is>
      </c>
      <c r="B369" t="inlineStr">
        <is>
          <t>MER00480</t>
        </is>
      </c>
      <c r="C369">
        <f>XLOOKUP(A369,tblInvoices[invoice_id],tblInvoices[total_invoice_amount])</f>
        <v/>
      </c>
      <c r="D369">
        <f>SUMIFS(tblPayments[payment_amount],tblPayments[invoice_id],A369,tblPayments[payment_status],"Success")</f>
        <v/>
      </c>
      <c r="E369">
        <f>D369-C369</f>
        <v/>
      </c>
      <c r="F369">
        <f>IFS(D369=0,"MISSING_PAYMENT",ABS(E369)&lt;=1,"MATCHED",E369&gt;1,"AMOUNT_MISMATCH",TRUE,"PARTIAL")</f>
        <v/>
      </c>
    </row>
    <row r="370">
      <c r="A370" t="inlineStr">
        <is>
          <t>INV0010164</t>
        </is>
      </c>
      <c r="B370" t="inlineStr">
        <is>
          <t>MER00480</t>
        </is>
      </c>
      <c r="C370">
        <f>XLOOKUP(A370,tblInvoices[invoice_id],tblInvoices[total_invoice_amount])</f>
        <v/>
      </c>
      <c r="D370">
        <f>SUMIFS(tblPayments[payment_amount],tblPayments[invoice_id],A370,tblPayments[payment_status],"Success")</f>
        <v/>
      </c>
      <c r="E370">
        <f>D370-C370</f>
        <v/>
      </c>
      <c r="F370">
        <f>IFS(D370=0,"MISSING_PAYMENT",ABS(E370)&lt;=1,"MATCHED",E370&gt;1,"AMOUNT_MISMATCH",TRUE,"PARTIAL")</f>
        <v/>
      </c>
    </row>
    <row r="371">
      <c r="A371" t="inlineStr">
        <is>
          <t>INV0010165</t>
        </is>
      </c>
      <c r="B371" t="inlineStr">
        <is>
          <t>MER00480</t>
        </is>
      </c>
      <c r="C371">
        <f>XLOOKUP(A371,tblInvoices[invoice_id],tblInvoices[total_invoice_amount])</f>
        <v/>
      </c>
      <c r="D371">
        <f>SUMIFS(tblPayments[payment_amount],tblPayments[invoice_id],A371,tblPayments[payment_status],"Success")</f>
        <v/>
      </c>
      <c r="E371">
        <f>D371-C371</f>
        <v/>
      </c>
      <c r="F371">
        <f>IFS(D371=0,"MISSING_PAYMENT",ABS(E371)&lt;=1,"MATCHED",E371&gt;1,"AMOUNT_MISMATCH",TRUE,"PARTIAL")</f>
        <v/>
      </c>
    </row>
    <row r="372">
      <c r="A372" t="inlineStr">
        <is>
          <t>INV0010166</t>
        </is>
      </c>
      <c r="B372" t="inlineStr">
        <is>
          <t>MER00480</t>
        </is>
      </c>
      <c r="C372">
        <f>XLOOKUP(A372,tblInvoices[invoice_id],tblInvoices[total_invoice_amount])</f>
        <v/>
      </c>
      <c r="D372">
        <f>SUMIFS(tblPayments[payment_amount],tblPayments[invoice_id],A372,tblPayments[payment_status],"Success")</f>
        <v/>
      </c>
      <c r="E372">
        <f>D372-C372</f>
        <v/>
      </c>
      <c r="F372">
        <f>IFS(D372=0,"MISSING_PAYMENT",ABS(E372)&lt;=1,"MATCHED",E372&gt;1,"AMOUNT_MISMATCH",TRUE,"PARTIAL")</f>
        <v/>
      </c>
    </row>
    <row r="373">
      <c r="A373" t="inlineStr">
        <is>
          <t>INV0010167</t>
        </is>
      </c>
      <c r="B373" t="inlineStr">
        <is>
          <t>MER00480</t>
        </is>
      </c>
      <c r="C373">
        <f>XLOOKUP(A373,tblInvoices[invoice_id],tblInvoices[total_invoice_amount])</f>
        <v/>
      </c>
      <c r="D373">
        <f>SUMIFS(tblPayments[payment_amount],tblPayments[invoice_id],A373,tblPayments[payment_status],"Success")</f>
        <v/>
      </c>
      <c r="E373">
        <f>D373-C373</f>
        <v/>
      </c>
      <c r="F373">
        <f>IFS(D373=0,"MISSING_PAYMENT",ABS(E373)&lt;=1,"MATCHED",E373&gt;1,"AMOUNT_MISMATCH",TRUE,"PARTIAL")</f>
        <v/>
      </c>
    </row>
    <row r="374">
      <c r="A374" t="inlineStr">
        <is>
          <t>INV0010168</t>
        </is>
      </c>
      <c r="B374" t="inlineStr">
        <is>
          <t>MER00480</t>
        </is>
      </c>
      <c r="C374">
        <f>XLOOKUP(A374,tblInvoices[invoice_id],tblInvoices[total_invoice_amount])</f>
        <v/>
      </c>
      <c r="D374">
        <f>SUMIFS(tblPayments[payment_amount],tblPayments[invoice_id],A374,tblPayments[payment_status],"Success")</f>
        <v/>
      </c>
      <c r="E374">
        <f>D374-C374</f>
        <v/>
      </c>
      <c r="F374">
        <f>IFS(D374=0,"MISSING_PAYMENT",ABS(E374)&lt;=1,"MATCHED",E374&gt;1,"AMOUNT_MISMATCH",TRUE,"PARTIAL")</f>
        <v/>
      </c>
    </row>
    <row r="375">
      <c r="A375" t="inlineStr">
        <is>
          <t>INV0010169</t>
        </is>
      </c>
      <c r="B375" t="inlineStr">
        <is>
          <t>MER00480</t>
        </is>
      </c>
      <c r="C375">
        <f>XLOOKUP(A375,tblInvoices[invoice_id],tblInvoices[total_invoice_amount])</f>
        <v/>
      </c>
      <c r="D375">
        <f>SUMIFS(tblPayments[payment_amount],tblPayments[invoice_id],A375,tblPayments[payment_status],"Success")</f>
        <v/>
      </c>
      <c r="E375">
        <f>D375-C375</f>
        <v/>
      </c>
      <c r="F375">
        <f>IFS(D375=0,"MISSING_PAYMENT",ABS(E375)&lt;=1,"MATCHED",E375&gt;1,"AMOUNT_MISMATCH",TRUE,"PARTIAL")</f>
        <v/>
      </c>
    </row>
    <row r="376">
      <c r="A376" t="inlineStr">
        <is>
          <t>INV0010170</t>
        </is>
      </c>
      <c r="B376" t="inlineStr">
        <is>
          <t>MER00480</t>
        </is>
      </c>
      <c r="C376">
        <f>XLOOKUP(A376,tblInvoices[invoice_id],tblInvoices[total_invoice_amount])</f>
        <v/>
      </c>
      <c r="D376">
        <f>SUMIFS(tblPayments[payment_amount],tblPayments[invoice_id],A376,tblPayments[payment_status],"Success")</f>
        <v/>
      </c>
      <c r="E376">
        <f>D376-C376</f>
        <v/>
      </c>
      <c r="F376">
        <f>IFS(D376=0,"MISSING_PAYMENT",ABS(E376)&lt;=1,"MATCHED",E376&gt;1,"AMOUNT_MISMATCH",TRUE,"PARTIAL")</f>
        <v/>
      </c>
    </row>
    <row r="377">
      <c r="A377" t="inlineStr">
        <is>
          <t>INV0010171</t>
        </is>
      </c>
      <c r="B377" t="inlineStr">
        <is>
          <t>MER00480</t>
        </is>
      </c>
      <c r="C377">
        <f>XLOOKUP(A377,tblInvoices[invoice_id],tblInvoices[total_invoice_amount])</f>
        <v/>
      </c>
      <c r="D377">
        <f>SUMIFS(tblPayments[payment_amount],tblPayments[invoice_id],A377,tblPayments[payment_status],"Success")</f>
        <v/>
      </c>
      <c r="E377">
        <f>D377-C377</f>
        <v/>
      </c>
      <c r="F377">
        <f>IFS(D377=0,"MISSING_PAYMENT",ABS(E377)&lt;=1,"MATCHED",E377&gt;1,"AMOUNT_MISMATCH",TRUE,"PARTIAL")</f>
        <v/>
      </c>
    </row>
    <row r="378">
      <c r="A378" t="inlineStr">
        <is>
          <t>INV0010172</t>
        </is>
      </c>
      <c r="B378" t="inlineStr">
        <is>
          <t>MER00480</t>
        </is>
      </c>
      <c r="C378">
        <f>XLOOKUP(A378,tblInvoices[invoice_id],tblInvoices[total_invoice_amount])</f>
        <v/>
      </c>
      <c r="D378">
        <f>SUMIFS(tblPayments[payment_amount],tblPayments[invoice_id],A378,tblPayments[payment_status],"Success")</f>
        <v/>
      </c>
      <c r="E378">
        <f>D378-C378</f>
        <v/>
      </c>
      <c r="F378">
        <f>IFS(D378=0,"MISSING_PAYMENT",ABS(E378)&lt;=1,"MATCHED",E378&gt;1,"AMOUNT_MISMATCH",TRUE,"PARTIAL")</f>
        <v/>
      </c>
    </row>
    <row r="379">
      <c r="A379" t="inlineStr">
        <is>
          <t>INV0010173</t>
        </is>
      </c>
      <c r="B379" t="inlineStr">
        <is>
          <t>MER00480</t>
        </is>
      </c>
      <c r="C379">
        <f>XLOOKUP(A379,tblInvoices[invoice_id],tblInvoices[total_invoice_amount])</f>
        <v/>
      </c>
      <c r="D379">
        <f>SUMIFS(tblPayments[payment_amount],tblPayments[invoice_id],A379,tblPayments[payment_status],"Success")</f>
        <v/>
      </c>
      <c r="E379">
        <f>D379-C379</f>
        <v/>
      </c>
      <c r="F379">
        <f>IFS(D379=0,"MISSING_PAYMENT",ABS(E379)&lt;=1,"MATCHED",E379&gt;1,"AMOUNT_MISMATCH",TRUE,"PARTIAL")</f>
        <v/>
      </c>
    </row>
    <row r="380">
      <c r="A380" t="inlineStr">
        <is>
          <t>INV0010174</t>
        </is>
      </c>
      <c r="B380" t="inlineStr">
        <is>
          <t>MER00480</t>
        </is>
      </c>
      <c r="C380">
        <f>XLOOKUP(A380,tblInvoices[invoice_id],tblInvoices[total_invoice_amount])</f>
        <v/>
      </c>
      <c r="D380">
        <f>SUMIFS(tblPayments[payment_amount],tblPayments[invoice_id],A380,tblPayments[payment_status],"Success")</f>
        <v/>
      </c>
      <c r="E380">
        <f>D380-C380</f>
        <v/>
      </c>
      <c r="F380">
        <f>IFS(D380=0,"MISSING_PAYMENT",ABS(E380)&lt;=1,"MATCHED",E380&gt;1,"AMOUNT_MISMATCH",TRUE,"PARTIAL")</f>
        <v/>
      </c>
    </row>
    <row r="381">
      <c r="A381" t="inlineStr">
        <is>
          <t>INV0010175</t>
        </is>
      </c>
      <c r="B381" t="inlineStr">
        <is>
          <t>MER00480</t>
        </is>
      </c>
      <c r="C381">
        <f>XLOOKUP(A381,tblInvoices[invoice_id],tblInvoices[total_invoice_amount])</f>
        <v/>
      </c>
      <c r="D381">
        <f>SUMIFS(tblPayments[payment_amount],tblPayments[invoice_id],A381,tblPayments[payment_status],"Success")</f>
        <v/>
      </c>
      <c r="E381">
        <f>D381-C381</f>
        <v/>
      </c>
      <c r="F381">
        <f>IFS(D381=0,"MISSING_PAYMENT",ABS(E381)&lt;=1,"MATCHED",E381&gt;1,"AMOUNT_MISMATCH",TRUE,"PARTIAL")</f>
        <v/>
      </c>
    </row>
    <row r="382">
      <c r="A382" t="inlineStr">
        <is>
          <t>INV0010246</t>
        </is>
      </c>
      <c r="B382" t="inlineStr">
        <is>
          <t>MER00484</t>
        </is>
      </c>
      <c r="C382">
        <f>XLOOKUP(A382,tblInvoices[invoice_id],tblInvoices[total_invoice_amount])</f>
        <v/>
      </c>
      <c r="D382">
        <f>SUMIFS(tblPayments[payment_amount],tblPayments[invoice_id],A382,tblPayments[payment_status],"Success")</f>
        <v/>
      </c>
      <c r="E382">
        <f>D382-C382</f>
        <v/>
      </c>
      <c r="F382">
        <f>IFS(D382=0,"MISSING_PAYMENT",ABS(E382)&lt;=1,"MATCHED",E382&gt;1,"AMOUNT_MISMATCH",TRUE,"PARTIAL")</f>
        <v/>
      </c>
    </row>
    <row r="383">
      <c r="A383" t="inlineStr">
        <is>
          <t>INV0010247</t>
        </is>
      </c>
      <c r="B383" t="inlineStr">
        <is>
          <t>MER00484</t>
        </is>
      </c>
      <c r="C383">
        <f>XLOOKUP(A383,tblInvoices[invoice_id],tblInvoices[total_invoice_amount])</f>
        <v/>
      </c>
      <c r="D383">
        <f>SUMIFS(tblPayments[payment_amount],tblPayments[invoice_id],A383,tblPayments[payment_status],"Success")</f>
        <v/>
      </c>
      <c r="E383">
        <f>D383-C383</f>
        <v/>
      </c>
      <c r="F383">
        <f>IFS(D383=0,"MISSING_PAYMENT",ABS(E383)&lt;=1,"MATCHED",E383&gt;1,"AMOUNT_MISMATCH",TRUE,"PARTIAL")</f>
        <v/>
      </c>
    </row>
    <row r="384">
      <c r="A384" t="inlineStr">
        <is>
          <t>INV0010248</t>
        </is>
      </c>
      <c r="B384" t="inlineStr">
        <is>
          <t>MER00484</t>
        </is>
      </c>
      <c r="C384">
        <f>XLOOKUP(A384,tblInvoices[invoice_id],tblInvoices[total_invoice_amount])</f>
        <v/>
      </c>
      <c r="D384">
        <f>SUMIFS(tblPayments[payment_amount],tblPayments[invoice_id],A384,tblPayments[payment_status],"Success")</f>
        <v/>
      </c>
      <c r="E384">
        <f>D384-C384</f>
        <v/>
      </c>
      <c r="F384">
        <f>IFS(D384=0,"MISSING_PAYMENT",ABS(E384)&lt;=1,"MATCHED",E384&gt;1,"AMOUNT_MISMATCH",TRUE,"PARTIAL")</f>
        <v/>
      </c>
    </row>
    <row r="385">
      <c r="A385" t="inlineStr">
        <is>
          <t>INV0010249</t>
        </is>
      </c>
      <c r="B385" t="inlineStr">
        <is>
          <t>MER00484</t>
        </is>
      </c>
      <c r="C385">
        <f>XLOOKUP(A385,tblInvoices[invoice_id],tblInvoices[total_invoice_amount])</f>
        <v/>
      </c>
      <c r="D385">
        <f>SUMIFS(tblPayments[payment_amount],tblPayments[invoice_id],A385,tblPayments[payment_status],"Success")</f>
        <v/>
      </c>
      <c r="E385">
        <f>D385-C385</f>
        <v/>
      </c>
      <c r="F385">
        <f>IFS(D385=0,"MISSING_PAYMENT",ABS(E385)&lt;=1,"MATCHED",E385&gt;1,"AMOUNT_MISMATCH",TRUE,"PARTIAL")</f>
        <v/>
      </c>
    </row>
    <row r="386">
      <c r="A386" t="inlineStr">
        <is>
          <t>INV0010250</t>
        </is>
      </c>
      <c r="B386" t="inlineStr">
        <is>
          <t>MER00484</t>
        </is>
      </c>
      <c r="C386">
        <f>XLOOKUP(A386,tblInvoices[invoice_id],tblInvoices[total_invoice_amount])</f>
        <v/>
      </c>
      <c r="D386">
        <f>SUMIFS(tblPayments[payment_amount],tblPayments[invoice_id],A386,tblPayments[payment_status],"Success")</f>
        <v/>
      </c>
      <c r="E386">
        <f>D386-C386</f>
        <v/>
      </c>
      <c r="F386">
        <f>IFS(D386=0,"MISSING_PAYMENT",ABS(E386)&lt;=1,"MATCHED",E386&gt;1,"AMOUNT_MISMATCH",TRUE,"PARTIAL")</f>
        <v/>
      </c>
    </row>
    <row r="387">
      <c r="A387" t="inlineStr">
        <is>
          <t>INV0010251</t>
        </is>
      </c>
      <c r="B387" t="inlineStr">
        <is>
          <t>MER00484</t>
        </is>
      </c>
      <c r="C387">
        <f>XLOOKUP(A387,tblInvoices[invoice_id],tblInvoices[total_invoice_amount])</f>
        <v/>
      </c>
      <c r="D387">
        <f>SUMIFS(tblPayments[payment_amount],tblPayments[invoice_id],A387,tblPayments[payment_status],"Success")</f>
        <v/>
      </c>
      <c r="E387">
        <f>D387-C387</f>
        <v/>
      </c>
      <c r="F387">
        <f>IFS(D387=0,"MISSING_PAYMENT",ABS(E387)&lt;=1,"MATCHED",E387&gt;1,"AMOUNT_MISMATCH",TRUE,"PARTIAL")</f>
        <v/>
      </c>
    </row>
    <row r="388">
      <c r="A388" t="inlineStr">
        <is>
          <t>INV0010252</t>
        </is>
      </c>
      <c r="B388" t="inlineStr">
        <is>
          <t>MER00484</t>
        </is>
      </c>
      <c r="C388">
        <f>XLOOKUP(A388,tblInvoices[invoice_id],tblInvoices[total_invoice_amount])</f>
        <v/>
      </c>
      <c r="D388">
        <f>SUMIFS(tblPayments[payment_amount],tblPayments[invoice_id],A388,tblPayments[payment_status],"Success")</f>
        <v/>
      </c>
      <c r="E388">
        <f>D388-C388</f>
        <v/>
      </c>
      <c r="F388">
        <f>IFS(D388=0,"MISSING_PAYMENT",ABS(E388)&lt;=1,"MATCHED",E388&gt;1,"AMOUNT_MISMATCH",TRUE,"PARTIAL")</f>
        <v/>
      </c>
    </row>
    <row r="389">
      <c r="A389" t="inlineStr">
        <is>
          <t>INV0010253</t>
        </is>
      </c>
      <c r="B389" t="inlineStr">
        <is>
          <t>MER00484</t>
        </is>
      </c>
      <c r="C389">
        <f>XLOOKUP(A389,tblInvoices[invoice_id],tblInvoices[total_invoice_amount])</f>
        <v/>
      </c>
      <c r="D389">
        <f>SUMIFS(tblPayments[payment_amount],tblPayments[invoice_id],A389,tblPayments[payment_status],"Success")</f>
        <v/>
      </c>
      <c r="E389">
        <f>D389-C389</f>
        <v/>
      </c>
      <c r="F389">
        <f>IFS(D389=0,"MISSING_PAYMENT",ABS(E389)&lt;=1,"MATCHED",E389&gt;1,"AMOUNT_MISMATCH",TRUE,"PARTIAL")</f>
        <v/>
      </c>
    </row>
    <row r="390">
      <c r="A390" t="inlineStr">
        <is>
          <t>INV0010254</t>
        </is>
      </c>
      <c r="B390" t="inlineStr">
        <is>
          <t>MER00484</t>
        </is>
      </c>
      <c r="C390">
        <f>XLOOKUP(A390,tblInvoices[invoice_id],tblInvoices[total_invoice_amount])</f>
        <v/>
      </c>
      <c r="D390">
        <f>SUMIFS(tblPayments[payment_amount],tblPayments[invoice_id],A390,tblPayments[payment_status],"Success")</f>
        <v/>
      </c>
      <c r="E390">
        <f>D390-C390</f>
        <v/>
      </c>
      <c r="F390">
        <f>IFS(D390=0,"MISSING_PAYMENT",ABS(E390)&lt;=1,"MATCHED",E390&gt;1,"AMOUNT_MISMATCH",TRUE,"PARTIAL")</f>
        <v/>
      </c>
    </row>
    <row r="391">
      <c r="A391" t="inlineStr">
        <is>
          <t>INV0010255</t>
        </is>
      </c>
      <c r="B391" t="inlineStr">
        <is>
          <t>MER00484</t>
        </is>
      </c>
      <c r="C391">
        <f>XLOOKUP(A391,tblInvoices[invoice_id],tblInvoices[total_invoice_amount])</f>
        <v/>
      </c>
      <c r="D391">
        <f>SUMIFS(tblPayments[payment_amount],tblPayments[invoice_id],A391,tblPayments[payment_status],"Success")</f>
        <v/>
      </c>
      <c r="E391">
        <f>D391-C391</f>
        <v/>
      </c>
      <c r="F391">
        <f>IFS(D391=0,"MISSING_PAYMENT",ABS(E391)&lt;=1,"MATCHED",E391&gt;1,"AMOUNT_MISMATCH",TRUE,"PARTIAL")</f>
        <v/>
      </c>
    </row>
    <row r="392">
      <c r="A392" t="inlineStr">
        <is>
          <t>INV0010256</t>
        </is>
      </c>
      <c r="B392" t="inlineStr">
        <is>
          <t>MER00484</t>
        </is>
      </c>
      <c r="C392">
        <f>XLOOKUP(A392,tblInvoices[invoice_id],tblInvoices[total_invoice_amount])</f>
        <v/>
      </c>
      <c r="D392">
        <f>SUMIFS(tblPayments[payment_amount],tblPayments[invoice_id],A392,tblPayments[payment_status],"Success")</f>
        <v/>
      </c>
      <c r="E392">
        <f>D392-C392</f>
        <v/>
      </c>
      <c r="F392">
        <f>IFS(D392=0,"MISSING_PAYMENT",ABS(E392)&lt;=1,"MATCHED",E392&gt;1,"AMOUNT_MISMATCH",TRUE,"PARTIAL")</f>
        <v/>
      </c>
    </row>
    <row r="393">
      <c r="A393" t="inlineStr">
        <is>
          <t>INV0010257</t>
        </is>
      </c>
      <c r="B393" t="inlineStr">
        <is>
          <t>MER00484</t>
        </is>
      </c>
      <c r="C393">
        <f>XLOOKUP(A393,tblInvoices[invoice_id],tblInvoices[total_invoice_amount])</f>
        <v/>
      </c>
      <c r="D393">
        <f>SUMIFS(tblPayments[payment_amount],tblPayments[invoice_id],A393,tblPayments[payment_status],"Success")</f>
        <v/>
      </c>
      <c r="E393">
        <f>D393-C393</f>
        <v/>
      </c>
      <c r="F393">
        <f>IFS(D393=0,"MISSING_PAYMENT",ABS(E393)&lt;=1,"MATCHED",E393&gt;1,"AMOUNT_MISMATCH",TRUE,"PARTIAL")</f>
        <v/>
      </c>
    </row>
    <row r="394">
      <c r="A394" t="inlineStr">
        <is>
          <t>INV0010258</t>
        </is>
      </c>
      <c r="B394" t="inlineStr">
        <is>
          <t>MER00484</t>
        </is>
      </c>
      <c r="C394">
        <f>XLOOKUP(A394,tblInvoices[invoice_id],tblInvoices[total_invoice_amount])</f>
        <v/>
      </c>
      <c r="D394">
        <f>SUMIFS(tblPayments[payment_amount],tblPayments[invoice_id],A394,tblPayments[payment_status],"Success")</f>
        <v/>
      </c>
      <c r="E394">
        <f>D394-C394</f>
        <v/>
      </c>
      <c r="F394">
        <f>IFS(D394=0,"MISSING_PAYMENT",ABS(E394)&lt;=1,"MATCHED",E394&gt;1,"AMOUNT_MISMATCH",TRUE,"PARTIAL")</f>
        <v/>
      </c>
    </row>
    <row r="395">
      <c r="A395" t="inlineStr">
        <is>
          <t>INV0010259</t>
        </is>
      </c>
      <c r="B395" t="inlineStr">
        <is>
          <t>MER00484</t>
        </is>
      </c>
      <c r="C395">
        <f>XLOOKUP(A395,tblInvoices[invoice_id],tblInvoices[total_invoice_amount])</f>
        <v/>
      </c>
      <c r="D395">
        <f>SUMIFS(tblPayments[payment_amount],tblPayments[invoice_id],A395,tblPayments[payment_status],"Success")</f>
        <v/>
      </c>
      <c r="E395">
        <f>D395-C395</f>
        <v/>
      </c>
      <c r="F395">
        <f>IFS(D395=0,"MISSING_PAYMENT",ABS(E395)&lt;=1,"MATCHED",E395&gt;1,"AMOUNT_MISMATCH",TRUE,"PARTIAL")</f>
        <v/>
      </c>
    </row>
    <row r="396">
      <c r="A396" t="inlineStr">
        <is>
          <t>INV0010260</t>
        </is>
      </c>
      <c r="B396" t="inlineStr">
        <is>
          <t>MER00484</t>
        </is>
      </c>
      <c r="C396">
        <f>XLOOKUP(A396,tblInvoices[invoice_id],tblInvoices[total_invoice_amount])</f>
        <v/>
      </c>
      <c r="D396">
        <f>SUMIFS(tblPayments[payment_amount],tblPayments[invoice_id],A396,tblPayments[payment_status],"Success")</f>
        <v/>
      </c>
      <c r="E396">
        <f>D396-C396</f>
        <v/>
      </c>
      <c r="F396">
        <f>IFS(D396=0,"MISSING_PAYMENT",ABS(E396)&lt;=1,"MATCHED",E396&gt;1,"AMOUNT_MISMATCH",TRUE,"PARTIAL")</f>
        <v/>
      </c>
    </row>
    <row r="397">
      <c r="A397" t="inlineStr">
        <is>
          <t>INV0010261</t>
        </is>
      </c>
      <c r="B397" t="inlineStr">
        <is>
          <t>MER00484</t>
        </is>
      </c>
      <c r="C397">
        <f>XLOOKUP(A397,tblInvoices[invoice_id],tblInvoices[total_invoice_amount])</f>
        <v/>
      </c>
      <c r="D397">
        <f>SUMIFS(tblPayments[payment_amount],tblPayments[invoice_id],A397,tblPayments[payment_status],"Success")</f>
        <v/>
      </c>
      <c r="E397">
        <f>D397-C397</f>
        <v/>
      </c>
      <c r="F397">
        <f>IFS(D397=0,"MISSING_PAYMENT",ABS(E397)&lt;=1,"MATCHED",E397&gt;1,"AMOUNT_MISMATCH",TRUE,"PARTIAL")</f>
        <v/>
      </c>
    </row>
    <row r="398">
      <c r="A398" t="inlineStr">
        <is>
          <t>INV0010262</t>
        </is>
      </c>
      <c r="B398" t="inlineStr">
        <is>
          <t>MER00484</t>
        </is>
      </c>
      <c r="C398">
        <f>XLOOKUP(A398,tblInvoices[invoice_id],tblInvoices[total_invoice_amount])</f>
        <v/>
      </c>
      <c r="D398">
        <f>SUMIFS(tblPayments[payment_amount],tblPayments[invoice_id],A398,tblPayments[payment_status],"Success")</f>
        <v/>
      </c>
      <c r="E398">
        <f>D398-C398</f>
        <v/>
      </c>
      <c r="F398">
        <f>IFS(D398=0,"MISSING_PAYMENT",ABS(E398)&lt;=1,"MATCHED",E398&gt;1,"AMOUNT_MISMATCH",TRUE,"PARTIAL")</f>
        <v/>
      </c>
    </row>
    <row r="399">
      <c r="A399" t="inlineStr">
        <is>
          <t>INV0010263</t>
        </is>
      </c>
      <c r="B399" t="inlineStr">
        <is>
          <t>MER00484</t>
        </is>
      </c>
      <c r="C399">
        <f>XLOOKUP(A399,tblInvoices[invoice_id],tblInvoices[total_invoice_amount])</f>
        <v/>
      </c>
      <c r="D399">
        <f>SUMIFS(tblPayments[payment_amount],tblPayments[invoice_id],A399,tblPayments[payment_status],"Success")</f>
        <v/>
      </c>
      <c r="E399">
        <f>D399-C399</f>
        <v/>
      </c>
      <c r="F399">
        <f>IFS(D399=0,"MISSING_PAYMENT",ABS(E399)&lt;=1,"MATCHED",E399&gt;1,"AMOUNT_MISMATCH",TRUE,"PARTIAL")</f>
        <v/>
      </c>
    </row>
    <row r="400">
      <c r="A400" t="inlineStr">
        <is>
          <t>INV0010264</t>
        </is>
      </c>
      <c r="B400" t="inlineStr">
        <is>
          <t>MER00484</t>
        </is>
      </c>
      <c r="C400">
        <f>XLOOKUP(A400,tblInvoices[invoice_id],tblInvoices[total_invoice_amount])</f>
        <v/>
      </c>
      <c r="D400">
        <f>SUMIFS(tblPayments[payment_amount],tblPayments[invoice_id],A400,tblPayments[payment_status],"Success")</f>
        <v/>
      </c>
      <c r="E400">
        <f>D400-C400</f>
        <v/>
      </c>
      <c r="F400">
        <f>IFS(D400=0,"MISSING_PAYMENT",ABS(E400)&lt;=1,"MATCHED",E400&gt;1,"AMOUNT_MISMATCH",TRUE,"PARTIAL")</f>
        <v/>
      </c>
    </row>
    <row r="401">
      <c r="A401" t="inlineStr">
        <is>
          <t>INV0010265</t>
        </is>
      </c>
      <c r="B401" t="inlineStr">
        <is>
          <t>MER00484</t>
        </is>
      </c>
      <c r="C401">
        <f>XLOOKUP(A401,tblInvoices[invoice_id],tblInvoices[total_invoice_amount])</f>
        <v/>
      </c>
      <c r="D401">
        <f>SUMIFS(tblPayments[payment_amount],tblPayments[invoice_id],A401,tblPayments[payment_status],"Success")</f>
        <v/>
      </c>
      <c r="E401">
        <f>D401-C401</f>
        <v/>
      </c>
      <c r="F401">
        <f>IFS(D401=0,"MISSING_PAYMENT",ABS(E401)&lt;=1,"MATCHED",E401&gt;1,"AMOUNT_MISMATCH",TRUE,"PARTIAL")</f>
        <v/>
      </c>
    </row>
    <row r="402">
      <c r="A402" t="inlineStr">
        <is>
          <t>INV0010266</t>
        </is>
      </c>
      <c r="B402" t="inlineStr">
        <is>
          <t>MER00484</t>
        </is>
      </c>
      <c r="C402">
        <f>XLOOKUP(A402,tblInvoices[invoice_id],tblInvoices[total_invoice_amount])</f>
        <v/>
      </c>
      <c r="D402">
        <f>SUMIFS(tblPayments[payment_amount],tblPayments[invoice_id],A402,tblPayments[payment_status],"Success")</f>
        <v/>
      </c>
      <c r="E402">
        <f>D402-C402</f>
        <v/>
      </c>
      <c r="F402">
        <f>IFS(D402=0,"MISSING_PAYMENT",ABS(E402)&lt;=1,"MATCHED",E402&gt;1,"AMOUNT_MISMATCH",TRUE,"PARTIAL")</f>
        <v/>
      </c>
    </row>
    <row r="403">
      <c r="A403" t="inlineStr">
        <is>
          <t>INV0010267</t>
        </is>
      </c>
      <c r="B403" t="inlineStr">
        <is>
          <t>MER00484</t>
        </is>
      </c>
      <c r="C403">
        <f>XLOOKUP(A403,tblInvoices[invoice_id],tblInvoices[total_invoice_amount])</f>
        <v/>
      </c>
      <c r="D403">
        <f>SUMIFS(tblPayments[payment_amount],tblPayments[invoice_id],A403,tblPayments[payment_status],"Success")</f>
        <v/>
      </c>
      <c r="E403">
        <f>D403-C403</f>
        <v/>
      </c>
      <c r="F403">
        <f>IFS(D403=0,"MISSING_PAYMENT",ABS(E403)&lt;=1,"MATCHED",E403&gt;1,"AMOUNT_MISMATCH",TRUE,"PARTIAL")</f>
        <v/>
      </c>
    </row>
    <row r="404">
      <c r="A404" t="inlineStr">
        <is>
          <t>INV0010268</t>
        </is>
      </c>
      <c r="B404" t="inlineStr">
        <is>
          <t>MER00484</t>
        </is>
      </c>
      <c r="C404">
        <f>XLOOKUP(A404,tblInvoices[invoice_id],tblInvoices[total_invoice_amount])</f>
        <v/>
      </c>
      <c r="D404">
        <f>SUMIFS(tblPayments[payment_amount],tblPayments[invoice_id],A404,tblPayments[payment_status],"Success")</f>
        <v/>
      </c>
      <c r="E404">
        <f>D404-C404</f>
        <v/>
      </c>
      <c r="F404">
        <f>IFS(D404=0,"MISSING_PAYMENT",ABS(E404)&lt;=1,"MATCHED",E404&gt;1,"AMOUNT_MISMATCH",TRUE,"PARTIAL")</f>
        <v/>
      </c>
    </row>
    <row r="405">
      <c r="A405" t="inlineStr">
        <is>
          <t>INV0010269</t>
        </is>
      </c>
      <c r="B405" t="inlineStr">
        <is>
          <t>MER00484</t>
        </is>
      </c>
      <c r="C405">
        <f>XLOOKUP(A405,tblInvoices[invoice_id],tblInvoices[total_invoice_amount])</f>
        <v/>
      </c>
      <c r="D405">
        <f>SUMIFS(tblPayments[payment_amount],tblPayments[invoice_id],A405,tblPayments[payment_status],"Success")</f>
        <v/>
      </c>
      <c r="E405">
        <f>D405-C405</f>
        <v/>
      </c>
      <c r="F405">
        <f>IFS(D405=0,"MISSING_PAYMENT",ABS(E405)&lt;=1,"MATCHED",E405&gt;1,"AMOUNT_MISMATCH",TRUE,"PARTIAL")</f>
        <v/>
      </c>
    </row>
    <row r="406">
      <c r="A406" t="inlineStr">
        <is>
          <t>INV0010618</t>
        </is>
      </c>
      <c r="B406" t="inlineStr">
        <is>
          <t>MER00502</t>
        </is>
      </c>
      <c r="C406">
        <f>XLOOKUP(A406,tblInvoices[invoice_id],tblInvoices[total_invoice_amount])</f>
        <v/>
      </c>
      <c r="D406">
        <f>SUMIFS(tblPayments[payment_amount],tblPayments[invoice_id],A406,tblPayments[payment_status],"Success")</f>
        <v/>
      </c>
      <c r="E406">
        <f>D406-C406</f>
        <v/>
      </c>
      <c r="F406">
        <f>IFS(D406=0,"MISSING_PAYMENT",ABS(E406)&lt;=1,"MATCHED",E406&gt;1,"AMOUNT_MISMATCH",TRUE,"PARTIAL")</f>
        <v/>
      </c>
    </row>
    <row r="407">
      <c r="A407" t="inlineStr">
        <is>
          <t>INV0010619</t>
        </is>
      </c>
      <c r="B407" t="inlineStr">
        <is>
          <t>MER00502</t>
        </is>
      </c>
      <c r="C407">
        <f>XLOOKUP(A407,tblInvoices[invoice_id],tblInvoices[total_invoice_amount])</f>
        <v/>
      </c>
      <c r="D407">
        <f>SUMIFS(tblPayments[payment_amount],tblPayments[invoice_id],A407,tblPayments[payment_status],"Success")</f>
        <v/>
      </c>
      <c r="E407">
        <f>D407-C407</f>
        <v/>
      </c>
      <c r="F407">
        <f>IFS(D407=0,"MISSING_PAYMENT",ABS(E407)&lt;=1,"MATCHED",E407&gt;1,"AMOUNT_MISMATCH",TRUE,"PARTIAL")</f>
        <v/>
      </c>
    </row>
    <row r="408">
      <c r="A408" t="inlineStr">
        <is>
          <t>INV0010620</t>
        </is>
      </c>
      <c r="B408" t="inlineStr">
        <is>
          <t>MER00502</t>
        </is>
      </c>
      <c r="C408">
        <f>XLOOKUP(A408,tblInvoices[invoice_id],tblInvoices[total_invoice_amount])</f>
        <v/>
      </c>
      <c r="D408">
        <f>SUMIFS(tblPayments[payment_amount],tblPayments[invoice_id],A408,tblPayments[payment_status],"Success")</f>
        <v/>
      </c>
      <c r="E408">
        <f>D408-C408</f>
        <v/>
      </c>
      <c r="F408">
        <f>IFS(D408=0,"MISSING_PAYMENT",ABS(E408)&lt;=1,"MATCHED",E408&gt;1,"AMOUNT_MISMATCH",TRUE,"PARTIAL")</f>
        <v/>
      </c>
    </row>
    <row r="409">
      <c r="A409" t="inlineStr">
        <is>
          <t>INV0010621</t>
        </is>
      </c>
      <c r="B409" t="inlineStr">
        <is>
          <t>MER00502</t>
        </is>
      </c>
      <c r="C409">
        <f>XLOOKUP(A409,tblInvoices[invoice_id],tblInvoices[total_invoice_amount])</f>
        <v/>
      </c>
      <c r="D409">
        <f>SUMIFS(tblPayments[payment_amount],tblPayments[invoice_id],A409,tblPayments[payment_status],"Success")</f>
        <v/>
      </c>
      <c r="E409">
        <f>D409-C409</f>
        <v/>
      </c>
      <c r="F409">
        <f>IFS(D409=0,"MISSING_PAYMENT",ABS(E409)&lt;=1,"MATCHED",E409&gt;1,"AMOUNT_MISMATCH",TRUE,"PARTIAL")</f>
        <v/>
      </c>
    </row>
    <row r="410">
      <c r="A410" t="inlineStr">
        <is>
          <t>INV0010622</t>
        </is>
      </c>
      <c r="B410" t="inlineStr">
        <is>
          <t>MER00502</t>
        </is>
      </c>
      <c r="C410">
        <f>XLOOKUP(A410,tblInvoices[invoice_id],tblInvoices[total_invoice_amount])</f>
        <v/>
      </c>
      <c r="D410">
        <f>SUMIFS(tblPayments[payment_amount],tblPayments[invoice_id],A410,tblPayments[payment_status],"Success")</f>
        <v/>
      </c>
      <c r="E410">
        <f>D410-C410</f>
        <v/>
      </c>
      <c r="F410">
        <f>IFS(D410=0,"MISSING_PAYMENT",ABS(E410)&lt;=1,"MATCHED",E410&gt;1,"AMOUNT_MISMATCH",TRUE,"PARTIAL")</f>
        <v/>
      </c>
    </row>
    <row r="411">
      <c r="A411" t="inlineStr">
        <is>
          <t>INV0010623</t>
        </is>
      </c>
      <c r="B411" t="inlineStr">
        <is>
          <t>MER00502</t>
        </is>
      </c>
      <c r="C411">
        <f>XLOOKUP(A411,tblInvoices[invoice_id],tblInvoices[total_invoice_amount])</f>
        <v/>
      </c>
      <c r="D411">
        <f>SUMIFS(tblPayments[payment_amount],tblPayments[invoice_id],A411,tblPayments[payment_status],"Success")</f>
        <v/>
      </c>
      <c r="E411">
        <f>D411-C411</f>
        <v/>
      </c>
      <c r="F411">
        <f>IFS(D411=0,"MISSING_PAYMENT",ABS(E411)&lt;=1,"MATCHED",E411&gt;1,"AMOUNT_MISMATCH",TRUE,"PARTIAL")</f>
        <v/>
      </c>
    </row>
    <row r="412">
      <c r="A412" t="inlineStr">
        <is>
          <t>INV0010624</t>
        </is>
      </c>
      <c r="B412" t="inlineStr">
        <is>
          <t>MER00502</t>
        </is>
      </c>
      <c r="C412">
        <f>XLOOKUP(A412,tblInvoices[invoice_id],tblInvoices[total_invoice_amount])</f>
        <v/>
      </c>
      <c r="D412">
        <f>SUMIFS(tblPayments[payment_amount],tblPayments[invoice_id],A412,tblPayments[payment_status],"Success")</f>
        <v/>
      </c>
      <c r="E412">
        <f>D412-C412</f>
        <v/>
      </c>
      <c r="F412">
        <f>IFS(D412=0,"MISSING_PAYMENT",ABS(E412)&lt;=1,"MATCHED",E412&gt;1,"AMOUNT_MISMATCH",TRUE,"PARTIAL")</f>
        <v/>
      </c>
    </row>
    <row r="413">
      <c r="A413" t="inlineStr">
        <is>
          <t>INV0010625</t>
        </is>
      </c>
      <c r="B413" t="inlineStr">
        <is>
          <t>MER00502</t>
        </is>
      </c>
      <c r="C413">
        <f>XLOOKUP(A413,tblInvoices[invoice_id],tblInvoices[total_invoice_amount])</f>
        <v/>
      </c>
      <c r="D413">
        <f>SUMIFS(tblPayments[payment_amount],tblPayments[invoice_id],A413,tblPayments[payment_status],"Success")</f>
        <v/>
      </c>
      <c r="E413">
        <f>D413-C413</f>
        <v/>
      </c>
      <c r="F413">
        <f>IFS(D413=0,"MISSING_PAYMENT",ABS(E413)&lt;=1,"MATCHED",E413&gt;1,"AMOUNT_MISMATCH",TRUE,"PARTIAL")</f>
        <v/>
      </c>
    </row>
    <row r="414">
      <c r="A414" t="inlineStr">
        <is>
          <t>INV0010626</t>
        </is>
      </c>
      <c r="B414" t="inlineStr">
        <is>
          <t>MER00502</t>
        </is>
      </c>
      <c r="C414">
        <f>XLOOKUP(A414,tblInvoices[invoice_id],tblInvoices[total_invoice_amount])</f>
        <v/>
      </c>
      <c r="D414">
        <f>SUMIFS(tblPayments[payment_amount],tblPayments[invoice_id],A414,tblPayments[payment_status],"Success")</f>
        <v/>
      </c>
      <c r="E414">
        <f>D414-C414</f>
        <v/>
      </c>
      <c r="F414">
        <f>IFS(D414=0,"MISSING_PAYMENT",ABS(E414)&lt;=1,"MATCHED",E414&gt;1,"AMOUNT_MISMATCH",TRUE,"PARTIAL")</f>
        <v/>
      </c>
    </row>
    <row r="415">
      <c r="A415" t="inlineStr">
        <is>
          <t>INV0010627</t>
        </is>
      </c>
      <c r="B415" t="inlineStr">
        <is>
          <t>MER00502</t>
        </is>
      </c>
      <c r="C415">
        <f>XLOOKUP(A415,tblInvoices[invoice_id],tblInvoices[total_invoice_amount])</f>
        <v/>
      </c>
      <c r="D415">
        <f>SUMIFS(tblPayments[payment_amount],tblPayments[invoice_id],A415,tblPayments[payment_status],"Success")</f>
        <v/>
      </c>
      <c r="E415">
        <f>D415-C415</f>
        <v/>
      </c>
      <c r="F415">
        <f>IFS(D415=0,"MISSING_PAYMENT",ABS(E415)&lt;=1,"MATCHED",E415&gt;1,"AMOUNT_MISMATCH",TRUE,"PARTIAL")</f>
        <v/>
      </c>
    </row>
    <row r="416">
      <c r="A416" t="inlineStr">
        <is>
          <t>INV0010628</t>
        </is>
      </c>
      <c r="B416" t="inlineStr">
        <is>
          <t>MER00502</t>
        </is>
      </c>
      <c r="C416">
        <f>XLOOKUP(A416,tblInvoices[invoice_id],tblInvoices[total_invoice_amount])</f>
        <v/>
      </c>
      <c r="D416">
        <f>SUMIFS(tblPayments[payment_amount],tblPayments[invoice_id],A416,tblPayments[payment_status],"Success")</f>
        <v/>
      </c>
      <c r="E416">
        <f>D416-C416</f>
        <v/>
      </c>
      <c r="F416">
        <f>IFS(D416=0,"MISSING_PAYMENT",ABS(E416)&lt;=1,"MATCHED",E416&gt;1,"AMOUNT_MISMATCH",TRUE,"PARTIAL")</f>
        <v/>
      </c>
    </row>
    <row r="417">
      <c r="A417" t="inlineStr">
        <is>
          <t>INV0010629</t>
        </is>
      </c>
      <c r="B417" t="inlineStr">
        <is>
          <t>MER00502</t>
        </is>
      </c>
      <c r="C417">
        <f>XLOOKUP(A417,tblInvoices[invoice_id],tblInvoices[total_invoice_amount])</f>
        <v/>
      </c>
      <c r="D417">
        <f>SUMIFS(tblPayments[payment_amount],tblPayments[invoice_id],A417,tblPayments[payment_status],"Success")</f>
        <v/>
      </c>
      <c r="E417">
        <f>D417-C417</f>
        <v/>
      </c>
      <c r="F417">
        <f>IFS(D417=0,"MISSING_PAYMENT",ABS(E417)&lt;=1,"MATCHED",E417&gt;1,"AMOUNT_MISMATCH",TRUE,"PARTIAL")</f>
        <v/>
      </c>
    </row>
    <row r="418">
      <c r="A418" t="inlineStr">
        <is>
          <t>INV0010630</t>
        </is>
      </c>
      <c r="B418" t="inlineStr">
        <is>
          <t>MER00502</t>
        </is>
      </c>
      <c r="C418">
        <f>XLOOKUP(A418,tblInvoices[invoice_id],tblInvoices[total_invoice_amount])</f>
        <v/>
      </c>
      <c r="D418">
        <f>SUMIFS(tblPayments[payment_amount],tblPayments[invoice_id],A418,tblPayments[payment_status],"Success")</f>
        <v/>
      </c>
      <c r="E418">
        <f>D418-C418</f>
        <v/>
      </c>
      <c r="F418">
        <f>IFS(D418=0,"MISSING_PAYMENT",ABS(E418)&lt;=1,"MATCHED",E418&gt;1,"AMOUNT_MISMATCH",TRUE,"PARTIAL")</f>
        <v/>
      </c>
    </row>
    <row r="419">
      <c r="A419" t="inlineStr">
        <is>
          <t>INV0010631</t>
        </is>
      </c>
      <c r="B419" t="inlineStr">
        <is>
          <t>MER00502</t>
        </is>
      </c>
      <c r="C419">
        <f>XLOOKUP(A419,tblInvoices[invoice_id],tblInvoices[total_invoice_amount])</f>
        <v/>
      </c>
      <c r="D419">
        <f>SUMIFS(tblPayments[payment_amount],tblPayments[invoice_id],A419,tblPayments[payment_status],"Success")</f>
        <v/>
      </c>
      <c r="E419">
        <f>D419-C419</f>
        <v/>
      </c>
      <c r="F419">
        <f>IFS(D419=0,"MISSING_PAYMENT",ABS(E419)&lt;=1,"MATCHED",E419&gt;1,"AMOUNT_MISMATCH",TRUE,"PARTIAL")</f>
        <v/>
      </c>
    </row>
    <row r="420">
      <c r="A420" t="inlineStr">
        <is>
          <t>INV0010632</t>
        </is>
      </c>
      <c r="B420" t="inlineStr">
        <is>
          <t>MER00502</t>
        </is>
      </c>
      <c r="C420">
        <f>XLOOKUP(A420,tblInvoices[invoice_id],tblInvoices[total_invoice_amount])</f>
        <v/>
      </c>
      <c r="D420">
        <f>SUMIFS(tblPayments[payment_amount],tblPayments[invoice_id],A420,tblPayments[payment_status],"Success")</f>
        <v/>
      </c>
      <c r="E420">
        <f>D420-C420</f>
        <v/>
      </c>
      <c r="F420">
        <f>IFS(D420=0,"MISSING_PAYMENT",ABS(E420)&lt;=1,"MATCHED",E420&gt;1,"AMOUNT_MISMATCH",TRUE,"PARTIAL")</f>
        <v/>
      </c>
    </row>
    <row r="421">
      <c r="A421" t="inlineStr">
        <is>
          <t>INV0010633</t>
        </is>
      </c>
      <c r="B421" t="inlineStr">
        <is>
          <t>MER00502</t>
        </is>
      </c>
      <c r="C421">
        <f>XLOOKUP(A421,tblInvoices[invoice_id],tblInvoices[total_invoice_amount])</f>
        <v/>
      </c>
      <c r="D421">
        <f>SUMIFS(tblPayments[payment_amount],tblPayments[invoice_id],A421,tblPayments[payment_status],"Success")</f>
        <v/>
      </c>
      <c r="E421">
        <f>D421-C421</f>
        <v/>
      </c>
      <c r="F421">
        <f>IFS(D421=0,"MISSING_PAYMENT",ABS(E421)&lt;=1,"MATCHED",E421&gt;1,"AMOUNT_MISMATCH",TRUE,"PARTIAL")</f>
        <v/>
      </c>
    </row>
    <row r="422">
      <c r="A422" t="inlineStr">
        <is>
          <t>INV0010634</t>
        </is>
      </c>
      <c r="B422" t="inlineStr">
        <is>
          <t>MER00502</t>
        </is>
      </c>
      <c r="C422">
        <f>XLOOKUP(A422,tblInvoices[invoice_id],tblInvoices[total_invoice_amount])</f>
        <v/>
      </c>
      <c r="D422">
        <f>SUMIFS(tblPayments[payment_amount],tblPayments[invoice_id],A422,tblPayments[payment_status],"Success")</f>
        <v/>
      </c>
      <c r="E422">
        <f>D422-C422</f>
        <v/>
      </c>
      <c r="F422">
        <f>IFS(D422=0,"MISSING_PAYMENT",ABS(E422)&lt;=1,"MATCHED",E422&gt;1,"AMOUNT_MISMATCH",TRUE,"PARTIAL")</f>
        <v/>
      </c>
    </row>
    <row r="423">
      <c r="A423" t="inlineStr">
        <is>
          <t>INV0010635</t>
        </is>
      </c>
      <c r="B423" t="inlineStr">
        <is>
          <t>MER00502</t>
        </is>
      </c>
      <c r="C423">
        <f>XLOOKUP(A423,tblInvoices[invoice_id],tblInvoices[total_invoice_amount])</f>
        <v/>
      </c>
      <c r="D423">
        <f>SUMIFS(tblPayments[payment_amount],tblPayments[invoice_id],A423,tblPayments[payment_status],"Success")</f>
        <v/>
      </c>
      <c r="E423">
        <f>D423-C423</f>
        <v/>
      </c>
      <c r="F423">
        <f>IFS(D423=0,"MISSING_PAYMENT",ABS(E423)&lt;=1,"MATCHED",E423&gt;1,"AMOUNT_MISMATCH",TRUE,"PARTIAL")</f>
        <v/>
      </c>
    </row>
    <row r="424">
      <c r="A424" t="inlineStr">
        <is>
          <t>INV0010636</t>
        </is>
      </c>
      <c r="B424" t="inlineStr">
        <is>
          <t>MER00502</t>
        </is>
      </c>
      <c r="C424">
        <f>XLOOKUP(A424,tblInvoices[invoice_id],tblInvoices[total_invoice_amount])</f>
        <v/>
      </c>
      <c r="D424">
        <f>SUMIFS(tblPayments[payment_amount],tblPayments[invoice_id],A424,tblPayments[payment_status],"Success")</f>
        <v/>
      </c>
      <c r="E424">
        <f>D424-C424</f>
        <v/>
      </c>
      <c r="F424">
        <f>IFS(D424=0,"MISSING_PAYMENT",ABS(E424)&lt;=1,"MATCHED",E424&gt;1,"AMOUNT_MISMATCH",TRUE,"PARTIAL")</f>
        <v/>
      </c>
    </row>
    <row r="425">
      <c r="A425" t="inlineStr">
        <is>
          <t>INV0010637</t>
        </is>
      </c>
      <c r="B425" t="inlineStr">
        <is>
          <t>MER00502</t>
        </is>
      </c>
      <c r="C425">
        <f>XLOOKUP(A425,tblInvoices[invoice_id],tblInvoices[total_invoice_amount])</f>
        <v/>
      </c>
      <c r="D425">
        <f>SUMIFS(tblPayments[payment_amount],tblPayments[invoice_id],A425,tblPayments[payment_status],"Success")</f>
        <v/>
      </c>
      <c r="E425">
        <f>D425-C425</f>
        <v/>
      </c>
      <c r="F425">
        <f>IFS(D425=0,"MISSING_PAYMENT",ABS(E425)&lt;=1,"MATCHED",E425&gt;1,"AMOUNT_MISMATCH",TRUE,"PARTIAL")</f>
        <v/>
      </c>
    </row>
    <row r="426">
      <c r="A426" t="inlineStr">
        <is>
          <t>INV0010638</t>
        </is>
      </c>
      <c r="B426" t="inlineStr">
        <is>
          <t>MER00502</t>
        </is>
      </c>
      <c r="C426">
        <f>XLOOKUP(A426,tblInvoices[invoice_id],tblInvoices[total_invoice_amount])</f>
        <v/>
      </c>
      <c r="D426">
        <f>SUMIFS(tblPayments[payment_amount],tblPayments[invoice_id],A426,tblPayments[payment_status],"Success")</f>
        <v/>
      </c>
      <c r="E426">
        <f>D426-C426</f>
        <v/>
      </c>
      <c r="F426">
        <f>IFS(D426=0,"MISSING_PAYMENT",ABS(E426)&lt;=1,"MATCHED",E426&gt;1,"AMOUNT_MISMATCH",TRUE,"PARTIAL")</f>
        <v/>
      </c>
    </row>
    <row r="427">
      <c r="A427" t="inlineStr">
        <is>
          <t>INV0010639</t>
        </is>
      </c>
      <c r="B427" t="inlineStr">
        <is>
          <t>MER00502</t>
        </is>
      </c>
      <c r="C427">
        <f>XLOOKUP(A427,tblInvoices[invoice_id],tblInvoices[total_invoice_amount])</f>
        <v/>
      </c>
      <c r="D427">
        <f>SUMIFS(tblPayments[payment_amount],tblPayments[invoice_id],A427,tblPayments[payment_status],"Success")</f>
        <v/>
      </c>
      <c r="E427">
        <f>D427-C427</f>
        <v/>
      </c>
      <c r="F427">
        <f>IFS(D427=0,"MISSING_PAYMENT",ABS(E427)&lt;=1,"MATCHED",E427&gt;1,"AMOUNT_MISMATCH",TRUE,"PARTIAL")</f>
        <v/>
      </c>
    </row>
    <row r="428">
      <c r="A428" t="inlineStr">
        <is>
          <t>INV0010640</t>
        </is>
      </c>
      <c r="B428" t="inlineStr">
        <is>
          <t>MER00502</t>
        </is>
      </c>
      <c r="C428">
        <f>XLOOKUP(A428,tblInvoices[invoice_id],tblInvoices[total_invoice_amount])</f>
        <v/>
      </c>
      <c r="D428">
        <f>SUMIFS(tblPayments[payment_amount],tblPayments[invoice_id],A428,tblPayments[payment_status],"Success")</f>
        <v/>
      </c>
      <c r="E428">
        <f>D428-C428</f>
        <v/>
      </c>
      <c r="F428">
        <f>IFS(D428=0,"MISSING_PAYMENT",ABS(E428)&lt;=1,"MATCHED",E428&gt;1,"AMOUNT_MISMATCH",TRUE,"PARTIAL")</f>
        <v/>
      </c>
    </row>
    <row r="429">
      <c r="A429" t="inlineStr">
        <is>
          <t>INV0011058</t>
        </is>
      </c>
      <c r="B429" t="inlineStr">
        <is>
          <t>MER00523</t>
        </is>
      </c>
      <c r="C429">
        <f>XLOOKUP(A429,tblInvoices[invoice_id],tblInvoices[total_invoice_amount])</f>
        <v/>
      </c>
      <c r="D429">
        <f>SUMIFS(tblPayments[payment_amount],tblPayments[invoice_id],A429,tblPayments[payment_status],"Success")</f>
        <v/>
      </c>
      <c r="E429">
        <f>D429-C429</f>
        <v/>
      </c>
      <c r="F429">
        <f>IFS(D429=0,"MISSING_PAYMENT",ABS(E429)&lt;=1,"MATCHED",E429&gt;1,"AMOUNT_MISMATCH",TRUE,"PARTIAL")</f>
        <v/>
      </c>
    </row>
    <row r="430">
      <c r="A430" t="inlineStr">
        <is>
          <t>INV0011059</t>
        </is>
      </c>
      <c r="B430" t="inlineStr">
        <is>
          <t>MER00523</t>
        </is>
      </c>
      <c r="C430">
        <f>XLOOKUP(A430,tblInvoices[invoice_id],tblInvoices[total_invoice_amount])</f>
        <v/>
      </c>
      <c r="D430">
        <f>SUMIFS(tblPayments[payment_amount],tblPayments[invoice_id],A430,tblPayments[payment_status],"Success")</f>
        <v/>
      </c>
      <c r="E430">
        <f>D430-C430</f>
        <v/>
      </c>
      <c r="F430">
        <f>IFS(D430=0,"MISSING_PAYMENT",ABS(E430)&lt;=1,"MATCHED",E430&gt;1,"AMOUNT_MISMATCH",TRUE,"PARTIAL")</f>
        <v/>
      </c>
    </row>
    <row r="431">
      <c r="A431" t="inlineStr">
        <is>
          <t>INV0011060</t>
        </is>
      </c>
      <c r="B431" t="inlineStr">
        <is>
          <t>MER00523</t>
        </is>
      </c>
      <c r="C431">
        <f>XLOOKUP(A431,tblInvoices[invoice_id],tblInvoices[total_invoice_amount])</f>
        <v/>
      </c>
      <c r="D431">
        <f>SUMIFS(tblPayments[payment_amount],tblPayments[invoice_id],A431,tblPayments[payment_status],"Success")</f>
        <v/>
      </c>
      <c r="E431">
        <f>D431-C431</f>
        <v/>
      </c>
      <c r="F431">
        <f>IFS(D431=0,"MISSING_PAYMENT",ABS(E431)&lt;=1,"MATCHED",E431&gt;1,"AMOUNT_MISMATCH",TRUE,"PARTIAL")</f>
        <v/>
      </c>
    </row>
    <row r="432">
      <c r="A432" t="inlineStr">
        <is>
          <t>INV0011061</t>
        </is>
      </c>
      <c r="B432" t="inlineStr">
        <is>
          <t>MER00523</t>
        </is>
      </c>
      <c r="C432">
        <f>XLOOKUP(A432,tblInvoices[invoice_id],tblInvoices[total_invoice_amount])</f>
        <v/>
      </c>
      <c r="D432">
        <f>SUMIFS(tblPayments[payment_amount],tblPayments[invoice_id],A432,tblPayments[payment_status],"Success")</f>
        <v/>
      </c>
      <c r="E432">
        <f>D432-C432</f>
        <v/>
      </c>
      <c r="F432">
        <f>IFS(D432=0,"MISSING_PAYMENT",ABS(E432)&lt;=1,"MATCHED",E432&gt;1,"AMOUNT_MISMATCH",TRUE,"PARTIAL")</f>
        <v/>
      </c>
    </row>
    <row r="433">
      <c r="A433" t="inlineStr">
        <is>
          <t>INV0011062</t>
        </is>
      </c>
      <c r="B433" t="inlineStr">
        <is>
          <t>MER00523</t>
        </is>
      </c>
      <c r="C433">
        <f>XLOOKUP(A433,tblInvoices[invoice_id],tblInvoices[total_invoice_amount])</f>
        <v/>
      </c>
      <c r="D433">
        <f>SUMIFS(tblPayments[payment_amount],tblPayments[invoice_id],A433,tblPayments[payment_status],"Success")</f>
        <v/>
      </c>
      <c r="E433">
        <f>D433-C433</f>
        <v/>
      </c>
      <c r="F433">
        <f>IFS(D433=0,"MISSING_PAYMENT",ABS(E433)&lt;=1,"MATCHED",E433&gt;1,"AMOUNT_MISMATCH",TRUE,"PARTIAL")</f>
        <v/>
      </c>
    </row>
    <row r="434">
      <c r="A434" t="inlineStr">
        <is>
          <t>INV0011063</t>
        </is>
      </c>
      <c r="B434" t="inlineStr">
        <is>
          <t>MER00523</t>
        </is>
      </c>
      <c r="C434">
        <f>XLOOKUP(A434,tblInvoices[invoice_id],tblInvoices[total_invoice_amount])</f>
        <v/>
      </c>
      <c r="D434">
        <f>SUMIFS(tblPayments[payment_amount],tblPayments[invoice_id],A434,tblPayments[payment_status],"Success")</f>
        <v/>
      </c>
      <c r="E434">
        <f>D434-C434</f>
        <v/>
      </c>
      <c r="F434">
        <f>IFS(D434=0,"MISSING_PAYMENT",ABS(E434)&lt;=1,"MATCHED",E434&gt;1,"AMOUNT_MISMATCH",TRUE,"PARTIAL")</f>
        <v/>
      </c>
    </row>
    <row r="435">
      <c r="A435" t="inlineStr">
        <is>
          <t>INV0011064</t>
        </is>
      </c>
      <c r="B435" t="inlineStr">
        <is>
          <t>MER00523</t>
        </is>
      </c>
      <c r="C435">
        <f>XLOOKUP(A435,tblInvoices[invoice_id],tblInvoices[total_invoice_amount])</f>
        <v/>
      </c>
      <c r="D435">
        <f>SUMIFS(tblPayments[payment_amount],tblPayments[invoice_id],A435,tblPayments[payment_status],"Success")</f>
        <v/>
      </c>
      <c r="E435">
        <f>D435-C435</f>
        <v/>
      </c>
      <c r="F435">
        <f>IFS(D435=0,"MISSING_PAYMENT",ABS(E435)&lt;=1,"MATCHED",E435&gt;1,"AMOUNT_MISMATCH",TRUE,"PARTIAL")</f>
        <v/>
      </c>
    </row>
    <row r="436">
      <c r="A436" t="inlineStr">
        <is>
          <t>INV0011065</t>
        </is>
      </c>
      <c r="B436" t="inlineStr">
        <is>
          <t>MER00523</t>
        </is>
      </c>
      <c r="C436">
        <f>XLOOKUP(A436,tblInvoices[invoice_id],tblInvoices[total_invoice_amount])</f>
        <v/>
      </c>
      <c r="D436">
        <f>SUMIFS(tblPayments[payment_amount],tblPayments[invoice_id],A436,tblPayments[payment_status],"Success")</f>
        <v/>
      </c>
      <c r="E436">
        <f>D436-C436</f>
        <v/>
      </c>
      <c r="F436">
        <f>IFS(D436=0,"MISSING_PAYMENT",ABS(E436)&lt;=1,"MATCHED",E436&gt;1,"AMOUNT_MISMATCH",TRUE,"PARTIAL")</f>
        <v/>
      </c>
    </row>
    <row r="437">
      <c r="A437" t="inlineStr">
        <is>
          <t>INV0011066</t>
        </is>
      </c>
      <c r="B437" t="inlineStr">
        <is>
          <t>MER00523</t>
        </is>
      </c>
      <c r="C437">
        <f>XLOOKUP(A437,tblInvoices[invoice_id],tblInvoices[total_invoice_amount])</f>
        <v/>
      </c>
      <c r="D437">
        <f>SUMIFS(tblPayments[payment_amount],tblPayments[invoice_id],A437,tblPayments[payment_status],"Success")</f>
        <v/>
      </c>
      <c r="E437">
        <f>D437-C437</f>
        <v/>
      </c>
      <c r="F437">
        <f>IFS(D437=0,"MISSING_PAYMENT",ABS(E437)&lt;=1,"MATCHED",E437&gt;1,"AMOUNT_MISMATCH",TRUE,"PARTIAL")</f>
        <v/>
      </c>
    </row>
    <row r="438">
      <c r="A438" t="inlineStr">
        <is>
          <t>INV0011067</t>
        </is>
      </c>
      <c r="B438" t="inlineStr">
        <is>
          <t>MER00523</t>
        </is>
      </c>
      <c r="C438">
        <f>XLOOKUP(A438,tblInvoices[invoice_id],tblInvoices[total_invoice_amount])</f>
        <v/>
      </c>
      <c r="D438">
        <f>SUMIFS(tblPayments[payment_amount],tblPayments[invoice_id],A438,tblPayments[payment_status],"Success")</f>
        <v/>
      </c>
      <c r="E438">
        <f>D438-C438</f>
        <v/>
      </c>
      <c r="F438">
        <f>IFS(D438=0,"MISSING_PAYMENT",ABS(E438)&lt;=1,"MATCHED",E438&gt;1,"AMOUNT_MISMATCH",TRUE,"PARTIAL")</f>
        <v/>
      </c>
    </row>
    <row r="439">
      <c r="A439" t="inlineStr">
        <is>
          <t>INV0011068</t>
        </is>
      </c>
      <c r="B439" t="inlineStr">
        <is>
          <t>MER00523</t>
        </is>
      </c>
      <c r="C439">
        <f>XLOOKUP(A439,tblInvoices[invoice_id],tblInvoices[total_invoice_amount])</f>
        <v/>
      </c>
      <c r="D439">
        <f>SUMIFS(tblPayments[payment_amount],tblPayments[invoice_id],A439,tblPayments[payment_status],"Success")</f>
        <v/>
      </c>
      <c r="E439">
        <f>D439-C439</f>
        <v/>
      </c>
      <c r="F439">
        <f>IFS(D439=0,"MISSING_PAYMENT",ABS(E439)&lt;=1,"MATCHED",E439&gt;1,"AMOUNT_MISMATCH",TRUE,"PARTIAL")</f>
        <v/>
      </c>
    </row>
    <row r="440">
      <c r="A440" t="inlineStr">
        <is>
          <t>INV0011069</t>
        </is>
      </c>
      <c r="B440" t="inlineStr">
        <is>
          <t>MER00523</t>
        </is>
      </c>
      <c r="C440">
        <f>XLOOKUP(A440,tblInvoices[invoice_id],tblInvoices[total_invoice_amount])</f>
        <v/>
      </c>
      <c r="D440">
        <f>SUMIFS(tblPayments[payment_amount],tblPayments[invoice_id],A440,tblPayments[payment_status],"Success")</f>
        <v/>
      </c>
      <c r="E440">
        <f>D440-C440</f>
        <v/>
      </c>
      <c r="F440">
        <f>IFS(D440=0,"MISSING_PAYMENT",ABS(E440)&lt;=1,"MATCHED",E440&gt;1,"AMOUNT_MISMATCH",TRUE,"PARTIAL")</f>
        <v/>
      </c>
    </row>
    <row r="441">
      <c r="A441" t="inlineStr">
        <is>
          <t>INV0011070</t>
        </is>
      </c>
      <c r="B441" t="inlineStr">
        <is>
          <t>MER00523</t>
        </is>
      </c>
      <c r="C441">
        <f>XLOOKUP(A441,tblInvoices[invoice_id],tblInvoices[total_invoice_amount])</f>
        <v/>
      </c>
      <c r="D441">
        <f>SUMIFS(tblPayments[payment_amount],tblPayments[invoice_id],A441,tblPayments[payment_status],"Success")</f>
        <v/>
      </c>
      <c r="E441">
        <f>D441-C441</f>
        <v/>
      </c>
      <c r="F441">
        <f>IFS(D441=0,"MISSING_PAYMENT",ABS(E441)&lt;=1,"MATCHED",E441&gt;1,"AMOUNT_MISMATCH",TRUE,"PARTIAL")</f>
        <v/>
      </c>
    </row>
    <row r="442">
      <c r="A442" t="inlineStr">
        <is>
          <t>INV0011071</t>
        </is>
      </c>
      <c r="B442" t="inlineStr">
        <is>
          <t>MER00523</t>
        </is>
      </c>
      <c r="C442">
        <f>XLOOKUP(A442,tblInvoices[invoice_id],tblInvoices[total_invoice_amount])</f>
        <v/>
      </c>
      <c r="D442">
        <f>SUMIFS(tblPayments[payment_amount],tblPayments[invoice_id],A442,tblPayments[payment_status],"Success")</f>
        <v/>
      </c>
      <c r="E442">
        <f>D442-C442</f>
        <v/>
      </c>
      <c r="F442">
        <f>IFS(D442=0,"MISSING_PAYMENT",ABS(E442)&lt;=1,"MATCHED",E442&gt;1,"AMOUNT_MISMATCH",TRUE,"PARTIAL")</f>
        <v/>
      </c>
    </row>
    <row r="443">
      <c r="A443" t="inlineStr">
        <is>
          <t>INV0011072</t>
        </is>
      </c>
      <c r="B443" t="inlineStr">
        <is>
          <t>MER00523</t>
        </is>
      </c>
      <c r="C443">
        <f>XLOOKUP(A443,tblInvoices[invoice_id],tblInvoices[total_invoice_amount])</f>
        <v/>
      </c>
      <c r="D443">
        <f>SUMIFS(tblPayments[payment_amount],tblPayments[invoice_id],A443,tblPayments[payment_status],"Success")</f>
        <v/>
      </c>
      <c r="E443">
        <f>D443-C443</f>
        <v/>
      </c>
      <c r="F443">
        <f>IFS(D443=0,"MISSING_PAYMENT",ABS(E443)&lt;=1,"MATCHED",E443&gt;1,"AMOUNT_MISMATCH",TRUE,"PARTIAL")</f>
        <v/>
      </c>
    </row>
    <row r="444">
      <c r="A444" t="inlineStr">
        <is>
          <t>INV0011073</t>
        </is>
      </c>
      <c r="B444" t="inlineStr">
        <is>
          <t>MER00523</t>
        </is>
      </c>
      <c r="C444">
        <f>XLOOKUP(A444,tblInvoices[invoice_id],tblInvoices[total_invoice_amount])</f>
        <v/>
      </c>
      <c r="D444">
        <f>SUMIFS(tblPayments[payment_amount],tblPayments[invoice_id],A444,tblPayments[payment_status],"Success")</f>
        <v/>
      </c>
      <c r="E444">
        <f>D444-C444</f>
        <v/>
      </c>
      <c r="F444">
        <f>IFS(D444=0,"MISSING_PAYMENT",ABS(E444)&lt;=1,"MATCHED",E444&gt;1,"AMOUNT_MISMATCH",TRUE,"PARTIAL")</f>
        <v/>
      </c>
    </row>
    <row r="445">
      <c r="A445" t="inlineStr">
        <is>
          <t>INV0011074</t>
        </is>
      </c>
      <c r="B445" t="inlineStr">
        <is>
          <t>MER00523</t>
        </is>
      </c>
      <c r="C445">
        <f>XLOOKUP(A445,tblInvoices[invoice_id],tblInvoices[total_invoice_amount])</f>
        <v/>
      </c>
      <c r="D445">
        <f>SUMIFS(tblPayments[payment_amount],tblPayments[invoice_id],A445,tblPayments[payment_status],"Success")</f>
        <v/>
      </c>
      <c r="E445">
        <f>D445-C445</f>
        <v/>
      </c>
      <c r="F445">
        <f>IFS(D445=0,"MISSING_PAYMENT",ABS(E445)&lt;=1,"MATCHED",E445&gt;1,"AMOUNT_MISMATCH",TRUE,"PARTIAL")</f>
        <v/>
      </c>
    </row>
    <row r="446">
      <c r="A446" t="inlineStr">
        <is>
          <t>INV0011075</t>
        </is>
      </c>
      <c r="B446" t="inlineStr">
        <is>
          <t>MER00523</t>
        </is>
      </c>
      <c r="C446">
        <f>XLOOKUP(A446,tblInvoices[invoice_id],tblInvoices[total_invoice_amount])</f>
        <v/>
      </c>
      <c r="D446">
        <f>SUMIFS(tblPayments[payment_amount],tblPayments[invoice_id],A446,tblPayments[payment_status],"Success")</f>
        <v/>
      </c>
      <c r="E446">
        <f>D446-C446</f>
        <v/>
      </c>
      <c r="F446">
        <f>IFS(D446=0,"MISSING_PAYMENT",ABS(E446)&lt;=1,"MATCHED",E446&gt;1,"AMOUNT_MISMATCH",TRUE,"PARTIAL")</f>
        <v/>
      </c>
    </row>
    <row r="447">
      <c r="A447" t="inlineStr">
        <is>
          <t>INV0011076</t>
        </is>
      </c>
      <c r="B447" t="inlineStr">
        <is>
          <t>MER00523</t>
        </is>
      </c>
      <c r="C447">
        <f>XLOOKUP(A447,tblInvoices[invoice_id],tblInvoices[total_invoice_amount])</f>
        <v/>
      </c>
      <c r="D447">
        <f>SUMIFS(tblPayments[payment_amount],tblPayments[invoice_id],A447,tblPayments[payment_status],"Success")</f>
        <v/>
      </c>
      <c r="E447">
        <f>D447-C447</f>
        <v/>
      </c>
      <c r="F447">
        <f>IFS(D447=0,"MISSING_PAYMENT",ABS(E447)&lt;=1,"MATCHED",E447&gt;1,"AMOUNT_MISMATCH",TRUE,"PARTIAL")</f>
        <v/>
      </c>
    </row>
    <row r="448">
      <c r="A448" t="inlineStr">
        <is>
          <t>INV0011077</t>
        </is>
      </c>
      <c r="B448" t="inlineStr">
        <is>
          <t>MER00523</t>
        </is>
      </c>
      <c r="C448">
        <f>XLOOKUP(A448,tblInvoices[invoice_id],tblInvoices[total_invoice_amount])</f>
        <v/>
      </c>
      <c r="D448">
        <f>SUMIFS(tblPayments[payment_amount],tblPayments[invoice_id],A448,tblPayments[payment_status],"Success")</f>
        <v/>
      </c>
      <c r="E448">
        <f>D448-C448</f>
        <v/>
      </c>
      <c r="F448">
        <f>IFS(D448=0,"MISSING_PAYMENT",ABS(E448)&lt;=1,"MATCHED",E448&gt;1,"AMOUNT_MISMATCH",TRUE,"PARTIAL")</f>
        <v/>
      </c>
    </row>
    <row r="449">
      <c r="A449" t="inlineStr">
        <is>
          <t>INV0011078</t>
        </is>
      </c>
      <c r="B449" t="inlineStr">
        <is>
          <t>MER00523</t>
        </is>
      </c>
      <c r="C449">
        <f>XLOOKUP(A449,tblInvoices[invoice_id],tblInvoices[total_invoice_amount])</f>
        <v/>
      </c>
      <c r="D449">
        <f>SUMIFS(tblPayments[payment_amount],tblPayments[invoice_id],A449,tblPayments[payment_status],"Success")</f>
        <v/>
      </c>
      <c r="E449">
        <f>D449-C449</f>
        <v/>
      </c>
      <c r="F449">
        <f>IFS(D449=0,"MISSING_PAYMENT",ABS(E449)&lt;=1,"MATCHED",E449&gt;1,"AMOUNT_MISMATCH",TRUE,"PARTIAL")</f>
        <v/>
      </c>
    </row>
    <row r="450">
      <c r="A450" t="inlineStr">
        <is>
          <t>INV0011079</t>
        </is>
      </c>
      <c r="B450" t="inlineStr">
        <is>
          <t>MER00523</t>
        </is>
      </c>
      <c r="C450">
        <f>XLOOKUP(A450,tblInvoices[invoice_id],tblInvoices[total_invoice_amount])</f>
        <v/>
      </c>
      <c r="D450">
        <f>SUMIFS(tblPayments[payment_amount],tblPayments[invoice_id],A450,tblPayments[payment_status],"Success")</f>
        <v/>
      </c>
      <c r="E450">
        <f>D450-C450</f>
        <v/>
      </c>
      <c r="F450">
        <f>IFS(D450=0,"MISSING_PAYMENT",ABS(E450)&lt;=1,"MATCHED",E450&gt;1,"AMOUNT_MISMATCH",TRUE,"PARTIAL")</f>
        <v/>
      </c>
    </row>
    <row r="451">
      <c r="A451" t="inlineStr">
        <is>
          <t>INV0011080</t>
        </is>
      </c>
      <c r="B451" t="inlineStr">
        <is>
          <t>MER00523</t>
        </is>
      </c>
      <c r="C451">
        <f>XLOOKUP(A451,tblInvoices[invoice_id],tblInvoices[total_invoice_amount])</f>
        <v/>
      </c>
      <c r="D451">
        <f>SUMIFS(tblPayments[payment_amount],tblPayments[invoice_id],A451,tblPayments[payment_status],"Success")</f>
        <v/>
      </c>
      <c r="E451">
        <f>D451-C451</f>
        <v/>
      </c>
      <c r="F451">
        <f>IFS(D451=0,"MISSING_PAYMENT",ABS(E451)&lt;=1,"MATCHED",E451&gt;1,"AMOUNT_MISMATCH",TRUE,"PARTIAL")</f>
        <v/>
      </c>
    </row>
    <row r="452">
      <c r="A452" t="inlineStr">
        <is>
          <t>INV0011081</t>
        </is>
      </c>
      <c r="B452" t="inlineStr">
        <is>
          <t>MER00523</t>
        </is>
      </c>
      <c r="C452">
        <f>XLOOKUP(A452,tblInvoices[invoice_id],tblInvoices[total_invoice_amount])</f>
        <v/>
      </c>
      <c r="D452">
        <f>SUMIFS(tblPayments[payment_amount],tblPayments[invoice_id],A452,tblPayments[payment_status],"Success")</f>
        <v/>
      </c>
      <c r="E452">
        <f>D452-C452</f>
        <v/>
      </c>
      <c r="F452">
        <f>IFS(D452=0,"MISSING_PAYMENT",ABS(E452)&lt;=1,"MATCHED",E452&gt;1,"AMOUNT_MISMATCH",TRUE,"PARTIAL")</f>
        <v/>
      </c>
    </row>
    <row r="453">
      <c r="A453" t="inlineStr">
        <is>
          <t>INV0011206</t>
        </is>
      </c>
      <c r="B453" t="inlineStr">
        <is>
          <t>MER00530</t>
        </is>
      </c>
      <c r="C453">
        <f>XLOOKUP(A453,tblInvoices[invoice_id],tblInvoices[total_invoice_amount])</f>
        <v/>
      </c>
      <c r="D453">
        <f>SUMIFS(tblPayments[payment_amount],tblPayments[invoice_id],A453,tblPayments[payment_status],"Success")</f>
        <v/>
      </c>
      <c r="E453">
        <f>D453-C453</f>
        <v/>
      </c>
      <c r="F453">
        <f>IFS(D453=0,"MISSING_PAYMENT",ABS(E453)&lt;=1,"MATCHED",E453&gt;1,"AMOUNT_MISMATCH",TRUE,"PARTIAL")</f>
        <v/>
      </c>
    </row>
    <row r="454">
      <c r="A454" t="inlineStr">
        <is>
          <t>INV0011207</t>
        </is>
      </c>
      <c r="B454" t="inlineStr">
        <is>
          <t>MER00530</t>
        </is>
      </c>
      <c r="C454">
        <f>XLOOKUP(A454,tblInvoices[invoice_id],tblInvoices[total_invoice_amount])</f>
        <v/>
      </c>
      <c r="D454">
        <f>SUMIFS(tblPayments[payment_amount],tblPayments[invoice_id],A454,tblPayments[payment_status],"Success")</f>
        <v/>
      </c>
      <c r="E454">
        <f>D454-C454</f>
        <v/>
      </c>
      <c r="F454">
        <f>IFS(D454=0,"MISSING_PAYMENT",ABS(E454)&lt;=1,"MATCHED",E454&gt;1,"AMOUNT_MISMATCH",TRUE,"PARTIAL")</f>
        <v/>
      </c>
    </row>
    <row r="455">
      <c r="A455" t="inlineStr">
        <is>
          <t>INV0011208</t>
        </is>
      </c>
      <c r="B455" t="inlineStr">
        <is>
          <t>MER00530</t>
        </is>
      </c>
      <c r="C455">
        <f>XLOOKUP(A455,tblInvoices[invoice_id],tblInvoices[total_invoice_amount])</f>
        <v/>
      </c>
      <c r="D455">
        <f>SUMIFS(tblPayments[payment_amount],tblPayments[invoice_id],A455,tblPayments[payment_status],"Success")</f>
        <v/>
      </c>
      <c r="E455">
        <f>D455-C455</f>
        <v/>
      </c>
      <c r="F455">
        <f>IFS(D455=0,"MISSING_PAYMENT",ABS(E455)&lt;=1,"MATCHED",E455&gt;1,"AMOUNT_MISMATCH",TRUE,"PARTIAL")</f>
        <v/>
      </c>
    </row>
    <row r="456">
      <c r="A456" t="inlineStr">
        <is>
          <t>INV0011209</t>
        </is>
      </c>
      <c r="B456" t="inlineStr">
        <is>
          <t>MER00530</t>
        </is>
      </c>
      <c r="C456">
        <f>XLOOKUP(A456,tblInvoices[invoice_id],tblInvoices[total_invoice_amount])</f>
        <v/>
      </c>
      <c r="D456">
        <f>SUMIFS(tblPayments[payment_amount],tblPayments[invoice_id],A456,tblPayments[payment_status],"Success")</f>
        <v/>
      </c>
      <c r="E456">
        <f>D456-C456</f>
        <v/>
      </c>
      <c r="F456">
        <f>IFS(D456=0,"MISSING_PAYMENT",ABS(E456)&lt;=1,"MATCHED",E456&gt;1,"AMOUNT_MISMATCH",TRUE,"PARTIAL")</f>
        <v/>
      </c>
    </row>
    <row r="457">
      <c r="A457" t="inlineStr">
        <is>
          <t>INV0011210</t>
        </is>
      </c>
      <c r="B457" t="inlineStr">
        <is>
          <t>MER00530</t>
        </is>
      </c>
      <c r="C457">
        <f>XLOOKUP(A457,tblInvoices[invoice_id],tblInvoices[total_invoice_amount])</f>
        <v/>
      </c>
      <c r="D457">
        <f>SUMIFS(tblPayments[payment_amount],tblPayments[invoice_id],A457,tblPayments[payment_status],"Success")</f>
        <v/>
      </c>
      <c r="E457">
        <f>D457-C457</f>
        <v/>
      </c>
      <c r="F457">
        <f>IFS(D457=0,"MISSING_PAYMENT",ABS(E457)&lt;=1,"MATCHED",E457&gt;1,"AMOUNT_MISMATCH",TRUE,"PARTIAL")</f>
        <v/>
      </c>
    </row>
    <row r="458">
      <c r="A458" t="inlineStr">
        <is>
          <t>INV0011211</t>
        </is>
      </c>
      <c r="B458" t="inlineStr">
        <is>
          <t>MER00530</t>
        </is>
      </c>
      <c r="C458">
        <f>XLOOKUP(A458,tblInvoices[invoice_id],tblInvoices[total_invoice_amount])</f>
        <v/>
      </c>
      <c r="D458">
        <f>SUMIFS(tblPayments[payment_amount],tblPayments[invoice_id],A458,tblPayments[payment_status],"Success")</f>
        <v/>
      </c>
      <c r="E458">
        <f>D458-C458</f>
        <v/>
      </c>
      <c r="F458">
        <f>IFS(D458=0,"MISSING_PAYMENT",ABS(E458)&lt;=1,"MATCHED",E458&gt;1,"AMOUNT_MISMATCH",TRUE,"PARTIAL")</f>
        <v/>
      </c>
    </row>
    <row r="459">
      <c r="A459" t="inlineStr">
        <is>
          <t>INV0011212</t>
        </is>
      </c>
      <c r="B459" t="inlineStr">
        <is>
          <t>MER00530</t>
        </is>
      </c>
      <c r="C459">
        <f>XLOOKUP(A459,tblInvoices[invoice_id],tblInvoices[total_invoice_amount])</f>
        <v/>
      </c>
      <c r="D459">
        <f>SUMIFS(tblPayments[payment_amount],tblPayments[invoice_id],A459,tblPayments[payment_status],"Success")</f>
        <v/>
      </c>
      <c r="E459">
        <f>D459-C459</f>
        <v/>
      </c>
      <c r="F459">
        <f>IFS(D459=0,"MISSING_PAYMENT",ABS(E459)&lt;=1,"MATCHED",E459&gt;1,"AMOUNT_MISMATCH",TRUE,"PARTIAL")</f>
        <v/>
      </c>
    </row>
    <row r="460">
      <c r="A460" t="inlineStr">
        <is>
          <t>INV0011213</t>
        </is>
      </c>
      <c r="B460" t="inlineStr">
        <is>
          <t>MER00530</t>
        </is>
      </c>
      <c r="C460">
        <f>XLOOKUP(A460,tblInvoices[invoice_id],tblInvoices[total_invoice_amount])</f>
        <v/>
      </c>
      <c r="D460">
        <f>SUMIFS(tblPayments[payment_amount],tblPayments[invoice_id],A460,tblPayments[payment_status],"Success")</f>
        <v/>
      </c>
      <c r="E460">
        <f>D460-C460</f>
        <v/>
      </c>
      <c r="F460">
        <f>IFS(D460=0,"MISSING_PAYMENT",ABS(E460)&lt;=1,"MATCHED",E460&gt;1,"AMOUNT_MISMATCH",TRUE,"PARTIAL")</f>
        <v/>
      </c>
    </row>
    <row r="461">
      <c r="A461" t="inlineStr">
        <is>
          <t>INV0011214</t>
        </is>
      </c>
      <c r="B461" t="inlineStr">
        <is>
          <t>MER00530</t>
        </is>
      </c>
      <c r="C461">
        <f>XLOOKUP(A461,tblInvoices[invoice_id],tblInvoices[total_invoice_amount])</f>
        <v/>
      </c>
      <c r="D461">
        <f>SUMIFS(tblPayments[payment_amount],tblPayments[invoice_id],A461,tblPayments[payment_status],"Success")</f>
        <v/>
      </c>
      <c r="E461">
        <f>D461-C461</f>
        <v/>
      </c>
      <c r="F461">
        <f>IFS(D461=0,"MISSING_PAYMENT",ABS(E461)&lt;=1,"MATCHED",E461&gt;1,"AMOUNT_MISMATCH",TRUE,"PARTIAL")</f>
        <v/>
      </c>
    </row>
    <row r="462">
      <c r="A462" t="inlineStr">
        <is>
          <t>INV0011215</t>
        </is>
      </c>
      <c r="B462" t="inlineStr">
        <is>
          <t>MER00530</t>
        </is>
      </c>
      <c r="C462">
        <f>XLOOKUP(A462,tblInvoices[invoice_id],tblInvoices[total_invoice_amount])</f>
        <v/>
      </c>
      <c r="D462">
        <f>SUMIFS(tblPayments[payment_amount],tblPayments[invoice_id],A462,tblPayments[payment_status],"Success")</f>
        <v/>
      </c>
      <c r="E462">
        <f>D462-C462</f>
        <v/>
      </c>
      <c r="F462">
        <f>IFS(D462=0,"MISSING_PAYMENT",ABS(E462)&lt;=1,"MATCHED",E462&gt;1,"AMOUNT_MISMATCH",TRUE,"PARTIAL")</f>
        <v/>
      </c>
    </row>
    <row r="463">
      <c r="A463" t="inlineStr">
        <is>
          <t>INV0011216</t>
        </is>
      </c>
      <c r="B463" t="inlineStr">
        <is>
          <t>MER00530</t>
        </is>
      </c>
      <c r="C463">
        <f>XLOOKUP(A463,tblInvoices[invoice_id],tblInvoices[total_invoice_amount])</f>
        <v/>
      </c>
      <c r="D463">
        <f>SUMIFS(tblPayments[payment_amount],tblPayments[invoice_id],A463,tblPayments[payment_status],"Success")</f>
        <v/>
      </c>
      <c r="E463">
        <f>D463-C463</f>
        <v/>
      </c>
      <c r="F463">
        <f>IFS(D463=0,"MISSING_PAYMENT",ABS(E463)&lt;=1,"MATCHED",E463&gt;1,"AMOUNT_MISMATCH",TRUE,"PARTIAL")</f>
        <v/>
      </c>
    </row>
    <row r="464">
      <c r="A464" t="inlineStr">
        <is>
          <t>INV0011217</t>
        </is>
      </c>
      <c r="B464" t="inlineStr">
        <is>
          <t>MER00530</t>
        </is>
      </c>
      <c r="C464">
        <f>XLOOKUP(A464,tblInvoices[invoice_id],tblInvoices[total_invoice_amount])</f>
        <v/>
      </c>
      <c r="D464">
        <f>SUMIFS(tblPayments[payment_amount],tblPayments[invoice_id],A464,tblPayments[payment_status],"Success")</f>
        <v/>
      </c>
      <c r="E464">
        <f>D464-C464</f>
        <v/>
      </c>
      <c r="F464">
        <f>IFS(D464=0,"MISSING_PAYMENT",ABS(E464)&lt;=1,"MATCHED",E464&gt;1,"AMOUNT_MISMATCH",TRUE,"PARTIAL")</f>
        <v/>
      </c>
    </row>
    <row r="465">
      <c r="A465" t="inlineStr">
        <is>
          <t>INV0011218</t>
        </is>
      </c>
      <c r="B465" t="inlineStr">
        <is>
          <t>MER00530</t>
        </is>
      </c>
      <c r="C465">
        <f>XLOOKUP(A465,tblInvoices[invoice_id],tblInvoices[total_invoice_amount])</f>
        <v/>
      </c>
      <c r="D465">
        <f>SUMIFS(tblPayments[payment_amount],tblPayments[invoice_id],A465,tblPayments[payment_status],"Success")</f>
        <v/>
      </c>
      <c r="E465">
        <f>D465-C465</f>
        <v/>
      </c>
      <c r="F465">
        <f>IFS(D465=0,"MISSING_PAYMENT",ABS(E465)&lt;=1,"MATCHED",E465&gt;1,"AMOUNT_MISMATCH",TRUE,"PARTIAL")</f>
        <v/>
      </c>
    </row>
    <row r="466">
      <c r="A466" t="inlineStr">
        <is>
          <t>INV0011219</t>
        </is>
      </c>
      <c r="B466" t="inlineStr">
        <is>
          <t>MER00530</t>
        </is>
      </c>
      <c r="C466">
        <f>XLOOKUP(A466,tblInvoices[invoice_id],tblInvoices[total_invoice_amount])</f>
        <v/>
      </c>
      <c r="D466">
        <f>SUMIFS(tblPayments[payment_amount],tblPayments[invoice_id],A466,tblPayments[payment_status],"Success")</f>
        <v/>
      </c>
      <c r="E466">
        <f>D466-C466</f>
        <v/>
      </c>
      <c r="F466">
        <f>IFS(D466=0,"MISSING_PAYMENT",ABS(E466)&lt;=1,"MATCHED",E466&gt;1,"AMOUNT_MISMATCH",TRUE,"PARTIAL")</f>
        <v/>
      </c>
    </row>
    <row r="467">
      <c r="A467" t="inlineStr">
        <is>
          <t>INV0011220</t>
        </is>
      </c>
      <c r="B467" t="inlineStr">
        <is>
          <t>MER00530</t>
        </is>
      </c>
      <c r="C467">
        <f>XLOOKUP(A467,tblInvoices[invoice_id],tblInvoices[total_invoice_amount])</f>
        <v/>
      </c>
      <c r="D467">
        <f>SUMIFS(tblPayments[payment_amount],tblPayments[invoice_id],A467,tblPayments[payment_status],"Success")</f>
        <v/>
      </c>
      <c r="E467">
        <f>D467-C467</f>
        <v/>
      </c>
      <c r="F467">
        <f>IFS(D467=0,"MISSING_PAYMENT",ABS(E467)&lt;=1,"MATCHED",E467&gt;1,"AMOUNT_MISMATCH",TRUE,"PARTIAL")</f>
        <v/>
      </c>
    </row>
    <row r="468">
      <c r="A468" t="inlineStr">
        <is>
          <t>INV0011221</t>
        </is>
      </c>
      <c r="B468" t="inlineStr">
        <is>
          <t>MER00530</t>
        </is>
      </c>
      <c r="C468">
        <f>XLOOKUP(A468,tblInvoices[invoice_id],tblInvoices[total_invoice_amount])</f>
        <v/>
      </c>
      <c r="D468">
        <f>SUMIFS(tblPayments[payment_amount],tblPayments[invoice_id],A468,tblPayments[payment_status],"Success")</f>
        <v/>
      </c>
      <c r="E468">
        <f>D468-C468</f>
        <v/>
      </c>
      <c r="F468">
        <f>IFS(D468=0,"MISSING_PAYMENT",ABS(E468)&lt;=1,"MATCHED",E468&gt;1,"AMOUNT_MISMATCH",TRUE,"PARTIAL")</f>
        <v/>
      </c>
    </row>
    <row r="469">
      <c r="A469" t="inlineStr">
        <is>
          <t>INV0011222</t>
        </is>
      </c>
      <c r="B469" t="inlineStr">
        <is>
          <t>MER00530</t>
        </is>
      </c>
      <c r="C469">
        <f>XLOOKUP(A469,tblInvoices[invoice_id],tblInvoices[total_invoice_amount])</f>
        <v/>
      </c>
      <c r="D469">
        <f>SUMIFS(tblPayments[payment_amount],tblPayments[invoice_id],A469,tblPayments[payment_status],"Success")</f>
        <v/>
      </c>
      <c r="E469">
        <f>D469-C469</f>
        <v/>
      </c>
      <c r="F469">
        <f>IFS(D469=0,"MISSING_PAYMENT",ABS(E469)&lt;=1,"MATCHED",E469&gt;1,"AMOUNT_MISMATCH",TRUE,"PARTIAL")</f>
        <v/>
      </c>
    </row>
    <row r="470">
      <c r="A470" t="inlineStr">
        <is>
          <t>INV0011223</t>
        </is>
      </c>
      <c r="B470" t="inlineStr">
        <is>
          <t>MER00530</t>
        </is>
      </c>
      <c r="C470">
        <f>XLOOKUP(A470,tblInvoices[invoice_id],tblInvoices[total_invoice_amount])</f>
        <v/>
      </c>
      <c r="D470">
        <f>SUMIFS(tblPayments[payment_amount],tblPayments[invoice_id],A470,tblPayments[payment_status],"Success")</f>
        <v/>
      </c>
      <c r="E470">
        <f>D470-C470</f>
        <v/>
      </c>
      <c r="F470">
        <f>IFS(D470=0,"MISSING_PAYMENT",ABS(E470)&lt;=1,"MATCHED",E470&gt;1,"AMOUNT_MISMATCH",TRUE,"PARTIAL")</f>
        <v/>
      </c>
    </row>
    <row r="471">
      <c r="A471" t="inlineStr">
        <is>
          <t>INV0011224</t>
        </is>
      </c>
      <c r="B471" t="inlineStr">
        <is>
          <t>MER00530</t>
        </is>
      </c>
      <c r="C471">
        <f>XLOOKUP(A471,tblInvoices[invoice_id],tblInvoices[total_invoice_amount])</f>
        <v/>
      </c>
      <c r="D471">
        <f>SUMIFS(tblPayments[payment_amount],tblPayments[invoice_id],A471,tblPayments[payment_status],"Success")</f>
        <v/>
      </c>
      <c r="E471">
        <f>D471-C471</f>
        <v/>
      </c>
      <c r="F471">
        <f>IFS(D471=0,"MISSING_PAYMENT",ABS(E471)&lt;=1,"MATCHED",E471&gt;1,"AMOUNT_MISMATCH",TRUE,"PARTIAL")</f>
        <v/>
      </c>
    </row>
    <row r="472">
      <c r="A472" t="inlineStr">
        <is>
          <t>INV0011225</t>
        </is>
      </c>
      <c r="B472" t="inlineStr">
        <is>
          <t>MER00530</t>
        </is>
      </c>
      <c r="C472">
        <f>XLOOKUP(A472,tblInvoices[invoice_id],tblInvoices[total_invoice_amount])</f>
        <v/>
      </c>
      <c r="D472">
        <f>SUMIFS(tblPayments[payment_amount],tblPayments[invoice_id],A472,tblPayments[payment_status],"Success")</f>
        <v/>
      </c>
      <c r="E472">
        <f>D472-C472</f>
        <v/>
      </c>
      <c r="F472">
        <f>IFS(D472=0,"MISSING_PAYMENT",ABS(E472)&lt;=1,"MATCHED",E472&gt;1,"AMOUNT_MISMATCH",TRUE,"PARTIAL")</f>
        <v/>
      </c>
    </row>
    <row r="473">
      <c r="A473" t="inlineStr">
        <is>
          <t>INV0011226</t>
        </is>
      </c>
      <c r="B473" t="inlineStr">
        <is>
          <t>MER00530</t>
        </is>
      </c>
      <c r="C473">
        <f>XLOOKUP(A473,tblInvoices[invoice_id],tblInvoices[total_invoice_amount])</f>
        <v/>
      </c>
      <c r="D473">
        <f>SUMIFS(tblPayments[payment_amount],tblPayments[invoice_id],A473,tblPayments[payment_status],"Success")</f>
        <v/>
      </c>
      <c r="E473">
        <f>D473-C473</f>
        <v/>
      </c>
      <c r="F473">
        <f>IFS(D473=0,"MISSING_PAYMENT",ABS(E473)&lt;=1,"MATCHED",E473&gt;1,"AMOUNT_MISMATCH",TRUE,"PARTIAL")</f>
        <v/>
      </c>
    </row>
    <row r="474">
      <c r="A474" t="inlineStr">
        <is>
          <t>INV0011227</t>
        </is>
      </c>
      <c r="B474" t="inlineStr">
        <is>
          <t>MER00530</t>
        </is>
      </c>
      <c r="C474">
        <f>XLOOKUP(A474,tblInvoices[invoice_id],tblInvoices[total_invoice_amount])</f>
        <v/>
      </c>
      <c r="D474">
        <f>SUMIFS(tblPayments[payment_amount],tblPayments[invoice_id],A474,tblPayments[payment_status],"Success")</f>
        <v/>
      </c>
      <c r="E474">
        <f>D474-C474</f>
        <v/>
      </c>
      <c r="F474">
        <f>IFS(D474=0,"MISSING_PAYMENT",ABS(E474)&lt;=1,"MATCHED",E474&gt;1,"AMOUNT_MISMATCH",TRUE,"PARTIAL")</f>
        <v/>
      </c>
    </row>
    <row r="475">
      <c r="A475" t="inlineStr">
        <is>
          <t>INV0011228</t>
        </is>
      </c>
      <c r="B475" t="inlineStr">
        <is>
          <t>MER00530</t>
        </is>
      </c>
      <c r="C475">
        <f>XLOOKUP(A475,tblInvoices[invoice_id],tblInvoices[total_invoice_amount])</f>
        <v/>
      </c>
      <c r="D475">
        <f>SUMIFS(tblPayments[payment_amount],tblPayments[invoice_id],A475,tblPayments[payment_status],"Success")</f>
        <v/>
      </c>
      <c r="E475">
        <f>D475-C475</f>
        <v/>
      </c>
      <c r="F475">
        <f>IFS(D475=0,"MISSING_PAYMENT",ABS(E475)&lt;=1,"MATCHED",E475&gt;1,"AMOUNT_MISMATCH",TRUE,"PARTIAL")</f>
        <v/>
      </c>
    </row>
    <row r="476">
      <c r="A476" t="inlineStr">
        <is>
          <t>INV0011229</t>
        </is>
      </c>
      <c r="B476" t="inlineStr">
        <is>
          <t>MER00530</t>
        </is>
      </c>
      <c r="C476">
        <f>XLOOKUP(A476,tblInvoices[invoice_id],tblInvoices[total_invoice_amount])</f>
        <v/>
      </c>
      <c r="D476">
        <f>SUMIFS(tblPayments[payment_amount],tblPayments[invoice_id],A476,tblPayments[payment_status],"Success")</f>
        <v/>
      </c>
      <c r="E476">
        <f>D476-C476</f>
        <v/>
      </c>
      <c r="F476">
        <f>IFS(D476=0,"MISSING_PAYMENT",ABS(E476)&lt;=1,"MATCHED",E476&gt;1,"AMOUNT_MISMATCH",TRUE,"PARTIAL")</f>
        <v/>
      </c>
    </row>
    <row r="477">
      <c r="A477" t="inlineStr">
        <is>
          <t>INV0011615</t>
        </is>
      </c>
      <c r="B477" t="inlineStr">
        <is>
          <t>MER00549</t>
        </is>
      </c>
      <c r="C477">
        <f>XLOOKUP(A477,tblInvoices[invoice_id],tblInvoices[total_invoice_amount])</f>
        <v/>
      </c>
      <c r="D477">
        <f>SUMIFS(tblPayments[payment_amount],tblPayments[invoice_id],A477,tblPayments[payment_status],"Success")</f>
        <v/>
      </c>
      <c r="E477">
        <f>D477-C477</f>
        <v/>
      </c>
      <c r="F477">
        <f>IFS(D477=0,"MISSING_PAYMENT",ABS(E477)&lt;=1,"MATCHED",E477&gt;1,"AMOUNT_MISMATCH",TRUE,"PARTIAL")</f>
        <v/>
      </c>
    </row>
    <row r="478">
      <c r="A478" t="inlineStr">
        <is>
          <t>INV0011616</t>
        </is>
      </c>
      <c r="B478" t="inlineStr">
        <is>
          <t>MER00549</t>
        </is>
      </c>
      <c r="C478">
        <f>XLOOKUP(A478,tblInvoices[invoice_id],tblInvoices[total_invoice_amount])</f>
        <v/>
      </c>
      <c r="D478">
        <f>SUMIFS(tblPayments[payment_amount],tblPayments[invoice_id],A478,tblPayments[payment_status],"Success")</f>
        <v/>
      </c>
      <c r="E478">
        <f>D478-C478</f>
        <v/>
      </c>
      <c r="F478">
        <f>IFS(D478=0,"MISSING_PAYMENT",ABS(E478)&lt;=1,"MATCHED",E478&gt;1,"AMOUNT_MISMATCH",TRUE,"PARTIAL")</f>
        <v/>
      </c>
    </row>
    <row r="479">
      <c r="A479" t="inlineStr">
        <is>
          <t>INV0011617</t>
        </is>
      </c>
      <c r="B479" t="inlineStr">
        <is>
          <t>MER00549</t>
        </is>
      </c>
      <c r="C479">
        <f>XLOOKUP(A479,tblInvoices[invoice_id],tblInvoices[total_invoice_amount])</f>
        <v/>
      </c>
      <c r="D479">
        <f>SUMIFS(tblPayments[payment_amount],tblPayments[invoice_id],A479,tblPayments[payment_status],"Success")</f>
        <v/>
      </c>
      <c r="E479">
        <f>D479-C479</f>
        <v/>
      </c>
      <c r="F479">
        <f>IFS(D479=0,"MISSING_PAYMENT",ABS(E479)&lt;=1,"MATCHED",E479&gt;1,"AMOUNT_MISMATCH",TRUE,"PARTIAL")</f>
        <v/>
      </c>
    </row>
    <row r="480">
      <c r="A480" t="inlineStr">
        <is>
          <t>INV0011618</t>
        </is>
      </c>
      <c r="B480" t="inlineStr">
        <is>
          <t>MER00549</t>
        </is>
      </c>
      <c r="C480">
        <f>XLOOKUP(A480,tblInvoices[invoice_id],tblInvoices[total_invoice_amount])</f>
        <v/>
      </c>
      <c r="D480">
        <f>SUMIFS(tblPayments[payment_amount],tblPayments[invoice_id],A480,tblPayments[payment_status],"Success")</f>
        <v/>
      </c>
      <c r="E480">
        <f>D480-C480</f>
        <v/>
      </c>
      <c r="F480">
        <f>IFS(D480=0,"MISSING_PAYMENT",ABS(E480)&lt;=1,"MATCHED",E480&gt;1,"AMOUNT_MISMATCH",TRUE,"PARTIAL")</f>
        <v/>
      </c>
    </row>
    <row r="481">
      <c r="A481" t="inlineStr">
        <is>
          <t>INV0011619</t>
        </is>
      </c>
      <c r="B481" t="inlineStr">
        <is>
          <t>MER00549</t>
        </is>
      </c>
      <c r="C481">
        <f>XLOOKUP(A481,tblInvoices[invoice_id],tblInvoices[total_invoice_amount])</f>
        <v/>
      </c>
      <c r="D481">
        <f>SUMIFS(tblPayments[payment_amount],tblPayments[invoice_id],A481,tblPayments[payment_status],"Success")</f>
        <v/>
      </c>
      <c r="E481">
        <f>D481-C481</f>
        <v/>
      </c>
      <c r="F481">
        <f>IFS(D481=0,"MISSING_PAYMENT",ABS(E481)&lt;=1,"MATCHED",E481&gt;1,"AMOUNT_MISMATCH",TRUE,"PARTIAL")</f>
        <v/>
      </c>
    </row>
    <row r="482">
      <c r="A482" t="inlineStr">
        <is>
          <t>INV0011620</t>
        </is>
      </c>
      <c r="B482" t="inlineStr">
        <is>
          <t>MER00549</t>
        </is>
      </c>
      <c r="C482">
        <f>XLOOKUP(A482,tblInvoices[invoice_id],tblInvoices[total_invoice_amount])</f>
        <v/>
      </c>
      <c r="D482">
        <f>SUMIFS(tblPayments[payment_amount],tblPayments[invoice_id],A482,tblPayments[payment_status],"Success")</f>
        <v/>
      </c>
      <c r="E482">
        <f>D482-C482</f>
        <v/>
      </c>
      <c r="F482">
        <f>IFS(D482=0,"MISSING_PAYMENT",ABS(E482)&lt;=1,"MATCHED",E482&gt;1,"AMOUNT_MISMATCH",TRUE,"PARTIAL")</f>
        <v/>
      </c>
    </row>
    <row r="483">
      <c r="A483" t="inlineStr">
        <is>
          <t>INV0011621</t>
        </is>
      </c>
      <c r="B483" t="inlineStr">
        <is>
          <t>MER00549</t>
        </is>
      </c>
      <c r="C483">
        <f>XLOOKUP(A483,tblInvoices[invoice_id],tblInvoices[total_invoice_amount])</f>
        <v/>
      </c>
      <c r="D483">
        <f>SUMIFS(tblPayments[payment_amount],tblPayments[invoice_id],A483,tblPayments[payment_status],"Success")</f>
        <v/>
      </c>
      <c r="E483">
        <f>D483-C483</f>
        <v/>
      </c>
      <c r="F483">
        <f>IFS(D483=0,"MISSING_PAYMENT",ABS(E483)&lt;=1,"MATCHED",E483&gt;1,"AMOUNT_MISMATCH",TRUE,"PARTIAL")</f>
        <v/>
      </c>
    </row>
    <row r="484">
      <c r="A484" t="inlineStr">
        <is>
          <t>INV0011622</t>
        </is>
      </c>
      <c r="B484" t="inlineStr">
        <is>
          <t>MER00549</t>
        </is>
      </c>
      <c r="C484">
        <f>XLOOKUP(A484,tblInvoices[invoice_id],tblInvoices[total_invoice_amount])</f>
        <v/>
      </c>
      <c r="D484">
        <f>SUMIFS(tblPayments[payment_amount],tblPayments[invoice_id],A484,tblPayments[payment_status],"Success")</f>
        <v/>
      </c>
      <c r="E484">
        <f>D484-C484</f>
        <v/>
      </c>
      <c r="F484">
        <f>IFS(D484=0,"MISSING_PAYMENT",ABS(E484)&lt;=1,"MATCHED",E484&gt;1,"AMOUNT_MISMATCH",TRUE,"PARTIAL")</f>
        <v/>
      </c>
    </row>
    <row r="485">
      <c r="A485" t="inlineStr">
        <is>
          <t>INV0011623</t>
        </is>
      </c>
      <c r="B485" t="inlineStr">
        <is>
          <t>MER00549</t>
        </is>
      </c>
      <c r="C485">
        <f>XLOOKUP(A485,tblInvoices[invoice_id],tblInvoices[total_invoice_amount])</f>
        <v/>
      </c>
      <c r="D485">
        <f>SUMIFS(tblPayments[payment_amount],tblPayments[invoice_id],A485,tblPayments[payment_status],"Success")</f>
        <v/>
      </c>
      <c r="E485">
        <f>D485-C485</f>
        <v/>
      </c>
      <c r="F485">
        <f>IFS(D485=0,"MISSING_PAYMENT",ABS(E485)&lt;=1,"MATCHED",E485&gt;1,"AMOUNT_MISMATCH",TRUE,"PARTIAL")</f>
        <v/>
      </c>
    </row>
    <row r="486">
      <c r="A486" t="inlineStr">
        <is>
          <t>INV0011624</t>
        </is>
      </c>
      <c r="B486" t="inlineStr">
        <is>
          <t>MER00549</t>
        </is>
      </c>
      <c r="C486">
        <f>XLOOKUP(A486,tblInvoices[invoice_id],tblInvoices[total_invoice_amount])</f>
        <v/>
      </c>
      <c r="D486">
        <f>SUMIFS(tblPayments[payment_amount],tblPayments[invoice_id],A486,tblPayments[payment_status],"Success")</f>
        <v/>
      </c>
      <c r="E486">
        <f>D486-C486</f>
        <v/>
      </c>
      <c r="F486">
        <f>IFS(D486=0,"MISSING_PAYMENT",ABS(E486)&lt;=1,"MATCHED",E486&gt;1,"AMOUNT_MISMATCH",TRUE,"PARTIAL")</f>
        <v/>
      </c>
    </row>
    <row r="487">
      <c r="A487" t="inlineStr">
        <is>
          <t>INV0011625</t>
        </is>
      </c>
      <c r="B487" t="inlineStr">
        <is>
          <t>MER00549</t>
        </is>
      </c>
      <c r="C487">
        <f>XLOOKUP(A487,tblInvoices[invoice_id],tblInvoices[total_invoice_amount])</f>
        <v/>
      </c>
      <c r="D487">
        <f>SUMIFS(tblPayments[payment_amount],tblPayments[invoice_id],A487,tblPayments[payment_status],"Success")</f>
        <v/>
      </c>
      <c r="E487">
        <f>D487-C487</f>
        <v/>
      </c>
      <c r="F487">
        <f>IFS(D487=0,"MISSING_PAYMENT",ABS(E487)&lt;=1,"MATCHED",E487&gt;1,"AMOUNT_MISMATCH",TRUE,"PARTIAL")</f>
        <v/>
      </c>
    </row>
    <row r="488">
      <c r="A488" t="inlineStr">
        <is>
          <t>INV0011626</t>
        </is>
      </c>
      <c r="B488" t="inlineStr">
        <is>
          <t>MER00549</t>
        </is>
      </c>
      <c r="C488">
        <f>XLOOKUP(A488,tblInvoices[invoice_id],tblInvoices[total_invoice_amount])</f>
        <v/>
      </c>
      <c r="D488">
        <f>SUMIFS(tblPayments[payment_amount],tblPayments[invoice_id],A488,tblPayments[payment_status],"Success")</f>
        <v/>
      </c>
      <c r="E488">
        <f>D488-C488</f>
        <v/>
      </c>
      <c r="F488">
        <f>IFS(D488=0,"MISSING_PAYMENT",ABS(E488)&lt;=1,"MATCHED",E488&gt;1,"AMOUNT_MISMATCH",TRUE,"PARTIAL")</f>
        <v/>
      </c>
    </row>
    <row r="489">
      <c r="A489" t="inlineStr">
        <is>
          <t>INV0011627</t>
        </is>
      </c>
      <c r="B489" t="inlineStr">
        <is>
          <t>MER00549</t>
        </is>
      </c>
      <c r="C489">
        <f>XLOOKUP(A489,tblInvoices[invoice_id],tblInvoices[total_invoice_amount])</f>
        <v/>
      </c>
      <c r="D489">
        <f>SUMIFS(tblPayments[payment_amount],tblPayments[invoice_id],A489,tblPayments[payment_status],"Success")</f>
        <v/>
      </c>
      <c r="E489">
        <f>D489-C489</f>
        <v/>
      </c>
      <c r="F489">
        <f>IFS(D489=0,"MISSING_PAYMENT",ABS(E489)&lt;=1,"MATCHED",E489&gt;1,"AMOUNT_MISMATCH",TRUE,"PARTIAL")</f>
        <v/>
      </c>
    </row>
    <row r="490">
      <c r="A490" t="inlineStr">
        <is>
          <t>INV0011628</t>
        </is>
      </c>
      <c r="B490" t="inlineStr">
        <is>
          <t>MER00549</t>
        </is>
      </c>
      <c r="C490">
        <f>XLOOKUP(A490,tblInvoices[invoice_id],tblInvoices[total_invoice_amount])</f>
        <v/>
      </c>
      <c r="D490">
        <f>SUMIFS(tblPayments[payment_amount],tblPayments[invoice_id],A490,tblPayments[payment_status],"Success")</f>
        <v/>
      </c>
      <c r="E490">
        <f>D490-C490</f>
        <v/>
      </c>
      <c r="F490">
        <f>IFS(D490=0,"MISSING_PAYMENT",ABS(E490)&lt;=1,"MATCHED",E490&gt;1,"AMOUNT_MISMATCH",TRUE,"PARTIAL")</f>
        <v/>
      </c>
    </row>
    <row r="491">
      <c r="A491" t="inlineStr">
        <is>
          <t>INV0011629</t>
        </is>
      </c>
      <c r="B491" t="inlineStr">
        <is>
          <t>MER00549</t>
        </is>
      </c>
      <c r="C491">
        <f>XLOOKUP(A491,tblInvoices[invoice_id],tblInvoices[total_invoice_amount])</f>
        <v/>
      </c>
      <c r="D491">
        <f>SUMIFS(tblPayments[payment_amount],tblPayments[invoice_id],A491,tblPayments[payment_status],"Success")</f>
        <v/>
      </c>
      <c r="E491">
        <f>D491-C491</f>
        <v/>
      </c>
      <c r="F491">
        <f>IFS(D491=0,"MISSING_PAYMENT",ABS(E491)&lt;=1,"MATCHED",E491&gt;1,"AMOUNT_MISMATCH",TRUE,"PARTIAL")</f>
        <v/>
      </c>
    </row>
    <row r="492">
      <c r="A492" t="inlineStr">
        <is>
          <t>INV0011630</t>
        </is>
      </c>
      <c r="B492" t="inlineStr">
        <is>
          <t>MER00549</t>
        </is>
      </c>
      <c r="C492">
        <f>XLOOKUP(A492,tblInvoices[invoice_id],tblInvoices[total_invoice_amount])</f>
        <v/>
      </c>
      <c r="D492">
        <f>SUMIFS(tblPayments[payment_amount],tblPayments[invoice_id],A492,tblPayments[payment_status],"Success")</f>
        <v/>
      </c>
      <c r="E492">
        <f>D492-C492</f>
        <v/>
      </c>
      <c r="F492">
        <f>IFS(D492=0,"MISSING_PAYMENT",ABS(E492)&lt;=1,"MATCHED",E492&gt;1,"AMOUNT_MISMATCH",TRUE,"PARTIAL")</f>
        <v/>
      </c>
    </row>
    <row r="493">
      <c r="A493" t="inlineStr">
        <is>
          <t>INV0011631</t>
        </is>
      </c>
      <c r="B493" t="inlineStr">
        <is>
          <t>MER00549</t>
        </is>
      </c>
      <c r="C493">
        <f>XLOOKUP(A493,tblInvoices[invoice_id],tblInvoices[total_invoice_amount])</f>
        <v/>
      </c>
      <c r="D493">
        <f>SUMIFS(tblPayments[payment_amount],tblPayments[invoice_id],A493,tblPayments[payment_status],"Success")</f>
        <v/>
      </c>
      <c r="E493">
        <f>D493-C493</f>
        <v/>
      </c>
      <c r="F493">
        <f>IFS(D493=0,"MISSING_PAYMENT",ABS(E493)&lt;=1,"MATCHED",E493&gt;1,"AMOUNT_MISMATCH",TRUE,"PARTIAL")</f>
        <v/>
      </c>
    </row>
    <row r="494">
      <c r="A494" t="inlineStr">
        <is>
          <t>INV0011632</t>
        </is>
      </c>
      <c r="B494" t="inlineStr">
        <is>
          <t>MER00549</t>
        </is>
      </c>
      <c r="C494">
        <f>XLOOKUP(A494,tblInvoices[invoice_id],tblInvoices[total_invoice_amount])</f>
        <v/>
      </c>
      <c r="D494">
        <f>SUMIFS(tblPayments[payment_amount],tblPayments[invoice_id],A494,tblPayments[payment_status],"Success")</f>
        <v/>
      </c>
      <c r="E494">
        <f>D494-C494</f>
        <v/>
      </c>
      <c r="F494">
        <f>IFS(D494=0,"MISSING_PAYMENT",ABS(E494)&lt;=1,"MATCHED",E494&gt;1,"AMOUNT_MISMATCH",TRUE,"PARTIAL")</f>
        <v/>
      </c>
    </row>
    <row r="495">
      <c r="A495" t="inlineStr">
        <is>
          <t>INV0011633</t>
        </is>
      </c>
      <c r="B495" t="inlineStr">
        <is>
          <t>MER00549</t>
        </is>
      </c>
      <c r="C495">
        <f>XLOOKUP(A495,tblInvoices[invoice_id],tblInvoices[total_invoice_amount])</f>
        <v/>
      </c>
      <c r="D495">
        <f>SUMIFS(tblPayments[payment_amount],tblPayments[invoice_id],A495,tblPayments[payment_status],"Success")</f>
        <v/>
      </c>
      <c r="E495">
        <f>D495-C495</f>
        <v/>
      </c>
      <c r="F495">
        <f>IFS(D495=0,"MISSING_PAYMENT",ABS(E495)&lt;=1,"MATCHED",E495&gt;1,"AMOUNT_MISMATCH",TRUE,"PARTIAL")</f>
        <v/>
      </c>
    </row>
    <row r="496">
      <c r="A496" t="inlineStr">
        <is>
          <t>INV0011634</t>
        </is>
      </c>
      <c r="B496" t="inlineStr">
        <is>
          <t>MER00549</t>
        </is>
      </c>
      <c r="C496">
        <f>XLOOKUP(A496,tblInvoices[invoice_id],tblInvoices[total_invoice_amount])</f>
        <v/>
      </c>
      <c r="D496">
        <f>SUMIFS(tblPayments[payment_amount],tblPayments[invoice_id],A496,tblPayments[payment_status],"Success")</f>
        <v/>
      </c>
      <c r="E496">
        <f>D496-C496</f>
        <v/>
      </c>
      <c r="F496">
        <f>IFS(D496=0,"MISSING_PAYMENT",ABS(E496)&lt;=1,"MATCHED",E496&gt;1,"AMOUNT_MISMATCH",TRUE,"PARTIAL")</f>
        <v/>
      </c>
    </row>
    <row r="497">
      <c r="A497" t="inlineStr">
        <is>
          <t>INV0011635</t>
        </is>
      </c>
      <c r="B497" t="inlineStr">
        <is>
          <t>MER00549</t>
        </is>
      </c>
      <c r="C497">
        <f>XLOOKUP(A497,tblInvoices[invoice_id],tblInvoices[total_invoice_amount])</f>
        <v/>
      </c>
      <c r="D497">
        <f>SUMIFS(tblPayments[payment_amount],tblPayments[invoice_id],A497,tblPayments[payment_status],"Success")</f>
        <v/>
      </c>
      <c r="E497">
        <f>D497-C497</f>
        <v/>
      </c>
      <c r="F497">
        <f>IFS(D497=0,"MISSING_PAYMENT",ABS(E497)&lt;=1,"MATCHED",E497&gt;1,"AMOUNT_MISMATCH",TRUE,"PARTIAL")</f>
        <v/>
      </c>
    </row>
    <row r="498">
      <c r="A498" t="inlineStr">
        <is>
          <t>INV0011636</t>
        </is>
      </c>
      <c r="B498" t="inlineStr">
        <is>
          <t>MER00549</t>
        </is>
      </c>
      <c r="C498">
        <f>XLOOKUP(A498,tblInvoices[invoice_id],tblInvoices[total_invoice_amount])</f>
        <v/>
      </c>
      <c r="D498">
        <f>SUMIFS(tblPayments[payment_amount],tblPayments[invoice_id],A498,tblPayments[payment_status],"Success")</f>
        <v/>
      </c>
      <c r="E498">
        <f>D498-C498</f>
        <v/>
      </c>
      <c r="F498">
        <f>IFS(D498=0,"MISSING_PAYMENT",ABS(E498)&lt;=1,"MATCHED",E498&gt;1,"AMOUNT_MISMATCH",TRUE,"PARTIAL")</f>
        <v/>
      </c>
    </row>
    <row r="499">
      <c r="A499" t="inlineStr">
        <is>
          <t>INV0011637</t>
        </is>
      </c>
      <c r="B499" t="inlineStr">
        <is>
          <t>MER00549</t>
        </is>
      </c>
      <c r="C499">
        <f>XLOOKUP(A499,tblInvoices[invoice_id],tblInvoices[total_invoice_amount])</f>
        <v/>
      </c>
      <c r="D499">
        <f>SUMIFS(tblPayments[payment_amount],tblPayments[invoice_id],A499,tblPayments[payment_status],"Success")</f>
        <v/>
      </c>
      <c r="E499">
        <f>D499-C499</f>
        <v/>
      </c>
      <c r="F499">
        <f>IFS(D499=0,"MISSING_PAYMENT",ABS(E499)&lt;=1,"MATCHED",E499&gt;1,"AMOUNT_MISMATCH",TRUE,"PARTIAL")</f>
        <v/>
      </c>
    </row>
    <row r="500">
      <c r="A500" t="inlineStr">
        <is>
          <t>INV0012092</t>
        </is>
      </c>
      <c r="B500" t="inlineStr">
        <is>
          <t>MER00572</t>
        </is>
      </c>
      <c r="C500">
        <f>XLOOKUP(A500,tblInvoices[invoice_id],tblInvoices[total_invoice_amount])</f>
        <v/>
      </c>
      <c r="D500">
        <f>SUMIFS(tblPayments[payment_amount],tblPayments[invoice_id],A500,tblPayments[payment_status],"Success")</f>
        <v/>
      </c>
      <c r="E500">
        <f>D500-C500</f>
        <v/>
      </c>
      <c r="F500">
        <f>IFS(D500=0,"MISSING_PAYMENT",ABS(E500)&lt;=1,"MATCHED",E500&gt;1,"AMOUNT_MISMATCH",TRUE,"PARTIAL")</f>
        <v/>
      </c>
    </row>
    <row r="501">
      <c r="A501" t="inlineStr">
        <is>
          <t>INV0012093</t>
        </is>
      </c>
      <c r="B501" t="inlineStr">
        <is>
          <t>MER00572</t>
        </is>
      </c>
      <c r="C501">
        <f>XLOOKUP(A501,tblInvoices[invoice_id],tblInvoices[total_invoice_amount])</f>
        <v/>
      </c>
      <c r="D501">
        <f>SUMIFS(tblPayments[payment_amount],tblPayments[invoice_id],A501,tblPayments[payment_status],"Success")</f>
        <v/>
      </c>
      <c r="E501">
        <f>D501-C501</f>
        <v/>
      </c>
      <c r="F501">
        <f>IFS(D501=0,"MISSING_PAYMENT",ABS(E501)&lt;=1,"MATCHED",E501&gt;1,"AMOUNT_MISMATCH",TRUE,"PARTIAL")</f>
        <v/>
      </c>
    </row>
    <row r="502">
      <c r="A502" t="inlineStr">
        <is>
          <t>INV0012094</t>
        </is>
      </c>
      <c r="B502" t="inlineStr">
        <is>
          <t>MER00572</t>
        </is>
      </c>
      <c r="C502">
        <f>XLOOKUP(A502,tblInvoices[invoice_id],tblInvoices[total_invoice_amount])</f>
        <v/>
      </c>
      <c r="D502">
        <f>SUMIFS(tblPayments[payment_amount],tblPayments[invoice_id],A502,tblPayments[payment_status],"Success")</f>
        <v/>
      </c>
      <c r="E502">
        <f>D502-C502</f>
        <v/>
      </c>
      <c r="F502">
        <f>IFS(D502=0,"MISSING_PAYMENT",ABS(E502)&lt;=1,"MATCHED",E502&gt;1,"AMOUNT_MISMATCH",TRUE,"PARTIAL")</f>
        <v/>
      </c>
    </row>
    <row r="503">
      <c r="A503" t="inlineStr">
        <is>
          <t>INV0012095</t>
        </is>
      </c>
      <c r="B503" t="inlineStr">
        <is>
          <t>MER00572</t>
        </is>
      </c>
      <c r="C503">
        <f>XLOOKUP(A503,tblInvoices[invoice_id],tblInvoices[total_invoice_amount])</f>
        <v/>
      </c>
      <c r="D503">
        <f>SUMIFS(tblPayments[payment_amount],tblPayments[invoice_id],A503,tblPayments[payment_status],"Success")</f>
        <v/>
      </c>
      <c r="E503">
        <f>D503-C503</f>
        <v/>
      </c>
      <c r="F503">
        <f>IFS(D503=0,"MISSING_PAYMENT",ABS(E503)&lt;=1,"MATCHED",E503&gt;1,"AMOUNT_MISMATCH",TRUE,"PARTIAL")</f>
        <v/>
      </c>
    </row>
    <row r="504">
      <c r="A504" t="inlineStr">
        <is>
          <t>INV0012096</t>
        </is>
      </c>
      <c r="B504" t="inlineStr">
        <is>
          <t>MER00572</t>
        </is>
      </c>
      <c r="C504">
        <f>XLOOKUP(A504,tblInvoices[invoice_id],tblInvoices[total_invoice_amount])</f>
        <v/>
      </c>
      <c r="D504">
        <f>SUMIFS(tblPayments[payment_amount],tblPayments[invoice_id],A504,tblPayments[payment_status],"Success")</f>
        <v/>
      </c>
      <c r="E504">
        <f>D504-C504</f>
        <v/>
      </c>
      <c r="F504">
        <f>IFS(D504=0,"MISSING_PAYMENT",ABS(E504)&lt;=1,"MATCHED",E504&gt;1,"AMOUNT_MISMATCH",TRUE,"PARTIAL")</f>
        <v/>
      </c>
    </row>
    <row r="505">
      <c r="A505" t="inlineStr">
        <is>
          <t>INV0012097</t>
        </is>
      </c>
      <c r="B505" t="inlineStr">
        <is>
          <t>MER00572</t>
        </is>
      </c>
      <c r="C505">
        <f>XLOOKUP(A505,tblInvoices[invoice_id],tblInvoices[total_invoice_amount])</f>
        <v/>
      </c>
      <c r="D505">
        <f>SUMIFS(tblPayments[payment_amount],tblPayments[invoice_id],A505,tblPayments[payment_status],"Success")</f>
        <v/>
      </c>
      <c r="E505">
        <f>D505-C505</f>
        <v/>
      </c>
      <c r="F505">
        <f>IFS(D505=0,"MISSING_PAYMENT",ABS(E505)&lt;=1,"MATCHED",E505&gt;1,"AMOUNT_MISMATCH",TRUE,"PARTIAL")</f>
        <v/>
      </c>
    </row>
    <row r="506">
      <c r="A506" t="inlineStr">
        <is>
          <t>INV0012098</t>
        </is>
      </c>
      <c r="B506" t="inlineStr">
        <is>
          <t>MER00572</t>
        </is>
      </c>
      <c r="C506">
        <f>XLOOKUP(A506,tblInvoices[invoice_id],tblInvoices[total_invoice_amount])</f>
        <v/>
      </c>
      <c r="D506">
        <f>SUMIFS(tblPayments[payment_amount],tblPayments[invoice_id],A506,tblPayments[payment_status],"Success")</f>
        <v/>
      </c>
      <c r="E506">
        <f>D506-C506</f>
        <v/>
      </c>
      <c r="F506">
        <f>IFS(D506=0,"MISSING_PAYMENT",ABS(E506)&lt;=1,"MATCHED",E506&gt;1,"AMOUNT_MISMATCH",TRUE,"PARTIAL")</f>
        <v/>
      </c>
    </row>
    <row r="507">
      <c r="A507" t="inlineStr">
        <is>
          <t>INV0012099</t>
        </is>
      </c>
      <c r="B507" t="inlineStr">
        <is>
          <t>MER00572</t>
        </is>
      </c>
      <c r="C507">
        <f>XLOOKUP(A507,tblInvoices[invoice_id],tblInvoices[total_invoice_amount])</f>
        <v/>
      </c>
      <c r="D507">
        <f>SUMIFS(tblPayments[payment_amount],tblPayments[invoice_id],A507,tblPayments[payment_status],"Success")</f>
        <v/>
      </c>
      <c r="E507">
        <f>D507-C507</f>
        <v/>
      </c>
      <c r="F507">
        <f>IFS(D507=0,"MISSING_PAYMENT",ABS(E507)&lt;=1,"MATCHED",E507&gt;1,"AMOUNT_MISMATCH",TRUE,"PARTIAL")</f>
        <v/>
      </c>
    </row>
    <row r="508">
      <c r="A508" t="inlineStr">
        <is>
          <t>INV0012100</t>
        </is>
      </c>
      <c r="B508" t="inlineStr">
        <is>
          <t>MER00572</t>
        </is>
      </c>
      <c r="C508">
        <f>XLOOKUP(A508,tblInvoices[invoice_id],tblInvoices[total_invoice_amount])</f>
        <v/>
      </c>
      <c r="D508">
        <f>SUMIFS(tblPayments[payment_amount],tblPayments[invoice_id],A508,tblPayments[payment_status],"Success")</f>
        <v/>
      </c>
      <c r="E508">
        <f>D508-C508</f>
        <v/>
      </c>
      <c r="F508">
        <f>IFS(D508=0,"MISSING_PAYMENT",ABS(E508)&lt;=1,"MATCHED",E508&gt;1,"AMOUNT_MISMATCH",TRUE,"PARTIAL")</f>
        <v/>
      </c>
    </row>
    <row r="509">
      <c r="A509" t="inlineStr">
        <is>
          <t>INV0012101</t>
        </is>
      </c>
      <c r="B509" t="inlineStr">
        <is>
          <t>MER00572</t>
        </is>
      </c>
      <c r="C509">
        <f>XLOOKUP(A509,tblInvoices[invoice_id],tblInvoices[total_invoice_amount])</f>
        <v/>
      </c>
      <c r="D509">
        <f>SUMIFS(tblPayments[payment_amount],tblPayments[invoice_id],A509,tblPayments[payment_status],"Success")</f>
        <v/>
      </c>
      <c r="E509">
        <f>D509-C509</f>
        <v/>
      </c>
      <c r="F509">
        <f>IFS(D509=0,"MISSING_PAYMENT",ABS(E509)&lt;=1,"MATCHED",E509&gt;1,"AMOUNT_MISMATCH",TRUE,"PARTIAL")</f>
        <v/>
      </c>
    </row>
    <row r="510">
      <c r="A510" t="inlineStr">
        <is>
          <t>INV0012102</t>
        </is>
      </c>
      <c r="B510" t="inlineStr">
        <is>
          <t>MER00572</t>
        </is>
      </c>
      <c r="C510">
        <f>XLOOKUP(A510,tblInvoices[invoice_id],tblInvoices[total_invoice_amount])</f>
        <v/>
      </c>
      <c r="D510">
        <f>SUMIFS(tblPayments[payment_amount],tblPayments[invoice_id],A510,tblPayments[payment_status],"Success")</f>
        <v/>
      </c>
      <c r="E510">
        <f>D510-C510</f>
        <v/>
      </c>
      <c r="F510">
        <f>IFS(D510=0,"MISSING_PAYMENT",ABS(E510)&lt;=1,"MATCHED",E510&gt;1,"AMOUNT_MISMATCH",TRUE,"PARTIAL")</f>
        <v/>
      </c>
    </row>
    <row r="511">
      <c r="A511" t="inlineStr">
        <is>
          <t>INV0012103</t>
        </is>
      </c>
      <c r="B511" t="inlineStr">
        <is>
          <t>MER00572</t>
        </is>
      </c>
      <c r="C511">
        <f>XLOOKUP(A511,tblInvoices[invoice_id],tblInvoices[total_invoice_amount])</f>
        <v/>
      </c>
      <c r="D511">
        <f>SUMIFS(tblPayments[payment_amount],tblPayments[invoice_id],A511,tblPayments[payment_status],"Success")</f>
        <v/>
      </c>
      <c r="E511">
        <f>D511-C511</f>
        <v/>
      </c>
      <c r="F511">
        <f>IFS(D511=0,"MISSING_PAYMENT",ABS(E511)&lt;=1,"MATCHED",E511&gt;1,"AMOUNT_MISMATCH",TRUE,"PARTIAL")</f>
        <v/>
      </c>
    </row>
    <row r="512">
      <c r="A512" t="inlineStr">
        <is>
          <t>INV0012104</t>
        </is>
      </c>
      <c r="B512" t="inlineStr">
        <is>
          <t>MER00572</t>
        </is>
      </c>
      <c r="C512">
        <f>XLOOKUP(A512,tblInvoices[invoice_id],tblInvoices[total_invoice_amount])</f>
        <v/>
      </c>
      <c r="D512">
        <f>SUMIFS(tblPayments[payment_amount],tblPayments[invoice_id],A512,tblPayments[payment_status],"Success")</f>
        <v/>
      </c>
      <c r="E512">
        <f>D512-C512</f>
        <v/>
      </c>
      <c r="F512">
        <f>IFS(D512=0,"MISSING_PAYMENT",ABS(E512)&lt;=1,"MATCHED",E512&gt;1,"AMOUNT_MISMATCH",TRUE,"PARTIAL")</f>
        <v/>
      </c>
    </row>
    <row r="513">
      <c r="A513" t="inlineStr">
        <is>
          <t>INV0012105</t>
        </is>
      </c>
      <c r="B513" t="inlineStr">
        <is>
          <t>MER00572</t>
        </is>
      </c>
      <c r="C513">
        <f>XLOOKUP(A513,tblInvoices[invoice_id],tblInvoices[total_invoice_amount])</f>
        <v/>
      </c>
      <c r="D513">
        <f>SUMIFS(tblPayments[payment_amount],tblPayments[invoice_id],A513,tblPayments[payment_status],"Success")</f>
        <v/>
      </c>
      <c r="E513">
        <f>D513-C513</f>
        <v/>
      </c>
      <c r="F513">
        <f>IFS(D513=0,"MISSING_PAYMENT",ABS(E513)&lt;=1,"MATCHED",E513&gt;1,"AMOUNT_MISMATCH",TRUE,"PARTIAL")</f>
        <v/>
      </c>
    </row>
    <row r="514">
      <c r="A514" t="inlineStr">
        <is>
          <t>INV0012106</t>
        </is>
      </c>
      <c r="B514" t="inlineStr">
        <is>
          <t>MER00572</t>
        </is>
      </c>
      <c r="C514">
        <f>XLOOKUP(A514,tblInvoices[invoice_id],tblInvoices[total_invoice_amount])</f>
        <v/>
      </c>
      <c r="D514">
        <f>SUMIFS(tblPayments[payment_amount],tblPayments[invoice_id],A514,tblPayments[payment_status],"Success")</f>
        <v/>
      </c>
      <c r="E514">
        <f>D514-C514</f>
        <v/>
      </c>
      <c r="F514">
        <f>IFS(D514=0,"MISSING_PAYMENT",ABS(E514)&lt;=1,"MATCHED",E514&gt;1,"AMOUNT_MISMATCH",TRUE,"PARTIAL")</f>
        <v/>
      </c>
    </row>
    <row r="515">
      <c r="A515" t="inlineStr">
        <is>
          <t>INV0012107</t>
        </is>
      </c>
      <c r="B515" t="inlineStr">
        <is>
          <t>MER00572</t>
        </is>
      </c>
      <c r="C515">
        <f>XLOOKUP(A515,tblInvoices[invoice_id],tblInvoices[total_invoice_amount])</f>
        <v/>
      </c>
      <c r="D515">
        <f>SUMIFS(tblPayments[payment_amount],tblPayments[invoice_id],A515,tblPayments[payment_status],"Success")</f>
        <v/>
      </c>
      <c r="E515">
        <f>D515-C515</f>
        <v/>
      </c>
      <c r="F515">
        <f>IFS(D515=0,"MISSING_PAYMENT",ABS(E515)&lt;=1,"MATCHED",E515&gt;1,"AMOUNT_MISMATCH",TRUE,"PARTIAL")</f>
        <v/>
      </c>
    </row>
    <row r="516">
      <c r="A516" t="inlineStr">
        <is>
          <t>INV0012108</t>
        </is>
      </c>
      <c r="B516" t="inlineStr">
        <is>
          <t>MER00572</t>
        </is>
      </c>
      <c r="C516">
        <f>XLOOKUP(A516,tblInvoices[invoice_id],tblInvoices[total_invoice_amount])</f>
        <v/>
      </c>
      <c r="D516">
        <f>SUMIFS(tblPayments[payment_amount],tblPayments[invoice_id],A516,tblPayments[payment_status],"Success")</f>
        <v/>
      </c>
      <c r="E516">
        <f>D516-C516</f>
        <v/>
      </c>
      <c r="F516">
        <f>IFS(D516=0,"MISSING_PAYMENT",ABS(E516)&lt;=1,"MATCHED",E516&gt;1,"AMOUNT_MISMATCH",TRUE,"PARTIAL")</f>
        <v/>
      </c>
    </row>
    <row r="517">
      <c r="A517" t="inlineStr">
        <is>
          <t>INV0012109</t>
        </is>
      </c>
      <c r="B517" t="inlineStr">
        <is>
          <t>MER00572</t>
        </is>
      </c>
      <c r="C517">
        <f>XLOOKUP(A517,tblInvoices[invoice_id],tblInvoices[total_invoice_amount])</f>
        <v/>
      </c>
      <c r="D517">
        <f>SUMIFS(tblPayments[payment_amount],tblPayments[invoice_id],A517,tblPayments[payment_status],"Success")</f>
        <v/>
      </c>
      <c r="E517">
        <f>D517-C517</f>
        <v/>
      </c>
      <c r="F517">
        <f>IFS(D517=0,"MISSING_PAYMENT",ABS(E517)&lt;=1,"MATCHED",E517&gt;1,"AMOUNT_MISMATCH",TRUE,"PARTIAL")</f>
        <v/>
      </c>
    </row>
    <row r="518">
      <c r="A518" t="inlineStr">
        <is>
          <t>INV0012110</t>
        </is>
      </c>
      <c r="B518" t="inlineStr">
        <is>
          <t>MER00572</t>
        </is>
      </c>
      <c r="C518">
        <f>XLOOKUP(A518,tblInvoices[invoice_id],tblInvoices[total_invoice_amount])</f>
        <v/>
      </c>
      <c r="D518">
        <f>SUMIFS(tblPayments[payment_amount],tblPayments[invoice_id],A518,tblPayments[payment_status],"Success")</f>
        <v/>
      </c>
      <c r="E518">
        <f>D518-C518</f>
        <v/>
      </c>
      <c r="F518">
        <f>IFS(D518=0,"MISSING_PAYMENT",ABS(E518)&lt;=1,"MATCHED",E518&gt;1,"AMOUNT_MISMATCH",TRUE,"PARTIAL")</f>
        <v/>
      </c>
    </row>
    <row r="519">
      <c r="A519" t="inlineStr">
        <is>
          <t>INV0012111</t>
        </is>
      </c>
      <c r="B519" t="inlineStr">
        <is>
          <t>MER00572</t>
        </is>
      </c>
      <c r="C519">
        <f>XLOOKUP(A519,tblInvoices[invoice_id],tblInvoices[total_invoice_amount])</f>
        <v/>
      </c>
      <c r="D519">
        <f>SUMIFS(tblPayments[payment_amount],tblPayments[invoice_id],A519,tblPayments[payment_status],"Success")</f>
        <v/>
      </c>
      <c r="E519">
        <f>D519-C519</f>
        <v/>
      </c>
      <c r="F519">
        <f>IFS(D519=0,"MISSING_PAYMENT",ABS(E519)&lt;=1,"MATCHED",E519&gt;1,"AMOUNT_MISMATCH",TRUE,"PARTIAL")</f>
        <v/>
      </c>
    </row>
    <row r="520">
      <c r="A520" t="inlineStr">
        <is>
          <t>INV0012112</t>
        </is>
      </c>
      <c r="B520" t="inlineStr">
        <is>
          <t>MER00572</t>
        </is>
      </c>
      <c r="C520">
        <f>XLOOKUP(A520,tblInvoices[invoice_id],tblInvoices[total_invoice_amount])</f>
        <v/>
      </c>
      <c r="D520">
        <f>SUMIFS(tblPayments[payment_amount],tblPayments[invoice_id],A520,tblPayments[payment_status],"Success")</f>
        <v/>
      </c>
      <c r="E520">
        <f>D520-C520</f>
        <v/>
      </c>
      <c r="F520">
        <f>IFS(D520=0,"MISSING_PAYMENT",ABS(E520)&lt;=1,"MATCHED",E520&gt;1,"AMOUNT_MISMATCH",TRUE,"PARTIAL")</f>
        <v/>
      </c>
    </row>
    <row r="521">
      <c r="A521" t="inlineStr">
        <is>
          <t>INV0012113</t>
        </is>
      </c>
      <c r="B521" t="inlineStr">
        <is>
          <t>MER00572</t>
        </is>
      </c>
      <c r="C521">
        <f>XLOOKUP(A521,tblInvoices[invoice_id],tblInvoices[total_invoice_amount])</f>
        <v/>
      </c>
      <c r="D521">
        <f>SUMIFS(tblPayments[payment_amount],tblPayments[invoice_id],A521,tblPayments[payment_status],"Success")</f>
        <v/>
      </c>
      <c r="E521">
        <f>D521-C521</f>
        <v/>
      </c>
      <c r="F521">
        <f>IFS(D521=0,"MISSING_PAYMENT",ABS(E521)&lt;=1,"MATCHED",E521&gt;1,"AMOUNT_MISMATCH",TRUE,"PARTIAL")</f>
        <v/>
      </c>
    </row>
    <row r="522">
      <c r="A522" t="inlineStr">
        <is>
          <t>INV0012114</t>
        </is>
      </c>
      <c r="B522" t="inlineStr">
        <is>
          <t>MER00572</t>
        </is>
      </c>
      <c r="C522">
        <f>XLOOKUP(A522,tblInvoices[invoice_id],tblInvoices[total_invoice_amount])</f>
        <v/>
      </c>
      <c r="D522">
        <f>SUMIFS(tblPayments[payment_amount],tblPayments[invoice_id],A522,tblPayments[payment_status],"Success")</f>
        <v/>
      </c>
      <c r="E522">
        <f>D522-C522</f>
        <v/>
      </c>
      <c r="F522">
        <f>IFS(D522=0,"MISSING_PAYMENT",ABS(E522)&lt;=1,"MATCHED",E522&gt;1,"AMOUNT_MISMATCH",TRUE,"PARTIAL")</f>
        <v/>
      </c>
    </row>
    <row r="523">
      <c r="A523" t="inlineStr">
        <is>
          <t>INV0013743</t>
        </is>
      </c>
      <c r="B523" t="inlineStr">
        <is>
          <t>MER00649</t>
        </is>
      </c>
      <c r="C523">
        <f>XLOOKUP(A523,tblInvoices[invoice_id],tblInvoices[total_invoice_amount])</f>
        <v/>
      </c>
      <c r="D523">
        <f>SUMIFS(tblPayments[payment_amount],tblPayments[invoice_id],A523,tblPayments[payment_status],"Success")</f>
        <v/>
      </c>
      <c r="E523">
        <f>D523-C523</f>
        <v/>
      </c>
      <c r="F523">
        <f>IFS(D523=0,"MISSING_PAYMENT",ABS(E523)&lt;=1,"MATCHED",E523&gt;1,"AMOUNT_MISMATCH",TRUE,"PARTIAL")</f>
        <v/>
      </c>
    </row>
    <row r="524">
      <c r="A524" t="inlineStr">
        <is>
          <t>INV0013744</t>
        </is>
      </c>
      <c r="B524" t="inlineStr">
        <is>
          <t>MER00649</t>
        </is>
      </c>
      <c r="C524">
        <f>XLOOKUP(A524,tblInvoices[invoice_id],tblInvoices[total_invoice_amount])</f>
        <v/>
      </c>
      <c r="D524">
        <f>SUMIFS(tblPayments[payment_amount],tblPayments[invoice_id],A524,tblPayments[payment_status],"Success")</f>
        <v/>
      </c>
      <c r="E524">
        <f>D524-C524</f>
        <v/>
      </c>
      <c r="F524">
        <f>IFS(D524=0,"MISSING_PAYMENT",ABS(E524)&lt;=1,"MATCHED",E524&gt;1,"AMOUNT_MISMATCH",TRUE,"PARTIAL")</f>
        <v/>
      </c>
    </row>
    <row r="525">
      <c r="A525" t="inlineStr">
        <is>
          <t>INV0013745</t>
        </is>
      </c>
      <c r="B525" t="inlineStr">
        <is>
          <t>MER00649</t>
        </is>
      </c>
      <c r="C525">
        <f>XLOOKUP(A525,tblInvoices[invoice_id],tblInvoices[total_invoice_amount])</f>
        <v/>
      </c>
      <c r="D525">
        <f>SUMIFS(tblPayments[payment_amount],tblPayments[invoice_id],A525,tblPayments[payment_status],"Success")</f>
        <v/>
      </c>
      <c r="E525">
        <f>D525-C525</f>
        <v/>
      </c>
      <c r="F525">
        <f>IFS(D525=0,"MISSING_PAYMENT",ABS(E525)&lt;=1,"MATCHED",E525&gt;1,"AMOUNT_MISMATCH",TRUE,"PARTIAL")</f>
        <v/>
      </c>
    </row>
    <row r="526">
      <c r="A526" t="inlineStr">
        <is>
          <t>INV0013746</t>
        </is>
      </c>
      <c r="B526" t="inlineStr">
        <is>
          <t>MER00649</t>
        </is>
      </c>
      <c r="C526">
        <f>XLOOKUP(A526,tblInvoices[invoice_id],tblInvoices[total_invoice_amount])</f>
        <v/>
      </c>
      <c r="D526">
        <f>SUMIFS(tblPayments[payment_amount],tblPayments[invoice_id],A526,tblPayments[payment_status],"Success")</f>
        <v/>
      </c>
      <c r="E526">
        <f>D526-C526</f>
        <v/>
      </c>
      <c r="F526">
        <f>IFS(D526=0,"MISSING_PAYMENT",ABS(E526)&lt;=1,"MATCHED",E526&gt;1,"AMOUNT_MISMATCH",TRUE,"PARTIAL")</f>
        <v/>
      </c>
    </row>
    <row r="527">
      <c r="A527" t="inlineStr">
        <is>
          <t>INV0013747</t>
        </is>
      </c>
      <c r="B527" t="inlineStr">
        <is>
          <t>MER00649</t>
        </is>
      </c>
      <c r="C527">
        <f>XLOOKUP(A527,tblInvoices[invoice_id],tblInvoices[total_invoice_amount])</f>
        <v/>
      </c>
      <c r="D527">
        <f>SUMIFS(tblPayments[payment_amount],tblPayments[invoice_id],A527,tblPayments[payment_status],"Success")</f>
        <v/>
      </c>
      <c r="E527">
        <f>D527-C527</f>
        <v/>
      </c>
      <c r="F527">
        <f>IFS(D527=0,"MISSING_PAYMENT",ABS(E527)&lt;=1,"MATCHED",E527&gt;1,"AMOUNT_MISMATCH",TRUE,"PARTIAL")</f>
        <v/>
      </c>
    </row>
    <row r="528">
      <c r="A528" t="inlineStr">
        <is>
          <t>INV0013748</t>
        </is>
      </c>
      <c r="B528" t="inlineStr">
        <is>
          <t>MER00649</t>
        </is>
      </c>
      <c r="C528">
        <f>XLOOKUP(A528,tblInvoices[invoice_id],tblInvoices[total_invoice_amount])</f>
        <v/>
      </c>
      <c r="D528">
        <f>SUMIFS(tblPayments[payment_amount],tblPayments[invoice_id],A528,tblPayments[payment_status],"Success")</f>
        <v/>
      </c>
      <c r="E528">
        <f>D528-C528</f>
        <v/>
      </c>
      <c r="F528">
        <f>IFS(D528=0,"MISSING_PAYMENT",ABS(E528)&lt;=1,"MATCHED",E528&gt;1,"AMOUNT_MISMATCH",TRUE,"PARTIAL")</f>
        <v/>
      </c>
    </row>
    <row r="529">
      <c r="A529" t="inlineStr">
        <is>
          <t>INV0013749</t>
        </is>
      </c>
      <c r="B529" t="inlineStr">
        <is>
          <t>MER00649</t>
        </is>
      </c>
      <c r="C529">
        <f>XLOOKUP(A529,tblInvoices[invoice_id],tblInvoices[total_invoice_amount])</f>
        <v/>
      </c>
      <c r="D529">
        <f>SUMIFS(tblPayments[payment_amount],tblPayments[invoice_id],A529,tblPayments[payment_status],"Success")</f>
        <v/>
      </c>
      <c r="E529">
        <f>D529-C529</f>
        <v/>
      </c>
      <c r="F529">
        <f>IFS(D529=0,"MISSING_PAYMENT",ABS(E529)&lt;=1,"MATCHED",E529&gt;1,"AMOUNT_MISMATCH",TRUE,"PARTIAL")</f>
        <v/>
      </c>
    </row>
    <row r="530">
      <c r="A530" t="inlineStr">
        <is>
          <t>INV0013750</t>
        </is>
      </c>
      <c r="B530" t="inlineStr">
        <is>
          <t>MER00649</t>
        </is>
      </c>
      <c r="C530">
        <f>XLOOKUP(A530,tblInvoices[invoice_id],tblInvoices[total_invoice_amount])</f>
        <v/>
      </c>
      <c r="D530">
        <f>SUMIFS(tblPayments[payment_amount],tblPayments[invoice_id],A530,tblPayments[payment_status],"Success")</f>
        <v/>
      </c>
      <c r="E530">
        <f>D530-C530</f>
        <v/>
      </c>
      <c r="F530">
        <f>IFS(D530=0,"MISSING_PAYMENT",ABS(E530)&lt;=1,"MATCHED",E530&gt;1,"AMOUNT_MISMATCH",TRUE,"PARTIAL")</f>
        <v/>
      </c>
    </row>
    <row r="531">
      <c r="A531" t="inlineStr">
        <is>
          <t>INV0013751</t>
        </is>
      </c>
      <c r="B531" t="inlineStr">
        <is>
          <t>MER00649</t>
        </is>
      </c>
      <c r="C531">
        <f>XLOOKUP(A531,tblInvoices[invoice_id],tblInvoices[total_invoice_amount])</f>
        <v/>
      </c>
      <c r="D531">
        <f>SUMIFS(tblPayments[payment_amount],tblPayments[invoice_id],A531,tblPayments[payment_status],"Success")</f>
        <v/>
      </c>
      <c r="E531">
        <f>D531-C531</f>
        <v/>
      </c>
      <c r="F531">
        <f>IFS(D531=0,"MISSING_PAYMENT",ABS(E531)&lt;=1,"MATCHED",E531&gt;1,"AMOUNT_MISMATCH",TRUE,"PARTIAL")</f>
        <v/>
      </c>
    </row>
    <row r="532">
      <c r="A532" t="inlineStr">
        <is>
          <t>INV0013752</t>
        </is>
      </c>
      <c r="B532" t="inlineStr">
        <is>
          <t>MER00649</t>
        </is>
      </c>
      <c r="C532">
        <f>XLOOKUP(A532,tblInvoices[invoice_id],tblInvoices[total_invoice_amount])</f>
        <v/>
      </c>
      <c r="D532">
        <f>SUMIFS(tblPayments[payment_amount],tblPayments[invoice_id],A532,tblPayments[payment_status],"Success")</f>
        <v/>
      </c>
      <c r="E532">
        <f>D532-C532</f>
        <v/>
      </c>
      <c r="F532">
        <f>IFS(D532=0,"MISSING_PAYMENT",ABS(E532)&lt;=1,"MATCHED",E532&gt;1,"AMOUNT_MISMATCH",TRUE,"PARTIAL")</f>
        <v/>
      </c>
    </row>
    <row r="533">
      <c r="A533" t="inlineStr">
        <is>
          <t>INV0013753</t>
        </is>
      </c>
      <c r="B533" t="inlineStr">
        <is>
          <t>MER00649</t>
        </is>
      </c>
      <c r="C533">
        <f>XLOOKUP(A533,tblInvoices[invoice_id],tblInvoices[total_invoice_amount])</f>
        <v/>
      </c>
      <c r="D533">
        <f>SUMIFS(tblPayments[payment_amount],tblPayments[invoice_id],A533,tblPayments[payment_status],"Success")</f>
        <v/>
      </c>
      <c r="E533">
        <f>D533-C533</f>
        <v/>
      </c>
      <c r="F533">
        <f>IFS(D533=0,"MISSING_PAYMENT",ABS(E533)&lt;=1,"MATCHED",E533&gt;1,"AMOUNT_MISMATCH",TRUE,"PARTIAL")</f>
        <v/>
      </c>
    </row>
    <row r="534">
      <c r="A534" t="inlineStr">
        <is>
          <t>INV0013754</t>
        </is>
      </c>
      <c r="B534" t="inlineStr">
        <is>
          <t>MER00649</t>
        </is>
      </c>
      <c r="C534">
        <f>XLOOKUP(A534,tblInvoices[invoice_id],tblInvoices[total_invoice_amount])</f>
        <v/>
      </c>
      <c r="D534">
        <f>SUMIFS(tblPayments[payment_amount],tblPayments[invoice_id],A534,tblPayments[payment_status],"Success")</f>
        <v/>
      </c>
      <c r="E534">
        <f>D534-C534</f>
        <v/>
      </c>
      <c r="F534">
        <f>IFS(D534=0,"MISSING_PAYMENT",ABS(E534)&lt;=1,"MATCHED",E534&gt;1,"AMOUNT_MISMATCH",TRUE,"PARTIAL")</f>
        <v/>
      </c>
    </row>
    <row r="535">
      <c r="A535" t="inlineStr">
        <is>
          <t>INV0013755</t>
        </is>
      </c>
      <c r="B535" t="inlineStr">
        <is>
          <t>MER00649</t>
        </is>
      </c>
      <c r="C535">
        <f>XLOOKUP(A535,tblInvoices[invoice_id],tblInvoices[total_invoice_amount])</f>
        <v/>
      </c>
      <c r="D535">
        <f>SUMIFS(tblPayments[payment_amount],tblPayments[invoice_id],A535,tblPayments[payment_status],"Success")</f>
        <v/>
      </c>
      <c r="E535">
        <f>D535-C535</f>
        <v/>
      </c>
      <c r="F535">
        <f>IFS(D535=0,"MISSING_PAYMENT",ABS(E535)&lt;=1,"MATCHED",E535&gt;1,"AMOUNT_MISMATCH",TRUE,"PARTIAL")</f>
        <v/>
      </c>
    </row>
    <row r="536">
      <c r="A536" t="inlineStr">
        <is>
          <t>INV0013756</t>
        </is>
      </c>
      <c r="B536" t="inlineStr">
        <is>
          <t>MER00649</t>
        </is>
      </c>
      <c r="C536">
        <f>XLOOKUP(A536,tblInvoices[invoice_id],tblInvoices[total_invoice_amount])</f>
        <v/>
      </c>
      <c r="D536">
        <f>SUMIFS(tblPayments[payment_amount],tblPayments[invoice_id],A536,tblPayments[payment_status],"Success")</f>
        <v/>
      </c>
      <c r="E536">
        <f>D536-C536</f>
        <v/>
      </c>
      <c r="F536">
        <f>IFS(D536=0,"MISSING_PAYMENT",ABS(E536)&lt;=1,"MATCHED",E536&gt;1,"AMOUNT_MISMATCH",TRUE,"PARTIAL")</f>
        <v/>
      </c>
    </row>
    <row r="537">
      <c r="A537" t="inlineStr">
        <is>
          <t>INV0013757</t>
        </is>
      </c>
      <c r="B537" t="inlineStr">
        <is>
          <t>MER00649</t>
        </is>
      </c>
      <c r="C537">
        <f>XLOOKUP(A537,tblInvoices[invoice_id],tblInvoices[total_invoice_amount])</f>
        <v/>
      </c>
      <c r="D537">
        <f>SUMIFS(tblPayments[payment_amount],tblPayments[invoice_id],A537,tblPayments[payment_status],"Success")</f>
        <v/>
      </c>
      <c r="E537">
        <f>D537-C537</f>
        <v/>
      </c>
      <c r="F537">
        <f>IFS(D537=0,"MISSING_PAYMENT",ABS(E537)&lt;=1,"MATCHED",E537&gt;1,"AMOUNT_MISMATCH",TRUE,"PARTIAL")</f>
        <v/>
      </c>
    </row>
    <row r="538">
      <c r="A538" t="inlineStr">
        <is>
          <t>INV0013758</t>
        </is>
      </c>
      <c r="B538" t="inlineStr">
        <is>
          <t>MER00649</t>
        </is>
      </c>
      <c r="C538">
        <f>XLOOKUP(A538,tblInvoices[invoice_id],tblInvoices[total_invoice_amount])</f>
        <v/>
      </c>
      <c r="D538">
        <f>SUMIFS(tblPayments[payment_amount],tblPayments[invoice_id],A538,tblPayments[payment_status],"Success")</f>
        <v/>
      </c>
      <c r="E538">
        <f>D538-C538</f>
        <v/>
      </c>
      <c r="F538">
        <f>IFS(D538=0,"MISSING_PAYMENT",ABS(E538)&lt;=1,"MATCHED",E538&gt;1,"AMOUNT_MISMATCH",TRUE,"PARTIAL")</f>
        <v/>
      </c>
    </row>
    <row r="539">
      <c r="A539" t="inlineStr">
        <is>
          <t>INV0013759</t>
        </is>
      </c>
      <c r="B539" t="inlineStr">
        <is>
          <t>MER00649</t>
        </is>
      </c>
      <c r="C539">
        <f>XLOOKUP(A539,tblInvoices[invoice_id],tblInvoices[total_invoice_amount])</f>
        <v/>
      </c>
      <c r="D539">
        <f>SUMIFS(tblPayments[payment_amount],tblPayments[invoice_id],A539,tblPayments[payment_status],"Success")</f>
        <v/>
      </c>
      <c r="E539">
        <f>D539-C539</f>
        <v/>
      </c>
      <c r="F539">
        <f>IFS(D539=0,"MISSING_PAYMENT",ABS(E539)&lt;=1,"MATCHED",E539&gt;1,"AMOUNT_MISMATCH",TRUE,"PARTIAL")</f>
        <v/>
      </c>
    </row>
    <row r="540">
      <c r="A540" t="inlineStr">
        <is>
          <t>INV0013760</t>
        </is>
      </c>
      <c r="B540" t="inlineStr">
        <is>
          <t>MER00649</t>
        </is>
      </c>
      <c r="C540">
        <f>XLOOKUP(A540,tblInvoices[invoice_id],tblInvoices[total_invoice_amount])</f>
        <v/>
      </c>
      <c r="D540">
        <f>SUMIFS(tblPayments[payment_amount],tblPayments[invoice_id],A540,tblPayments[payment_status],"Success")</f>
        <v/>
      </c>
      <c r="E540">
        <f>D540-C540</f>
        <v/>
      </c>
      <c r="F540">
        <f>IFS(D540=0,"MISSING_PAYMENT",ABS(E540)&lt;=1,"MATCHED",E540&gt;1,"AMOUNT_MISMATCH",TRUE,"PARTIAL")</f>
        <v/>
      </c>
    </row>
    <row r="541">
      <c r="A541" t="inlineStr">
        <is>
          <t>INV0013761</t>
        </is>
      </c>
      <c r="B541" t="inlineStr">
        <is>
          <t>MER00649</t>
        </is>
      </c>
      <c r="C541">
        <f>XLOOKUP(A541,tblInvoices[invoice_id],tblInvoices[total_invoice_amount])</f>
        <v/>
      </c>
      <c r="D541">
        <f>SUMIFS(tblPayments[payment_amount],tblPayments[invoice_id],A541,tblPayments[payment_status],"Success")</f>
        <v/>
      </c>
      <c r="E541">
        <f>D541-C541</f>
        <v/>
      </c>
      <c r="F541">
        <f>IFS(D541=0,"MISSING_PAYMENT",ABS(E541)&lt;=1,"MATCHED",E541&gt;1,"AMOUNT_MISMATCH",TRUE,"PARTIAL")</f>
        <v/>
      </c>
    </row>
    <row r="542">
      <c r="A542" t="inlineStr">
        <is>
          <t>INV0013762</t>
        </is>
      </c>
      <c r="B542" t="inlineStr">
        <is>
          <t>MER00649</t>
        </is>
      </c>
      <c r="C542">
        <f>XLOOKUP(A542,tblInvoices[invoice_id],tblInvoices[total_invoice_amount])</f>
        <v/>
      </c>
      <c r="D542">
        <f>SUMIFS(tblPayments[payment_amount],tblPayments[invoice_id],A542,tblPayments[payment_status],"Success")</f>
        <v/>
      </c>
      <c r="E542">
        <f>D542-C542</f>
        <v/>
      </c>
      <c r="F542">
        <f>IFS(D542=0,"MISSING_PAYMENT",ABS(E542)&lt;=1,"MATCHED",E542&gt;1,"AMOUNT_MISMATCH",TRUE,"PARTIAL")</f>
        <v/>
      </c>
    </row>
    <row r="543">
      <c r="A543" t="inlineStr">
        <is>
          <t>INV0013763</t>
        </is>
      </c>
      <c r="B543" t="inlineStr">
        <is>
          <t>MER00649</t>
        </is>
      </c>
      <c r="C543">
        <f>XLOOKUP(A543,tblInvoices[invoice_id],tblInvoices[total_invoice_amount])</f>
        <v/>
      </c>
      <c r="D543">
        <f>SUMIFS(tblPayments[payment_amount],tblPayments[invoice_id],A543,tblPayments[payment_status],"Success")</f>
        <v/>
      </c>
      <c r="E543">
        <f>D543-C543</f>
        <v/>
      </c>
      <c r="F543">
        <f>IFS(D543=0,"MISSING_PAYMENT",ABS(E543)&lt;=1,"MATCHED",E543&gt;1,"AMOUNT_MISMATCH",TRUE,"PARTIAL")</f>
        <v/>
      </c>
    </row>
    <row r="544">
      <c r="A544" t="inlineStr">
        <is>
          <t>INV0013764</t>
        </is>
      </c>
      <c r="B544" t="inlineStr">
        <is>
          <t>MER00649</t>
        </is>
      </c>
      <c r="C544">
        <f>XLOOKUP(A544,tblInvoices[invoice_id],tblInvoices[total_invoice_amount])</f>
        <v/>
      </c>
      <c r="D544">
        <f>SUMIFS(tblPayments[payment_amount],tblPayments[invoice_id],A544,tblPayments[payment_status],"Success")</f>
        <v/>
      </c>
      <c r="E544">
        <f>D544-C544</f>
        <v/>
      </c>
      <c r="F544">
        <f>IFS(D544=0,"MISSING_PAYMENT",ABS(E544)&lt;=1,"MATCHED",E544&gt;1,"AMOUNT_MISMATCH",TRUE,"PARTIAL")</f>
        <v/>
      </c>
    </row>
    <row r="545">
      <c r="A545" t="inlineStr">
        <is>
          <t>INV0013765</t>
        </is>
      </c>
      <c r="B545" t="inlineStr">
        <is>
          <t>MER00649</t>
        </is>
      </c>
      <c r="C545">
        <f>XLOOKUP(A545,tblInvoices[invoice_id],tblInvoices[total_invoice_amount])</f>
        <v/>
      </c>
      <c r="D545">
        <f>SUMIFS(tblPayments[payment_amount],tblPayments[invoice_id],A545,tblPayments[payment_status],"Success")</f>
        <v/>
      </c>
      <c r="E545">
        <f>D545-C545</f>
        <v/>
      </c>
      <c r="F545">
        <f>IFS(D545=0,"MISSING_PAYMENT",ABS(E545)&lt;=1,"MATCHED",E545&gt;1,"AMOUNT_MISMATCH",TRUE,"PARTIAL")</f>
        <v/>
      </c>
    </row>
    <row r="546">
      <c r="A546" t="inlineStr">
        <is>
          <t>INV0013766</t>
        </is>
      </c>
      <c r="B546" t="inlineStr">
        <is>
          <t>MER00649</t>
        </is>
      </c>
      <c r="C546">
        <f>XLOOKUP(A546,tblInvoices[invoice_id],tblInvoices[total_invoice_amount])</f>
        <v/>
      </c>
      <c r="D546">
        <f>SUMIFS(tblPayments[payment_amount],tblPayments[invoice_id],A546,tblPayments[payment_status],"Success")</f>
        <v/>
      </c>
      <c r="E546">
        <f>D546-C546</f>
        <v/>
      </c>
      <c r="F546">
        <f>IFS(D546=0,"MISSING_PAYMENT",ABS(E546)&lt;=1,"MATCHED",E546&gt;1,"AMOUNT_MISMATCH",TRUE,"PARTIAL")</f>
        <v/>
      </c>
    </row>
    <row r="547">
      <c r="A547" t="inlineStr">
        <is>
          <t>INV0013942</t>
        </is>
      </c>
      <c r="B547" t="inlineStr">
        <is>
          <t>MER00658</t>
        </is>
      </c>
      <c r="C547">
        <f>XLOOKUP(A547,tblInvoices[invoice_id],tblInvoices[total_invoice_amount])</f>
        <v/>
      </c>
      <c r="D547">
        <f>SUMIFS(tblPayments[payment_amount],tblPayments[invoice_id],A547,tblPayments[payment_status],"Success")</f>
        <v/>
      </c>
      <c r="E547">
        <f>D547-C547</f>
        <v/>
      </c>
      <c r="F547">
        <f>IFS(D547=0,"MISSING_PAYMENT",ABS(E547)&lt;=1,"MATCHED",E547&gt;1,"AMOUNT_MISMATCH",TRUE,"PARTIAL")</f>
        <v/>
      </c>
    </row>
    <row r="548">
      <c r="A548" t="inlineStr">
        <is>
          <t>INV0013943</t>
        </is>
      </c>
      <c r="B548" t="inlineStr">
        <is>
          <t>MER00658</t>
        </is>
      </c>
      <c r="C548">
        <f>XLOOKUP(A548,tblInvoices[invoice_id],tblInvoices[total_invoice_amount])</f>
        <v/>
      </c>
      <c r="D548">
        <f>SUMIFS(tblPayments[payment_amount],tblPayments[invoice_id],A548,tblPayments[payment_status],"Success")</f>
        <v/>
      </c>
      <c r="E548">
        <f>D548-C548</f>
        <v/>
      </c>
      <c r="F548">
        <f>IFS(D548=0,"MISSING_PAYMENT",ABS(E548)&lt;=1,"MATCHED",E548&gt;1,"AMOUNT_MISMATCH",TRUE,"PARTIAL")</f>
        <v/>
      </c>
    </row>
    <row r="549">
      <c r="A549" t="inlineStr">
        <is>
          <t>INV0013944</t>
        </is>
      </c>
      <c r="B549" t="inlineStr">
        <is>
          <t>MER00658</t>
        </is>
      </c>
      <c r="C549">
        <f>XLOOKUP(A549,tblInvoices[invoice_id],tblInvoices[total_invoice_amount])</f>
        <v/>
      </c>
      <c r="D549">
        <f>SUMIFS(tblPayments[payment_amount],tblPayments[invoice_id],A549,tblPayments[payment_status],"Success")</f>
        <v/>
      </c>
      <c r="E549">
        <f>D549-C549</f>
        <v/>
      </c>
      <c r="F549">
        <f>IFS(D549=0,"MISSING_PAYMENT",ABS(E549)&lt;=1,"MATCHED",E549&gt;1,"AMOUNT_MISMATCH",TRUE,"PARTIAL")</f>
        <v/>
      </c>
    </row>
    <row r="550">
      <c r="A550" t="inlineStr">
        <is>
          <t>INV0013945</t>
        </is>
      </c>
      <c r="B550" t="inlineStr">
        <is>
          <t>MER00658</t>
        </is>
      </c>
      <c r="C550">
        <f>XLOOKUP(A550,tblInvoices[invoice_id],tblInvoices[total_invoice_amount])</f>
        <v/>
      </c>
      <c r="D550">
        <f>SUMIFS(tblPayments[payment_amount],tblPayments[invoice_id],A550,tblPayments[payment_status],"Success")</f>
        <v/>
      </c>
      <c r="E550">
        <f>D550-C550</f>
        <v/>
      </c>
      <c r="F550">
        <f>IFS(D550=0,"MISSING_PAYMENT",ABS(E550)&lt;=1,"MATCHED",E550&gt;1,"AMOUNT_MISMATCH",TRUE,"PARTIAL")</f>
        <v/>
      </c>
    </row>
    <row r="551">
      <c r="A551" t="inlineStr">
        <is>
          <t>INV0013946</t>
        </is>
      </c>
      <c r="B551" t="inlineStr">
        <is>
          <t>MER00658</t>
        </is>
      </c>
      <c r="C551">
        <f>XLOOKUP(A551,tblInvoices[invoice_id],tblInvoices[total_invoice_amount])</f>
        <v/>
      </c>
      <c r="D551">
        <f>SUMIFS(tblPayments[payment_amount],tblPayments[invoice_id],A551,tblPayments[payment_status],"Success")</f>
        <v/>
      </c>
      <c r="E551">
        <f>D551-C551</f>
        <v/>
      </c>
      <c r="F551">
        <f>IFS(D551=0,"MISSING_PAYMENT",ABS(E551)&lt;=1,"MATCHED",E551&gt;1,"AMOUNT_MISMATCH",TRUE,"PARTIAL")</f>
        <v/>
      </c>
    </row>
    <row r="552">
      <c r="A552" t="inlineStr">
        <is>
          <t>INV0013947</t>
        </is>
      </c>
      <c r="B552" t="inlineStr">
        <is>
          <t>MER00658</t>
        </is>
      </c>
      <c r="C552">
        <f>XLOOKUP(A552,tblInvoices[invoice_id],tblInvoices[total_invoice_amount])</f>
        <v/>
      </c>
      <c r="D552">
        <f>SUMIFS(tblPayments[payment_amount],tblPayments[invoice_id],A552,tblPayments[payment_status],"Success")</f>
        <v/>
      </c>
      <c r="E552">
        <f>D552-C552</f>
        <v/>
      </c>
      <c r="F552">
        <f>IFS(D552=0,"MISSING_PAYMENT",ABS(E552)&lt;=1,"MATCHED",E552&gt;1,"AMOUNT_MISMATCH",TRUE,"PARTIAL")</f>
        <v/>
      </c>
    </row>
    <row r="553">
      <c r="A553" t="inlineStr">
        <is>
          <t>INV0013948</t>
        </is>
      </c>
      <c r="B553" t="inlineStr">
        <is>
          <t>MER00658</t>
        </is>
      </c>
      <c r="C553">
        <f>XLOOKUP(A553,tblInvoices[invoice_id],tblInvoices[total_invoice_amount])</f>
        <v/>
      </c>
      <c r="D553">
        <f>SUMIFS(tblPayments[payment_amount],tblPayments[invoice_id],A553,tblPayments[payment_status],"Success")</f>
        <v/>
      </c>
      <c r="E553">
        <f>D553-C553</f>
        <v/>
      </c>
      <c r="F553">
        <f>IFS(D553=0,"MISSING_PAYMENT",ABS(E553)&lt;=1,"MATCHED",E553&gt;1,"AMOUNT_MISMATCH",TRUE,"PARTIAL")</f>
        <v/>
      </c>
    </row>
    <row r="554">
      <c r="A554" t="inlineStr">
        <is>
          <t>INV0013949</t>
        </is>
      </c>
      <c r="B554" t="inlineStr">
        <is>
          <t>MER00658</t>
        </is>
      </c>
      <c r="C554">
        <f>XLOOKUP(A554,tblInvoices[invoice_id],tblInvoices[total_invoice_amount])</f>
        <v/>
      </c>
      <c r="D554">
        <f>SUMIFS(tblPayments[payment_amount],tblPayments[invoice_id],A554,tblPayments[payment_status],"Success")</f>
        <v/>
      </c>
      <c r="E554">
        <f>D554-C554</f>
        <v/>
      </c>
      <c r="F554">
        <f>IFS(D554=0,"MISSING_PAYMENT",ABS(E554)&lt;=1,"MATCHED",E554&gt;1,"AMOUNT_MISMATCH",TRUE,"PARTIAL")</f>
        <v/>
      </c>
    </row>
    <row r="555">
      <c r="A555" t="inlineStr">
        <is>
          <t>INV0013950</t>
        </is>
      </c>
      <c r="B555" t="inlineStr">
        <is>
          <t>MER00658</t>
        </is>
      </c>
      <c r="C555">
        <f>XLOOKUP(A555,tblInvoices[invoice_id],tblInvoices[total_invoice_amount])</f>
        <v/>
      </c>
      <c r="D555">
        <f>SUMIFS(tblPayments[payment_amount],tblPayments[invoice_id],A555,tblPayments[payment_status],"Success")</f>
        <v/>
      </c>
      <c r="E555">
        <f>D555-C555</f>
        <v/>
      </c>
      <c r="F555">
        <f>IFS(D555=0,"MISSING_PAYMENT",ABS(E555)&lt;=1,"MATCHED",E555&gt;1,"AMOUNT_MISMATCH",TRUE,"PARTIAL")</f>
        <v/>
      </c>
    </row>
    <row r="556">
      <c r="A556" t="inlineStr">
        <is>
          <t>INV0013951</t>
        </is>
      </c>
      <c r="B556" t="inlineStr">
        <is>
          <t>MER00658</t>
        </is>
      </c>
      <c r="C556">
        <f>XLOOKUP(A556,tblInvoices[invoice_id],tblInvoices[total_invoice_amount])</f>
        <v/>
      </c>
      <c r="D556">
        <f>SUMIFS(tblPayments[payment_amount],tblPayments[invoice_id],A556,tblPayments[payment_status],"Success")</f>
        <v/>
      </c>
      <c r="E556">
        <f>D556-C556</f>
        <v/>
      </c>
      <c r="F556">
        <f>IFS(D556=0,"MISSING_PAYMENT",ABS(E556)&lt;=1,"MATCHED",E556&gt;1,"AMOUNT_MISMATCH",TRUE,"PARTIAL")</f>
        <v/>
      </c>
    </row>
    <row r="557">
      <c r="A557" t="inlineStr">
        <is>
          <t>INV0013952</t>
        </is>
      </c>
      <c r="B557" t="inlineStr">
        <is>
          <t>MER00658</t>
        </is>
      </c>
      <c r="C557">
        <f>XLOOKUP(A557,tblInvoices[invoice_id],tblInvoices[total_invoice_amount])</f>
        <v/>
      </c>
      <c r="D557">
        <f>SUMIFS(tblPayments[payment_amount],tblPayments[invoice_id],A557,tblPayments[payment_status],"Success")</f>
        <v/>
      </c>
      <c r="E557">
        <f>D557-C557</f>
        <v/>
      </c>
      <c r="F557">
        <f>IFS(D557=0,"MISSING_PAYMENT",ABS(E557)&lt;=1,"MATCHED",E557&gt;1,"AMOUNT_MISMATCH",TRUE,"PARTIAL")</f>
        <v/>
      </c>
    </row>
    <row r="558">
      <c r="A558" t="inlineStr">
        <is>
          <t>INV0013953</t>
        </is>
      </c>
      <c r="B558" t="inlineStr">
        <is>
          <t>MER00658</t>
        </is>
      </c>
      <c r="C558">
        <f>XLOOKUP(A558,tblInvoices[invoice_id],tblInvoices[total_invoice_amount])</f>
        <v/>
      </c>
      <c r="D558">
        <f>SUMIFS(tblPayments[payment_amount],tblPayments[invoice_id],A558,tblPayments[payment_status],"Success")</f>
        <v/>
      </c>
      <c r="E558">
        <f>D558-C558</f>
        <v/>
      </c>
      <c r="F558">
        <f>IFS(D558=0,"MISSING_PAYMENT",ABS(E558)&lt;=1,"MATCHED",E558&gt;1,"AMOUNT_MISMATCH",TRUE,"PARTIAL")</f>
        <v/>
      </c>
    </row>
    <row r="559">
      <c r="A559" t="inlineStr">
        <is>
          <t>INV0013954</t>
        </is>
      </c>
      <c r="B559" t="inlineStr">
        <is>
          <t>MER00658</t>
        </is>
      </c>
      <c r="C559">
        <f>XLOOKUP(A559,tblInvoices[invoice_id],tblInvoices[total_invoice_amount])</f>
        <v/>
      </c>
      <c r="D559">
        <f>SUMIFS(tblPayments[payment_amount],tblPayments[invoice_id],A559,tblPayments[payment_status],"Success")</f>
        <v/>
      </c>
      <c r="E559">
        <f>D559-C559</f>
        <v/>
      </c>
      <c r="F559">
        <f>IFS(D559=0,"MISSING_PAYMENT",ABS(E559)&lt;=1,"MATCHED",E559&gt;1,"AMOUNT_MISMATCH",TRUE,"PARTIAL")</f>
        <v/>
      </c>
    </row>
    <row r="560">
      <c r="A560" t="inlineStr">
        <is>
          <t>INV0013955</t>
        </is>
      </c>
      <c r="B560" t="inlineStr">
        <is>
          <t>MER00658</t>
        </is>
      </c>
      <c r="C560">
        <f>XLOOKUP(A560,tblInvoices[invoice_id],tblInvoices[total_invoice_amount])</f>
        <v/>
      </c>
      <c r="D560">
        <f>SUMIFS(tblPayments[payment_amount],tblPayments[invoice_id],A560,tblPayments[payment_status],"Success")</f>
        <v/>
      </c>
      <c r="E560">
        <f>D560-C560</f>
        <v/>
      </c>
      <c r="F560">
        <f>IFS(D560=0,"MISSING_PAYMENT",ABS(E560)&lt;=1,"MATCHED",E560&gt;1,"AMOUNT_MISMATCH",TRUE,"PARTIAL")</f>
        <v/>
      </c>
    </row>
    <row r="561">
      <c r="A561" t="inlineStr">
        <is>
          <t>INV0013956</t>
        </is>
      </c>
      <c r="B561" t="inlineStr">
        <is>
          <t>MER00658</t>
        </is>
      </c>
      <c r="C561">
        <f>XLOOKUP(A561,tblInvoices[invoice_id],tblInvoices[total_invoice_amount])</f>
        <v/>
      </c>
      <c r="D561">
        <f>SUMIFS(tblPayments[payment_amount],tblPayments[invoice_id],A561,tblPayments[payment_status],"Success")</f>
        <v/>
      </c>
      <c r="E561">
        <f>D561-C561</f>
        <v/>
      </c>
      <c r="F561">
        <f>IFS(D561=0,"MISSING_PAYMENT",ABS(E561)&lt;=1,"MATCHED",E561&gt;1,"AMOUNT_MISMATCH",TRUE,"PARTIAL")</f>
        <v/>
      </c>
    </row>
    <row r="562">
      <c r="A562" t="inlineStr">
        <is>
          <t>INV0013957</t>
        </is>
      </c>
      <c r="B562" t="inlineStr">
        <is>
          <t>MER00658</t>
        </is>
      </c>
      <c r="C562">
        <f>XLOOKUP(A562,tblInvoices[invoice_id],tblInvoices[total_invoice_amount])</f>
        <v/>
      </c>
      <c r="D562">
        <f>SUMIFS(tblPayments[payment_amount],tblPayments[invoice_id],A562,tblPayments[payment_status],"Success")</f>
        <v/>
      </c>
      <c r="E562">
        <f>D562-C562</f>
        <v/>
      </c>
      <c r="F562">
        <f>IFS(D562=0,"MISSING_PAYMENT",ABS(E562)&lt;=1,"MATCHED",E562&gt;1,"AMOUNT_MISMATCH",TRUE,"PARTIAL")</f>
        <v/>
      </c>
    </row>
    <row r="563">
      <c r="A563" t="inlineStr">
        <is>
          <t>INV0013958</t>
        </is>
      </c>
      <c r="B563" t="inlineStr">
        <is>
          <t>MER00658</t>
        </is>
      </c>
      <c r="C563">
        <f>XLOOKUP(A563,tblInvoices[invoice_id],tblInvoices[total_invoice_amount])</f>
        <v/>
      </c>
      <c r="D563">
        <f>SUMIFS(tblPayments[payment_amount],tblPayments[invoice_id],A563,tblPayments[payment_status],"Success")</f>
        <v/>
      </c>
      <c r="E563">
        <f>D563-C563</f>
        <v/>
      </c>
      <c r="F563">
        <f>IFS(D563=0,"MISSING_PAYMENT",ABS(E563)&lt;=1,"MATCHED",E563&gt;1,"AMOUNT_MISMATCH",TRUE,"PARTIAL")</f>
        <v/>
      </c>
    </row>
    <row r="564">
      <c r="A564" t="inlineStr">
        <is>
          <t>INV0013959</t>
        </is>
      </c>
      <c r="B564" t="inlineStr">
        <is>
          <t>MER00658</t>
        </is>
      </c>
      <c r="C564">
        <f>XLOOKUP(A564,tblInvoices[invoice_id],tblInvoices[total_invoice_amount])</f>
        <v/>
      </c>
      <c r="D564">
        <f>SUMIFS(tblPayments[payment_amount],tblPayments[invoice_id],A564,tblPayments[payment_status],"Success")</f>
        <v/>
      </c>
      <c r="E564">
        <f>D564-C564</f>
        <v/>
      </c>
      <c r="F564">
        <f>IFS(D564=0,"MISSING_PAYMENT",ABS(E564)&lt;=1,"MATCHED",E564&gt;1,"AMOUNT_MISMATCH",TRUE,"PARTIAL")</f>
        <v/>
      </c>
    </row>
    <row r="565">
      <c r="A565" t="inlineStr">
        <is>
          <t>INV0013960</t>
        </is>
      </c>
      <c r="B565" t="inlineStr">
        <is>
          <t>MER00658</t>
        </is>
      </c>
      <c r="C565">
        <f>XLOOKUP(A565,tblInvoices[invoice_id],tblInvoices[total_invoice_amount])</f>
        <v/>
      </c>
      <c r="D565">
        <f>SUMIFS(tblPayments[payment_amount],tblPayments[invoice_id],A565,tblPayments[payment_status],"Success")</f>
        <v/>
      </c>
      <c r="E565">
        <f>D565-C565</f>
        <v/>
      </c>
      <c r="F565">
        <f>IFS(D565=0,"MISSING_PAYMENT",ABS(E565)&lt;=1,"MATCHED",E565&gt;1,"AMOUNT_MISMATCH",TRUE,"PARTIAL")</f>
        <v/>
      </c>
    </row>
    <row r="566">
      <c r="A566" t="inlineStr">
        <is>
          <t>INV0013961</t>
        </is>
      </c>
      <c r="B566" t="inlineStr">
        <is>
          <t>MER00658</t>
        </is>
      </c>
      <c r="C566">
        <f>XLOOKUP(A566,tblInvoices[invoice_id],tblInvoices[total_invoice_amount])</f>
        <v/>
      </c>
      <c r="D566">
        <f>SUMIFS(tblPayments[payment_amount],tblPayments[invoice_id],A566,tblPayments[payment_status],"Success")</f>
        <v/>
      </c>
      <c r="E566">
        <f>D566-C566</f>
        <v/>
      </c>
      <c r="F566">
        <f>IFS(D566=0,"MISSING_PAYMENT",ABS(E566)&lt;=1,"MATCHED",E566&gt;1,"AMOUNT_MISMATCH",TRUE,"PARTIAL")</f>
        <v/>
      </c>
    </row>
    <row r="567">
      <c r="A567" t="inlineStr">
        <is>
          <t>INV0013962</t>
        </is>
      </c>
      <c r="B567" t="inlineStr">
        <is>
          <t>MER00658</t>
        </is>
      </c>
      <c r="C567">
        <f>XLOOKUP(A567,tblInvoices[invoice_id],tblInvoices[total_invoice_amount])</f>
        <v/>
      </c>
      <c r="D567">
        <f>SUMIFS(tblPayments[payment_amount],tblPayments[invoice_id],A567,tblPayments[payment_status],"Success")</f>
        <v/>
      </c>
      <c r="E567">
        <f>D567-C567</f>
        <v/>
      </c>
      <c r="F567">
        <f>IFS(D567=0,"MISSING_PAYMENT",ABS(E567)&lt;=1,"MATCHED",E567&gt;1,"AMOUNT_MISMATCH",TRUE,"PARTIAL")</f>
        <v/>
      </c>
    </row>
    <row r="568">
      <c r="A568" t="inlineStr">
        <is>
          <t>INV0013963</t>
        </is>
      </c>
      <c r="B568" t="inlineStr">
        <is>
          <t>MER00658</t>
        </is>
      </c>
      <c r="C568">
        <f>XLOOKUP(A568,tblInvoices[invoice_id],tblInvoices[total_invoice_amount])</f>
        <v/>
      </c>
      <c r="D568">
        <f>SUMIFS(tblPayments[payment_amount],tblPayments[invoice_id],A568,tblPayments[payment_status],"Success")</f>
        <v/>
      </c>
      <c r="E568">
        <f>D568-C568</f>
        <v/>
      </c>
      <c r="F568">
        <f>IFS(D568=0,"MISSING_PAYMENT",ABS(E568)&lt;=1,"MATCHED",E568&gt;1,"AMOUNT_MISMATCH",TRUE,"PARTIAL")</f>
        <v/>
      </c>
    </row>
    <row r="569">
      <c r="A569" t="inlineStr">
        <is>
          <t>INV0013964</t>
        </is>
      </c>
      <c r="B569" t="inlineStr">
        <is>
          <t>MER00658</t>
        </is>
      </c>
      <c r="C569">
        <f>XLOOKUP(A569,tblInvoices[invoice_id],tblInvoices[total_invoice_amount])</f>
        <v/>
      </c>
      <c r="D569">
        <f>SUMIFS(tblPayments[payment_amount],tblPayments[invoice_id],A569,tblPayments[payment_status],"Success")</f>
        <v/>
      </c>
      <c r="E569">
        <f>D569-C569</f>
        <v/>
      </c>
      <c r="F569">
        <f>IFS(D569=0,"MISSING_PAYMENT",ABS(E569)&lt;=1,"MATCHED",E569&gt;1,"AMOUNT_MISMATCH",TRUE,"PARTIAL")</f>
        <v/>
      </c>
    </row>
    <row r="570">
      <c r="A570" t="inlineStr">
        <is>
          <t>INV0013965</t>
        </is>
      </c>
      <c r="B570" t="inlineStr">
        <is>
          <t>MER00658</t>
        </is>
      </c>
      <c r="C570">
        <f>XLOOKUP(A570,tblInvoices[invoice_id],tblInvoices[total_invoice_amount])</f>
        <v/>
      </c>
      <c r="D570">
        <f>SUMIFS(tblPayments[payment_amount],tblPayments[invoice_id],A570,tblPayments[payment_status],"Success")</f>
        <v/>
      </c>
      <c r="E570">
        <f>D570-C570</f>
        <v/>
      </c>
      <c r="F570">
        <f>IFS(D570=0,"MISSING_PAYMENT",ABS(E570)&lt;=1,"MATCHED",E570&gt;1,"AMOUNT_MISMATCH",TRUE,"PARTIAL")</f>
        <v/>
      </c>
    </row>
    <row r="571">
      <c r="A571" t="inlineStr">
        <is>
          <t>INV0014036</t>
        </is>
      </c>
      <c r="B571" t="inlineStr">
        <is>
          <t>MER00662</t>
        </is>
      </c>
      <c r="C571">
        <f>XLOOKUP(A571,tblInvoices[invoice_id],tblInvoices[total_invoice_amount])</f>
        <v/>
      </c>
      <c r="D571">
        <f>SUMIFS(tblPayments[payment_amount],tblPayments[invoice_id],A571,tblPayments[payment_status],"Success")</f>
        <v/>
      </c>
      <c r="E571">
        <f>D571-C571</f>
        <v/>
      </c>
      <c r="F571">
        <f>IFS(D571=0,"MISSING_PAYMENT",ABS(E571)&lt;=1,"MATCHED",E571&gt;1,"AMOUNT_MISMATCH",TRUE,"PARTIAL")</f>
        <v/>
      </c>
    </row>
    <row r="572">
      <c r="A572" t="inlineStr">
        <is>
          <t>INV0014037</t>
        </is>
      </c>
      <c r="B572" t="inlineStr">
        <is>
          <t>MER00662</t>
        </is>
      </c>
      <c r="C572">
        <f>XLOOKUP(A572,tblInvoices[invoice_id],tblInvoices[total_invoice_amount])</f>
        <v/>
      </c>
      <c r="D572">
        <f>SUMIFS(tblPayments[payment_amount],tblPayments[invoice_id],A572,tblPayments[payment_status],"Success")</f>
        <v/>
      </c>
      <c r="E572">
        <f>D572-C572</f>
        <v/>
      </c>
      <c r="F572">
        <f>IFS(D572=0,"MISSING_PAYMENT",ABS(E572)&lt;=1,"MATCHED",E572&gt;1,"AMOUNT_MISMATCH",TRUE,"PARTIAL")</f>
        <v/>
      </c>
    </row>
    <row r="573">
      <c r="A573" t="inlineStr">
        <is>
          <t>INV0014038</t>
        </is>
      </c>
      <c r="B573" t="inlineStr">
        <is>
          <t>MER00662</t>
        </is>
      </c>
      <c r="C573">
        <f>XLOOKUP(A573,tblInvoices[invoice_id],tblInvoices[total_invoice_amount])</f>
        <v/>
      </c>
      <c r="D573">
        <f>SUMIFS(tblPayments[payment_amount],tblPayments[invoice_id],A573,tblPayments[payment_status],"Success")</f>
        <v/>
      </c>
      <c r="E573">
        <f>D573-C573</f>
        <v/>
      </c>
      <c r="F573">
        <f>IFS(D573=0,"MISSING_PAYMENT",ABS(E573)&lt;=1,"MATCHED",E573&gt;1,"AMOUNT_MISMATCH",TRUE,"PARTIAL")</f>
        <v/>
      </c>
    </row>
    <row r="574">
      <c r="A574" t="inlineStr">
        <is>
          <t>INV0014039</t>
        </is>
      </c>
      <c r="B574" t="inlineStr">
        <is>
          <t>MER00662</t>
        </is>
      </c>
      <c r="C574">
        <f>XLOOKUP(A574,tblInvoices[invoice_id],tblInvoices[total_invoice_amount])</f>
        <v/>
      </c>
      <c r="D574">
        <f>SUMIFS(tblPayments[payment_amount],tblPayments[invoice_id],A574,tblPayments[payment_status],"Success")</f>
        <v/>
      </c>
      <c r="E574">
        <f>D574-C574</f>
        <v/>
      </c>
      <c r="F574">
        <f>IFS(D574=0,"MISSING_PAYMENT",ABS(E574)&lt;=1,"MATCHED",E574&gt;1,"AMOUNT_MISMATCH",TRUE,"PARTIAL")</f>
        <v/>
      </c>
    </row>
    <row r="575">
      <c r="A575" t="inlineStr">
        <is>
          <t>INV0014040</t>
        </is>
      </c>
      <c r="B575" t="inlineStr">
        <is>
          <t>MER00662</t>
        </is>
      </c>
      <c r="C575">
        <f>XLOOKUP(A575,tblInvoices[invoice_id],tblInvoices[total_invoice_amount])</f>
        <v/>
      </c>
      <c r="D575">
        <f>SUMIFS(tblPayments[payment_amount],tblPayments[invoice_id],A575,tblPayments[payment_status],"Success")</f>
        <v/>
      </c>
      <c r="E575">
        <f>D575-C575</f>
        <v/>
      </c>
      <c r="F575">
        <f>IFS(D575=0,"MISSING_PAYMENT",ABS(E575)&lt;=1,"MATCHED",E575&gt;1,"AMOUNT_MISMATCH",TRUE,"PARTIAL")</f>
        <v/>
      </c>
    </row>
    <row r="576">
      <c r="A576" t="inlineStr">
        <is>
          <t>INV0014041</t>
        </is>
      </c>
      <c r="B576" t="inlineStr">
        <is>
          <t>MER00662</t>
        </is>
      </c>
      <c r="C576">
        <f>XLOOKUP(A576,tblInvoices[invoice_id],tblInvoices[total_invoice_amount])</f>
        <v/>
      </c>
      <c r="D576">
        <f>SUMIFS(tblPayments[payment_amount],tblPayments[invoice_id],A576,tblPayments[payment_status],"Success")</f>
        <v/>
      </c>
      <c r="E576">
        <f>D576-C576</f>
        <v/>
      </c>
      <c r="F576">
        <f>IFS(D576=0,"MISSING_PAYMENT",ABS(E576)&lt;=1,"MATCHED",E576&gt;1,"AMOUNT_MISMATCH",TRUE,"PARTIAL")</f>
        <v/>
      </c>
    </row>
    <row r="577">
      <c r="A577" t="inlineStr">
        <is>
          <t>INV0014042</t>
        </is>
      </c>
      <c r="B577" t="inlineStr">
        <is>
          <t>MER00662</t>
        </is>
      </c>
      <c r="C577">
        <f>XLOOKUP(A577,tblInvoices[invoice_id],tblInvoices[total_invoice_amount])</f>
        <v/>
      </c>
      <c r="D577">
        <f>SUMIFS(tblPayments[payment_amount],tblPayments[invoice_id],A577,tblPayments[payment_status],"Success")</f>
        <v/>
      </c>
      <c r="E577">
        <f>D577-C577</f>
        <v/>
      </c>
      <c r="F577">
        <f>IFS(D577=0,"MISSING_PAYMENT",ABS(E577)&lt;=1,"MATCHED",E577&gt;1,"AMOUNT_MISMATCH",TRUE,"PARTIAL")</f>
        <v/>
      </c>
    </row>
    <row r="578">
      <c r="A578" t="inlineStr">
        <is>
          <t>INV0014043</t>
        </is>
      </c>
      <c r="B578" t="inlineStr">
        <is>
          <t>MER00662</t>
        </is>
      </c>
      <c r="C578">
        <f>XLOOKUP(A578,tblInvoices[invoice_id],tblInvoices[total_invoice_amount])</f>
        <v/>
      </c>
      <c r="D578">
        <f>SUMIFS(tblPayments[payment_amount],tblPayments[invoice_id],A578,tblPayments[payment_status],"Success")</f>
        <v/>
      </c>
      <c r="E578">
        <f>D578-C578</f>
        <v/>
      </c>
      <c r="F578">
        <f>IFS(D578=0,"MISSING_PAYMENT",ABS(E578)&lt;=1,"MATCHED",E578&gt;1,"AMOUNT_MISMATCH",TRUE,"PARTIAL")</f>
        <v/>
      </c>
    </row>
    <row r="579">
      <c r="A579" t="inlineStr">
        <is>
          <t>INV0014044</t>
        </is>
      </c>
      <c r="B579" t="inlineStr">
        <is>
          <t>MER00662</t>
        </is>
      </c>
      <c r="C579">
        <f>XLOOKUP(A579,tblInvoices[invoice_id],tblInvoices[total_invoice_amount])</f>
        <v/>
      </c>
      <c r="D579">
        <f>SUMIFS(tblPayments[payment_amount],tblPayments[invoice_id],A579,tblPayments[payment_status],"Success")</f>
        <v/>
      </c>
      <c r="E579">
        <f>D579-C579</f>
        <v/>
      </c>
      <c r="F579">
        <f>IFS(D579=0,"MISSING_PAYMENT",ABS(E579)&lt;=1,"MATCHED",E579&gt;1,"AMOUNT_MISMATCH",TRUE,"PARTIAL")</f>
        <v/>
      </c>
    </row>
    <row r="580">
      <c r="A580" t="inlineStr">
        <is>
          <t>INV0014045</t>
        </is>
      </c>
      <c r="B580" t="inlineStr">
        <is>
          <t>MER00662</t>
        </is>
      </c>
      <c r="C580">
        <f>XLOOKUP(A580,tblInvoices[invoice_id],tblInvoices[total_invoice_amount])</f>
        <v/>
      </c>
      <c r="D580">
        <f>SUMIFS(tblPayments[payment_amount],tblPayments[invoice_id],A580,tblPayments[payment_status],"Success")</f>
        <v/>
      </c>
      <c r="E580">
        <f>D580-C580</f>
        <v/>
      </c>
      <c r="F580">
        <f>IFS(D580=0,"MISSING_PAYMENT",ABS(E580)&lt;=1,"MATCHED",E580&gt;1,"AMOUNT_MISMATCH",TRUE,"PARTIAL")</f>
        <v/>
      </c>
    </row>
    <row r="581">
      <c r="A581" t="inlineStr">
        <is>
          <t>INV0014046</t>
        </is>
      </c>
      <c r="B581" t="inlineStr">
        <is>
          <t>MER00662</t>
        </is>
      </c>
      <c r="C581">
        <f>XLOOKUP(A581,tblInvoices[invoice_id],tblInvoices[total_invoice_amount])</f>
        <v/>
      </c>
      <c r="D581">
        <f>SUMIFS(tblPayments[payment_amount],tblPayments[invoice_id],A581,tblPayments[payment_status],"Success")</f>
        <v/>
      </c>
      <c r="E581">
        <f>D581-C581</f>
        <v/>
      </c>
      <c r="F581">
        <f>IFS(D581=0,"MISSING_PAYMENT",ABS(E581)&lt;=1,"MATCHED",E581&gt;1,"AMOUNT_MISMATCH",TRUE,"PARTIAL")</f>
        <v/>
      </c>
    </row>
    <row r="582">
      <c r="A582" t="inlineStr">
        <is>
          <t>INV0014047</t>
        </is>
      </c>
      <c r="B582" t="inlineStr">
        <is>
          <t>MER00662</t>
        </is>
      </c>
      <c r="C582">
        <f>XLOOKUP(A582,tblInvoices[invoice_id],tblInvoices[total_invoice_amount])</f>
        <v/>
      </c>
      <c r="D582">
        <f>SUMIFS(tblPayments[payment_amount],tblPayments[invoice_id],A582,tblPayments[payment_status],"Success")</f>
        <v/>
      </c>
      <c r="E582">
        <f>D582-C582</f>
        <v/>
      </c>
      <c r="F582">
        <f>IFS(D582=0,"MISSING_PAYMENT",ABS(E582)&lt;=1,"MATCHED",E582&gt;1,"AMOUNT_MISMATCH",TRUE,"PARTIAL")</f>
        <v/>
      </c>
    </row>
    <row r="583">
      <c r="A583" t="inlineStr">
        <is>
          <t>INV0014048</t>
        </is>
      </c>
      <c r="B583" t="inlineStr">
        <is>
          <t>MER00662</t>
        </is>
      </c>
      <c r="C583">
        <f>XLOOKUP(A583,tblInvoices[invoice_id],tblInvoices[total_invoice_amount])</f>
        <v/>
      </c>
      <c r="D583">
        <f>SUMIFS(tblPayments[payment_amount],tblPayments[invoice_id],A583,tblPayments[payment_status],"Success")</f>
        <v/>
      </c>
      <c r="E583">
        <f>D583-C583</f>
        <v/>
      </c>
      <c r="F583">
        <f>IFS(D583=0,"MISSING_PAYMENT",ABS(E583)&lt;=1,"MATCHED",E583&gt;1,"AMOUNT_MISMATCH",TRUE,"PARTIAL")</f>
        <v/>
      </c>
    </row>
    <row r="584">
      <c r="A584" t="inlineStr">
        <is>
          <t>INV0014049</t>
        </is>
      </c>
      <c r="B584" t="inlineStr">
        <is>
          <t>MER00662</t>
        </is>
      </c>
      <c r="C584">
        <f>XLOOKUP(A584,tblInvoices[invoice_id],tblInvoices[total_invoice_amount])</f>
        <v/>
      </c>
      <c r="D584">
        <f>SUMIFS(tblPayments[payment_amount],tblPayments[invoice_id],A584,tblPayments[payment_status],"Success")</f>
        <v/>
      </c>
      <c r="E584">
        <f>D584-C584</f>
        <v/>
      </c>
      <c r="F584">
        <f>IFS(D584=0,"MISSING_PAYMENT",ABS(E584)&lt;=1,"MATCHED",E584&gt;1,"AMOUNT_MISMATCH",TRUE,"PARTIAL")</f>
        <v/>
      </c>
    </row>
    <row r="585">
      <c r="A585" t="inlineStr">
        <is>
          <t>INV0014050</t>
        </is>
      </c>
      <c r="B585" t="inlineStr">
        <is>
          <t>MER00662</t>
        </is>
      </c>
      <c r="C585">
        <f>XLOOKUP(A585,tblInvoices[invoice_id],tblInvoices[total_invoice_amount])</f>
        <v/>
      </c>
      <c r="D585">
        <f>SUMIFS(tblPayments[payment_amount],tblPayments[invoice_id],A585,tblPayments[payment_status],"Success")</f>
        <v/>
      </c>
      <c r="E585">
        <f>D585-C585</f>
        <v/>
      </c>
      <c r="F585">
        <f>IFS(D585=0,"MISSING_PAYMENT",ABS(E585)&lt;=1,"MATCHED",E585&gt;1,"AMOUNT_MISMATCH",TRUE,"PARTIAL")</f>
        <v/>
      </c>
    </row>
    <row r="586">
      <c r="A586" t="inlineStr">
        <is>
          <t>INV0014051</t>
        </is>
      </c>
      <c r="B586" t="inlineStr">
        <is>
          <t>MER00662</t>
        </is>
      </c>
      <c r="C586">
        <f>XLOOKUP(A586,tblInvoices[invoice_id],tblInvoices[total_invoice_amount])</f>
        <v/>
      </c>
      <c r="D586">
        <f>SUMIFS(tblPayments[payment_amount],tblPayments[invoice_id],A586,tblPayments[payment_status],"Success")</f>
        <v/>
      </c>
      <c r="E586">
        <f>D586-C586</f>
        <v/>
      </c>
      <c r="F586">
        <f>IFS(D586=0,"MISSING_PAYMENT",ABS(E586)&lt;=1,"MATCHED",E586&gt;1,"AMOUNT_MISMATCH",TRUE,"PARTIAL")</f>
        <v/>
      </c>
    </row>
    <row r="587">
      <c r="A587" t="inlineStr">
        <is>
          <t>INV0014052</t>
        </is>
      </c>
      <c r="B587" t="inlineStr">
        <is>
          <t>MER00662</t>
        </is>
      </c>
      <c r="C587">
        <f>XLOOKUP(A587,tblInvoices[invoice_id],tblInvoices[total_invoice_amount])</f>
        <v/>
      </c>
      <c r="D587">
        <f>SUMIFS(tblPayments[payment_amount],tblPayments[invoice_id],A587,tblPayments[payment_status],"Success")</f>
        <v/>
      </c>
      <c r="E587">
        <f>D587-C587</f>
        <v/>
      </c>
      <c r="F587">
        <f>IFS(D587=0,"MISSING_PAYMENT",ABS(E587)&lt;=1,"MATCHED",E587&gt;1,"AMOUNT_MISMATCH",TRUE,"PARTIAL")</f>
        <v/>
      </c>
    </row>
    <row r="588">
      <c r="A588" t="inlineStr">
        <is>
          <t>INV0014053</t>
        </is>
      </c>
      <c r="B588" t="inlineStr">
        <is>
          <t>MER00662</t>
        </is>
      </c>
      <c r="C588">
        <f>XLOOKUP(A588,tblInvoices[invoice_id],tblInvoices[total_invoice_amount])</f>
        <v/>
      </c>
      <c r="D588">
        <f>SUMIFS(tblPayments[payment_amount],tblPayments[invoice_id],A588,tblPayments[payment_status],"Success")</f>
        <v/>
      </c>
      <c r="E588">
        <f>D588-C588</f>
        <v/>
      </c>
      <c r="F588">
        <f>IFS(D588=0,"MISSING_PAYMENT",ABS(E588)&lt;=1,"MATCHED",E588&gt;1,"AMOUNT_MISMATCH",TRUE,"PARTIAL")</f>
        <v/>
      </c>
    </row>
    <row r="589">
      <c r="A589" t="inlineStr">
        <is>
          <t>INV0014054</t>
        </is>
      </c>
      <c r="B589" t="inlineStr">
        <is>
          <t>MER00662</t>
        </is>
      </c>
      <c r="C589">
        <f>XLOOKUP(A589,tblInvoices[invoice_id],tblInvoices[total_invoice_amount])</f>
        <v/>
      </c>
      <c r="D589">
        <f>SUMIFS(tblPayments[payment_amount],tblPayments[invoice_id],A589,tblPayments[payment_status],"Success")</f>
        <v/>
      </c>
      <c r="E589">
        <f>D589-C589</f>
        <v/>
      </c>
      <c r="F589">
        <f>IFS(D589=0,"MISSING_PAYMENT",ABS(E589)&lt;=1,"MATCHED",E589&gt;1,"AMOUNT_MISMATCH",TRUE,"PARTIAL")</f>
        <v/>
      </c>
    </row>
    <row r="590">
      <c r="A590" t="inlineStr">
        <is>
          <t>INV0014055</t>
        </is>
      </c>
      <c r="B590" t="inlineStr">
        <is>
          <t>MER00662</t>
        </is>
      </c>
      <c r="C590">
        <f>XLOOKUP(A590,tblInvoices[invoice_id],tblInvoices[total_invoice_amount])</f>
        <v/>
      </c>
      <c r="D590">
        <f>SUMIFS(tblPayments[payment_amount],tblPayments[invoice_id],A590,tblPayments[payment_status],"Success")</f>
        <v/>
      </c>
      <c r="E590">
        <f>D590-C590</f>
        <v/>
      </c>
      <c r="F590">
        <f>IFS(D590=0,"MISSING_PAYMENT",ABS(E590)&lt;=1,"MATCHED",E590&gt;1,"AMOUNT_MISMATCH",TRUE,"PARTIAL")</f>
        <v/>
      </c>
    </row>
    <row r="591">
      <c r="A591" t="inlineStr">
        <is>
          <t>INV0014056</t>
        </is>
      </c>
      <c r="B591" t="inlineStr">
        <is>
          <t>MER00662</t>
        </is>
      </c>
      <c r="C591">
        <f>XLOOKUP(A591,tblInvoices[invoice_id],tblInvoices[total_invoice_amount])</f>
        <v/>
      </c>
      <c r="D591">
        <f>SUMIFS(tblPayments[payment_amount],tblPayments[invoice_id],A591,tblPayments[payment_status],"Success")</f>
        <v/>
      </c>
      <c r="E591">
        <f>D591-C591</f>
        <v/>
      </c>
      <c r="F591">
        <f>IFS(D591=0,"MISSING_PAYMENT",ABS(E591)&lt;=1,"MATCHED",E591&gt;1,"AMOUNT_MISMATCH",TRUE,"PARTIAL")</f>
        <v/>
      </c>
    </row>
    <row r="592">
      <c r="A592" t="inlineStr">
        <is>
          <t>INV0014057</t>
        </is>
      </c>
      <c r="B592" t="inlineStr">
        <is>
          <t>MER00662</t>
        </is>
      </c>
      <c r="C592">
        <f>XLOOKUP(A592,tblInvoices[invoice_id],tblInvoices[total_invoice_amount])</f>
        <v/>
      </c>
      <c r="D592">
        <f>SUMIFS(tblPayments[payment_amount],tblPayments[invoice_id],A592,tblPayments[payment_status],"Success")</f>
        <v/>
      </c>
      <c r="E592">
        <f>D592-C592</f>
        <v/>
      </c>
      <c r="F592">
        <f>IFS(D592=0,"MISSING_PAYMENT",ABS(E592)&lt;=1,"MATCHED",E592&gt;1,"AMOUNT_MISMATCH",TRUE,"PARTIAL")</f>
        <v/>
      </c>
    </row>
    <row r="593">
      <c r="A593" t="inlineStr">
        <is>
          <t>INV0014058</t>
        </is>
      </c>
      <c r="B593" t="inlineStr">
        <is>
          <t>MER00662</t>
        </is>
      </c>
      <c r="C593">
        <f>XLOOKUP(A593,tblInvoices[invoice_id],tblInvoices[total_invoice_amount])</f>
        <v/>
      </c>
      <c r="D593">
        <f>SUMIFS(tblPayments[payment_amount],tblPayments[invoice_id],A593,tblPayments[payment_status],"Success")</f>
        <v/>
      </c>
      <c r="E593">
        <f>D593-C593</f>
        <v/>
      </c>
      <c r="F593">
        <f>IFS(D593=0,"MISSING_PAYMENT",ABS(E593)&lt;=1,"MATCHED",E593&gt;1,"AMOUNT_MISMATCH",TRUE,"PARTIAL")</f>
        <v/>
      </c>
    </row>
    <row r="594">
      <c r="A594" t="inlineStr">
        <is>
          <t>INV0014059</t>
        </is>
      </c>
      <c r="B594" t="inlineStr">
        <is>
          <t>MER00662</t>
        </is>
      </c>
      <c r="C594">
        <f>XLOOKUP(A594,tblInvoices[invoice_id],tblInvoices[total_invoice_amount])</f>
        <v/>
      </c>
      <c r="D594">
        <f>SUMIFS(tblPayments[payment_amount],tblPayments[invoice_id],A594,tblPayments[payment_status],"Success")</f>
        <v/>
      </c>
      <c r="E594">
        <f>D594-C594</f>
        <v/>
      </c>
      <c r="F594">
        <f>IFS(D594=0,"MISSING_PAYMENT",ABS(E594)&lt;=1,"MATCHED",E594&gt;1,"AMOUNT_MISMATCH",TRUE,"PARTIAL")</f>
        <v/>
      </c>
    </row>
    <row r="595">
      <c r="A595" t="inlineStr">
        <is>
          <t>INV0014962</t>
        </is>
      </c>
      <c r="B595" t="inlineStr">
        <is>
          <t>MER00707</t>
        </is>
      </c>
      <c r="C595">
        <f>XLOOKUP(A595,tblInvoices[invoice_id],tblInvoices[total_invoice_amount])</f>
        <v/>
      </c>
      <c r="D595">
        <f>SUMIFS(tblPayments[payment_amount],tblPayments[invoice_id],A595,tblPayments[payment_status],"Success")</f>
        <v/>
      </c>
      <c r="E595">
        <f>D595-C595</f>
        <v/>
      </c>
      <c r="F595">
        <f>IFS(D595=0,"MISSING_PAYMENT",ABS(E595)&lt;=1,"MATCHED",E595&gt;1,"AMOUNT_MISMATCH",TRUE,"PARTIAL")</f>
        <v/>
      </c>
    </row>
    <row r="596">
      <c r="A596" t="inlineStr">
        <is>
          <t>INV0014963</t>
        </is>
      </c>
      <c r="B596" t="inlineStr">
        <is>
          <t>MER00707</t>
        </is>
      </c>
      <c r="C596">
        <f>XLOOKUP(A596,tblInvoices[invoice_id],tblInvoices[total_invoice_amount])</f>
        <v/>
      </c>
      <c r="D596">
        <f>SUMIFS(tblPayments[payment_amount],tblPayments[invoice_id],A596,tblPayments[payment_status],"Success")</f>
        <v/>
      </c>
      <c r="E596">
        <f>D596-C596</f>
        <v/>
      </c>
      <c r="F596">
        <f>IFS(D596=0,"MISSING_PAYMENT",ABS(E596)&lt;=1,"MATCHED",E596&gt;1,"AMOUNT_MISMATCH",TRUE,"PARTIAL")</f>
        <v/>
      </c>
    </row>
    <row r="597">
      <c r="A597" t="inlineStr">
        <is>
          <t>INV0014964</t>
        </is>
      </c>
      <c r="B597" t="inlineStr">
        <is>
          <t>MER00707</t>
        </is>
      </c>
      <c r="C597">
        <f>XLOOKUP(A597,tblInvoices[invoice_id],tblInvoices[total_invoice_amount])</f>
        <v/>
      </c>
      <c r="D597">
        <f>SUMIFS(tblPayments[payment_amount],tblPayments[invoice_id],A597,tblPayments[payment_status],"Success")</f>
        <v/>
      </c>
      <c r="E597">
        <f>D597-C597</f>
        <v/>
      </c>
      <c r="F597">
        <f>IFS(D597=0,"MISSING_PAYMENT",ABS(E597)&lt;=1,"MATCHED",E597&gt;1,"AMOUNT_MISMATCH",TRUE,"PARTIAL")</f>
        <v/>
      </c>
    </row>
    <row r="598">
      <c r="A598" t="inlineStr">
        <is>
          <t>INV0014965</t>
        </is>
      </c>
      <c r="B598" t="inlineStr">
        <is>
          <t>MER00707</t>
        </is>
      </c>
      <c r="C598">
        <f>XLOOKUP(A598,tblInvoices[invoice_id],tblInvoices[total_invoice_amount])</f>
        <v/>
      </c>
      <c r="D598">
        <f>SUMIFS(tblPayments[payment_amount],tblPayments[invoice_id],A598,tblPayments[payment_status],"Success")</f>
        <v/>
      </c>
      <c r="E598">
        <f>D598-C598</f>
        <v/>
      </c>
      <c r="F598">
        <f>IFS(D598=0,"MISSING_PAYMENT",ABS(E598)&lt;=1,"MATCHED",E598&gt;1,"AMOUNT_MISMATCH",TRUE,"PARTIAL")</f>
        <v/>
      </c>
    </row>
    <row r="599">
      <c r="A599" t="inlineStr">
        <is>
          <t>INV0014966</t>
        </is>
      </c>
      <c r="B599" t="inlineStr">
        <is>
          <t>MER00707</t>
        </is>
      </c>
      <c r="C599">
        <f>XLOOKUP(A599,tblInvoices[invoice_id],tblInvoices[total_invoice_amount])</f>
        <v/>
      </c>
      <c r="D599">
        <f>SUMIFS(tblPayments[payment_amount],tblPayments[invoice_id],A599,tblPayments[payment_status],"Success")</f>
        <v/>
      </c>
      <c r="E599">
        <f>D599-C599</f>
        <v/>
      </c>
      <c r="F599">
        <f>IFS(D599=0,"MISSING_PAYMENT",ABS(E599)&lt;=1,"MATCHED",E599&gt;1,"AMOUNT_MISMATCH",TRUE,"PARTIAL")</f>
        <v/>
      </c>
    </row>
    <row r="600">
      <c r="A600" t="inlineStr">
        <is>
          <t>INV0014967</t>
        </is>
      </c>
      <c r="B600" t="inlineStr">
        <is>
          <t>MER00707</t>
        </is>
      </c>
      <c r="C600">
        <f>XLOOKUP(A600,tblInvoices[invoice_id],tblInvoices[total_invoice_amount])</f>
        <v/>
      </c>
      <c r="D600">
        <f>SUMIFS(tblPayments[payment_amount],tblPayments[invoice_id],A600,tblPayments[payment_status],"Success")</f>
        <v/>
      </c>
      <c r="E600">
        <f>D600-C600</f>
        <v/>
      </c>
      <c r="F600">
        <f>IFS(D600=0,"MISSING_PAYMENT",ABS(E600)&lt;=1,"MATCHED",E600&gt;1,"AMOUNT_MISMATCH",TRUE,"PARTIAL")</f>
        <v/>
      </c>
    </row>
    <row r="601">
      <c r="A601" t="inlineStr">
        <is>
          <t>INV0014968</t>
        </is>
      </c>
      <c r="B601" t="inlineStr">
        <is>
          <t>MER00707</t>
        </is>
      </c>
      <c r="C601">
        <f>XLOOKUP(A601,tblInvoices[invoice_id],tblInvoices[total_invoice_amount])</f>
        <v/>
      </c>
      <c r="D601">
        <f>SUMIFS(tblPayments[payment_amount],tblPayments[invoice_id],A601,tblPayments[payment_status],"Success")</f>
        <v/>
      </c>
      <c r="E601">
        <f>D601-C601</f>
        <v/>
      </c>
      <c r="F601">
        <f>IFS(D601=0,"MISSING_PAYMENT",ABS(E601)&lt;=1,"MATCHED",E601&gt;1,"AMOUNT_MISMATCH",TRUE,"PARTIAL")</f>
        <v/>
      </c>
    </row>
    <row r="602">
      <c r="A602" t="inlineStr">
        <is>
          <t>INV0014969</t>
        </is>
      </c>
      <c r="B602" t="inlineStr">
        <is>
          <t>MER00707</t>
        </is>
      </c>
      <c r="C602">
        <f>XLOOKUP(A602,tblInvoices[invoice_id],tblInvoices[total_invoice_amount])</f>
        <v/>
      </c>
      <c r="D602">
        <f>SUMIFS(tblPayments[payment_amount],tblPayments[invoice_id],A602,tblPayments[payment_status],"Success")</f>
        <v/>
      </c>
      <c r="E602">
        <f>D602-C602</f>
        <v/>
      </c>
      <c r="F602">
        <f>IFS(D602=0,"MISSING_PAYMENT",ABS(E602)&lt;=1,"MATCHED",E602&gt;1,"AMOUNT_MISMATCH",TRUE,"PARTIAL")</f>
        <v/>
      </c>
    </row>
    <row r="603">
      <c r="A603" t="inlineStr">
        <is>
          <t>INV0014970</t>
        </is>
      </c>
      <c r="B603" t="inlineStr">
        <is>
          <t>MER00707</t>
        </is>
      </c>
      <c r="C603">
        <f>XLOOKUP(A603,tblInvoices[invoice_id],tblInvoices[total_invoice_amount])</f>
        <v/>
      </c>
      <c r="D603">
        <f>SUMIFS(tblPayments[payment_amount],tblPayments[invoice_id],A603,tblPayments[payment_status],"Success")</f>
        <v/>
      </c>
      <c r="E603">
        <f>D603-C603</f>
        <v/>
      </c>
      <c r="F603">
        <f>IFS(D603=0,"MISSING_PAYMENT",ABS(E603)&lt;=1,"MATCHED",E603&gt;1,"AMOUNT_MISMATCH",TRUE,"PARTIAL")</f>
        <v/>
      </c>
    </row>
    <row r="604">
      <c r="A604" t="inlineStr">
        <is>
          <t>INV0014971</t>
        </is>
      </c>
      <c r="B604" t="inlineStr">
        <is>
          <t>MER00707</t>
        </is>
      </c>
      <c r="C604">
        <f>XLOOKUP(A604,tblInvoices[invoice_id],tblInvoices[total_invoice_amount])</f>
        <v/>
      </c>
      <c r="D604">
        <f>SUMIFS(tblPayments[payment_amount],tblPayments[invoice_id],A604,tblPayments[payment_status],"Success")</f>
        <v/>
      </c>
      <c r="E604">
        <f>D604-C604</f>
        <v/>
      </c>
      <c r="F604">
        <f>IFS(D604=0,"MISSING_PAYMENT",ABS(E604)&lt;=1,"MATCHED",E604&gt;1,"AMOUNT_MISMATCH",TRUE,"PARTIAL")</f>
        <v/>
      </c>
    </row>
    <row r="605">
      <c r="A605" t="inlineStr">
        <is>
          <t>INV0014972</t>
        </is>
      </c>
      <c r="B605" t="inlineStr">
        <is>
          <t>MER00707</t>
        </is>
      </c>
      <c r="C605">
        <f>XLOOKUP(A605,tblInvoices[invoice_id],tblInvoices[total_invoice_amount])</f>
        <v/>
      </c>
      <c r="D605">
        <f>SUMIFS(tblPayments[payment_amount],tblPayments[invoice_id],A605,tblPayments[payment_status],"Success")</f>
        <v/>
      </c>
      <c r="E605">
        <f>D605-C605</f>
        <v/>
      </c>
      <c r="F605">
        <f>IFS(D605=0,"MISSING_PAYMENT",ABS(E605)&lt;=1,"MATCHED",E605&gt;1,"AMOUNT_MISMATCH",TRUE,"PARTIAL")</f>
        <v/>
      </c>
    </row>
    <row r="606">
      <c r="A606" t="inlineStr">
        <is>
          <t>INV0014973</t>
        </is>
      </c>
      <c r="B606" t="inlineStr">
        <is>
          <t>MER00707</t>
        </is>
      </c>
      <c r="C606">
        <f>XLOOKUP(A606,tblInvoices[invoice_id],tblInvoices[total_invoice_amount])</f>
        <v/>
      </c>
      <c r="D606">
        <f>SUMIFS(tblPayments[payment_amount],tblPayments[invoice_id],A606,tblPayments[payment_status],"Success")</f>
        <v/>
      </c>
      <c r="E606">
        <f>D606-C606</f>
        <v/>
      </c>
      <c r="F606">
        <f>IFS(D606=0,"MISSING_PAYMENT",ABS(E606)&lt;=1,"MATCHED",E606&gt;1,"AMOUNT_MISMATCH",TRUE,"PARTIAL")</f>
        <v/>
      </c>
    </row>
    <row r="607">
      <c r="A607" t="inlineStr">
        <is>
          <t>INV0014974</t>
        </is>
      </c>
      <c r="B607" t="inlineStr">
        <is>
          <t>MER00707</t>
        </is>
      </c>
      <c r="C607">
        <f>XLOOKUP(A607,tblInvoices[invoice_id],tblInvoices[total_invoice_amount])</f>
        <v/>
      </c>
      <c r="D607">
        <f>SUMIFS(tblPayments[payment_amount],tblPayments[invoice_id],A607,tblPayments[payment_status],"Success")</f>
        <v/>
      </c>
      <c r="E607">
        <f>D607-C607</f>
        <v/>
      </c>
      <c r="F607">
        <f>IFS(D607=0,"MISSING_PAYMENT",ABS(E607)&lt;=1,"MATCHED",E607&gt;1,"AMOUNT_MISMATCH",TRUE,"PARTIAL")</f>
        <v/>
      </c>
    </row>
    <row r="608">
      <c r="A608" t="inlineStr">
        <is>
          <t>INV0014975</t>
        </is>
      </c>
      <c r="B608" t="inlineStr">
        <is>
          <t>MER00707</t>
        </is>
      </c>
      <c r="C608">
        <f>XLOOKUP(A608,tblInvoices[invoice_id],tblInvoices[total_invoice_amount])</f>
        <v/>
      </c>
      <c r="D608">
        <f>SUMIFS(tblPayments[payment_amount],tblPayments[invoice_id],A608,tblPayments[payment_status],"Success")</f>
        <v/>
      </c>
      <c r="E608">
        <f>D608-C608</f>
        <v/>
      </c>
      <c r="F608">
        <f>IFS(D608=0,"MISSING_PAYMENT",ABS(E608)&lt;=1,"MATCHED",E608&gt;1,"AMOUNT_MISMATCH",TRUE,"PARTIAL")</f>
        <v/>
      </c>
    </row>
    <row r="609">
      <c r="A609" t="inlineStr">
        <is>
          <t>INV0014976</t>
        </is>
      </c>
      <c r="B609" t="inlineStr">
        <is>
          <t>MER00707</t>
        </is>
      </c>
      <c r="C609">
        <f>XLOOKUP(A609,tblInvoices[invoice_id],tblInvoices[total_invoice_amount])</f>
        <v/>
      </c>
      <c r="D609">
        <f>SUMIFS(tblPayments[payment_amount],tblPayments[invoice_id],A609,tblPayments[payment_status],"Success")</f>
        <v/>
      </c>
      <c r="E609">
        <f>D609-C609</f>
        <v/>
      </c>
      <c r="F609">
        <f>IFS(D609=0,"MISSING_PAYMENT",ABS(E609)&lt;=1,"MATCHED",E609&gt;1,"AMOUNT_MISMATCH",TRUE,"PARTIAL")</f>
        <v/>
      </c>
    </row>
    <row r="610">
      <c r="A610" t="inlineStr">
        <is>
          <t>INV0014977</t>
        </is>
      </c>
      <c r="B610" t="inlineStr">
        <is>
          <t>MER00707</t>
        </is>
      </c>
      <c r="C610">
        <f>XLOOKUP(A610,tblInvoices[invoice_id],tblInvoices[total_invoice_amount])</f>
        <v/>
      </c>
      <c r="D610">
        <f>SUMIFS(tblPayments[payment_amount],tblPayments[invoice_id],A610,tblPayments[payment_status],"Success")</f>
        <v/>
      </c>
      <c r="E610">
        <f>D610-C610</f>
        <v/>
      </c>
      <c r="F610">
        <f>IFS(D610=0,"MISSING_PAYMENT",ABS(E610)&lt;=1,"MATCHED",E610&gt;1,"AMOUNT_MISMATCH",TRUE,"PARTIAL")</f>
        <v/>
      </c>
    </row>
    <row r="611">
      <c r="A611" t="inlineStr">
        <is>
          <t>INV0014978</t>
        </is>
      </c>
      <c r="B611" t="inlineStr">
        <is>
          <t>MER00707</t>
        </is>
      </c>
      <c r="C611">
        <f>XLOOKUP(A611,tblInvoices[invoice_id],tblInvoices[total_invoice_amount])</f>
        <v/>
      </c>
      <c r="D611">
        <f>SUMIFS(tblPayments[payment_amount],tblPayments[invoice_id],A611,tblPayments[payment_status],"Success")</f>
        <v/>
      </c>
      <c r="E611">
        <f>D611-C611</f>
        <v/>
      </c>
      <c r="F611">
        <f>IFS(D611=0,"MISSING_PAYMENT",ABS(E611)&lt;=1,"MATCHED",E611&gt;1,"AMOUNT_MISMATCH",TRUE,"PARTIAL")</f>
        <v/>
      </c>
    </row>
    <row r="612">
      <c r="A612" t="inlineStr">
        <is>
          <t>INV0014979</t>
        </is>
      </c>
      <c r="B612" t="inlineStr">
        <is>
          <t>MER00707</t>
        </is>
      </c>
      <c r="C612">
        <f>XLOOKUP(A612,tblInvoices[invoice_id],tblInvoices[total_invoice_amount])</f>
        <v/>
      </c>
      <c r="D612">
        <f>SUMIFS(tblPayments[payment_amount],tblPayments[invoice_id],A612,tblPayments[payment_status],"Success")</f>
        <v/>
      </c>
      <c r="E612">
        <f>D612-C612</f>
        <v/>
      </c>
      <c r="F612">
        <f>IFS(D612=0,"MISSING_PAYMENT",ABS(E612)&lt;=1,"MATCHED",E612&gt;1,"AMOUNT_MISMATCH",TRUE,"PARTIAL")</f>
        <v/>
      </c>
    </row>
    <row r="613">
      <c r="A613" t="inlineStr">
        <is>
          <t>INV0014980</t>
        </is>
      </c>
      <c r="B613" t="inlineStr">
        <is>
          <t>MER00707</t>
        </is>
      </c>
      <c r="C613">
        <f>XLOOKUP(A613,tblInvoices[invoice_id],tblInvoices[total_invoice_amount])</f>
        <v/>
      </c>
      <c r="D613">
        <f>SUMIFS(tblPayments[payment_amount],tblPayments[invoice_id],A613,tblPayments[payment_status],"Success")</f>
        <v/>
      </c>
      <c r="E613">
        <f>D613-C613</f>
        <v/>
      </c>
      <c r="F613">
        <f>IFS(D613=0,"MISSING_PAYMENT",ABS(E613)&lt;=1,"MATCHED",E613&gt;1,"AMOUNT_MISMATCH",TRUE,"PARTIAL")</f>
        <v/>
      </c>
    </row>
    <row r="614">
      <c r="A614" t="inlineStr">
        <is>
          <t>INV0014981</t>
        </is>
      </c>
      <c r="B614" t="inlineStr">
        <is>
          <t>MER00707</t>
        </is>
      </c>
      <c r="C614">
        <f>XLOOKUP(A614,tblInvoices[invoice_id],tblInvoices[total_invoice_amount])</f>
        <v/>
      </c>
      <c r="D614">
        <f>SUMIFS(tblPayments[payment_amount],tblPayments[invoice_id],A614,tblPayments[payment_status],"Success")</f>
        <v/>
      </c>
      <c r="E614">
        <f>D614-C614</f>
        <v/>
      </c>
      <c r="F614">
        <f>IFS(D614=0,"MISSING_PAYMENT",ABS(E614)&lt;=1,"MATCHED",E614&gt;1,"AMOUNT_MISMATCH",TRUE,"PARTIAL")</f>
        <v/>
      </c>
    </row>
    <row r="615">
      <c r="A615" t="inlineStr">
        <is>
          <t>INV0014982</t>
        </is>
      </c>
      <c r="B615" t="inlineStr">
        <is>
          <t>MER00707</t>
        </is>
      </c>
      <c r="C615">
        <f>XLOOKUP(A615,tblInvoices[invoice_id],tblInvoices[total_invoice_amount])</f>
        <v/>
      </c>
      <c r="D615">
        <f>SUMIFS(tblPayments[payment_amount],tblPayments[invoice_id],A615,tblPayments[payment_status],"Success")</f>
        <v/>
      </c>
      <c r="E615">
        <f>D615-C615</f>
        <v/>
      </c>
      <c r="F615">
        <f>IFS(D615=0,"MISSING_PAYMENT",ABS(E615)&lt;=1,"MATCHED",E615&gt;1,"AMOUNT_MISMATCH",TRUE,"PARTIAL")</f>
        <v/>
      </c>
    </row>
    <row r="616">
      <c r="A616" t="inlineStr">
        <is>
          <t>INV0014983</t>
        </is>
      </c>
      <c r="B616" t="inlineStr">
        <is>
          <t>MER00707</t>
        </is>
      </c>
      <c r="C616">
        <f>XLOOKUP(A616,tblInvoices[invoice_id],tblInvoices[total_invoice_amount])</f>
        <v/>
      </c>
      <c r="D616">
        <f>SUMIFS(tblPayments[payment_amount],tblPayments[invoice_id],A616,tblPayments[payment_status],"Success")</f>
        <v/>
      </c>
      <c r="E616">
        <f>D616-C616</f>
        <v/>
      </c>
      <c r="F616">
        <f>IFS(D616=0,"MISSING_PAYMENT",ABS(E616)&lt;=1,"MATCHED",E616&gt;1,"AMOUNT_MISMATCH",TRUE,"PARTIAL")</f>
        <v/>
      </c>
    </row>
    <row r="617">
      <c r="A617" t="inlineStr">
        <is>
          <t>INV0014984</t>
        </is>
      </c>
      <c r="B617" t="inlineStr">
        <is>
          <t>MER00707</t>
        </is>
      </c>
      <c r="C617">
        <f>XLOOKUP(A617,tblInvoices[invoice_id],tblInvoices[total_invoice_amount])</f>
        <v/>
      </c>
      <c r="D617">
        <f>SUMIFS(tblPayments[payment_amount],tblPayments[invoice_id],A617,tblPayments[payment_status],"Success")</f>
        <v/>
      </c>
      <c r="E617">
        <f>D617-C617</f>
        <v/>
      </c>
      <c r="F617">
        <f>IFS(D617=0,"MISSING_PAYMENT",ABS(E617)&lt;=1,"MATCHED",E617&gt;1,"AMOUNT_MISMATCH",TRUE,"PARTIAL")</f>
        <v/>
      </c>
    </row>
    <row r="618">
      <c r="A618" t="inlineStr">
        <is>
          <t>INV0014985</t>
        </is>
      </c>
      <c r="B618" t="inlineStr">
        <is>
          <t>MER00707</t>
        </is>
      </c>
      <c r="C618">
        <f>XLOOKUP(A618,tblInvoices[invoice_id],tblInvoices[total_invoice_amount])</f>
        <v/>
      </c>
      <c r="D618">
        <f>SUMIFS(tblPayments[payment_amount],tblPayments[invoice_id],A618,tblPayments[payment_status],"Success")</f>
        <v/>
      </c>
      <c r="E618">
        <f>D618-C618</f>
        <v/>
      </c>
      <c r="F618">
        <f>IFS(D618=0,"MISSING_PAYMENT",ABS(E618)&lt;=1,"MATCHED",E618&gt;1,"AMOUNT_MISMATCH",TRUE,"PARTIAL")</f>
        <v/>
      </c>
    </row>
    <row r="619">
      <c r="A619" t="inlineStr">
        <is>
          <t>INV0014986</t>
        </is>
      </c>
      <c r="B619" t="inlineStr">
        <is>
          <t>MER00708</t>
        </is>
      </c>
      <c r="C619">
        <f>XLOOKUP(A619,tblInvoices[invoice_id],tblInvoices[total_invoice_amount])</f>
        <v/>
      </c>
      <c r="D619">
        <f>SUMIFS(tblPayments[payment_amount],tblPayments[invoice_id],A619,tblPayments[payment_status],"Success")</f>
        <v/>
      </c>
      <c r="E619">
        <f>D619-C619</f>
        <v/>
      </c>
      <c r="F619">
        <f>IFS(D619=0,"MISSING_PAYMENT",ABS(E619)&lt;=1,"MATCHED",E619&gt;1,"AMOUNT_MISMATCH",TRUE,"PARTIAL")</f>
        <v/>
      </c>
    </row>
    <row r="620">
      <c r="A620" t="inlineStr">
        <is>
          <t>INV0014987</t>
        </is>
      </c>
      <c r="B620" t="inlineStr">
        <is>
          <t>MER00708</t>
        </is>
      </c>
      <c r="C620">
        <f>XLOOKUP(A620,tblInvoices[invoice_id],tblInvoices[total_invoice_amount])</f>
        <v/>
      </c>
      <c r="D620">
        <f>SUMIFS(tblPayments[payment_amount],tblPayments[invoice_id],A620,tblPayments[payment_status],"Success")</f>
        <v/>
      </c>
      <c r="E620">
        <f>D620-C620</f>
        <v/>
      </c>
      <c r="F620">
        <f>IFS(D620=0,"MISSING_PAYMENT",ABS(E620)&lt;=1,"MATCHED",E620&gt;1,"AMOUNT_MISMATCH",TRUE,"PARTIAL")</f>
        <v/>
      </c>
    </row>
    <row r="621">
      <c r="A621" t="inlineStr">
        <is>
          <t>INV0014988</t>
        </is>
      </c>
      <c r="B621" t="inlineStr">
        <is>
          <t>MER00708</t>
        </is>
      </c>
      <c r="C621">
        <f>XLOOKUP(A621,tblInvoices[invoice_id],tblInvoices[total_invoice_amount])</f>
        <v/>
      </c>
      <c r="D621">
        <f>SUMIFS(tblPayments[payment_amount],tblPayments[invoice_id],A621,tblPayments[payment_status],"Success")</f>
        <v/>
      </c>
      <c r="E621">
        <f>D621-C621</f>
        <v/>
      </c>
      <c r="F621">
        <f>IFS(D621=0,"MISSING_PAYMENT",ABS(E621)&lt;=1,"MATCHED",E621&gt;1,"AMOUNT_MISMATCH",TRUE,"PARTIAL")</f>
        <v/>
      </c>
    </row>
    <row r="622">
      <c r="A622" t="inlineStr">
        <is>
          <t>INV0014989</t>
        </is>
      </c>
      <c r="B622" t="inlineStr">
        <is>
          <t>MER00708</t>
        </is>
      </c>
      <c r="C622">
        <f>XLOOKUP(A622,tblInvoices[invoice_id],tblInvoices[total_invoice_amount])</f>
        <v/>
      </c>
      <c r="D622">
        <f>SUMIFS(tblPayments[payment_amount],tblPayments[invoice_id],A622,tblPayments[payment_status],"Success")</f>
        <v/>
      </c>
      <c r="E622">
        <f>D622-C622</f>
        <v/>
      </c>
      <c r="F622">
        <f>IFS(D622=0,"MISSING_PAYMENT",ABS(E622)&lt;=1,"MATCHED",E622&gt;1,"AMOUNT_MISMATCH",TRUE,"PARTIAL")</f>
        <v/>
      </c>
    </row>
    <row r="623">
      <c r="A623" t="inlineStr">
        <is>
          <t>INV0014990</t>
        </is>
      </c>
      <c r="B623" t="inlineStr">
        <is>
          <t>MER00708</t>
        </is>
      </c>
      <c r="C623">
        <f>XLOOKUP(A623,tblInvoices[invoice_id],tblInvoices[total_invoice_amount])</f>
        <v/>
      </c>
      <c r="D623">
        <f>SUMIFS(tblPayments[payment_amount],tblPayments[invoice_id],A623,tblPayments[payment_status],"Success")</f>
        <v/>
      </c>
      <c r="E623">
        <f>D623-C623</f>
        <v/>
      </c>
      <c r="F623">
        <f>IFS(D623=0,"MISSING_PAYMENT",ABS(E623)&lt;=1,"MATCHED",E623&gt;1,"AMOUNT_MISMATCH",TRUE,"PARTIAL")</f>
        <v/>
      </c>
    </row>
    <row r="624">
      <c r="A624" t="inlineStr">
        <is>
          <t>INV0014991</t>
        </is>
      </c>
      <c r="B624" t="inlineStr">
        <is>
          <t>MER00708</t>
        </is>
      </c>
      <c r="C624">
        <f>XLOOKUP(A624,tblInvoices[invoice_id],tblInvoices[total_invoice_amount])</f>
        <v/>
      </c>
      <c r="D624">
        <f>SUMIFS(tblPayments[payment_amount],tblPayments[invoice_id],A624,tblPayments[payment_status],"Success")</f>
        <v/>
      </c>
      <c r="E624">
        <f>D624-C624</f>
        <v/>
      </c>
      <c r="F624">
        <f>IFS(D624=0,"MISSING_PAYMENT",ABS(E624)&lt;=1,"MATCHED",E624&gt;1,"AMOUNT_MISMATCH",TRUE,"PARTIAL")</f>
        <v/>
      </c>
    </row>
    <row r="625">
      <c r="A625" t="inlineStr">
        <is>
          <t>INV0014992</t>
        </is>
      </c>
      <c r="B625" t="inlineStr">
        <is>
          <t>MER00708</t>
        </is>
      </c>
      <c r="C625">
        <f>XLOOKUP(A625,tblInvoices[invoice_id],tblInvoices[total_invoice_amount])</f>
        <v/>
      </c>
      <c r="D625">
        <f>SUMIFS(tblPayments[payment_amount],tblPayments[invoice_id],A625,tblPayments[payment_status],"Success")</f>
        <v/>
      </c>
      <c r="E625">
        <f>D625-C625</f>
        <v/>
      </c>
      <c r="F625">
        <f>IFS(D625=0,"MISSING_PAYMENT",ABS(E625)&lt;=1,"MATCHED",E625&gt;1,"AMOUNT_MISMATCH",TRUE,"PARTIAL")</f>
        <v/>
      </c>
    </row>
    <row r="626">
      <c r="A626" t="inlineStr">
        <is>
          <t>INV0014993</t>
        </is>
      </c>
      <c r="B626" t="inlineStr">
        <is>
          <t>MER00708</t>
        </is>
      </c>
      <c r="C626">
        <f>XLOOKUP(A626,tblInvoices[invoice_id],tblInvoices[total_invoice_amount])</f>
        <v/>
      </c>
      <c r="D626">
        <f>SUMIFS(tblPayments[payment_amount],tblPayments[invoice_id],A626,tblPayments[payment_status],"Success")</f>
        <v/>
      </c>
      <c r="E626">
        <f>D626-C626</f>
        <v/>
      </c>
      <c r="F626">
        <f>IFS(D626=0,"MISSING_PAYMENT",ABS(E626)&lt;=1,"MATCHED",E626&gt;1,"AMOUNT_MISMATCH",TRUE,"PARTIAL")</f>
        <v/>
      </c>
    </row>
    <row r="627">
      <c r="A627" t="inlineStr">
        <is>
          <t>INV0014994</t>
        </is>
      </c>
      <c r="B627" t="inlineStr">
        <is>
          <t>MER00708</t>
        </is>
      </c>
      <c r="C627">
        <f>XLOOKUP(A627,tblInvoices[invoice_id],tblInvoices[total_invoice_amount])</f>
        <v/>
      </c>
      <c r="D627">
        <f>SUMIFS(tblPayments[payment_amount],tblPayments[invoice_id],A627,tblPayments[payment_status],"Success")</f>
        <v/>
      </c>
      <c r="E627">
        <f>D627-C627</f>
        <v/>
      </c>
      <c r="F627">
        <f>IFS(D627=0,"MISSING_PAYMENT",ABS(E627)&lt;=1,"MATCHED",E627&gt;1,"AMOUNT_MISMATCH",TRUE,"PARTIAL")</f>
        <v/>
      </c>
    </row>
    <row r="628">
      <c r="A628" t="inlineStr">
        <is>
          <t>INV0014995</t>
        </is>
      </c>
      <c r="B628" t="inlineStr">
        <is>
          <t>MER00708</t>
        </is>
      </c>
      <c r="C628">
        <f>XLOOKUP(A628,tblInvoices[invoice_id],tblInvoices[total_invoice_amount])</f>
        <v/>
      </c>
      <c r="D628">
        <f>SUMIFS(tblPayments[payment_amount],tblPayments[invoice_id],A628,tblPayments[payment_status],"Success")</f>
        <v/>
      </c>
      <c r="E628">
        <f>D628-C628</f>
        <v/>
      </c>
      <c r="F628">
        <f>IFS(D628=0,"MISSING_PAYMENT",ABS(E628)&lt;=1,"MATCHED",E628&gt;1,"AMOUNT_MISMATCH",TRUE,"PARTIAL")</f>
        <v/>
      </c>
    </row>
    <row r="629">
      <c r="A629" t="inlineStr">
        <is>
          <t>INV0014996</t>
        </is>
      </c>
      <c r="B629" t="inlineStr">
        <is>
          <t>MER00708</t>
        </is>
      </c>
      <c r="C629">
        <f>XLOOKUP(A629,tblInvoices[invoice_id],tblInvoices[total_invoice_amount])</f>
        <v/>
      </c>
      <c r="D629">
        <f>SUMIFS(tblPayments[payment_amount],tblPayments[invoice_id],A629,tblPayments[payment_status],"Success")</f>
        <v/>
      </c>
      <c r="E629">
        <f>D629-C629</f>
        <v/>
      </c>
      <c r="F629">
        <f>IFS(D629=0,"MISSING_PAYMENT",ABS(E629)&lt;=1,"MATCHED",E629&gt;1,"AMOUNT_MISMATCH",TRUE,"PARTIAL")</f>
        <v/>
      </c>
    </row>
    <row r="630">
      <c r="A630" t="inlineStr">
        <is>
          <t>INV0014997</t>
        </is>
      </c>
      <c r="B630" t="inlineStr">
        <is>
          <t>MER00708</t>
        </is>
      </c>
      <c r="C630">
        <f>XLOOKUP(A630,tblInvoices[invoice_id],tblInvoices[total_invoice_amount])</f>
        <v/>
      </c>
      <c r="D630">
        <f>SUMIFS(tblPayments[payment_amount],tblPayments[invoice_id],A630,tblPayments[payment_status],"Success")</f>
        <v/>
      </c>
      <c r="E630">
        <f>D630-C630</f>
        <v/>
      </c>
      <c r="F630">
        <f>IFS(D630=0,"MISSING_PAYMENT",ABS(E630)&lt;=1,"MATCHED",E630&gt;1,"AMOUNT_MISMATCH",TRUE,"PARTIAL")</f>
        <v/>
      </c>
    </row>
    <row r="631">
      <c r="A631" t="inlineStr">
        <is>
          <t>INV0014998</t>
        </is>
      </c>
      <c r="B631" t="inlineStr">
        <is>
          <t>MER00708</t>
        </is>
      </c>
      <c r="C631">
        <f>XLOOKUP(A631,tblInvoices[invoice_id],tblInvoices[total_invoice_amount])</f>
        <v/>
      </c>
      <c r="D631">
        <f>SUMIFS(tblPayments[payment_amount],tblPayments[invoice_id],A631,tblPayments[payment_status],"Success")</f>
        <v/>
      </c>
      <c r="E631">
        <f>D631-C631</f>
        <v/>
      </c>
      <c r="F631">
        <f>IFS(D631=0,"MISSING_PAYMENT",ABS(E631)&lt;=1,"MATCHED",E631&gt;1,"AMOUNT_MISMATCH",TRUE,"PARTIAL")</f>
        <v/>
      </c>
    </row>
    <row r="632">
      <c r="A632" t="inlineStr">
        <is>
          <t>INV0014999</t>
        </is>
      </c>
      <c r="B632" t="inlineStr">
        <is>
          <t>MER00708</t>
        </is>
      </c>
      <c r="C632">
        <f>XLOOKUP(A632,tblInvoices[invoice_id],tblInvoices[total_invoice_amount])</f>
        <v/>
      </c>
      <c r="D632">
        <f>SUMIFS(tblPayments[payment_amount],tblPayments[invoice_id],A632,tblPayments[payment_status],"Success")</f>
        <v/>
      </c>
      <c r="E632">
        <f>D632-C632</f>
        <v/>
      </c>
      <c r="F632">
        <f>IFS(D632=0,"MISSING_PAYMENT",ABS(E632)&lt;=1,"MATCHED",E632&gt;1,"AMOUNT_MISMATCH",TRUE,"PARTIAL")</f>
        <v/>
      </c>
    </row>
    <row r="633">
      <c r="A633" t="inlineStr">
        <is>
          <t>INV0015000</t>
        </is>
      </c>
      <c r="B633" t="inlineStr">
        <is>
          <t>MER00708</t>
        </is>
      </c>
      <c r="C633">
        <f>XLOOKUP(A633,tblInvoices[invoice_id],tblInvoices[total_invoice_amount])</f>
        <v/>
      </c>
      <c r="D633">
        <f>SUMIFS(tblPayments[payment_amount],tblPayments[invoice_id],A633,tblPayments[payment_status],"Success")</f>
        <v/>
      </c>
      <c r="E633">
        <f>D633-C633</f>
        <v/>
      </c>
      <c r="F633">
        <f>IFS(D633=0,"MISSING_PAYMENT",ABS(E633)&lt;=1,"MATCHED",E633&gt;1,"AMOUNT_MISMATCH",TRUE,"PARTIAL")</f>
        <v/>
      </c>
    </row>
    <row r="634">
      <c r="A634" t="inlineStr">
        <is>
          <t>INV0015001</t>
        </is>
      </c>
      <c r="B634" t="inlineStr">
        <is>
          <t>MER00708</t>
        </is>
      </c>
      <c r="C634">
        <f>XLOOKUP(A634,tblInvoices[invoice_id],tblInvoices[total_invoice_amount])</f>
        <v/>
      </c>
      <c r="D634">
        <f>SUMIFS(tblPayments[payment_amount],tblPayments[invoice_id],A634,tblPayments[payment_status],"Success")</f>
        <v/>
      </c>
      <c r="E634">
        <f>D634-C634</f>
        <v/>
      </c>
      <c r="F634">
        <f>IFS(D634=0,"MISSING_PAYMENT",ABS(E634)&lt;=1,"MATCHED",E634&gt;1,"AMOUNT_MISMATCH",TRUE,"PARTIAL")</f>
        <v/>
      </c>
    </row>
    <row r="635">
      <c r="A635" t="inlineStr">
        <is>
          <t>INV0015002</t>
        </is>
      </c>
      <c r="B635" t="inlineStr">
        <is>
          <t>MER00708</t>
        </is>
      </c>
      <c r="C635">
        <f>XLOOKUP(A635,tblInvoices[invoice_id],tblInvoices[total_invoice_amount])</f>
        <v/>
      </c>
      <c r="D635">
        <f>SUMIFS(tblPayments[payment_amount],tblPayments[invoice_id],A635,tblPayments[payment_status],"Success")</f>
        <v/>
      </c>
      <c r="E635">
        <f>D635-C635</f>
        <v/>
      </c>
      <c r="F635">
        <f>IFS(D635=0,"MISSING_PAYMENT",ABS(E635)&lt;=1,"MATCHED",E635&gt;1,"AMOUNT_MISMATCH",TRUE,"PARTIAL")</f>
        <v/>
      </c>
    </row>
    <row r="636">
      <c r="A636" t="inlineStr">
        <is>
          <t>INV0015003</t>
        </is>
      </c>
      <c r="B636" t="inlineStr">
        <is>
          <t>MER00708</t>
        </is>
      </c>
      <c r="C636">
        <f>XLOOKUP(A636,tblInvoices[invoice_id],tblInvoices[total_invoice_amount])</f>
        <v/>
      </c>
      <c r="D636">
        <f>SUMIFS(tblPayments[payment_amount],tblPayments[invoice_id],A636,tblPayments[payment_status],"Success")</f>
        <v/>
      </c>
      <c r="E636">
        <f>D636-C636</f>
        <v/>
      </c>
      <c r="F636">
        <f>IFS(D636=0,"MISSING_PAYMENT",ABS(E636)&lt;=1,"MATCHED",E636&gt;1,"AMOUNT_MISMATCH",TRUE,"PARTIAL")</f>
        <v/>
      </c>
    </row>
    <row r="637">
      <c r="A637" t="inlineStr">
        <is>
          <t>INV0015004</t>
        </is>
      </c>
      <c r="B637" t="inlineStr">
        <is>
          <t>MER00708</t>
        </is>
      </c>
      <c r="C637">
        <f>XLOOKUP(A637,tblInvoices[invoice_id],tblInvoices[total_invoice_amount])</f>
        <v/>
      </c>
      <c r="D637">
        <f>SUMIFS(tblPayments[payment_amount],tblPayments[invoice_id],A637,tblPayments[payment_status],"Success")</f>
        <v/>
      </c>
      <c r="E637">
        <f>D637-C637</f>
        <v/>
      </c>
      <c r="F637">
        <f>IFS(D637=0,"MISSING_PAYMENT",ABS(E637)&lt;=1,"MATCHED",E637&gt;1,"AMOUNT_MISMATCH",TRUE,"PARTIAL")</f>
        <v/>
      </c>
    </row>
    <row r="638">
      <c r="A638" t="inlineStr">
        <is>
          <t>INV0015005</t>
        </is>
      </c>
      <c r="B638" t="inlineStr">
        <is>
          <t>MER00708</t>
        </is>
      </c>
      <c r="C638">
        <f>XLOOKUP(A638,tblInvoices[invoice_id],tblInvoices[total_invoice_amount])</f>
        <v/>
      </c>
      <c r="D638">
        <f>SUMIFS(tblPayments[payment_amount],tblPayments[invoice_id],A638,tblPayments[payment_status],"Success")</f>
        <v/>
      </c>
      <c r="E638">
        <f>D638-C638</f>
        <v/>
      </c>
      <c r="F638">
        <f>IFS(D638=0,"MISSING_PAYMENT",ABS(E638)&lt;=1,"MATCHED",E638&gt;1,"AMOUNT_MISMATCH",TRUE,"PARTIAL")</f>
        <v/>
      </c>
    </row>
    <row r="639">
      <c r="A639" t="inlineStr">
        <is>
          <t>INV0015006</t>
        </is>
      </c>
      <c r="B639" t="inlineStr">
        <is>
          <t>MER00708</t>
        </is>
      </c>
      <c r="C639">
        <f>XLOOKUP(A639,tblInvoices[invoice_id],tblInvoices[total_invoice_amount])</f>
        <v/>
      </c>
      <c r="D639">
        <f>SUMIFS(tblPayments[payment_amount],tblPayments[invoice_id],A639,tblPayments[payment_status],"Success")</f>
        <v/>
      </c>
      <c r="E639">
        <f>D639-C639</f>
        <v/>
      </c>
      <c r="F639">
        <f>IFS(D639=0,"MISSING_PAYMENT",ABS(E639)&lt;=1,"MATCHED",E639&gt;1,"AMOUNT_MISMATCH",TRUE,"PARTIAL")</f>
        <v/>
      </c>
    </row>
    <row r="640">
      <c r="A640" t="inlineStr">
        <is>
          <t>INV0015007</t>
        </is>
      </c>
      <c r="B640" t="inlineStr">
        <is>
          <t>MER00708</t>
        </is>
      </c>
      <c r="C640">
        <f>XLOOKUP(A640,tblInvoices[invoice_id],tblInvoices[total_invoice_amount])</f>
        <v/>
      </c>
      <c r="D640">
        <f>SUMIFS(tblPayments[payment_amount],tblPayments[invoice_id],A640,tblPayments[payment_status],"Success")</f>
        <v/>
      </c>
      <c r="E640">
        <f>D640-C640</f>
        <v/>
      </c>
      <c r="F640">
        <f>IFS(D640=0,"MISSING_PAYMENT",ABS(E640)&lt;=1,"MATCHED",E640&gt;1,"AMOUNT_MISMATCH",TRUE,"PARTIAL")</f>
        <v/>
      </c>
    </row>
    <row r="641">
      <c r="A641" t="inlineStr">
        <is>
          <t>INV0015008</t>
        </is>
      </c>
      <c r="B641" t="inlineStr">
        <is>
          <t>MER00708</t>
        </is>
      </c>
      <c r="C641">
        <f>XLOOKUP(A641,tblInvoices[invoice_id],tblInvoices[total_invoice_amount])</f>
        <v/>
      </c>
      <c r="D641">
        <f>SUMIFS(tblPayments[payment_amount],tblPayments[invoice_id],A641,tblPayments[payment_status],"Success")</f>
        <v/>
      </c>
      <c r="E641">
        <f>D641-C641</f>
        <v/>
      </c>
      <c r="F641">
        <f>IFS(D641=0,"MISSING_PAYMENT",ABS(E641)&lt;=1,"MATCHED",E641&gt;1,"AMOUNT_MISMATCH",TRUE,"PARTIAL")</f>
        <v/>
      </c>
    </row>
    <row r="642">
      <c r="A642" t="inlineStr">
        <is>
          <t>INV0015009</t>
        </is>
      </c>
      <c r="B642" t="inlineStr">
        <is>
          <t>MER00708</t>
        </is>
      </c>
      <c r="C642">
        <f>XLOOKUP(A642,tblInvoices[invoice_id],tblInvoices[total_invoice_amount])</f>
        <v/>
      </c>
      <c r="D642">
        <f>SUMIFS(tblPayments[payment_amount],tblPayments[invoice_id],A642,tblPayments[payment_status],"Success")</f>
        <v/>
      </c>
      <c r="E642">
        <f>D642-C642</f>
        <v/>
      </c>
      <c r="F642">
        <f>IFS(D642=0,"MISSING_PAYMENT",ABS(E642)&lt;=1,"MATCHED",E642&gt;1,"AMOUNT_MISMATCH",TRUE,"PARTIAL")</f>
        <v/>
      </c>
    </row>
    <row r="643">
      <c r="A643" t="inlineStr">
        <is>
          <t>INV0015010</t>
        </is>
      </c>
      <c r="B643" t="inlineStr">
        <is>
          <t>MER00709</t>
        </is>
      </c>
      <c r="C643">
        <f>XLOOKUP(A643,tblInvoices[invoice_id],tblInvoices[total_invoice_amount])</f>
        <v/>
      </c>
      <c r="D643">
        <f>SUMIFS(tblPayments[payment_amount],tblPayments[invoice_id],A643,tblPayments[payment_status],"Success")</f>
        <v/>
      </c>
      <c r="E643">
        <f>D643-C643</f>
        <v/>
      </c>
      <c r="F643">
        <f>IFS(D643=0,"MISSING_PAYMENT",ABS(E643)&lt;=1,"MATCHED",E643&gt;1,"AMOUNT_MISMATCH",TRUE,"PARTIAL")</f>
        <v/>
      </c>
    </row>
    <row r="644">
      <c r="A644" t="inlineStr">
        <is>
          <t>INV0015011</t>
        </is>
      </c>
      <c r="B644" t="inlineStr">
        <is>
          <t>MER00709</t>
        </is>
      </c>
      <c r="C644">
        <f>XLOOKUP(A644,tblInvoices[invoice_id],tblInvoices[total_invoice_amount])</f>
        <v/>
      </c>
      <c r="D644">
        <f>SUMIFS(tblPayments[payment_amount],tblPayments[invoice_id],A644,tblPayments[payment_status],"Success")</f>
        <v/>
      </c>
      <c r="E644">
        <f>D644-C644</f>
        <v/>
      </c>
      <c r="F644">
        <f>IFS(D644=0,"MISSING_PAYMENT",ABS(E644)&lt;=1,"MATCHED",E644&gt;1,"AMOUNT_MISMATCH",TRUE,"PARTIAL")</f>
        <v/>
      </c>
    </row>
    <row r="645">
      <c r="A645" t="inlineStr">
        <is>
          <t>INV0015012</t>
        </is>
      </c>
      <c r="B645" t="inlineStr">
        <is>
          <t>MER00709</t>
        </is>
      </c>
      <c r="C645">
        <f>XLOOKUP(A645,tblInvoices[invoice_id],tblInvoices[total_invoice_amount])</f>
        <v/>
      </c>
      <c r="D645">
        <f>SUMIFS(tblPayments[payment_amount],tblPayments[invoice_id],A645,tblPayments[payment_status],"Success")</f>
        <v/>
      </c>
      <c r="E645">
        <f>D645-C645</f>
        <v/>
      </c>
      <c r="F645">
        <f>IFS(D645=0,"MISSING_PAYMENT",ABS(E645)&lt;=1,"MATCHED",E645&gt;1,"AMOUNT_MISMATCH",TRUE,"PARTIAL")</f>
        <v/>
      </c>
    </row>
    <row r="646">
      <c r="A646" t="inlineStr">
        <is>
          <t>INV0015013</t>
        </is>
      </c>
      <c r="B646" t="inlineStr">
        <is>
          <t>MER00709</t>
        </is>
      </c>
      <c r="C646">
        <f>XLOOKUP(A646,tblInvoices[invoice_id],tblInvoices[total_invoice_amount])</f>
        <v/>
      </c>
      <c r="D646">
        <f>SUMIFS(tblPayments[payment_amount],tblPayments[invoice_id],A646,tblPayments[payment_status],"Success")</f>
        <v/>
      </c>
      <c r="E646">
        <f>D646-C646</f>
        <v/>
      </c>
      <c r="F646">
        <f>IFS(D646=0,"MISSING_PAYMENT",ABS(E646)&lt;=1,"MATCHED",E646&gt;1,"AMOUNT_MISMATCH",TRUE,"PARTIAL")</f>
        <v/>
      </c>
    </row>
    <row r="647">
      <c r="A647" t="inlineStr">
        <is>
          <t>INV0015014</t>
        </is>
      </c>
      <c r="B647" t="inlineStr">
        <is>
          <t>MER00709</t>
        </is>
      </c>
      <c r="C647">
        <f>XLOOKUP(A647,tblInvoices[invoice_id],tblInvoices[total_invoice_amount])</f>
        <v/>
      </c>
      <c r="D647">
        <f>SUMIFS(tblPayments[payment_amount],tblPayments[invoice_id],A647,tblPayments[payment_status],"Success")</f>
        <v/>
      </c>
      <c r="E647">
        <f>D647-C647</f>
        <v/>
      </c>
      <c r="F647">
        <f>IFS(D647=0,"MISSING_PAYMENT",ABS(E647)&lt;=1,"MATCHED",E647&gt;1,"AMOUNT_MISMATCH",TRUE,"PARTIAL")</f>
        <v/>
      </c>
    </row>
    <row r="648">
      <c r="A648" t="inlineStr">
        <is>
          <t>INV0015015</t>
        </is>
      </c>
      <c r="B648" t="inlineStr">
        <is>
          <t>MER00709</t>
        </is>
      </c>
      <c r="C648">
        <f>XLOOKUP(A648,tblInvoices[invoice_id],tblInvoices[total_invoice_amount])</f>
        <v/>
      </c>
      <c r="D648">
        <f>SUMIFS(tblPayments[payment_amount],tblPayments[invoice_id],A648,tblPayments[payment_status],"Success")</f>
        <v/>
      </c>
      <c r="E648">
        <f>D648-C648</f>
        <v/>
      </c>
      <c r="F648">
        <f>IFS(D648=0,"MISSING_PAYMENT",ABS(E648)&lt;=1,"MATCHED",E648&gt;1,"AMOUNT_MISMATCH",TRUE,"PARTIAL")</f>
        <v/>
      </c>
    </row>
    <row r="649">
      <c r="A649" t="inlineStr">
        <is>
          <t>INV0015016</t>
        </is>
      </c>
      <c r="B649" t="inlineStr">
        <is>
          <t>MER00709</t>
        </is>
      </c>
      <c r="C649">
        <f>XLOOKUP(A649,tblInvoices[invoice_id],tblInvoices[total_invoice_amount])</f>
        <v/>
      </c>
      <c r="D649">
        <f>SUMIFS(tblPayments[payment_amount],tblPayments[invoice_id],A649,tblPayments[payment_status],"Success")</f>
        <v/>
      </c>
      <c r="E649">
        <f>D649-C649</f>
        <v/>
      </c>
      <c r="F649">
        <f>IFS(D649=0,"MISSING_PAYMENT",ABS(E649)&lt;=1,"MATCHED",E649&gt;1,"AMOUNT_MISMATCH",TRUE,"PARTIAL")</f>
        <v/>
      </c>
    </row>
    <row r="650">
      <c r="A650" t="inlineStr">
        <is>
          <t>INV0015017</t>
        </is>
      </c>
      <c r="B650" t="inlineStr">
        <is>
          <t>MER00709</t>
        </is>
      </c>
      <c r="C650">
        <f>XLOOKUP(A650,tblInvoices[invoice_id],tblInvoices[total_invoice_amount])</f>
        <v/>
      </c>
      <c r="D650">
        <f>SUMIFS(tblPayments[payment_amount],tblPayments[invoice_id],A650,tblPayments[payment_status],"Success")</f>
        <v/>
      </c>
      <c r="E650">
        <f>D650-C650</f>
        <v/>
      </c>
      <c r="F650">
        <f>IFS(D650=0,"MISSING_PAYMENT",ABS(E650)&lt;=1,"MATCHED",E650&gt;1,"AMOUNT_MISMATCH",TRUE,"PARTIAL")</f>
        <v/>
      </c>
    </row>
    <row r="651">
      <c r="A651" t="inlineStr">
        <is>
          <t>INV0015018</t>
        </is>
      </c>
      <c r="B651" t="inlineStr">
        <is>
          <t>MER00709</t>
        </is>
      </c>
      <c r="C651">
        <f>XLOOKUP(A651,tblInvoices[invoice_id],tblInvoices[total_invoice_amount])</f>
        <v/>
      </c>
      <c r="D651">
        <f>SUMIFS(tblPayments[payment_amount],tblPayments[invoice_id],A651,tblPayments[payment_status],"Success")</f>
        <v/>
      </c>
      <c r="E651">
        <f>D651-C651</f>
        <v/>
      </c>
      <c r="F651">
        <f>IFS(D651=0,"MISSING_PAYMENT",ABS(E651)&lt;=1,"MATCHED",E651&gt;1,"AMOUNT_MISMATCH",TRUE,"PARTIAL")</f>
        <v/>
      </c>
    </row>
    <row r="652">
      <c r="A652" t="inlineStr">
        <is>
          <t>INV0015019</t>
        </is>
      </c>
      <c r="B652" t="inlineStr">
        <is>
          <t>MER00709</t>
        </is>
      </c>
      <c r="C652">
        <f>XLOOKUP(A652,tblInvoices[invoice_id],tblInvoices[total_invoice_amount])</f>
        <v/>
      </c>
      <c r="D652">
        <f>SUMIFS(tblPayments[payment_amount],tblPayments[invoice_id],A652,tblPayments[payment_status],"Success")</f>
        <v/>
      </c>
      <c r="E652">
        <f>D652-C652</f>
        <v/>
      </c>
      <c r="F652">
        <f>IFS(D652=0,"MISSING_PAYMENT",ABS(E652)&lt;=1,"MATCHED",E652&gt;1,"AMOUNT_MISMATCH",TRUE,"PARTIAL")</f>
        <v/>
      </c>
    </row>
    <row r="653">
      <c r="A653" t="inlineStr">
        <is>
          <t>INV0015020</t>
        </is>
      </c>
      <c r="B653" t="inlineStr">
        <is>
          <t>MER00709</t>
        </is>
      </c>
      <c r="C653">
        <f>XLOOKUP(A653,tblInvoices[invoice_id],tblInvoices[total_invoice_amount])</f>
        <v/>
      </c>
      <c r="D653">
        <f>SUMIFS(tblPayments[payment_amount],tblPayments[invoice_id],A653,tblPayments[payment_status],"Success")</f>
        <v/>
      </c>
      <c r="E653">
        <f>D653-C653</f>
        <v/>
      </c>
      <c r="F653">
        <f>IFS(D653=0,"MISSING_PAYMENT",ABS(E653)&lt;=1,"MATCHED",E653&gt;1,"AMOUNT_MISMATCH",TRUE,"PARTIAL")</f>
        <v/>
      </c>
    </row>
    <row r="654">
      <c r="A654" t="inlineStr">
        <is>
          <t>INV0015021</t>
        </is>
      </c>
      <c r="B654" t="inlineStr">
        <is>
          <t>MER00709</t>
        </is>
      </c>
      <c r="C654">
        <f>XLOOKUP(A654,tblInvoices[invoice_id],tblInvoices[total_invoice_amount])</f>
        <v/>
      </c>
      <c r="D654">
        <f>SUMIFS(tblPayments[payment_amount],tblPayments[invoice_id],A654,tblPayments[payment_status],"Success")</f>
        <v/>
      </c>
      <c r="E654">
        <f>D654-C654</f>
        <v/>
      </c>
      <c r="F654">
        <f>IFS(D654=0,"MISSING_PAYMENT",ABS(E654)&lt;=1,"MATCHED",E654&gt;1,"AMOUNT_MISMATCH",TRUE,"PARTIAL")</f>
        <v/>
      </c>
    </row>
    <row r="655">
      <c r="A655" t="inlineStr">
        <is>
          <t>INV0015022</t>
        </is>
      </c>
      <c r="B655" t="inlineStr">
        <is>
          <t>MER00709</t>
        </is>
      </c>
      <c r="C655">
        <f>XLOOKUP(A655,tblInvoices[invoice_id],tblInvoices[total_invoice_amount])</f>
        <v/>
      </c>
      <c r="D655">
        <f>SUMIFS(tblPayments[payment_amount],tblPayments[invoice_id],A655,tblPayments[payment_status],"Success")</f>
        <v/>
      </c>
      <c r="E655">
        <f>D655-C655</f>
        <v/>
      </c>
      <c r="F655">
        <f>IFS(D655=0,"MISSING_PAYMENT",ABS(E655)&lt;=1,"MATCHED",E655&gt;1,"AMOUNT_MISMATCH",TRUE,"PARTIAL")</f>
        <v/>
      </c>
    </row>
    <row r="656">
      <c r="A656" t="inlineStr">
        <is>
          <t>INV0015023</t>
        </is>
      </c>
      <c r="B656" t="inlineStr">
        <is>
          <t>MER00709</t>
        </is>
      </c>
      <c r="C656">
        <f>XLOOKUP(A656,tblInvoices[invoice_id],tblInvoices[total_invoice_amount])</f>
        <v/>
      </c>
      <c r="D656">
        <f>SUMIFS(tblPayments[payment_amount],tblPayments[invoice_id],A656,tblPayments[payment_status],"Success")</f>
        <v/>
      </c>
      <c r="E656">
        <f>D656-C656</f>
        <v/>
      </c>
      <c r="F656">
        <f>IFS(D656=0,"MISSING_PAYMENT",ABS(E656)&lt;=1,"MATCHED",E656&gt;1,"AMOUNT_MISMATCH",TRUE,"PARTIAL")</f>
        <v/>
      </c>
    </row>
    <row r="657">
      <c r="A657" t="inlineStr">
        <is>
          <t>INV0015024</t>
        </is>
      </c>
      <c r="B657" t="inlineStr">
        <is>
          <t>MER00709</t>
        </is>
      </c>
      <c r="C657">
        <f>XLOOKUP(A657,tblInvoices[invoice_id],tblInvoices[total_invoice_amount])</f>
        <v/>
      </c>
      <c r="D657">
        <f>SUMIFS(tblPayments[payment_amount],tblPayments[invoice_id],A657,tblPayments[payment_status],"Success")</f>
        <v/>
      </c>
      <c r="E657">
        <f>D657-C657</f>
        <v/>
      </c>
      <c r="F657">
        <f>IFS(D657=0,"MISSING_PAYMENT",ABS(E657)&lt;=1,"MATCHED",E657&gt;1,"AMOUNT_MISMATCH",TRUE,"PARTIAL")</f>
        <v/>
      </c>
    </row>
    <row r="658">
      <c r="A658" t="inlineStr">
        <is>
          <t>INV0015025</t>
        </is>
      </c>
      <c r="B658" t="inlineStr">
        <is>
          <t>MER00709</t>
        </is>
      </c>
      <c r="C658">
        <f>XLOOKUP(A658,tblInvoices[invoice_id],tblInvoices[total_invoice_amount])</f>
        <v/>
      </c>
      <c r="D658">
        <f>SUMIFS(tblPayments[payment_amount],tblPayments[invoice_id],A658,tblPayments[payment_status],"Success")</f>
        <v/>
      </c>
      <c r="E658">
        <f>D658-C658</f>
        <v/>
      </c>
      <c r="F658">
        <f>IFS(D658=0,"MISSING_PAYMENT",ABS(E658)&lt;=1,"MATCHED",E658&gt;1,"AMOUNT_MISMATCH",TRUE,"PARTIAL")</f>
        <v/>
      </c>
    </row>
    <row r="659">
      <c r="A659" t="inlineStr">
        <is>
          <t>INV0015026</t>
        </is>
      </c>
      <c r="B659" t="inlineStr">
        <is>
          <t>MER00709</t>
        </is>
      </c>
      <c r="C659">
        <f>XLOOKUP(A659,tblInvoices[invoice_id],tblInvoices[total_invoice_amount])</f>
        <v/>
      </c>
      <c r="D659">
        <f>SUMIFS(tblPayments[payment_amount],tblPayments[invoice_id],A659,tblPayments[payment_status],"Success")</f>
        <v/>
      </c>
      <c r="E659">
        <f>D659-C659</f>
        <v/>
      </c>
      <c r="F659">
        <f>IFS(D659=0,"MISSING_PAYMENT",ABS(E659)&lt;=1,"MATCHED",E659&gt;1,"AMOUNT_MISMATCH",TRUE,"PARTIAL")</f>
        <v/>
      </c>
    </row>
    <row r="660">
      <c r="A660" t="inlineStr">
        <is>
          <t>INV0015027</t>
        </is>
      </c>
      <c r="B660" t="inlineStr">
        <is>
          <t>MER00709</t>
        </is>
      </c>
      <c r="C660">
        <f>XLOOKUP(A660,tblInvoices[invoice_id],tblInvoices[total_invoice_amount])</f>
        <v/>
      </c>
      <c r="D660">
        <f>SUMIFS(tblPayments[payment_amount],tblPayments[invoice_id],A660,tblPayments[payment_status],"Success")</f>
        <v/>
      </c>
      <c r="E660">
        <f>D660-C660</f>
        <v/>
      </c>
      <c r="F660">
        <f>IFS(D660=0,"MISSING_PAYMENT",ABS(E660)&lt;=1,"MATCHED",E660&gt;1,"AMOUNT_MISMATCH",TRUE,"PARTIAL")</f>
        <v/>
      </c>
    </row>
    <row r="661">
      <c r="A661" t="inlineStr">
        <is>
          <t>INV0015028</t>
        </is>
      </c>
      <c r="B661" t="inlineStr">
        <is>
          <t>MER00709</t>
        </is>
      </c>
      <c r="C661">
        <f>XLOOKUP(A661,tblInvoices[invoice_id],tblInvoices[total_invoice_amount])</f>
        <v/>
      </c>
      <c r="D661">
        <f>SUMIFS(tblPayments[payment_amount],tblPayments[invoice_id],A661,tblPayments[payment_status],"Success")</f>
        <v/>
      </c>
      <c r="E661">
        <f>D661-C661</f>
        <v/>
      </c>
      <c r="F661">
        <f>IFS(D661=0,"MISSING_PAYMENT",ABS(E661)&lt;=1,"MATCHED",E661&gt;1,"AMOUNT_MISMATCH",TRUE,"PARTIAL")</f>
        <v/>
      </c>
    </row>
    <row r="662">
      <c r="A662" t="inlineStr">
        <is>
          <t>INV0015029</t>
        </is>
      </c>
      <c r="B662" t="inlineStr">
        <is>
          <t>MER00709</t>
        </is>
      </c>
      <c r="C662">
        <f>XLOOKUP(A662,tblInvoices[invoice_id],tblInvoices[total_invoice_amount])</f>
        <v/>
      </c>
      <c r="D662">
        <f>SUMIFS(tblPayments[payment_amount],tblPayments[invoice_id],A662,tblPayments[payment_status],"Success")</f>
        <v/>
      </c>
      <c r="E662">
        <f>D662-C662</f>
        <v/>
      </c>
      <c r="F662">
        <f>IFS(D662=0,"MISSING_PAYMENT",ABS(E662)&lt;=1,"MATCHED",E662&gt;1,"AMOUNT_MISMATCH",TRUE,"PARTIAL")</f>
        <v/>
      </c>
    </row>
    <row r="663">
      <c r="A663" t="inlineStr">
        <is>
          <t>INV0015030</t>
        </is>
      </c>
      <c r="B663" t="inlineStr">
        <is>
          <t>MER00709</t>
        </is>
      </c>
      <c r="C663">
        <f>XLOOKUP(A663,tblInvoices[invoice_id],tblInvoices[total_invoice_amount])</f>
        <v/>
      </c>
      <c r="D663">
        <f>SUMIFS(tblPayments[payment_amount],tblPayments[invoice_id],A663,tblPayments[payment_status],"Success")</f>
        <v/>
      </c>
      <c r="E663">
        <f>D663-C663</f>
        <v/>
      </c>
      <c r="F663">
        <f>IFS(D663=0,"MISSING_PAYMENT",ABS(E663)&lt;=1,"MATCHED",E663&gt;1,"AMOUNT_MISMATCH",TRUE,"PARTIAL")</f>
        <v/>
      </c>
    </row>
    <row r="664">
      <c r="A664" t="inlineStr">
        <is>
          <t>INV0015031</t>
        </is>
      </c>
      <c r="B664" t="inlineStr">
        <is>
          <t>MER00709</t>
        </is>
      </c>
      <c r="C664">
        <f>XLOOKUP(A664,tblInvoices[invoice_id],tblInvoices[total_invoice_amount])</f>
        <v/>
      </c>
      <c r="D664">
        <f>SUMIFS(tblPayments[payment_amount],tblPayments[invoice_id],A664,tblPayments[payment_status],"Success")</f>
        <v/>
      </c>
      <c r="E664">
        <f>D664-C664</f>
        <v/>
      </c>
      <c r="F664">
        <f>IFS(D664=0,"MISSING_PAYMENT",ABS(E664)&lt;=1,"MATCHED",E664&gt;1,"AMOUNT_MISMATCH",TRUE,"PARTIAL")</f>
        <v/>
      </c>
    </row>
    <row r="665">
      <c r="A665" t="inlineStr">
        <is>
          <t>INV0015032</t>
        </is>
      </c>
      <c r="B665" t="inlineStr">
        <is>
          <t>MER00709</t>
        </is>
      </c>
      <c r="C665">
        <f>XLOOKUP(A665,tblInvoices[invoice_id],tblInvoices[total_invoice_amount])</f>
        <v/>
      </c>
      <c r="D665">
        <f>SUMIFS(tblPayments[payment_amount],tblPayments[invoice_id],A665,tblPayments[payment_status],"Success")</f>
        <v/>
      </c>
      <c r="E665">
        <f>D665-C665</f>
        <v/>
      </c>
      <c r="F665">
        <f>IFS(D665=0,"MISSING_PAYMENT",ABS(E665)&lt;=1,"MATCHED",E665&gt;1,"AMOUNT_MISMATCH",TRUE,"PARTIAL")</f>
        <v/>
      </c>
    </row>
    <row r="666">
      <c r="A666" t="inlineStr">
        <is>
          <t>INV0015046</t>
        </is>
      </c>
      <c r="B666" t="inlineStr">
        <is>
          <t>MER00711</t>
        </is>
      </c>
      <c r="C666">
        <f>XLOOKUP(A666,tblInvoices[invoice_id],tblInvoices[total_invoice_amount])</f>
        <v/>
      </c>
      <c r="D666">
        <f>SUMIFS(tblPayments[payment_amount],tblPayments[invoice_id],A666,tblPayments[payment_status],"Success")</f>
        <v/>
      </c>
      <c r="E666">
        <f>D666-C666</f>
        <v/>
      </c>
      <c r="F666">
        <f>IFS(D666=0,"MISSING_PAYMENT",ABS(E666)&lt;=1,"MATCHED",E666&gt;1,"AMOUNT_MISMATCH",TRUE,"PARTIAL")</f>
        <v/>
      </c>
    </row>
    <row r="667">
      <c r="A667" t="inlineStr">
        <is>
          <t>INV0015047</t>
        </is>
      </c>
      <c r="B667" t="inlineStr">
        <is>
          <t>MER00711</t>
        </is>
      </c>
      <c r="C667">
        <f>XLOOKUP(A667,tblInvoices[invoice_id],tblInvoices[total_invoice_amount])</f>
        <v/>
      </c>
      <c r="D667">
        <f>SUMIFS(tblPayments[payment_amount],tblPayments[invoice_id],A667,tblPayments[payment_status],"Success")</f>
        <v/>
      </c>
      <c r="E667">
        <f>D667-C667</f>
        <v/>
      </c>
      <c r="F667">
        <f>IFS(D667=0,"MISSING_PAYMENT",ABS(E667)&lt;=1,"MATCHED",E667&gt;1,"AMOUNT_MISMATCH",TRUE,"PARTIAL")</f>
        <v/>
      </c>
    </row>
    <row r="668">
      <c r="A668" t="inlineStr">
        <is>
          <t>INV0015048</t>
        </is>
      </c>
      <c r="B668" t="inlineStr">
        <is>
          <t>MER00711</t>
        </is>
      </c>
      <c r="C668">
        <f>XLOOKUP(A668,tblInvoices[invoice_id],tblInvoices[total_invoice_amount])</f>
        <v/>
      </c>
      <c r="D668">
        <f>SUMIFS(tblPayments[payment_amount],tblPayments[invoice_id],A668,tblPayments[payment_status],"Success")</f>
        <v/>
      </c>
      <c r="E668">
        <f>D668-C668</f>
        <v/>
      </c>
      <c r="F668">
        <f>IFS(D668=0,"MISSING_PAYMENT",ABS(E668)&lt;=1,"MATCHED",E668&gt;1,"AMOUNT_MISMATCH",TRUE,"PARTIAL")</f>
        <v/>
      </c>
    </row>
    <row r="669">
      <c r="A669" t="inlineStr">
        <is>
          <t>INV0015049</t>
        </is>
      </c>
      <c r="B669" t="inlineStr">
        <is>
          <t>MER00711</t>
        </is>
      </c>
      <c r="C669">
        <f>XLOOKUP(A669,tblInvoices[invoice_id],tblInvoices[total_invoice_amount])</f>
        <v/>
      </c>
      <c r="D669">
        <f>SUMIFS(tblPayments[payment_amount],tblPayments[invoice_id],A669,tblPayments[payment_status],"Success")</f>
        <v/>
      </c>
      <c r="E669">
        <f>D669-C669</f>
        <v/>
      </c>
      <c r="F669">
        <f>IFS(D669=0,"MISSING_PAYMENT",ABS(E669)&lt;=1,"MATCHED",E669&gt;1,"AMOUNT_MISMATCH",TRUE,"PARTIAL")</f>
        <v/>
      </c>
    </row>
    <row r="670">
      <c r="A670" t="inlineStr">
        <is>
          <t>INV0015050</t>
        </is>
      </c>
      <c r="B670" t="inlineStr">
        <is>
          <t>MER00711</t>
        </is>
      </c>
      <c r="C670">
        <f>XLOOKUP(A670,tblInvoices[invoice_id],tblInvoices[total_invoice_amount])</f>
        <v/>
      </c>
      <c r="D670">
        <f>SUMIFS(tblPayments[payment_amount],tblPayments[invoice_id],A670,tblPayments[payment_status],"Success")</f>
        <v/>
      </c>
      <c r="E670">
        <f>D670-C670</f>
        <v/>
      </c>
      <c r="F670">
        <f>IFS(D670=0,"MISSING_PAYMENT",ABS(E670)&lt;=1,"MATCHED",E670&gt;1,"AMOUNT_MISMATCH",TRUE,"PARTIAL")</f>
        <v/>
      </c>
    </row>
    <row r="671">
      <c r="A671" t="inlineStr">
        <is>
          <t>INV0015051</t>
        </is>
      </c>
      <c r="B671" t="inlineStr">
        <is>
          <t>MER00711</t>
        </is>
      </c>
      <c r="C671">
        <f>XLOOKUP(A671,tblInvoices[invoice_id],tblInvoices[total_invoice_amount])</f>
        <v/>
      </c>
      <c r="D671">
        <f>SUMIFS(tblPayments[payment_amount],tblPayments[invoice_id],A671,tblPayments[payment_status],"Success")</f>
        <v/>
      </c>
      <c r="E671">
        <f>D671-C671</f>
        <v/>
      </c>
      <c r="F671">
        <f>IFS(D671=0,"MISSING_PAYMENT",ABS(E671)&lt;=1,"MATCHED",E671&gt;1,"AMOUNT_MISMATCH",TRUE,"PARTIAL")</f>
        <v/>
      </c>
    </row>
    <row r="672">
      <c r="A672" t="inlineStr">
        <is>
          <t>INV0015052</t>
        </is>
      </c>
      <c r="B672" t="inlineStr">
        <is>
          <t>MER00711</t>
        </is>
      </c>
      <c r="C672">
        <f>XLOOKUP(A672,tblInvoices[invoice_id],tblInvoices[total_invoice_amount])</f>
        <v/>
      </c>
      <c r="D672">
        <f>SUMIFS(tblPayments[payment_amount],tblPayments[invoice_id],A672,tblPayments[payment_status],"Success")</f>
        <v/>
      </c>
      <c r="E672">
        <f>D672-C672</f>
        <v/>
      </c>
      <c r="F672">
        <f>IFS(D672=0,"MISSING_PAYMENT",ABS(E672)&lt;=1,"MATCHED",E672&gt;1,"AMOUNT_MISMATCH",TRUE,"PARTIAL")</f>
        <v/>
      </c>
    </row>
    <row r="673">
      <c r="A673" t="inlineStr">
        <is>
          <t>INV0015053</t>
        </is>
      </c>
      <c r="B673" t="inlineStr">
        <is>
          <t>MER00711</t>
        </is>
      </c>
      <c r="C673">
        <f>XLOOKUP(A673,tblInvoices[invoice_id],tblInvoices[total_invoice_amount])</f>
        <v/>
      </c>
      <c r="D673">
        <f>SUMIFS(tblPayments[payment_amount],tblPayments[invoice_id],A673,tblPayments[payment_status],"Success")</f>
        <v/>
      </c>
      <c r="E673">
        <f>D673-C673</f>
        <v/>
      </c>
      <c r="F673">
        <f>IFS(D673=0,"MISSING_PAYMENT",ABS(E673)&lt;=1,"MATCHED",E673&gt;1,"AMOUNT_MISMATCH",TRUE,"PARTIAL")</f>
        <v/>
      </c>
    </row>
    <row r="674">
      <c r="A674" t="inlineStr">
        <is>
          <t>INV0015054</t>
        </is>
      </c>
      <c r="B674" t="inlineStr">
        <is>
          <t>MER00711</t>
        </is>
      </c>
      <c r="C674">
        <f>XLOOKUP(A674,tblInvoices[invoice_id],tblInvoices[total_invoice_amount])</f>
        <v/>
      </c>
      <c r="D674">
        <f>SUMIFS(tblPayments[payment_amount],tblPayments[invoice_id],A674,tblPayments[payment_status],"Success")</f>
        <v/>
      </c>
      <c r="E674">
        <f>D674-C674</f>
        <v/>
      </c>
      <c r="F674">
        <f>IFS(D674=0,"MISSING_PAYMENT",ABS(E674)&lt;=1,"MATCHED",E674&gt;1,"AMOUNT_MISMATCH",TRUE,"PARTIAL")</f>
        <v/>
      </c>
    </row>
    <row r="675">
      <c r="A675" t="inlineStr">
        <is>
          <t>INV0015055</t>
        </is>
      </c>
      <c r="B675" t="inlineStr">
        <is>
          <t>MER00711</t>
        </is>
      </c>
      <c r="C675">
        <f>XLOOKUP(A675,tblInvoices[invoice_id],tblInvoices[total_invoice_amount])</f>
        <v/>
      </c>
      <c r="D675">
        <f>SUMIFS(tblPayments[payment_amount],tblPayments[invoice_id],A675,tblPayments[payment_status],"Success")</f>
        <v/>
      </c>
      <c r="E675">
        <f>D675-C675</f>
        <v/>
      </c>
      <c r="F675">
        <f>IFS(D675=0,"MISSING_PAYMENT",ABS(E675)&lt;=1,"MATCHED",E675&gt;1,"AMOUNT_MISMATCH",TRUE,"PARTIAL")</f>
        <v/>
      </c>
    </row>
    <row r="676">
      <c r="A676" t="inlineStr">
        <is>
          <t>INV0015056</t>
        </is>
      </c>
      <c r="B676" t="inlineStr">
        <is>
          <t>MER00711</t>
        </is>
      </c>
      <c r="C676">
        <f>XLOOKUP(A676,tblInvoices[invoice_id],tblInvoices[total_invoice_amount])</f>
        <v/>
      </c>
      <c r="D676">
        <f>SUMIFS(tblPayments[payment_amount],tblPayments[invoice_id],A676,tblPayments[payment_status],"Success")</f>
        <v/>
      </c>
      <c r="E676">
        <f>D676-C676</f>
        <v/>
      </c>
      <c r="F676">
        <f>IFS(D676=0,"MISSING_PAYMENT",ABS(E676)&lt;=1,"MATCHED",E676&gt;1,"AMOUNT_MISMATCH",TRUE,"PARTIAL")</f>
        <v/>
      </c>
    </row>
    <row r="677">
      <c r="A677" t="inlineStr">
        <is>
          <t>INV0015057</t>
        </is>
      </c>
      <c r="B677" t="inlineStr">
        <is>
          <t>MER00711</t>
        </is>
      </c>
      <c r="C677">
        <f>XLOOKUP(A677,tblInvoices[invoice_id],tblInvoices[total_invoice_amount])</f>
        <v/>
      </c>
      <c r="D677">
        <f>SUMIFS(tblPayments[payment_amount],tblPayments[invoice_id],A677,tblPayments[payment_status],"Success")</f>
        <v/>
      </c>
      <c r="E677">
        <f>D677-C677</f>
        <v/>
      </c>
      <c r="F677">
        <f>IFS(D677=0,"MISSING_PAYMENT",ABS(E677)&lt;=1,"MATCHED",E677&gt;1,"AMOUNT_MISMATCH",TRUE,"PARTIAL")</f>
        <v/>
      </c>
    </row>
    <row r="678">
      <c r="A678" t="inlineStr">
        <is>
          <t>INV0015058</t>
        </is>
      </c>
      <c r="B678" t="inlineStr">
        <is>
          <t>MER00711</t>
        </is>
      </c>
      <c r="C678">
        <f>XLOOKUP(A678,tblInvoices[invoice_id],tblInvoices[total_invoice_amount])</f>
        <v/>
      </c>
      <c r="D678">
        <f>SUMIFS(tblPayments[payment_amount],tblPayments[invoice_id],A678,tblPayments[payment_status],"Success")</f>
        <v/>
      </c>
      <c r="E678">
        <f>D678-C678</f>
        <v/>
      </c>
      <c r="F678">
        <f>IFS(D678=0,"MISSING_PAYMENT",ABS(E678)&lt;=1,"MATCHED",E678&gt;1,"AMOUNT_MISMATCH",TRUE,"PARTIAL")</f>
        <v/>
      </c>
    </row>
    <row r="679">
      <c r="A679" t="inlineStr">
        <is>
          <t>INV0015059</t>
        </is>
      </c>
      <c r="B679" t="inlineStr">
        <is>
          <t>MER00711</t>
        </is>
      </c>
      <c r="C679">
        <f>XLOOKUP(A679,tblInvoices[invoice_id],tblInvoices[total_invoice_amount])</f>
        <v/>
      </c>
      <c r="D679">
        <f>SUMIFS(tblPayments[payment_amount],tblPayments[invoice_id],A679,tblPayments[payment_status],"Success")</f>
        <v/>
      </c>
      <c r="E679">
        <f>D679-C679</f>
        <v/>
      </c>
      <c r="F679">
        <f>IFS(D679=0,"MISSING_PAYMENT",ABS(E679)&lt;=1,"MATCHED",E679&gt;1,"AMOUNT_MISMATCH",TRUE,"PARTIAL")</f>
        <v/>
      </c>
    </row>
    <row r="680">
      <c r="A680" t="inlineStr">
        <is>
          <t>INV0015060</t>
        </is>
      </c>
      <c r="B680" t="inlineStr">
        <is>
          <t>MER00711</t>
        </is>
      </c>
      <c r="C680">
        <f>XLOOKUP(A680,tblInvoices[invoice_id],tblInvoices[total_invoice_amount])</f>
        <v/>
      </c>
      <c r="D680">
        <f>SUMIFS(tblPayments[payment_amount],tblPayments[invoice_id],A680,tblPayments[payment_status],"Success")</f>
        <v/>
      </c>
      <c r="E680">
        <f>D680-C680</f>
        <v/>
      </c>
      <c r="F680">
        <f>IFS(D680=0,"MISSING_PAYMENT",ABS(E680)&lt;=1,"MATCHED",E680&gt;1,"AMOUNT_MISMATCH",TRUE,"PARTIAL")</f>
        <v/>
      </c>
    </row>
    <row r="681">
      <c r="A681" t="inlineStr">
        <is>
          <t>INV0015061</t>
        </is>
      </c>
      <c r="B681" t="inlineStr">
        <is>
          <t>MER00711</t>
        </is>
      </c>
      <c r="C681">
        <f>XLOOKUP(A681,tblInvoices[invoice_id],tblInvoices[total_invoice_amount])</f>
        <v/>
      </c>
      <c r="D681">
        <f>SUMIFS(tblPayments[payment_amount],tblPayments[invoice_id],A681,tblPayments[payment_status],"Success")</f>
        <v/>
      </c>
      <c r="E681">
        <f>D681-C681</f>
        <v/>
      </c>
      <c r="F681">
        <f>IFS(D681=0,"MISSING_PAYMENT",ABS(E681)&lt;=1,"MATCHED",E681&gt;1,"AMOUNT_MISMATCH",TRUE,"PARTIAL")</f>
        <v/>
      </c>
    </row>
    <row r="682">
      <c r="A682" t="inlineStr">
        <is>
          <t>INV0015062</t>
        </is>
      </c>
      <c r="B682" t="inlineStr">
        <is>
          <t>MER00711</t>
        </is>
      </c>
      <c r="C682">
        <f>XLOOKUP(A682,tblInvoices[invoice_id],tblInvoices[total_invoice_amount])</f>
        <v/>
      </c>
      <c r="D682">
        <f>SUMIFS(tblPayments[payment_amount],tblPayments[invoice_id],A682,tblPayments[payment_status],"Success")</f>
        <v/>
      </c>
      <c r="E682">
        <f>D682-C682</f>
        <v/>
      </c>
      <c r="F682">
        <f>IFS(D682=0,"MISSING_PAYMENT",ABS(E682)&lt;=1,"MATCHED",E682&gt;1,"AMOUNT_MISMATCH",TRUE,"PARTIAL")</f>
        <v/>
      </c>
    </row>
    <row r="683">
      <c r="A683" t="inlineStr">
        <is>
          <t>INV0015063</t>
        </is>
      </c>
      <c r="B683" t="inlineStr">
        <is>
          <t>MER00711</t>
        </is>
      </c>
      <c r="C683">
        <f>XLOOKUP(A683,tblInvoices[invoice_id],tblInvoices[total_invoice_amount])</f>
        <v/>
      </c>
      <c r="D683">
        <f>SUMIFS(tblPayments[payment_amount],tblPayments[invoice_id],A683,tblPayments[payment_status],"Success")</f>
        <v/>
      </c>
      <c r="E683">
        <f>D683-C683</f>
        <v/>
      </c>
      <c r="F683">
        <f>IFS(D683=0,"MISSING_PAYMENT",ABS(E683)&lt;=1,"MATCHED",E683&gt;1,"AMOUNT_MISMATCH",TRUE,"PARTIAL")</f>
        <v/>
      </c>
    </row>
    <row r="684">
      <c r="A684" t="inlineStr">
        <is>
          <t>INV0015064</t>
        </is>
      </c>
      <c r="B684" t="inlineStr">
        <is>
          <t>MER00711</t>
        </is>
      </c>
      <c r="C684">
        <f>XLOOKUP(A684,tblInvoices[invoice_id],tblInvoices[total_invoice_amount])</f>
        <v/>
      </c>
      <c r="D684">
        <f>SUMIFS(tblPayments[payment_amount],tblPayments[invoice_id],A684,tblPayments[payment_status],"Success")</f>
        <v/>
      </c>
      <c r="E684">
        <f>D684-C684</f>
        <v/>
      </c>
      <c r="F684">
        <f>IFS(D684=0,"MISSING_PAYMENT",ABS(E684)&lt;=1,"MATCHED",E684&gt;1,"AMOUNT_MISMATCH",TRUE,"PARTIAL")</f>
        <v/>
      </c>
    </row>
    <row r="685">
      <c r="A685" t="inlineStr">
        <is>
          <t>INV0015065</t>
        </is>
      </c>
      <c r="B685" t="inlineStr">
        <is>
          <t>MER00711</t>
        </is>
      </c>
      <c r="C685">
        <f>XLOOKUP(A685,tblInvoices[invoice_id],tblInvoices[total_invoice_amount])</f>
        <v/>
      </c>
      <c r="D685">
        <f>SUMIFS(tblPayments[payment_amount],tblPayments[invoice_id],A685,tblPayments[payment_status],"Success")</f>
        <v/>
      </c>
      <c r="E685">
        <f>D685-C685</f>
        <v/>
      </c>
      <c r="F685">
        <f>IFS(D685=0,"MISSING_PAYMENT",ABS(E685)&lt;=1,"MATCHED",E685&gt;1,"AMOUNT_MISMATCH",TRUE,"PARTIAL")</f>
        <v/>
      </c>
    </row>
    <row r="686">
      <c r="A686" t="inlineStr">
        <is>
          <t>INV0015066</t>
        </is>
      </c>
      <c r="B686" t="inlineStr">
        <is>
          <t>MER00711</t>
        </is>
      </c>
      <c r="C686">
        <f>XLOOKUP(A686,tblInvoices[invoice_id],tblInvoices[total_invoice_amount])</f>
        <v/>
      </c>
      <c r="D686">
        <f>SUMIFS(tblPayments[payment_amount],tblPayments[invoice_id],A686,tblPayments[payment_status],"Success")</f>
        <v/>
      </c>
      <c r="E686">
        <f>D686-C686</f>
        <v/>
      </c>
      <c r="F686">
        <f>IFS(D686=0,"MISSING_PAYMENT",ABS(E686)&lt;=1,"MATCHED",E686&gt;1,"AMOUNT_MISMATCH",TRUE,"PARTIAL")</f>
        <v/>
      </c>
    </row>
    <row r="687">
      <c r="A687" t="inlineStr">
        <is>
          <t>INV0015067</t>
        </is>
      </c>
      <c r="B687" t="inlineStr">
        <is>
          <t>MER00711</t>
        </is>
      </c>
      <c r="C687">
        <f>XLOOKUP(A687,tblInvoices[invoice_id],tblInvoices[total_invoice_amount])</f>
        <v/>
      </c>
      <c r="D687">
        <f>SUMIFS(tblPayments[payment_amount],tblPayments[invoice_id],A687,tblPayments[payment_status],"Success")</f>
        <v/>
      </c>
      <c r="E687">
        <f>D687-C687</f>
        <v/>
      </c>
      <c r="F687">
        <f>IFS(D687=0,"MISSING_PAYMENT",ABS(E687)&lt;=1,"MATCHED",E687&gt;1,"AMOUNT_MISMATCH",TRUE,"PARTIAL")</f>
        <v/>
      </c>
    </row>
    <row r="688">
      <c r="A688" t="inlineStr">
        <is>
          <t>INV0015068</t>
        </is>
      </c>
      <c r="B688" t="inlineStr">
        <is>
          <t>MER00711</t>
        </is>
      </c>
      <c r="C688">
        <f>XLOOKUP(A688,tblInvoices[invoice_id],tblInvoices[total_invoice_amount])</f>
        <v/>
      </c>
      <c r="D688">
        <f>SUMIFS(tblPayments[payment_amount],tblPayments[invoice_id],A688,tblPayments[payment_status],"Success")</f>
        <v/>
      </c>
      <c r="E688">
        <f>D688-C688</f>
        <v/>
      </c>
      <c r="F688">
        <f>IFS(D688=0,"MISSING_PAYMENT",ABS(E688)&lt;=1,"MATCHED",E688&gt;1,"AMOUNT_MISMATCH",TRUE,"PARTIAL")</f>
        <v/>
      </c>
    </row>
    <row r="689">
      <c r="A689" t="inlineStr">
        <is>
          <t>INV0015069</t>
        </is>
      </c>
      <c r="B689" t="inlineStr">
        <is>
          <t>MER00711</t>
        </is>
      </c>
      <c r="C689">
        <f>XLOOKUP(A689,tblInvoices[invoice_id],tblInvoices[total_invoice_amount])</f>
        <v/>
      </c>
      <c r="D689">
        <f>SUMIFS(tblPayments[payment_amount],tblPayments[invoice_id],A689,tblPayments[payment_status],"Success")</f>
        <v/>
      </c>
      <c r="E689">
        <f>D689-C689</f>
        <v/>
      </c>
      <c r="F689">
        <f>IFS(D689=0,"MISSING_PAYMENT",ABS(E689)&lt;=1,"MATCHED",E689&gt;1,"AMOUNT_MISMATCH",TRUE,"PARTIAL")</f>
        <v/>
      </c>
    </row>
    <row r="690">
      <c r="A690" t="inlineStr">
        <is>
          <t>INV0015070</t>
        </is>
      </c>
      <c r="B690" t="inlineStr">
        <is>
          <t>MER00712</t>
        </is>
      </c>
      <c r="C690">
        <f>XLOOKUP(A690,tblInvoices[invoice_id],tblInvoices[total_invoice_amount])</f>
        <v/>
      </c>
      <c r="D690">
        <f>SUMIFS(tblPayments[payment_amount],tblPayments[invoice_id],A690,tblPayments[payment_status],"Success")</f>
        <v/>
      </c>
      <c r="E690">
        <f>D690-C690</f>
        <v/>
      </c>
      <c r="F690">
        <f>IFS(D690=0,"MISSING_PAYMENT",ABS(E690)&lt;=1,"MATCHED",E690&gt;1,"AMOUNT_MISMATCH",TRUE,"PARTIAL")</f>
        <v/>
      </c>
    </row>
    <row r="691">
      <c r="A691" t="inlineStr">
        <is>
          <t>INV0015071</t>
        </is>
      </c>
      <c r="B691" t="inlineStr">
        <is>
          <t>MER00712</t>
        </is>
      </c>
      <c r="C691">
        <f>XLOOKUP(A691,tblInvoices[invoice_id],tblInvoices[total_invoice_amount])</f>
        <v/>
      </c>
      <c r="D691">
        <f>SUMIFS(tblPayments[payment_amount],tblPayments[invoice_id],A691,tblPayments[payment_status],"Success")</f>
        <v/>
      </c>
      <c r="E691">
        <f>D691-C691</f>
        <v/>
      </c>
      <c r="F691">
        <f>IFS(D691=0,"MISSING_PAYMENT",ABS(E691)&lt;=1,"MATCHED",E691&gt;1,"AMOUNT_MISMATCH",TRUE,"PARTIAL")</f>
        <v/>
      </c>
    </row>
    <row r="692">
      <c r="A692" t="inlineStr">
        <is>
          <t>INV0015072</t>
        </is>
      </c>
      <c r="B692" t="inlineStr">
        <is>
          <t>MER00712</t>
        </is>
      </c>
      <c r="C692">
        <f>XLOOKUP(A692,tblInvoices[invoice_id],tblInvoices[total_invoice_amount])</f>
        <v/>
      </c>
      <c r="D692">
        <f>SUMIFS(tblPayments[payment_amount],tblPayments[invoice_id],A692,tblPayments[payment_status],"Success")</f>
        <v/>
      </c>
      <c r="E692">
        <f>D692-C692</f>
        <v/>
      </c>
      <c r="F692">
        <f>IFS(D692=0,"MISSING_PAYMENT",ABS(E692)&lt;=1,"MATCHED",E692&gt;1,"AMOUNT_MISMATCH",TRUE,"PARTIAL")</f>
        <v/>
      </c>
    </row>
    <row r="693">
      <c r="A693" t="inlineStr">
        <is>
          <t>INV0015073</t>
        </is>
      </c>
      <c r="B693" t="inlineStr">
        <is>
          <t>MER00712</t>
        </is>
      </c>
      <c r="C693">
        <f>XLOOKUP(A693,tblInvoices[invoice_id],tblInvoices[total_invoice_amount])</f>
        <v/>
      </c>
      <c r="D693">
        <f>SUMIFS(tblPayments[payment_amount],tblPayments[invoice_id],A693,tblPayments[payment_status],"Success")</f>
        <v/>
      </c>
      <c r="E693">
        <f>D693-C693</f>
        <v/>
      </c>
      <c r="F693">
        <f>IFS(D693=0,"MISSING_PAYMENT",ABS(E693)&lt;=1,"MATCHED",E693&gt;1,"AMOUNT_MISMATCH",TRUE,"PARTIAL")</f>
        <v/>
      </c>
    </row>
    <row r="694">
      <c r="A694" t="inlineStr">
        <is>
          <t>INV0015074</t>
        </is>
      </c>
      <c r="B694" t="inlineStr">
        <is>
          <t>MER00712</t>
        </is>
      </c>
      <c r="C694">
        <f>XLOOKUP(A694,tblInvoices[invoice_id],tblInvoices[total_invoice_amount])</f>
        <v/>
      </c>
      <c r="D694">
        <f>SUMIFS(tblPayments[payment_amount],tblPayments[invoice_id],A694,tblPayments[payment_status],"Success")</f>
        <v/>
      </c>
      <c r="E694">
        <f>D694-C694</f>
        <v/>
      </c>
      <c r="F694">
        <f>IFS(D694=0,"MISSING_PAYMENT",ABS(E694)&lt;=1,"MATCHED",E694&gt;1,"AMOUNT_MISMATCH",TRUE,"PARTIAL")</f>
        <v/>
      </c>
    </row>
    <row r="695">
      <c r="A695" t="inlineStr">
        <is>
          <t>INV0015075</t>
        </is>
      </c>
      <c r="B695" t="inlineStr">
        <is>
          <t>MER00712</t>
        </is>
      </c>
      <c r="C695">
        <f>XLOOKUP(A695,tblInvoices[invoice_id],tblInvoices[total_invoice_amount])</f>
        <v/>
      </c>
      <c r="D695">
        <f>SUMIFS(tblPayments[payment_amount],tblPayments[invoice_id],A695,tblPayments[payment_status],"Success")</f>
        <v/>
      </c>
      <c r="E695">
        <f>D695-C695</f>
        <v/>
      </c>
      <c r="F695">
        <f>IFS(D695=0,"MISSING_PAYMENT",ABS(E695)&lt;=1,"MATCHED",E695&gt;1,"AMOUNT_MISMATCH",TRUE,"PARTIAL")</f>
        <v/>
      </c>
    </row>
    <row r="696">
      <c r="A696" t="inlineStr">
        <is>
          <t>INV0015076</t>
        </is>
      </c>
      <c r="B696" t="inlineStr">
        <is>
          <t>MER00712</t>
        </is>
      </c>
      <c r="C696">
        <f>XLOOKUP(A696,tblInvoices[invoice_id],tblInvoices[total_invoice_amount])</f>
        <v/>
      </c>
      <c r="D696">
        <f>SUMIFS(tblPayments[payment_amount],tblPayments[invoice_id],A696,tblPayments[payment_status],"Success")</f>
        <v/>
      </c>
      <c r="E696">
        <f>D696-C696</f>
        <v/>
      </c>
      <c r="F696">
        <f>IFS(D696=0,"MISSING_PAYMENT",ABS(E696)&lt;=1,"MATCHED",E696&gt;1,"AMOUNT_MISMATCH",TRUE,"PARTIAL")</f>
        <v/>
      </c>
    </row>
    <row r="697">
      <c r="A697" t="inlineStr">
        <is>
          <t>INV0015077</t>
        </is>
      </c>
      <c r="B697" t="inlineStr">
        <is>
          <t>MER00712</t>
        </is>
      </c>
      <c r="C697">
        <f>XLOOKUP(A697,tblInvoices[invoice_id],tblInvoices[total_invoice_amount])</f>
        <v/>
      </c>
      <c r="D697">
        <f>SUMIFS(tblPayments[payment_amount],tblPayments[invoice_id],A697,tblPayments[payment_status],"Success")</f>
        <v/>
      </c>
      <c r="E697">
        <f>D697-C697</f>
        <v/>
      </c>
      <c r="F697">
        <f>IFS(D697=0,"MISSING_PAYMENT",ABS(E697)&lt;=1,"MATCHED",E697&gt;1,"AMOUNT_MISMATCH",TRUE,"PARTIAL")</f>
        <v/>
      </c>
    </row>
    <row r="698">
      <c r="A698" t="inlineStr">
        <is>
          <t>INV0015078</t>
        </is>
      </c>
      <c r="B698" t="inlineStr">
        <is>
          <t>MER00712</t>
        </is>
      </c>
      <c r="C698">
        <f>XLOOKUP(A698,tblInvoices[invoice_id],tblInvoices[total_invoice_amount])</f>
        <v/>
      </c>
      <c r="D698">
        <f>SUMIFS(tblPayments[payment_amount],tblPayments[invoice_id],A698,tblPayments[payment_status],"Success")</f>
        <v/>
      </c>
      <c r="E698">
        <f>D698-C698</f>
        <v/>
      </c>
      <c r="F698">
        <f>IFS(D698=0,"MISSING_PAYMENT",ABS(E698)&lt;=1,"MATCHED",E698&gt;1,"AMOUNT_MISMATCH",TRUE,"PARTIAL")</f>
        <v/>
      </c>
    </row>
    <row r="699">
      <c r="A699" t="inlineStr">
        <is>
          <t>INV0015079</t>
        </is>
      </c>
      <c r="B699" t="inlineStr">
        <is>
          <t>MER00712</t>
        </is>
      </c>
      <c r="C699">
        <f>XLOOKUP(A699,tblInvoices[invoice_id],tblInvoices[total_invoice_amount])</f>
        <v/>
      </c>
      <c r="D699">
        <f>SUMIFS(tblPayments[payment_amount],tblPayments[invoice_id],A699,tblPayments[payment_status],"Success")</f>
        <v/>
      </c>
      <c r="E699">
        <f>D699-C699</f>
        <v/>
      </c>
      <c r="F699">
        <f>IFS(D699=0,"MISSING_PAYMENT",ABS(E699)&lt;=1,"MATCHED",E699&gt;1,"AMOUNT_MISMATCH",TRUE,"PARTIAL")</f>
        <v/>
      </c>
    </row>
    <row r="700">
      <c r="A700" t="inlineStr">
        <is>
          <t>INV0015080</t>
        </is>
      </c>
      <c r="B700" t="inlineStr">
        <is>
          <t>MER00712</t>
        </is>
      </c>
      <c r="C700">
        <f>XLOOKUP(A700,tblInvoices[invoice_id],tblInvoices[total_invoice_amount])</f>
        <v/>
      </c>
      <c r="D700">
        <f>SUMIFS(tblPayments[payment_amount],tblPayments[invoice_id],A700,tblPayments[payment_status],"Success")</f>
        <v/>
      </c>
      <c r="E700">
        <f>D700-C700</f>
        <v/>
      </c>
      <c r="F700">
        <f>IFS(D700=0,"MISSING_PAYMENT",ABS(E700)&lt;=1,"MATCHED",E700&gt;1,"AMOUNT_MISMATCH",TRUE,"PARTIAL")</f>
        <v/>
      </c>
    </row>
    <row r="701">
      <c r="A701" t="inlineStr">
        <is>
          <t>INV0015081</t>
        </is>
      </c>
      <c r="B701" t="inlineStr">
        <is>
          <t>MER00712</t>
        </is>
      </c>
      <c r="C701">
        <f>XLOOKUP(A701,tblInvoices[invoice_id],tblInvoices[total_invoice_amount])</f>
        <v/>
      </c>
      <c r="D701">
        <f>SUMIFS(tblPayments[payment_amount],tblPayments[invoice_id],A701,tblPayments[payment_status],"Success")</f>
        <v/>
      </c>
      <c r="E701">
        <f>D701-C701</f>
        <v/>
      </c>
      <c r="F701">
        <f>IFS(D701=0,"MISSING_PAYMENT",ABS(E701)&lt;=1,"MATCHED",E701&gt;1,"AMOUNT_MISMATCH",TRUE,"PARTIAL")</f>
        <v/>
      </c>
    </row>
    <row r="702">
      <c r="A702" t="inlineStr">
        <is>
          <t>INV0015082</t>
        </is>
      </c>
      <c r="B702" t="inlineStr">
        <is>
          <t>MER00712</t>
        </is>
      </c>
      <c r="C702">
        <f>XLOOKUP(A702,tblInvoices[invoice_id],tblInvoices[total_invoice_amount])</f>
        <v/>
      </c>
      <c r="D702">
        <f>SUMIFS(tblPayments[payment_amount],tblPayments[invoice_id],A702,tblPayments[payment_status],"Success")</f>
        <v/>
      </c>
      <c r="E702">
        <f>D702-C702</f>
        <v/>
      </c>
      <c r="F702">
        <f>IFS(D702=0,"MISSING_PAYMENT",ABS(E702)&lt;=1,"MATCHED",E702&gt;1,"AMOUNT_MISMATCH",TRUE,"PARTIAL")</f>
        <v/>
      </c>
    </row>
    <row r="703">
      <c r="A703" t="inlineStr">
        <is>
          <t>INV0015083</t>
        </is>
      </c>
      <c r="B703" t="inlineStr">
        <is>
          <t>MER00712</t>
        </is>
      </c>
      <c r="C703">
        <f>XLOOKUP(A703,tblInvoices[invoice_id],tblInvoices[total_invoice_amount])</f>
        <v/>
      </c>
      <c r="D703">
        <f>SUMIFS(tblPayments[payment_amount],tblPayments[invoice_id],A703,tblPayments[payment_status],"Success")</f>
        <v/>
      </c>
      <c r="E703">
        <f>D703-C703</f>
        <v/>
      </c>
      <c r="F703">
        <f>IFS(D703=0,"MISSING_PAYMENT",ABS(E703)&lt;=1,"MATCHED",E703&gt;1,"AMOUNT_MISMATCH",TRUE,"PARTIAL")</f>
        <v/>
      </c>
    </row>
    <row r="704">
      <c r="A704" t="inlineStr">
        <is>
          <t>INV0015084</t>
        </is>
      </c>
      <c r="B704" t="inlineStr">
        <is>
          <t>MER00712</t>
        </is>
      </c>
      <c r="C704">
        <f>XLOOKUP(A704,tblInvoices[invoice_id],tblInvoices[total_invoice_amount])</f>
        <v/>
      </c>
      <c r="D704">
        <f>SUMIFS(tblPayments[payment_amount],tblPayments[invoice_id],A704,tblPayments[payment_status],"Success")</f>
        <v/>
      </c>
      <c r="E704">
        <f>D704-C704</f>
        <v/>
      </c>
      <c r="F704">
        <f>IFS(D704=0,"MISSING_PAYMENT",ABS(E704)&lt;=1,"MATCHED",E704&gt;1,"AMOUNT_MISMATCH",TRUE,"PARTIAL")</f>
        <v/>
      </c>
    </row>
    <row r="705">
      <c r="A705" t="inlineStr">
        <is>
          <t>INV0015085</t>
        </is>
      </c>
      <c r="B705" t="inlineStr">
        <is>
          <t>MER00712</t>
        </is>
      </c>
      <c r="C705">
        <f>XLOOKUP(A705,tblInvoices[invoice_id],tblInvoices[total_invoice_amount])</f>
        <v/>
      </c>
      <c r="D705">
        <f>SUMIFS(tblPayments[payment_amount],tblPayments[invoice_id],A705,tblPayments[payment_status],"Success")</f>
        <v/>
      </c>
      <c r="E705">
        <f>D705-C705</f>
        <v/>
      </c>
      <c r="F705">
        <f>IFS(D705=0,"MISSING_PAYMENT",ABS(E705)&lt;=1,"MATCHED",E705&gt;1,"AMOUNT_MISMATCH",TRUE,"PARTIAL")</f>
        <v/>
      </c>
    </row>
    <row r="706">
      <c r="A706" t="inlineStr">
        <is>
          <t>INV0015086</t>
        </is>
      </c>
      <c r="B706" t="inlineStr">
        <is>
          <t>MER00712</t>
        </is>
      </c>
      <c r="C706">
        <f>XLOOKUP(A706,tblInvoices[invoice_id],tblInvoices[total_invoice_amount])</f>
        <v/>
      </c>
      <c r="D706">
        <f>SUMIFS(tblPayments[payment_amount],tblPayments[invoice_id],A706,tblPayments[payment_status],"Success")</f>
        <v/>
      </c>
      <c r="E706">
        <f>D706-C706</f>
        <v/>
      </c>
      <c r="F706">
        <f>IFS(D706=0,"MISSING_PAYMENT",ABS(E706)&lt;=1,"MATCHED",E706&gt;1,"AMOUNT_MISMATCH",TRUE,"PARTIAL")</f>
        <v/>
      </c>
    </row>
    <row r="707">
      <c r="A707" t="inlineStr">
        <is>
          <t>INV0015087</t>
        </is>
      </c>
      <c r="B707" t="inlineStr">
        <is>
          <t>MER00712</t>
        </is>
      </c>
      <c r="C707">
        <f>XLOOKUP(A707,tblInvoices[invoice_id],tblInvoices[total_invoice_amount])</f>
        <v/>
      </c>
      <c r="D707">
        <f>SUMIFS(tblPayments[payment_amount],tblPayments[invoice_id],A707,tblPayments[payment_status],"Success")</f>
        <v/>
      </c>
      <c r="E707">
        <f>D707-C707</f>
        <v/>
      </c>
      <c r="F707">
        <f>IFS(D707=0,"MISSING_PAYMENT",ABS(E707)&lt;=1,"MATCHED",E707&gt;1,"AMOUNT_MISMATCH",TRUE,"PARTIAL")</f>
        <v/>
      </c>
    </row>
    <row r="708">
      <c r="A708" t="inlineStr">
        <is>
          <t>INV0015088</t>
        </is>
      </c>
      <c r="B708" t="inlineStr">
        <is>
          <t>MER00712</t>
        </is>
      </c>
      <c r="C708">
        <f>XLOOKUP(A708,tblInvoices[invoice_id],tblInvoices[total_invoice_amount])</f>
        <v/>
      </c>
      <c r="D708">
        <f>SUMIFS(tblPayments[payment_amount],tblPayments[invoice_id],A708,tblPayments[payment_status],"Success")</f>
        <v/>
      </c>
      <c r="E708">
        <f>D708-C708</f>
        <v/>
      </c>
      <c r="F708">
        <f>IFS(D708=0,"MISSING_PAYMENT",ABS(E708)&lt;=1,"MATCHED",E708&gt;1,"AMOUNT_MISMATCH",TRUE,"PARTIAL")</f>
        <v/>
      </c>
    </row>
    <row r="709">
      <c r="A709" t="inlineStr">
        <is>
          <t>INV0015089</t>
        </is>
      </c>
      <c r="B709" t="inlineStr">
        <is>
          <t>MER00712</t>
        </is>
      </c>
      <c r="C709">
        <f>XLOOKUP(A709,tblInvoices[invoice_id],tblInvoices[total_invoice_amount])</f>
        <v/>
      </c>
      <c r="D709">
        <f>SUMIFS(tblPayments[payment_amount],tblPayments[invoice_id],A709,tblPayments[payment_status],"Success")</f>
        <v/>
      </c>
      <c r="E709">
        <f>D709-C709</f>
        <v/>
      </c>
      <c r="F709">
        <f>IFS(D709=0,"MISSING_PAYMENT",ABS(E709)&lt;=1,"MATCHED",E709&gt;1,"AMOUNT_MISMATCH",TRUE,"PARTIAL")</f>
        <v/>
      </c>
    </row>
    <row r="710">
      <c r="A710" t="inlineStr">
        <is>
          <t>INV0015090</t>
        </is>
      </c>
      <c r="B710" t="inlineStr">
        <is>
          <t>MER00712</t>
        </is>
      </c>
      <c r="C710">
        <f>XLOOKUP(A710,tblInvoices[invoice_id],tblInvoices[total_invoice_amount])</f>
        <v/>
      </c>
      <c r="D710">
        <f>SUMIFS(tblPayments[payment_amount],tblPayments[invoice_id],A710,tblPayments[payment_status],"Success")</f>
        <v/>
      </c>
      <c r="E710">
        <f>D710-C710</f>
        <v/>
      </c>
      <c r="F710">
        <f>IFS(D710=0,"MISSING_PAYMENT",ABS(E710)&lt;=1,"MATCHED",E710&gt;1,"AMOUNT_MISMATCH",TRUE,"PARTIAL")</f>
        <v/>
      </c>
    </row>
    <row r="711">
      <c r="A711" t="inlineStr">
        <is>
          <t>INV0015091</t>
        </is>
      </c>
      <c r="B711" t="inlineStr">
        <is>
          <t>MER00712</t>
        </is>
      </c>
      <c r="C711">
        <f>XLOOKUP(A711,tblInvoices[invoice_id],tblInvoices[total_invoice_amount])</f>
        <v/>
      </c>
      <c r="D711">
        <f>SUMIFS(tblPayments[payment_amount],tblPayments[invoice_id],A711,tblPayments[payment_status],"Success")</f>
        <v/>
      </c>
      <c r="E711">
        <f>D711-C711</f>
        <v/>
      </c>
      <c r="F711">
        <f>IFS(D711=0,"MISSING_PAYMENT",ABS(E711)&lt;=1,"MATCHED",E711&gt;1,"AMOUNT_MISMATCH",TRUE,"PARTIAL")</f>
        <v/>
      </c>
    </row>
    <row r="712">
      <c r="A712" t="inlineStr">
        <is>
          <t>INV0015092</t>
        </is>
      </c>
      <c r="B712" t="inlineStr">
        <is>
          <t>MER00712</t>
        </is>
      </c>
      <c r="C712">
        <f>XLOOKUP(A712,tblInvoices[invoice_id],tblInvoices[total_invoice_amount])</f>
        <v/>
      </c>
      <c r="D712">
        <f>SUMIFS(tblPayments[payment_amount],tblPayments[invoice_id],A712,tblPayments[payment_status],"Success")</f>
        <v/>
      </c>
      <c r="E712">
        <f>D712-C712</f>
        <v/>
      </c>
      <c r="F712">
        <f>IFS(D712=0,"MISSING_PAYMENT",ABS(E712)&lt;=1,"MATCHED",E712&gt;1,"AMOUNT_MISMATCH",TRUE,"PARTIAL")</f>
        <v/>
      </c>
    </row>
    <row r="713">
      <c r="A713" t="inlineStr">
        <is>
          <t>INV0015093</t>
        </is>
      </c>
      <c r="B713" t="inlineStr">
        <is>
          <t>MER00712</t>
        </is>
      </c>
      <c r="C713">
        <f>XLOOKUP(A713,tblInvoices[invoice_id],tblInvoices[total_invoice_amount])</f>
        <v/>
      </c>
      <c r="D713">
        <f>SUMIFS(tblPayments[payment_amount],tblPayments[invoice_id],A713,tblPayments[payment_status],"Success")</f>
        <v/>
      </c>
      <c r="E713">
        <f>D713-C713</f>
        <v/>
      </c>
      <c r="F713">
        <f>IFS(D713=0,"MISSING_PAYMENT",ABS(E713)&lt;=1,"MATCHED",E713&gt;1,"AMOUNT_MISMATCH",TRUE,"PARTIAL")</f>
        <v/>
      </c>
    </row>
    <row r="714">
      <c r="A714" t="inlineStr">
        <is>
          <t>INV0015155</t>
        </is>
      </c>
      <c r="B714" t="inlineStr">
        <is>
          <t>MER00716</t>
        </is>
      </c>
      <c r="C714">
        <f>XLOOKUP(A714,tblInvoices[invoice_id],tblInvoices[total_invoice_amount])</f>
        <v/>
      </c>
      <c r="D714">
        <f>SUMIFS(tblPayments[payment_amount],tblPayments[invoice_id],A714,tblPayments[payment_status],"Success")</f>
        <v/>
      </c>
      <c r="E714">
        <f>D714-C714</f>
        <v/>
      </c>
      <c r="F714">
        <f>IFS(D714=0,"MISSING_PAYMENT",ABS(E714)&lt;=1,"MATCHED",E714&gt;1,"AMOUNT_MISMATCH",TRUE,"PARTIAL")</f>
        <v/>
      </c>
    </row>
    <row r="715">
      <c r="A715" t="inlineStr">
        <is>
          <t>INV0015156</t>
        </is>
      </c>
      <c r="B715" t="inlineStr">
        <is>
          <t>MER00716</t>
        </is>
      </c>
      <c r="C715">
        <f>XLOOKUP(A715,tblInvoices[invoice_id],tblInvoices[total_invoice_amount])</f>
        <v/>
      </c>
      <c r="D715">
        <f>SUMIFS(tblPayments[payment_amount],tblPayments[invoice_id],A715,tblPayments[payment_status],"Success")</f>
        <v/>
      </c>
      <c r="E715">
        <f>D715-C715</f>
        <v/>
      </c>
      <c r="F715">
        <f>IFS(D715=0,"MISSING_PAYMENT",ABS(E715)&lt;=1,"MATCHED",E715&gt;1,"AMOUNT_MISMATCH",TRUE,"PARTIAL")</f>
        <v/>
      </c>
    </row>
    <row r="716">
      <c r="A716" t="inlineStr">
        <is>
          <t>INV0015157</t>
        </is>
      </c>
      <c r="B716" t="inlineStr">
        <is>
          <t>MER00716</t>
        </is>
      </c>
      <c r="C716">
        <f>XLOOKUP(A716,tblInvoices[invoice_id],tblInvoices[total_invoice_amount])</f>
        <v/>
      </c>
      <c r="D716">
        <f>SUMIFS(tblPayments[payment_amount],tblPayments[invoice_id],A716,tblPayments[payment_status],"Success")</f>
        <v/>
      </c>
      <c r="E716">
        <f>D716-C716</f>
        <v/>
      </c>
      <c r="F716">
        <f>IFS(D716=0,"MISSING_PAYMENT",ABS(E716)&lt;=1,"MATCHED",E716&gt;1,"AMOUNT_MISMATCH",TRUE,"PARTIAL")</f>
        <v/>
      </c>
    </row>
    <row r="717">
      <c r="A717" t="inlineStr">
        <is>
          <t>INV0015158</t>
        </is>
      </c>
      <c r="B717" t="inlineStr">
        <is>
          <t>MER00716</t>
        </is>
      </c>
      <c r="C717">
        <f>XLOOKUP(A717,tblInvoices[invoice_id],tblInvoices[total_invoice_amount])</f>
        <v/>
      </c>
      <c r="D717">
        <f>SUMIFS(tblPayments[payment_amount],tblPayments[invoice_id],A717,tblPayments[payment_status],"Success")</f>
        <v/>
      </c>
      <c r="E717">
        <f>D717-C717</f>
        <v/>
      </c>
      <c r="F717">
        <f>IFS(D717=0,"MISSING_PAYMENT",ABS(E717)&lt;=1,"MATCHED",E717&gt;1,"AMOUNT_MISMATCH",TRUE,"PARTIAL")</f>
        <v/>
      </c>
    </row>
    <row r="718">
      <c r="A718" t="inlineStr">
        <is>
          <t>INV0015159</t>
        </is>
      </c>
      <c r="B718" t="inlineStr">
        <is>
          <t>MER00716</t>
        </is>
      </c>
      <c r="C718">
        <f>XLOOKUP(A718,tblInvoices[invoice_id],tblInvoices[total_invoice_amount])</f>
        <v/>
      </c>
      <c r="D718">
        <f>SUMIFS(tblPayments[payment_amount],tblPayments[invoice_id],A718,tblPayments[payment_status],"Success")</f>
        <v/>
      </c>
      <c r="E718">
        <f>D718-C718</f>
        <v/>
      </c>
      <c r="F718">
        <f>IFS(D718=0,"MISSING_PAYMENT",ABS(E718)&lt;=1,"MATCHED",E718&gt;1,"AMOUNT_MISMATCH",TRUE,"PARTIAL")</f>
        <v/>
      </c>
    </row>
    <row r="719">
      <c r="A719" t="inlineStr">
        <is>
          <t>INV0015160</t>
        </is>
      </c>
      <c r="B719" t="inlineStr">
        <is>
          <t>MER00716</t>
        </is>
      </c>
      <c r="C719">
        <f>XLOOKUP(A719,tblInvoices[invoice_id],tblInvoices[total_invoice_amount])</f>
        <v/>
      </c>
      <c r="D719">
        <f>SUMIFS(tblPayments[payment_amount],tblPayments[invoice_id],A719,tblPayments[payment_status],"Success")</f>
        <v/>
      </c>
      <c r="E719">
        <f>D719-C719</f>
        <v/>
      </c>
      <c r="F719">
        <f>IFS(D719=0,"MISSING_PAYMENT",ABS(E719)&lt;=1,"MATCHED",E719&gt;1,"AMOUNT_MISMATCH",TRUE,"PARTIAL")</f>
        <v/>
      </c>
    </row>
    <row r="720">
      <c r="A720" t="inlineStr">
        <is>
          <t>INV0015161</t>
        </is>
      </c>
      <c r="B720" t="inlineStr">
        <is>
          <t>MER00716</t>
        </is>
      </c>
      <c r="C720">
        <f>XLOOKUP(A720,tblInvoices[invoice_id],tblInvoices[total_invoice_amount])</f>
        <v/>
      </c>
      <c r="D720">
        <f>SUMIFS(tblPayments[payment_amount],tblPayments[invoice_id],A720,tblPayments[payment_status],"Success")</f>
        <v/>
      </c>
      <c r="E720">
        <f>D720-C720</f>
        <v/>
      </c>
      <c r="F720">
        <f>IFS(D720=0,"MISSING_PAYMENT",ABS(E720)&lt;=1,"MATCHED",E720&gt;1,"AMOUNT_MISMATCH",TRUE,"PARTIAL")</f>
        <v/>
      </c>
    </row>
    <row r="721">
      <c r="A721" t="inlineStr">
        <is>
          <t>INV0015162</t>
        </is>
      </c>
      <c r="B721" t="inlineStr">
        <is>
          <t>MER00716</t>
        </is>
      </c>
      <c r="C721">
        <f>XLOOKUP(A721,tblInvoices[invoice_id],tblInvoices[total_invoice_amount])</f>
        <v/>
      </c>
      <c r="D721">
        <f>SUMIFS(tblPayments[payment_amount],tblPayments[invoice_id],A721,tblPayments[payment_status],"Success")</f>
        <v/>
      </c>
      <c r="E721">
        <f>D721-C721</f>
        <v/>
      </c>
      <c r="F721">
        <f>IFS(D721=0,"MISSING_PAYMENT",ABS(E721)&lt;=1,"MATCHED",E721&gt;1,"AMOUNT_MISMATCH",TRUE,"PARTIAL")</f>
        <v/>
      </c>
    </row>
    <row r="722">
      <c r="A722" t="inlineStr">
        <is>
          <t>INV0015163</t>
        </is>
      </c>
      <c r="B722" t="inlineStr">
        <is>
          <t>MER00716</t>
        </is>
      </c>
      <c r="C722">
        <f>XLOOKUP(A722,tblInvoices[invoice_id],tblInvoices[total_invoice_amount])</f>
        <v/>
      </c>
      <c r="D722">
        <f>SUMIFS(tblPayments[payment_amount],tblPayments[invoice_id],A722,tblPayments[payment_status],"Success")</f>
        <v/>
      </c>
      <c r="E722">
        <f>D722-C722</f>
        <v/>
      </c>
      <c r="F722">
        <f>IFS(D722=0,"MISSING_PAYMENT",ABS(E722)&lt;=1,"MATCHED",E722&gt;1,"AMOUNT_MISMATCH",TRUE,"PARTIAL")</f>
        <v/>
      </c>
    </row>
    <row r="723">
      <c r="A723" t="inlineStr">
        <is>
          <t>INV0015164</t>
        </is>
      </c>
      <c r="B723" t="inlineStr">
        <is>
          <t>MER00716</t>
        </is>
      </c>
      <c r="C723">
        <f>XLOOKUP(A723,tblInvoices[invoice_id],tblInvoices[total_invoice_amount])</f>
        <v/>
      </c>
      <c r="D723">
        <f>SUMIFS(tblPayments[payment_amount],tblPayments[invoice_id],A723,tblPayments[payment_status],"Success")</f>
        <v/>
      </c>
      <c r="E723">
        <f>D723-C723</f>
        <v/>
      </c>
      <c r="F723">
        <f>IFS(D723=0,"MISSING_PAYMENT",ABS(E723)&lt;=1,"MATCHED",E723&gt;1,"AMOUNT_MISMATCH",TRUE,"PARTIAL")</f>
        <v/>
      </c>
    </row>
    <row r="724">
      <c r="A724" t="inlineStr">
        <is>
          <t>INV0015165</t>
        </is>
      </c>
      <c r="B724" t="inlineStr">
        <is>
          <t>MER00716</t>
        </is>
      </c>
      <c r="C724">
        <f>XLOOKUP(A724,tblInvoices[invoice_id],tblInvoices[total_invoice_amount])</f>
        <v/>
      </c>
      <c r="D724">
        <f>SUMIFS(tblPayments[payment_amount],tblPayments[invoice_id],A724,tblPayments[payment_status],"Success")</f>
        <v/>
      </c>
      <c r="E724">
        <f>D724-C724</f>
        <v/>
      </c>
      <c r="F724">
        <f>IFS(D724=0,"MISSING_PAYMENT",ABS(E724)&lt;=1,"MATCHED",E724&gt;1,"AMOUNT_MISMATCH",TRUE,"PARTIAL")</f>
        <v/>
      </c>
    </row>
    <row r="725">
      <c r="A725" t="inlineStr">
        <is>
          <t>INV0015166</t>
        </is>
      </c>
      <c r="B725" t="inlineStr">
        <is>
          <t>MER00716</t>
        </is>
      </c>
      <c r="C725">
        <f>XLOOKUP(A725,tblInvoices[invoice_id],tblInvoices[total_invoice_amount])</f>
        <v/>
      </c>
      <c r="D725">
        <f>SUMIFS(tblPayments[payment_amount],tblPayments[invoice_id],A725,tblPayments[payment_status],"Success")</f>
        <v/>
      </c>
      <c r="E725">
        <f>D725-C725</f>
        <v/>
      </c>
      <c r="F725">
        <f>IFS(D725=0,"MISSING_PAYMENT",ABS(E725)&lt;=1,"MATCHED",E725&gt;1,"AMOUNT_MISMATCH",TRUE,"PARTIAL")</f>
        <v/>
      </c>
    </row>
    <row r="726">
      <c r="A726" t="inlineStr">
        <is>
          <t>INV0015167</t>
        </is>
      </c>
      <c r="B726" t="inlineStr">
        <is>
          <t>MER00716</t>
        </is>
      </c>
      <c r="C726">
        <f>XLOOKUP(A726,tblInvoices[invoice_id],tblInvoices[total_invoice_amount])</f>
        <v/>
      </c>
      <c r="D726">
        <f>SUMIFS(tblPayments[payment_amount],tblPayments[invoice_id],A726,tblPayments[payment_status],"Success")</f>
        <v/>
      </c>
      <c r="E726">
        <f>D726-C726</f>
        <v/>
      </c>
      <c r="F726">
        <f>IFS(D726=0,"MISSING_PAYMENT",ABS(E726)&lt;=1,"MATCHED",E726&gt;1,"AMOUNT_MISMATCH",TRUE,"PARTIAL")</f>
        <v/>
      </c>
    </row>
    <row r="727">
      <c r="A727" t="inlineStr">
        <is>
          <t>INV0015168</t>
        </is>
      </c>
      <c r="B727" t="inlineStr">
        <is>
          <t>MER00716</t>
        </is>
      </c>
      <c r="C727">
        <f>XLOOKUP(A727,tblInvoices[invoice_id],tblInvoices[total_invoice_amount])</f>
        <v/>
      </c>
      <c r="D727">
        <f>SUMIFS(tblPayments[payment_amount],tblPayments[invoice_id],A727,tblPayments[payment_status],"Success")</f>
        <v/>
      </c>
      <c r="E727">
        <f>D727-C727</f>
        <v/>
      </c>
      <c r="F727">
        <f>IFS(D727=0,"MISSING_PAYMENT",ABS(E727)&lt;=1,"MATCHED",E727&gt;1,"AMOUNT_MISMATCH",TRUE,"PARTIAL")</f>
        <v/>
      </c>
    </row>
    <row r="728">
      <c r="A728" t="inlineStr">
        <is>
          <t>INV0015169</t>
        </is>
      </c>
      <c r="B728" t="inlineStr">
        <is>
          <t>MER00716</t>
        </is>
      </c>
      <c r="C728">
        <f>XLOOKUP(A728,tblInvoices[invoice_id],tblInvoices[total_invoice_amount])</f>
        <v/>
      </c>
      <c r="D728">
        <f>SUMIFS(tblPayments[payment_amount],tblPayments[invoice_id],A728,tblPayments[payment_status],"Success")</f>
        <v/>
      </c>
      <c r="E728">
        <f>D728-C728</f>
        <v/>
      </c>
      <c r="F728">
        <f>IFS(D728=0,"MISSING_PAYMENT",ABS(E728)&lt;=1,"MATCHED",E728&gt;1,"AMOUNT_MISMATCH",TRUE,"PARTIAL")</f>
        <v/>
      </c>
    </row>
    <row r="729">
      <c r="A729" t="inlineStr">
        <is>
          <t>INV0015170</t>
        </is>
      </c>
      <c r="B729" t="inlineStr">
        <is>
          <t>MER00716</t>
        </is>
      </c>
      <c r="C729">
        <f>XLOOKUP(A729,tblInvoices[invoice_id],tblInvoices[total_invoice_amount])</f>
        <v/>
      </c>
      <c r="D729">
        <f>SUMIFS(tblPayments[payment_amount],tblPayments[invoice_id],A729,tblPayments[payment_status],"Success")</f>
        <v/>
      </c>
      <c r="E729">
        <f>D729-C729</f>
        <v/>
      </c>
      <c r="F729">
        <f>IFS(D729=0,"MISSING_PAYMENT",ABS(E729)&lt;=1,"MATCHED",E729&gt;1,"AMOUNT_MISMATCH",TRUE,"PARTIAL")</f>
        <v/>
      </c>
    </row>
    <row r="730">
      <c r="A730" t="inlineStr">
        <is>
          <t>INV0015171</t>
        </is>
      </c>
      <c r="B730" t="inlineStr">
        <is>
          <t>MER00716</t>
        </is>
      </c>
      <c r="C730">
        <f>XLOOKUP(A730,tblInvoices[invoice_id],tblInvoices[total_invoice_amount])</f>
        <v/>
      </c>
      <c r="D730">
        <f>SUMIFS(tblPayments[payment_amount],tblPayments[invoice_id],A730,tblPayments[payment_status],"Success")</f>
        <v/>
      </c>
      <c r="E730">
        <f>D730-C730</f>
        <v/>
      </c>
      <c r="F730">
        <f>IFS(D730=0,"MISSING_PAYMENT",ABS(E730)&lt;=1,"MATCHED",E730&gt;1,"AMOUNT_MISMATCH",TRUE,"PARTIAL")</f>
        <v/>
      </c>
    </row>
    <row r="731">
      <c r="A731" t="inlineStr">
        <is>
          <t>INV0015172</t>
        </is>
      </c>
      <c r="B731" t="inlineStr">
        <is>
          <t>MER00716</t>
        </is>
      </c>
      <c r="C731">
        <f>XLOOKUP(A731,tblInvoices[invoice_id],tblInvoices[total_invoice_amount])</f>
        <v/>
      </c>
      <c r="D731">
        <f>SUMIFS(tblPayments[payment_amount],tblPayments[invoice_id],A731,tblPayments[payment_status],"Success")</f>
        <v/>
      </c>
      <c r="E731">
        <f>D731-C731</f>
        <v/>
      </c>
      <c r="F731">
        <f>IFS(D731=0,"MISSING_PAYMENT",ABS(E731)&lt;=1,"MATCHED",E731&gt;1,"AMOUNT_MISMATCH",TRUE,"PARTIAL")</f>
        <v/>
      </c>
    </row>
    <row r="732">
      <c r="A732" t="inlineStr">
        <is>
          <t>INV0015173</t>
        </is>
      </c>
      <c r="B732" t="inlineStr">
        <is>
          <t>MER00716</t>
        </is>
      </c>
      <c r="C732">
        <f>XLOOKUP(A732,tblInvoices[invoice_id],tblInvoices[total_invoice_amount])</f>
        <v/>
      </c>
      <c r="D732">
        <f>SUMIFS(tblPayments[payment_amount],tblPayments[invoice_id],A732,tblPayments[payment_status],"Success")</f>
        <v/>
      </c>
      <c r="E732">
        <f>D732-C732</f>
        <v/>
      </c>
      <c r="F732">
        <f>IFS(D732=0,"MISSING_PAYMENT",ABS(E732)&lt;=1,"MATCHED",E732&gt;1,"AMOUNT_MISMATCH",TRUE,"PARTIAL")</f>
        <v/>
      </c>
    </row>
    <row r="733">
      <c r="A733" t="inlineStr">
        <is>
          <t>INV0015174</t>
        </is>
      </c>
      <c r="B733" t="inlineStr">
        <is>
          <t>MER00716</t>
        </is>
      </c>
      <c r="C733">
        <f>XLOOKUP(A733,tblInvoices[invoice_id],tblInvoices[total_invoice_amount])</f>
        <v/>
      </c>
      <c r="D733">
        <f>SUMIFS(tblPayments[payment_amount],tblPayments[invoice_id],A733,tblPayments[payment_status],"Success")</f>
        <v/>
      </c>
      <c r="E733">
        <f>D733-C733</f>
        <v/>
      </c>
      <c r="F733">
        <f>IFS(D733=0,"MISSING_PAYMENT",ABS(E733)&lt;=1,"MATCHED",E733&gt;1,"AMOUNT_MISMATCH",TRUE,"PARTIAL")</f>
        <v/>
      </c>
    </row>
    <row r="734">
      <c r="A734" t="inlineStr">
        <is>
          <t>INV0015175</t>
        </is>
      </c>
      <c r="B734" t="inlineStr">
        <is>
          <t>MER00716</t>
        </is>
      </c>
      <c r="C734">
        <f>XLOOKUP(A734,tblInvoices[invoice_id],tblInvoices[total_invoice_amount])</f>
        <v/>
      </c>
      <c r="D734">
        <f>SUMIFS(tblPayments[payment_amount],tblPayments[invoice_id],A734,tblPayments[payment_status],"Success")</f>
        <v/>
      </c>
      <c r="E734">
        <f>D734-C734</f>
        <v/>
      </c>
      <c r="F734">
        <f>IFS(D734=0,"MISSING_PAYMENT",ABS(E734)&lt;=1,"MATCHED",E734&gt;1,"AMOUNT_MISMATCH",TRUE,"PARTIAL")</f>
        <v/>
      </c>
    </row>
    <row r="735">
      <c r="A735" t="inlineStr">
        <is>
          <t>INV0015176</t>
        </is>
      </c>
      <c r="B735" t="inlineStr">
        <is>
          <t>MER00716</t>
        </is>
      </c>
      <c r="C735">
        <f>XLOOKUP(A735,tblInvoices[invoice_id],tblInvoices[total_invoice_amount])</f>
        <v/>
      </c>
      <c r="D735">
        <f>SUMIFS(tblPayments[payment_amount],tblPayments[invoice_id],A735,tblPayments[payment_status],"Success")</f>
        <v/>
      </c>
      <c r="E735">
        <f>D735-C735</f>
        <v/>
      </c>
      <c r="F735">
        <f>IFS(D735=0,"MISSING_PAYMENT",ABS(E735)&lt;=1,"MATCHED",E735&gt;1,"AMOUNT_MISMATCH",TRUE,"PARTIAL")</f>
        <v/>
      </c>
    </row>
    <row r="736">
      <c r="A736" t="inlineStr">
        <is>
          <t>INV0015375</t>
        </is>
      </c>
      <c r="B736" t="inlineStr">
        <is>
          <t>MER00726</t>
        </is>
      </c>
      <c r="C736">
        <f>XLOOKUP(A736,tblInvoices[invoice_id],tblInvoices[total_invoice_amount])</f>
        <v/>
      </c>
      <c r="D736">
        <f>SUMIFS(tblPayments[payment_amount],tblPayments[invoice_id],A736,tblPayments[payment_status],"Success")</f>
        <v/>
      </c>
      <c r="E736">
        <f>D736-C736</f>
        <v/>
      </c>
      <c r="F736">
        <f>IFS(D736=0,"MISSING_PAYMENT",ABS(E736)&lt;=1,"MATCHED",E736&gt;1,"AMOUNT_MISMATCH",TRUE,"PARTIAL")</f>
        <v/>
      </c>
    </row>
    <row r="737">
      <c r="A737" t="inlineStr">
        <is>
          <t>INV0015376</t>
        </is>
      </c>
      <c r="B737" t="inlineStr">
        <is>
          <t>MER00726</t>
        </is>
      </c>
      <c r="C737">
        <f>XLOOKUP(A737,tblInvoices[invoice_id],tblInvoices[total_invoice_amount])</f>
        <v/>
      </c>
      <c r="D737">
        <f>SUMIFS(tblPayments[payment_amount],tblPayments[invoice_id],A737,tblPayments[payment_status],"Success")</f>
        <v/>
      </c>
      <c r="E737">
        <f>D737-C737</f>
        <v/>
      </c>
      <c r="F737">
        <f>IFS(D737=0,"MISSING_PAYMENT",ABS(E737)&lt;=1,"MATCHED",E737&gt;1,"AMOUNT_MISMATCH",TRUE,"PARTIAL")</f>
        <v/>
      </c>
    </row>
    <row r="738">
      <c r="A738" t="inlineStr">
        <is>
          <t>INV0015377</t>
        </is>
      </c>
      <c r="B738" t="inlineStr">
        <is>
          <t>MER00726</t>
        </is>
      </c>
      <c r="C738">
        <f>XLOOKUP(A738,tblInvoices[invoice_id],tblInvoices[total_invoice_amount])</f>
        <v/>
      </c>
      <c r="D738">
        <f>SUMIFS(tblPayments[payment_amount],tblPayments[invoice_id],A738,tblPayments[payment_status],"Success")</f>
        <v/>
      </c>
      <c r="E738">
        <f>D738-C738</f>
        <v/>
      </c>
      <c r="F738">
        <f>IFS(D738=0,"MISSING_PAYMENT",ABS(E738)&lt;=1,"MATCHED",E738&gt;1,"AMOUNT_MISMATCH",TRUE,"PARTIAL")</f>
        <v/>
      </c>
    </row>
    <row r="739">
      <c r="A739" t="inlineStr">
        <is>
          <t>INV0015378</t>
        </is>
      </c>
      <c r="B739" t="inlineStr">
        <is>
          <t>MER00726</t>
        </is>
      </c>
      <c r="C739">
        <f>XLOOKUP(A739,tblInvoices[invoice_id],tblInvoices[total_invoice_amount])</f>
        <v/>
      </c>
      <c r="D739">
        <f>SUMIFS(tblPayments[payment_amount],tblPayments[invoice_id],A739,tblPayments[payment_status],"Success")</f>
        <v/>
      </c>
      <c r="E739">
        <f>D739-C739</f>
        <v/>
      </c>
      <c r="F739">
        <f>IFS(D739=0,"MISSING_PAYMENT",ABS(E739)&lt;=1,"MATCHED",E739&gt;1,"AMOUNT_MISMATCH",TRUE,"PARTIAL")</f>
        <v/>
      </c>
    </row>
    <row r="740">
      <c r="A740" t="inlineStr">
        <is>
          <t>INV0015379</t>
        </is>
      </c>
      <c r="B740" t="inlineStr">
        <is>
          <t>MER00726</t>
        </is>
      </c>
      <c r="C740">
        <f>XLOOKUP(A740,tblInvoices[invoice_id],tblInvoices[total_invoice_amount])</f>
        <v/>
      </c>
      <c r="D740">
        <f>SUMIFS(tblPayments[payment_amount],tblPayments[invoice_id],A740,tblPayments[payment_status],"Success")</f>
        <v/>
      </c>
      <c r="E740">
        <f>D740-C740</f>
        <v/>
      </c>
      <c r="F740">
        <f>IFS(D740=0,"MISSING_PAYMENT",ABS(E740)&lt;=1,"MATCHED",E740&gt;1,"AMOUNT_MISMATCH",TRUE,"PARTIAL")</f>
        <v/>
      </c>
    </row>
    <row r="741">
      <c r="A741" t="inlineStr">
        <is>
          <t>INV0015380</t>
        </is>
      </c>
      <c r="B741" t="inlineStr">
        <is>
          <t>MER00726</t>
        </is>
      </c>
      <c r="C741">
        <f>XLOOKUP(A741,tblInvoices[invoice_id],tblInvoices[total_invoice_amount])</f>
        <v/>
      </c>
      <c r="D741">
        <f>SUMIFS(tblPayments[payment_amount],tblPayments[invoice_id],A741,tblPayments[payment_status],"Success")</f>
        <v/>
      </c>
      <c r="E741">
        <f>D741-C741</f>
        <v/>
      </c>
      <c r="F741">
        <f>IFS(D741=0,"MISSING_PAYMENT",ABS(E741)&lt;=1,"MATCHED",E741&gt;1,"AMOUNT_MISMATCH",TRUE,"PARTIAL")</f>
        <v/>
      </c>
    </row>
    <row r="742">
      <c r="A742" t="inlineStr">
        <is>
          <t>INV0015381</t>
        </is>
      </c>
      <c r="B742" t="inlineStr">
        <is>
          <t>MER00726</t>
        </is>
      </c>
      <c r="C742">
        <f>XLOOKUP(A742,tblInvoices[invoice_id],tblInvoices[total_invoice_amount])</f>
        <v/>
      </c>
      <c r="D742">
        <f>SUMIFS(tblPayments[payment_amount],tblPayments[invoice_id],A742,tblPayments[payment_status],"Success")</f>
        <v/>
      </c>
      <c r="E742">
        <f>D742-C742</f>
        <v/>
      </c>
      <c r="F742">
        <f>IFS(D742=0,"MISSING_PAYMENT",ABS(E742)&lt;=1,"MATCHED",E742&gt;1,"AMOUNT_MISMATCH",TRUE,"PARTIAL")</f>
        <v/>
      </c>
    </row>
    <row r="743">
      <c r="A743" t="inlineStr">
        <is>
          <t>INV0015382</t>
        </is>
      </c>
      <c r="B743" t="inlineStr">
        <is>
          <t>MER00726</t>
        </is>
      </c>
      <c r="C743">
        <f>XLOOKUP(A743,tblInvoices[invoice_id],tblInvoices[total_invoice_amount])</f>
        <v/>
      </c>
      <c r="D743">
        <f>SUMIFS(tblPayments[payment_amount],tblPayments[invoice_id],A743,tblPayments[payment_status],"Success")</f>
        <v/>
      </c>
      <c r="E743">
        <f>D743-C743</f>
        <v/>
      </c>
      <c r="F743">
        <f>IFS(D743=0,"MISSING_PAYMENT",ABS(E743)&lt;=1,"MATCHED",E743&gt;1,"AMOUNT_MISMATCH",TRUE,"PARTIAL")</f>
        <v/>
      </c>
    </row>
    <row r="744">
      <c r="A744" t="inlineStr">
        <is>
          <t>INV0015383</t>
        </is>
      </c>
      <c r="B744" t="inlineStr">
        <is>
          <t>MER00726</t>
        </is>
      </c>
      <c r="C744">
        <f>XLOOKUP(A744,tblInvoices[invoice_id],tblInvoices[total_invoice_amount])</f>
        <v/>
      </c>
      <c r="D744">
        <f>SUMIFS(tblPayments[payment_amount],tblPayments[invoice_id],A744,tblPayments[payment_status],"Success")</f>
        <v/>
      </c>
      <c r="E744">
        <f>D744-C744</f>
        <v/>
      </c>
      <c r="F744">
        <f>IFS(D744=0,"MISSING_PAYMENT",ABS(E744)&lt;=1,"MATCHED",E744&gt;1,"AMOUNT_MISMATCH",TRUE,"PARTIAL")</f>
        <v/>
      </c>
    </row>
    <row r="745">
      <c r="A745" t="inlineStr">
        <is>
          <t>INV0015384</t>
        </is>
      </c>
      <c r="B745" t="inlineStr">
        <is>
          <t>MER00726</t>
        </is>
      </c>
      <c r="C745">
        <f>XLOOKUP(A745,tblInvoices[invoice_id],tblInvoices[total_invoice_amount])</f>
        <v/>
      </c>
      <c r="D745">
        <f>SUMIFS(tblPayments[payment_amount],tblPayments[invoice_id],A745,tblPayments[payment_status],"Success")</f>
        <v/>
      </c>
      <c r="E745">
        <f>D745-C745</f>
        <v/>
      </c>
      <c r="F745">
        <f>IFS(D745=0,"MISSING_PAYMENT",ABS(E745)&lt;=1,"MATCHED",E745&gt;1,"AMOUNT_MISMATCH",TRUE,"PARTIAL")</f>
        <v/>
      </c>
    </row>
    <row r="746">
      <c r="A746" t="inlineStr">
        <is>
          <t>INV0015385</t>
        </is>
      </c>
      <c r="B746" t="inlineStr">
        <is>
          <t>MER00726</t>
        </is>
      </c>
      <c r="C746">
        <f>XLOOKUP(A746,tblInvoices[invoice_id],tblInvoices[total_invoice_amount])</f>
        <v/>
      </c>
      <c r="D746">
        <f>SUMIFS(tblPayments[payment_amount],tblPayments[invoice_id],A746,tblPayments[payment_status],"Success")</f>
        <v/>
      </c>
      <c r="E746">
        <f>D746-C746</f>
        <v/>
      </c>
      <c r="F746">
        <f>IFS(D746=0,"MISSING_PAYMENT",ABS(E746)&lt;=1,"MATCHED",E746&gt;1,"AMOUNT_MISMATCH",TRUE,"PARTIAL")</f>
        <v/>
      </c>
    </row>
    <row r="747">
      <c r="A747" t="inlineStr">
        <is>
          <t>INV0015386</t>
        </is>
      </c>
      <c r="B747" t="inlineStr">
        <is>
          <t>MER00726</t>
        </is>
      </c>
      <c r="C747">
        <f>XLOOKUP(A747,tblInvoices[invoice_id],tblInvoices[total_invoice_amount])</f>
        <v/>
      </c>
      <c r="D747">
        <f>SUMIFS(tblPayments[payment_amount],tblPayments[invoice_id],A747,tblPayments[payment_status],"Success")</f>
        <v/>
      </c>
      <c r="E747">
        <f>D747-C747</f>
        <v/>
      </c>
      <c r="F747">
        <f>IFS(D747=0,"MISSING_PAYMENT",ABS(E747)&lt;=1,"MATCHED",E747&gt;1,"AMOUNT_MISMATCH",TRUE,"PARTIAL")</f>
        <v/>
      </c>
    </row>
    <row r="748">
      <c r="A748" t="inlineStr">
        <is>
          <t>INV0015387</t>
        </is>
      </c>
      <c r="B748" t="inlineStr">
        <is>
          <t>MER00726</t>
        </is>
      </c>
      <c r="C748">
        <f>XLOOKUP(A748,tblInvoices[invoice_id],tblInvoices[total_invoice_amount])</f>
        <v/>
      </c>
      <c r="D748">
        <f>SUMIFS(tblPayments[payment_amount],tblPayments[invoice_id],A748,tblPayments[payment_status],"Success")</f>
        <v/>
      </c>
      <c r="E748">
        <f>D748-C748</f>
        <v/>
      </c>
      <c r="F748">
        <f>IFS(D748=0,"MISSING_PAYMENT",ABS(E748)&lt;=1,"MATCHED",E748&gt;1,"AMOUNT_MISMATCH",TRUE,"PARTIAL")</f>
        <v/>
      </c>
    </row>
    <row r="749">
      <c r="A749" t="inlineStr">
        <is>
          <t>INV0015388</t>
        </is>
      </c>
      <c r="B749" t="inlineStr">
        <is>
          <t>MER00726</t>
        </is>
      </c>
      <c r="C749">
        <f>XLOOKUP(A749,tblInvoices[invoice_id],tblInvoices[total_invoice_amount])</f>
        <v/>
      </c>
      <c r="D749">
        <f>SUMIFS(tblPayments[payment_amount],tblPayments[invoice_id],A749,tblPayments[payment_status],"Success")</f>
        <v/>
      </c>
      <c r="E749">
        <f>D749-C749</f>
        <v/>
      </c>
      <c r="F749">
        <f>IFS(D749=0,"MISSING_PAYMENT",ABS(E749)&lt;=1,"MATCHED",E749&gt;1,"AMOUNT_MISMATCH",TRUE,"PARTIAL")</f>
        <v/>
      </c>
    </row>
    <row r="750">
      <c r="A750" t="inlineStr">
        <is>
          <t>INV0015389</t>
        </is>
      </c>
      <c r="B750" t="inlineStr">
        <is>
          <t>MER00726</t>
        </is>
      </c>
      <c r="C750">
        <f>XLOOKUP(A750,tblInvoices[invoice_id],tblInvoices[total_invoice_amount])</f>
        <v/>
      </c>
      <c r="D750">
        <f>SUMIFS(tblPayments[payment_amount],tblPayments[invoice_id],A750,tblPayments[payment_status],"Success")</f>
        <v/>
      </c>
      <c r="E750">
        <f>D750-C750</f>
        <v/>
      </c>
      <c r="F750">
        <f>IFS(D750=0,"MISSING_PAYMENT",ABS(E750)&lt;=1,"MATCHED",E750&gt;1,"AMOUNT_MISMATCH",TRUE,"PARTIAL")</f>
        <v/>
      </c>
    </row>
    <row r="751">
      <c r="A751" t="inlineStr">
        <is>
          <t>INV0015390</t>
        </is>
      </c>
      <c r="B751" t="inlineStr">
        <is>
          <t>MER00726</t>
        </is>
      </c>
      <c r="C751">
        <f>XLOOKUP(A751,tblInvoices[invoice_id],tblInvoices[total_invoice_amount])</f>
        <v/>
      </c>
      <c r="D751">
        <f>SUMIFS(tblPayments[payment_amount],tblPayments[invoice_id],A751,tblPayments[payment_status],"Success")</f>
        <v/>
      </c>
      <c r="E751">
        <f>D751-C751</f>
        <v/>
      </c>
      <c r="F751">
        <f>IFS(D751=0,"MISSING_PAYMENT",ABS(E751)&lt;=1,"MATCHED",E751&gt;1,"AMOUNT_MISMATCH",TRUE,"PARTIAL")</f>
        <v/>
      </c>
    </row>
    <row r="752">
      <c r="A752" t="inlineStr">
        <is>
          <t>INV0015391</t>
        </is>
      </c>
      <c r="B752" t="inlineStr">
        <is>
          <t>MER00726</t>
        </is>
      </c>
      <c r="C752">
        <f>XLOOKUP(A752,tblInvoices[invoice_id],tblInvoices[total_invoice_amount])</f>
        <v/>
      </c>
      <c r="D752">
        <f>SUMIFS(tblPayments[payment_amount],tblPayments[invoice_id],A752,tblPayments[payment_status],"Success")</f>
        <v/>
      </c>
      <c r="E752">
        <f>D752-C752</f>
        <v/>
      </c>
      <c r="F752">
        <f>IFS(D752=0,"MISSING_PAYMENT",ABS(E752)&lt;=1,"MATCHED",E752&gt;1,"AMOUNT_MISMATCH",TRUE,"PARTIAL")</f>
        <v/>
      </c>
    </row>
    <row r="753">
      <c r="A753" t="inlineStr">
        <is>
          <t>INV0015392</t>
        </is>
      </c>
      <c r="B753" t="inlineStr">
        <is>
          <t>MER00726</t>
        </is>
      </c>
      <c r="C753">
        <f>XLOOKUP(A753,tblInvoices[invoice_id],tblInvoices[total_invoice_amount])</f>
        <v/>
      </c>
      <c r="D753">
        <f>SUMIFS(tblPayments[payment_amount],tblPayments[invoice_id],A753,tblPayments[payment_status],"Success")</f>
        <v/>
      </c>
      <c r="E753">
        <f>D753-C753</f>
        <v/>
      </c>
      <c r="F753">
        <f>IFS(D753=0,"MISSING_PAYMENT",ABS(E753)&lt;=1,"MATCHED",E753&gt;1,"AMOUNT_MISMATCH",TRUE,"PARTIAL")</f>
        <v/>
      </c>
    </row>
    <row r="754">
      <c r="A754" t="inlineStr">
        <is>
          <t>INV0015393</t>
        </is>
      </c>
      <c r="B754" t="inlineStr">
        <is>
          <t>MER00726</t>
        </is>
      </c>
      <c r="C754">
        <f>XLOOKUP(A754,tblInvoices[invoice_id],tblInvoices[total_invoice_amount])</f>
        <v/>
      </c>
      <c r="D754">
        <f>SUMIFS(tblPayments[payment_amount],tblPayments[invoice_id],A754,tblPayments[payment_status],"Success")</f>
        <v/>
      </c>
      <c r="E754">
        <f>D754-C754</f>
        <v/>
      </c>
      <c r="F754">
        <f>IFS(D754=0,"MISSING_PAYMENT",ABS(E754)&lt;=1,"MATCHED",E754&gt;1,"AMOUNT_MISMATCH",TRUE,"PARTIAL")</f>
        <v/>
      </c>
    </row>
    <row r="755">
      <c r="A755" t="inlineStr">
        <is>
          <t>INV0015394</t>
        </is>
      </c>
      <c r="B755" t="inlineStr">
        <is>
          <t>MER00726</t>
        </is>
      </c>
      <c r="C755">
        <f>XLOOKUP(A755,tblInvoices[invoice_id],tblInvoices[total_invoice_amount])</f>
        <v/>
      </c>
      <c r="D755">
        <f>SUMIFS(tblPayments[payment_amount],tblPayments[invoice_id],A755,tblPayments[payment_status],"Success")</f>
        <v/>
      </c>
      <c r="E755">
        <f>D755-C755</f>
        <v/>
      </c>
      <c r="F755">
        <f>IFS(D755=0,"MISSING_PAYMENT",ABS(E755)&lt;=1,"MATCHED",E755&gt;1,"AMOUNT_MISMATCH",TRUE,"PARTIAL")</f>
        <v/>
      </c>
    </row>
    <row r="756">
      <c r="A756" t="inlineStr">
        <is>
          <t>INV0015395</t>
        </is>
      </c>
      <c r="B756" t="inlineStr">
        <is>
          <t>MER00726</t>
        </is>
      </c>
      <c r="C756">
        <f>XLOOKUP(A756,tblInvoices[invoice_id],tblInvoices[total_invoice_amount])</f>
        <v/>
      </c>
      <c r="D756">
        <f>SUMIFS(tblPayments[payment_amount],tblPayments[invoice_id],A756,tblPayments[payment_status],"Success")</f>
        <v/>
      </c>
      <c r="E756">
        <f>D756-C756</f>
        <v/>
      </c>
      <c r="F756">
        <f>IFS(D756=0,"MISSING_PAYMENT",ABS(E756)&lt;=1,"MATCHED",E756&gt;1,"AMOUNT_MISMATCH",TRUE,"PARTIAL")</f>
        <v/>
      </c>
    </row>
    <row r="757">
      <c r="A757" t="inlineStr">
        <is>
          <t>INV0015396</t>
        </is>
      </c>
      <c r="B757" t="inlineStr">
        <is>
          <t>MER00726</t>
        </is>
      </c>
      <c r="C757">
        <f>XLOOKUP(A757,tblInvoices[invoice_id],tblInvoices[total_invoice_amount])</f>
        <v/>
      </c>
      <c r="D757">
        <f>SUMIFS(tblPayments[payment_amount],tblPayments[invoice_id],A757,tblPayments[payment_status],"Success")</f>
        <v/>
      </c>
      <c r="E757">
        <f>D757-C757</f>
        <v/>
      </c>
      <c r="F757">
        <f>IFS(D757=0,"MISSING_PAYMENT",ABS(E757)&lt;=1,"MATCHED",E757&gt;1,"AMOUNT_MISMATCH",TRUE,"PARTIAL")</f>
        <v/>
      </c>
    </row>
    <row r="758">
      <c r="A758" t="inlineStr">
        <is>
          <t>INV0015397</t>
        </is>
      </c>
      <c r="B758" t="inlineStr">
        <is>
          <t>MER00726</t>
        </is>
      </c>
      <c r="C758">
        <f>XLOOKUP(A758,tblInvoices[invoice_id],tblInvoices[total_invoice_amount])</f>
        <v/>
      </c>
      <c r="D758">
        <f>SUMIFS(tblPayments[payment_amount],tblPayments[invoice_id],A758,tblPayments[payment_status],"Success")</f>
        <v/>
      </c>
      <c r="E758">
        <f>D758-C758</f>
        <v/>
      </c>
      <c r="F758">
        <f>IFS(D758=0,"MISSING_PAYMENT",ABS(E758)&lt;=1,"MATCHED",E758&gt;1,"AMOUNT_MISMATCH",TRUE,"PARTIAL")</f>
        <v/>
      </c>
    </row>
    <row r="759">
      <c r="A759" t="inlineStr">
        <is>
          <t>INV0015398</t>
        </is>
      </c>
      <c r="B759" t="inlineStr">
        <is>
          <t>MER00726</t>
        </is>
      </c>
      <c r="C759">
        <f>XLOOKUP(A759,tblInvoices[invoice_id],tblInvoices[total_invoice_amount])</f>
        <v/>
      </c>
      <c r="D759">
        <f>SUMIFS(tblPayments[payment_amount],tblPayments[invoice_id],A759,tblPayments[payment_status],"Success")</f>
        <v/>
      </c>
      <c r="E759">
        <f>D759-C759</f>
        <v/>
      </c>
      <c r="F759">
        <f>IFS(D759=0,"MISSING_PAYMENT",ABS(E759)&lt;=1,"MATCHED",E759&gt;1,"AMOUNT_MISMATCH",TRUE,"PARTIAL")</f>
        <v/>
      </c>
    </row>
    <row r="760">
      <c r="A760" t="inlineStr">
        <is>
          <t>INV0015422</t>
        </is>
      </c>
      <c r="B760" t="inlineStr">
        <is>
          <t>MER00728</t>
        </is>
      </c>
      <c r="C760">
        <f>XLOOKUP(A760,tblInvoices[invoice_id],tblInvoices[total_invoice_amount])</f>
        <v/>
      </c>
      <c r="D760">
        <f>SUMIFS(tblPayments[payment_amount],tblPayments[invoice_id],A760,tblPayments[payment_status],"Success")</f>
        <v/>
      </c>
      <c r="E760">
        <f>D760-C760</f>
        <v/>
      </c>
      <c r="F760">
        <f>IFS(D760=0,"MISSING_PAYMENT",ABS(E760)&lt;=1,"MATCHED",E760&gt;1,"AMOUNT_MISMATCH",TRUE,"PARTIAL")</f>
        <v/>
      </c>
    </row>
    <row r="761">
      <c r="A761" t="inlineStr">
        <is>
          <t>INV0015423</t>
        </is>
      </c>
      <c r="B761" t="inlineStr">
        <is>
          <t>MER00728</t>
        </is>
      </c>
      <c r="C761">
        <f>XLOOKUP(A761,tblInvoices[invoice_id],tblInvoices[total_invoice_amount])</f>
        <v/>
      </c>
      <c r="D761">
        <f>SUMIFS(tblPayments[payment_amount],tblPayments[invoice_id],A761,tblPayments[payment_status],"Success")</f>
        <v/>
      </c>
      <c r="E761">
        <f>D761-C761</f>
        <v/>
      </c>
      <c r="F761">
        <f>IFS(D761=0,"MISSING_PAYMENT",ABS(E761)&lt;=1,"MATCHED",E761&gt;1,"AMOUNT_MISMATCH",TRUE,"PARTIAL")</f>
        <v/>
      </c>
    </row>
    <row r="762">
      <c r="A762" t="inlineStr">
        <is>
          <t>INV0015424</t>
        </is>
      </c>
      <c r="B762" t="inlineStr">
        <is>
          <t>MER00728</t>
        </is>
      </c>
      <c r="C762">
        <f>XLOOKUP(A762,tblInvoices[invoice_id],tblInvoices[total_invoice_amount])</f>
        <v/>
      </c>
      <c r="D762">
        <f>SUMIFS(tblPayments[payment_amount],tblPayments[invoice_id],A762,tblPayments[payment_status],"Success")</f>
        <v/>
      </c>
      <c r="E762">
        <f>D762-C762</f>
        <v/>
      </c>
      <c r="F762">
        <f>IFS(D762=0,"MISSING_PAYMENT",ABS(E762)&lt;=1,"MATCHED",E762&gt;1,"AMOUNT_MISMATCH",TRUE,"PARTIAL")</f>
        <v/>
      </c>
    </row>
    <row r="763">
      <c r="A763" t="inlineStr">
        <is>
          <t>INV0015425</t>
        </is>
      </c>
      <c r="B763" t="inlineStr">
        <is>
          <t>MER00728</t>
        </is>
      </c>
      <c r="C763">
        <f>XLOOKUP(A763,tblInvoices[invoice_id],tblInvoices[total_invoice_amount])</f>
        <v/>
      </c>
      <c r="D763">
        <f>SUMIFS(tblPayments[payment_amount],tblPayments[invoice_id],A763,tblPayments[payment_status],"Success")</f>
        <v/>
      </c>
      <c r="E763">
        <f>D763-C763</f>
        <v/>
      </c>
      <c r="F763">
        <f>IFS(D763=0,"MISSING_PAYMENT",ABS(E763)&lt;=1,"MATCHED",E763&gt;1,"AMOUNT_MISMATCH",TRUE,"PARTIAL")</f>
        <v/>
      </c>
    </row>
    <row r="764">
      <c r="A764" t="inlineStr">
        <is>
          <t>INV0015426</t>
        </is>
      </c>
      <c r="B764" t="inlineStr">
        <is>
          <t>MER00728</t>
        </is>
      </c>
      <c r="C764">
        <f>XLOOKUP(A764,tblInvoices[invoice_id],tblInvoices[total_invoice_amount])</f>
        <v/>
      </c>
      <c r="D764">
        <f>SUMIFS(tblPayments[payment_amount],tblPayments[invoice_id],A764,tblPayments[payment_status],"Success")</f>
        <v/>
      </c>
      <c r="E764">
        <f>D764-C764</f>
        <v/>
      </c>
      <c r="F764">
        <f>IFS(D764=0,"MISSING_PAYMENT",ABS(E764)&lt;=1,"MATCHED",E764&gt;1,"AMOUNT_MISMATCH",TRUE,"PARTIAL")</f>
        <v/>
      </c>
    </row>
    <row r="765">
      <c r="A765" t="inlineStr">
        <is>
          <t>INV0015427</t>
        </is>
      </c>
      <c r="B765" t="inlineStr">
        <is>
          <t>MER00728</t>
        </is>
      </c>
      <c r="C765">
        <f>XLOOKUP(A765,tblInvoices[invoice_id],tblInvoices[total_invoice_amount])</f>
        <v/>
      </c>
      <c r="D765">
        <f>SUMIFS(tblPayments[payment_amount],tblPayments[invoice_id],A765,tblPayments[payment_status],"Success")</f>
        <v/>
      </c>
      <c r="E765">
        <f>D765-C765</f>
        <v/>
      </c>
      <c r="F765">
        <f>IFS(D765=0,"MISSING_PAYMENT",ABS(E765)&lt;=1,"MATCHED",E765&gt;1,"AMOUNT_MISMATCH",TRUE,"PARTIAL")</f>
        <v/>
      </c>
    </row>
    <row r="766">
      <c r="A766" t="inlineStr">
        <is>
          <t>INV0015428</t>
        </is>
      </c>
      <c r="B766" t="inlineStr">
        <is>
          <t>MER00728</t>
        </is>
      </c>
      <c r="C766">
        <f>XLOOKUP(A766,tblInvoices[invoice_id],tblInvoices[total_invoice_amount])</f>
        <v/>
      </c>
      <c r="D766">
        <f>SUMIFS(tblPayments[payment_amount],tblPayments[invoice_id],A766,tblPayments[payment_status],"Success")</f>
        <v/>
      </c>
      <c r="E766">
        <f>D766-C766</f>
        <v/>
      </c>
      <c r="F766">
        <f>IFS(D766=0,"MISSING_PAYMENT",ABS(E766)&lt;=1,"MATCHED",E766&gt;1,"AMOUNT_MISMATCH",TRUE,"PARTIAL")</f>
        <v/>
      </c>
    </row>
    <row r="767">
      <c r="A767" t="inlineStr">
        <is>
          <t>INV0015429</t>
        </is>
      </c>
      <c r="B767" t="inlineStr">
        <is>
          <t>MER00728</t>
        </is>
      </c>
      <c r="C767">
        <f>XLOOKUP(A767,tblInvoices[invoice_id],tblInvoices[total_invoice_amount])</f>
        <v/>
      </c>
      <c r="D767">
        <f>SUMIFS(tblPayments[payment_amount],tblPayments[invoice_id],A767,tblPayments[payment_status],"Success")</f>
        <v/>
      </c>
      <c r="E767">
        <f>D767-C767</f>
        <v/>
      </c>
      <c r="F767">
        <f>IFS(D767=0,"MISSING_PAYMENT",ABS(E767)&lt;=1,"MATCHED",E767&gt;1,"AMOUNT_MISMATCH",TRUE,"PARTIAL")</f>
        <v/>
      </c>
    </row>
    <row r="768">
      <c r="A768" t="inlineStr">
        <is>
          <t>INV0015430</t>
        </is>
      </c>
      <c r="B768" t="inlineStr">
        <is>
          <t>MER00728</t>
        </is>
      </c>
      <c r="C768">
        <f>XLOOKUP(A768,tblInvoices[invoice_id],tblInvoices[total_invoice_amount])</f>
        <v/>
      </c>
      <c r="D768">
        <f>SUMIFS(tblPayments[payment_amount],tblPayments[invoice_id],A768,tblPayments[payment_status],"Success")</f>
        <v/>
      </c>
      <c r="E768">
        <f>D768-C768</f>
        <v/>
      </c>
      <c r="F768">
        <f>IFS(D768=0,"MISSING_PAYMENT",ABS(E768)&lt;=1,"MATCHED",E768&gt;1,"AMOUNT_MISMATCH",TRUE,"PARTIAL")</f>
        <v/>
      </c>
    </row>
    <row r="769">
      <c r="A769" t="inlineStr">
        <is>
          <t>INV0015431</t>
        </is>
      </c>
      <c r="B769" t="inlineStr">
        <is>
          <t>MER00728</t>
        </is>
      </c>
      <c r="C769">
        <f>XLOOKUP(A769,tblInvoices[invoice_id],tblInvoices[total_invoice_amount])</f>
        <v/>
      </c>
      <c r="D769">
        <f>SUMIFS(tblPayments[payment_amount],tblPayments[invoice_id],A769,tblPayments[payment_status],"Success")</f>
        <v/>
      </c>
      <c r="E769">
        <f>D769-C769</f>
        <v/>
      </c>
      <c r="F769">
        <f>IFS(D769=0,"MISSING_PAYMENT",ABS(E769)&lt;=1,"MATCHED",E769&gt;1,"AMOUNT_MISMATCH",TRUE,"PARTIAL")</f>
        <v/>
      </c>
    </row>
    <row r="770">
      <c r="A770" t="inlineStr">
        <is>
          <t>INV0015432</t>
        </is>
      </c>
      <c r="B770" t="inlineStr">
        <is>
          <t>MER00728</t>
        </is>
      </c>
      <c r="C770">
        <f>XLOOKUP(A770,tblInvoices[invoice_id],tblInvoices[total_invoice_amount])</f>
        <v/>
      </c>
      <c r="D770">
        <f>SUMIFS(tblPayments[payment_amount],tblPayments[invoice_id],A770,tblPayments[payment_status],"Success")</f>
        <v/>
      </c>
      <c r="E770">
        <f>D770-C770</f>
        <v/>
      </c>
      <c r="F770">
        <f>IFS(D770=0,"MISSING_PAYMENT",ABS(E770)&lt;=1,"MATCHED",E770&gt;1,"AMOUNT_MISMATCH",TRUE,"PARTIAL")</f>
        <v/>
      </c>
    </row>
    <row r="771">
      <c r="A771" t="inlineStr">
        <is>
          <t>INV0015433</t>
        </is>
      </c>
      <c r="B771" t="inlineStr">
        <is>
          <t>MER00728</t>
        </is>
      </c>
      <c r="C771">
        <f>XLOOKUP(A771,tblInvoices[invoice_id],tblInvoices[total_invoice_amount])</f>
        <v/>
      </c>
      <c r="D771">
        <f>SUMIFS(tblPayments[payment_amount],tblPayments[invoice_id],A771,tblPayments[payment_status],"Success")</f>
        <v/>
      </c>
      <c r="E771">
        <f>D771-C771</f>
        <v/>
      </c>
      <c r="F771">
        <f>IFS(D771=0,"MISSING_PAYMENT",ABS(E771)&lt;=1,"MATCHED",E771&gt;1,"AMOUNT_MISMATCH",TRUE,"PARTIAL")</f>
        <v/>
      </c>
    </row>
    <row r="772">
      <c r="A772" t="inlineStr">
        <is>
          <t>INV0015434</t>
        </is>
      </c>
      <c r="B772" t="inlineStr">
        <is>
          <t>MER00728</t>
        </is>
      </c>
      <c r="C772">
        <f>XLOOKUP(A772,tblInvoices[invoice_id],tblInvoices[total_invoice_amount])</f>
        <v/>
      </c>
      <c r="D772">
        <f>SUMIFS(tblPayments[payment_amount],tblPayments[invoice_id],A772,tblPayments[payment_status],"Success")</f>
        <v/>
      </c>
      <c r="E772">
        <f>D772-C772</f>
        <v/>
      </c>
      <c r="F772">
        <f>IFS(D772=0,"MISSING_PAYMENT",ABS(E772)&lt;=1,"MATCHED",E772&gt;1,"AMOUNT_MISMATCH",TRUE,"PARTIAL")</f>
        <v/>
      </c>
    </row>
    <row r="773">
      <c r="A773" t="inlineStr">
        <is>
          <t>INV0015435</t>
        </is>
      </c>
      <c r="B773" t="inlineStr">
        <is>
          <t>MER00728</t>
        </is>
      </c>
      <c r="C773">
        <f>XLOOKUP(A773,tblInvoices[invoice_id],tblInvoices[total_invoice_amount])</f>
        <v/>
      </c>
      <c r="D773">
        <f>SUMIFS(tblPayments[payment_amount],tblPayments[invoice_id],A773,tblPayments[payment_status],"Success")</f>
        <v/>
      </c>
      <c r="E773">
        <f>D773-C773</f>
        <v/>
      </c>
      <c r="F773">
        <f>IFS(D773=0,"MISSING_PAYMENT",ABS(E773)&lt;=1,"MATCHED",E773&gt;1,"AMOUNT_MISMATCH",TRUE,"PARTIAL")</f>
        <v/>
      </c>
    </row>
    <row r="774">
      <c r="A774" t="inlineStr">
        <is>
          <t>INV0015436</t>
        </is>
      </c>
      <c r="B774" t="inlineStr">
        <is>
          <t>MER00728</t>
        </is>
      </c>
      <c r="C774">
        <f>XLOOKUP(A774,tblInvoices[invoice_id],tblInvoices[total_invoice_amount])</f>
        <v/>
      </c>
      <c r="D774">
        <f>SUMIFS(tblPayments[payment_amount],tblPayments[invoice_id],A774,tblPayments[payment_status],"Success")</f>
        <v/>
      </c>
      <c r="E774">
        <f>D774-C774</f>
        <v/>
      </c>
      <c r="F774">
        <f>IFS(D774=0,"MISSING_PAYMENT",ABS(E774)&lt;=1,"MATCHED",E774&gt;1,"AMOUNT_MISMATCH",TRUE,"PARTIAL")</f>
        <v/>
      </c>
    </row>
    <row r="775">
      <c r="A775" t="inlineStr">
        <is>
          <t>INV0015437</t>
        </is>
      </c>
      <c r="B775" t="inlineStr">
        <is>
          <t>MER00728</t>
        </is>
      </c>
      <c r="C775">
        <f>XLOOKUP(A775,tblInvoices[invoice_id],tblInvoices[total_invoice_amount])</f>
        <v/>
      </c>
      <c r="D775">
        <f>SUMIFS(tblPayments[payment_amount],tblPayments[invoice_id],A775,tblPayments[payment_status],"Success")</f>
        <v/>
      </c>
      <c r="E775">
        <f>D775-C775</f>
        <v/>
      </c>
      <c r="F775">
        <f>IFS(D775=0,"MISSING_PAYMENT",ABS(E775)&lt;=1,"MATCHED",E775&gt;1,"AMOUNT_MISMATCH",TRUE,"PARTIAL")</f>
        <v/>
      </c>
    </row>
    <row r="776">
      <c r="A776" t="inlineStr">
        <is>
          <t>INV0015438</t>
        </is>
      </c>
      <c r="B776" t="inlineStr">
        <is>
          <t>MER00728</t>
        </is>
      </c>
      <c r="C776">
        <f>XLOOKUP(A776,tblInvoices[invoice_id],tblInvoices[total_invoice_amount])</f>
        <v/>
      </c>
      <c r="D776">
        <f>SUMIFS(tblPayments[payment_amount],tblPayments[invoice_id],A776,tblPayments[payment_status],"Success")</f>
        <v/>
      </c>
      <c r="E776">
        <f>D776-C776</f>
        <v/>
      </c>
      <c r="F776">
        <f>IFS(D776=0,"MISSING_PAYMENT",ABS(E776)&lt;=1,"MATCHED",E776&gt;1,"AMOUNT_MISMATCH",TRUE,"PARTIAL")</f>
        <v/>
      </c>
    </row>
    <row r="777">
      <c r="A777" t="inlineStr">
        <is>
          <t>INV0015439</t>
        </is>
      </c>
      <c r="B777" t="inlineStr">
        <is>
          <t>MER00728</t>
        </is>
      </c>
      <c r="C777">
        <f>XLOOKUP(A777,tblInvoices[invoice_id],tblInvoices[total_invoice_amount])</f>
        <v/>
      </c>
      <c r="D777">
        <f>SUMIFS(tblPayments[payment_amount],tblPayments[invoice_id],A777,tblPayments[payment_status],"Success")</f>
        <v/>
      </c>
      <c r="E777">
        <f>D777-C777</f>
        <v/>
      </c>
      <c r="F777">
        <f>IFS(D777=0,"MISSING_PAYMENT",ABS(E777)&lt;=1,"MATCHED",E777&gt;1,"AMOUNT_MISMATCH",TRUE,"PARTIAL")</f>
        <v/>
      </c>
    </row>
    <row r="778">
      <c r="A778" t="inlineStr">
        <is>
          <t>INV0015440</t>
        </is>
      </c>
      <c r="B778" t="inlineStr">
        <is>
          <t>MER00728</t>
        </is>
      </c>
      <c r="C778">
        <f>XLOOKUP(A778,tblInvoices[invoice_id],tblInvoices[total_invoice_amount])</f>
        <v/>
      </c>
      <c r="D778">
        <f>SUMIFS(tblPayments[payment_amount],tblPayments[invoice_id],A778,tblPayments[payment_status],"Success")</f>
        <v/>
      </c>
      <c r="E778">
        <f>D778-C778</f>
        <v/>
      </c>
      <c r="F778">
        <f>IFS(D778=0,"MISSING_PAYMENT",ABS(E778)&lt;=1,"MATCHED",E778&gt;1,"AMOUNT_MISMATCH",TRUE,"PARTIAL")</f>
        <v/>
      </c>
    </row>
    <row r="779">
      <c r="A779" t="inlineStr">
        <is>
          <t>INV0015441</t>
        </is>
      </c>
      <c r="B779" t="inlineStr">
        <is>
          <t>MER00728</t>
        </is>
      </c>
      <c r="C779">
        <f>XLOOKUP(A779,tblInvoices[invoice_id],tblInvoices[total_invoice_amount])</f>
        <v/>
      </c>
      <c r="D779">
        <f>SUMIFS(tblPayments[payment_amount],tblPayments[invoice_id],A779,tblPayments[payment_status],"Success")</f>
        <v/>
      </c>
      <c r="E779">
        <f>D779-C779</f>
        <v/>
      </c>
      <c r="F779">
        <f>IFS(D779=0,"MISSING_PAYMENT",ABS(E779)&lt;=1,"MATCHED",E779&gt;1,"AMOUNT_MISMATCH",TRUE,"PARTIAL")</f>
        <v/>
      </c>
    </row>
    <row r="780">
      <c r="A780" t="inlineStr">
        <is>
          <t>INV0015442</t>
        </is>
      </c>
      <c r="B780" t="inlineStr">
        <is>
          <t>MER00728</t>
        </is>
      </c>
      <c r="C780">
        <f>XLOOKUP(A780,tblInvoices[invoice_id],tblInvoices[total_invoice_amount])</f>
        <v/>
      </c>
      <c r="D780">
        <f>SUMIFS(tblPayments[payment_amount],tblPayments[invoice_id],A780,tblPayments[payment_status],"Success")</f>
        <v/>
      </c>
      <c r="E780">
        <f>D780-C780</f>
        <v/>
      </c>
      <c r="F780">
        <f>IFS(D780=0,"MISSING_PAYMENT",ABS(E780)&lt;=1,"MATCHED",E780&gt;1,"AMOUNT_MISMATCH",TRUE,"PARTIAL")</f>
        <v/>
      </c>
    </row>
    <row r="781">
      <c r="A781" t="inlineStr">
        <is>
          <t>INV0015443</t>
        </is>
      </c>
      <c r="B781" t="inlineStr">
        <is>
          <t>MER00728</t>
        </is>
      </c>
      <c r="C781">
        <f>XLOOKUP(A781,tblInvoices[invoice_id],tblInvoices[total_invoice_amount])</f>
        <v/>
      </c>
      <c r="D781">
        <f>SUMIFS(tblPayments[payment_amount],tblPayments[invoice_id],A781,tblPayments[payment_status],"Success")</f>
        <v/>
      </c>
      <c r="E781">
        <f>D781-C781</f>
        <v/>
      </c>
      <c r="F781">
        <f>IFS(D781=0,"MISSING_PAYMENT",ABS(E781)&lt;=1,"MATCHED",E781&gt;1,"AMOUNT_MISMATCH",TRUE,"PARTIAL")</f>
        <v/>
      </c>
    </row>
    <row r="782">
      <c r="A782" t="inlineStr">
        <is>
          <t>INV0015444</t>
        </is>
      </c>
      <c r="B782" t="inlineStr">
        <is>
          <t>MER00728</t>
        </is>
      </c>
      <c r="C782">
        <f>XLOOKUP(A782,tblInvoices[invoice_id],tblInvoices[total_invoice_amount])</f>
        <v/>
      </c>
      <c r="D782">
        <f>SUMIFS(tblPayments[payment_amount],tblPayments[invoice_id],A782,tblPayments[payment_status],"Success")</f>
        <v/>
      </c>
      <c r="E782">
        <f>D782-C782</f>
        <v/>
      </c>
      <c r="F782">
        <f>IFS(D782=0,"MISSING_PAYMENT",ABS(E782)&lt;=1,"MATCHED",E782&gt;1,"AMOUNT_MISMATCH",TRUE,"PARTIAL")</f>
        <v/>
      </c>
    </row>
    <row r="783">
      <c r="A783" t="inlineStr">
        <is>
          <t>INV0015445</t>
        </is>
      </c>
      <c r="B783" t="inlineStr">
        <is>
          <t>MER00728</t>
        </is>
      </c>
      <c r="C783">
        <f>XLOOKUP(A783,tblInvoices[invoice_id],tblInvoices[total_invoice_amount])</f>
        <v/>
      </c>
      <c r="D783">
        <f>SUMIFS(tblPayments[payment_amount],tblPayments[invoice_id],A783,tblPayments[payment_status],"Success")</f>
        <v/>
      </c>
      <c r="E783">
        <f>D783-C783</f>
        <v/>
      </c>
      <c r="F783">
        <f>IFS(D783=0,"MISSING_PAYMENT",ABS(E783)&lt;=1,"MATCHED",E783&gt;1,"AMOUNT_MISMATCH",TRUE,"PARTIAL")</f>
        <v/>
      </c>
    </row>
    <row r="784">
      <c r="A784" t="inlineStr">
        <is>
          <t>INV0016142</t>
        </is>
      </c>
      <c r="B784" t="inlineStr">
        <is>
          <t>MER00764</t>
        </is>
      </c>
      <c r="C784">
        <f>XLOOKUP(A784,tblInvoices[invoice_id],tblInvoices[total_invoice_amount])</f>
        <v/>
      </c>
      <c r="D784">
        <f>SUMIFS(tblPayments[payment_amount],tblPayments[invoice_id],A784,tblPayments[payment_status],"Success")</f>
        <v/>
      </c>
      <c r="E784">
        <f>D784-C784</f>
        <v/>
      </c>
      <c r="F784">
        <f>IFS(D784=0,"MISSING_PAYMENT",ABS(E784)&lt;=1,"MATCHED",E784&gt;1,"AMOUNT_MISMATCH",TRUE,"PARTIAL")</f>
        <v/>
      </c>
    </row>
    <row r="785">
      <c r="A785" t="inlineStr">
        <is>
          <t>INV0016143</t>
        </is>
      </c>
      <c r="B785" t="inlineStr">
        <is>
          <t>MER00764</t>
        </is>
      </c>
      <c r="C785">
        <f>XLOOKUP(A785,tblInvoices[invoice_id],tblInvoices[total_invoice_amount])</f>
        <v/>
      </c>
      <c r="D785">
        <f>SUMIFS(tblPayments[payment_amount],tblPayments[invoice_id],A785,tblPayments[payment_status],"Success")</f>
        <v/>
      </c>
      <c r="E785">
        <f>D785-C785</f>
        <v/>
      </c>
      <c r="F785">
        <f>IFS(D785=0,"MISSING_PAYMENT",ABS(E785)&lt;=1,"MATCHED",E785&gt;1,"AMOUNT_MISMATCH",TRUE,"PARTIAL")</f>
        <v/>
      </c>
    </row>
    <row r="786">
      <c r="A786" t="inlineStr">
        <is>
          <t>INV0016144</t>
        </is>
      </c>
      <c r="B786" t="inlineStr">
        <is>
          <t>MER00764</t>
        </is>
      </c>
      <c r="C786">
        <f>XLOOKUP(A786,tblInvoices[invoice_id],tblInvoices[total_invoice_amount])</f>
        <v/>
      </c>
      <c r="D786">
        <f>SUMIFS(tblPayments[payment_amount],tblPayments[invoice_id],A786,tblPayments[payment_status],"Success")</f>
        <v/>
      </c>
      <c r="E786">
        <f>D786-C786</f>
        <v/>
      </c>
      <c r="F786">
        <f>IFS(D786=0,"MISSING_PAYMENT",ABS(E786)&lt;=1,"MATCHED",E786&gt;1,"AMOUNT_MISMATCH",TRUE,"PARTIAL")</f>
        <v/>
      </c>
    </row>
    <row r="787">
      <c r="A787" t="inlineStr">
        <is>
          <t>INV0016145</t>
        </is>
      </c>
      <c r="B787" t="inlineStr">
        <is>
          <t>MER00764</t>
        </is>
      </c>
      <c r="C787">
        <f>XLOOKUP(A787,tblInvoices[invoice_id],tblInvoices[total_invoice_amount])</f>
        <v/>
      </c>
      <c r="D787">
        <f>SUMIFS(tblPayments[payment_amount],tblPayments[invoice_id],A787,tblPayments[payment_status],"Success")</f>
        <v/>
      </c>
      <c r="E787">
        <f>D787-C787</f>
        <v/>
      </c>
      <c r="F787">
        <f>IFS(D787=0,"MISSING_PAYMENT",ABS(E787)&lt;=1,"MATCHED",E787&gt;1,"AMOUNT_MISMATCH",TRUE,"PARTIAL")</f>
        <v/>
      </c>
    </row>
    <row r="788">
      <c r="A788" t="inlineStr">
        <is>
          <t>INV0016146</t>
        </is>
      </c>
      <c r="B788" t="inlineStr">
        <is>
          <t>MER00764</t>
        </is>
      </c>
      <c r="C788">
        <f>XLOOKUP(A788,tblInvoices[invoice_id],tblInvoices[total_invoice_amount])</f>
        <v/>
      </c>
      <c r="D788">
        <f>SUMIFS(tblPayments[payment_amount],tblPayments[invoice_id],A788,tblPayments[payment_status],"Success")</f>
        <v/>
      </c>
      <c r="E788">
        <f>D788-C788</f>
        <v/>
      </c>
      <c r="F788">
        <f>IFS(D788=0,"MISSING_PAYMENT",ABS(E788)&lt;=1,"MATCHED",E788&gt;1,"AMOUNT_MISMATCH",TRUE,"PARTIAL")</f>
        <v/>
      </c>
    </row>
    <row r="789">
      <c r="A789" t="inlineStr">
        <is>
          <t>INV0016147</t>
        </is>
      </c>
      <c r="B789" t="inlineStr">
        <is>
          <t>MER00764</t>
        </is>
      </c>
      <c r="C789">
        <f>XLOOKUP(A789,tblInvoices[invoice_id],tblInvoices[total_invoice_amount])</f>
        <v/>
      </c>
      <c r="D789">
        <f>SUMIFS(tblPayments[payment_amount],tblPayments[invoice_id],A789,tblPayments[payment_status],"Success")</f>
        <v/>
      </c>
      <c r="E789">
        <f>D789-C789</f>
        <v/>
      </c>
      <c r="F789">
        <f>IFS(D789=0,"MISSING_PAYMENT",ABS(E789)&lt;=1,"MATCHED",E789&gt;1,"AMOUNT_MISMATCH",TRUE,"PARTIAL")</f>
        <v/>
      </c>
    </row>
    <row r="790">
      <c r="A790" t="inlineStr">
        <is>
          <t>INV0016148</t>
        </is>
      </c>
      <c r="B790" t="inlineStr">
        <is>
          <t>MER00764</t>
        </is>
      </c>
      <c r="C790">
        <f>XLOOKUP(A790,tblInvoices[invoice_id],tblInvoices[total_invoice_amount])</f>
        <v/>
      </c>
      <c r="D790">
        <f>SUMIFS(tblPayments[payment_amount],tblPayments[invoice_id],A790,tblPayments[payment_status],"Success")</f>
        <v/>
      </c>
      <c r="E790">
        <f>D790-C790</f>
        <v/>
      </c>
      <c r="F790">
        <f>IFS(D790=0,"MISSING_PAYMENT",ABS(E790)&lt;=1,"MATCHED",E790&gt;1,"AMOUNT_MISMATCH",TRUE,"PARTIAL")</f>
        <v/>
      </c>
    </row>
    <row r="791">
      <c r="A791" t="inlineStr">
        <is>
          <t>INV0016149</t>
        </is>
      </c>
      <c r="B791" t="inlineStr">
        <is>
          <t>MER00764</t>
        </is>
      </c>
      <c r="C791">
        <f>XLOOKUP(A791,tblInvoices[invoice_id],tblInvoices[total_invoice_amount])</f>
        <v/>
      </c>
      <c r="D791">
        <f>SUMIFS(tblPayments[payment_amount],tblPayments[invoice_id],A791,tblPayments[payment_status],"Success")</f>
        <v/>
      </c>
      <c r="E791">
        <f>D791-C791</f>
        <v/>
      </c>
      <c r="F791">
        <f>IFS(D791=0,"MISSING_PAYMENT",ABS(E791)&lt;=1,"MATCHED",E791&gt;1,"AMOUNT_MISMATCH",TRUE,"PARTIAL")</f>
        <v/>
      </c>
    </row>
    <row r="792">
      <c r="A792" t="inlineStr">
        <is>
          <t>INV0016150</t>
        </is>
      </c>
      <c r="B792" t="inlineStr">
        <is>
          <t>MER00764</t>
        </is>
      </c>
      <c r="C792">
        <f>XLOOKUP(A792,tblInvoices[invoice_id],tblInvoices[total_invoice_amount])</f>
        <v/>
      </c>
      <c r="D792">
        <f>SUMIFS(tblPayments[payment_amount],tblPayments[invoice_id],A792,tblPayments[payment_status],"Success")</f>
        <v/>
      </c>
      <c r="E792">
        <f>D792-C792</f>
        <v/>
      </c>
      <c r="F792">
        <f>IFS(D792=0,"MISSING_PAYMENT",ABS(E792)&lt;=1,"MATCHED",E792&gt;1,"AMOUNT_MISMATCH",TRUE,"PARTIAL")</f>
        <v/>
      </c>
    </row>
    <row r="793">
      <c r="A793" t="inlineStr">
        <is>
          <t>INV0016151</t>
        </is>
      </c>
      <c r="B793" t="inlineStr">
        <is>
          <t>MER00764</t>
        </is>
      </c>
      <c r="C793">
        <f>XLOOKUP(A793,tblInvoices[invoice_id],tblInvoices[total_invoice_amount])</f>
        <v/>
      </c>
      <c r="D793">
        <f>SUMIFS(tblPayments[payment_amount],tblPayments[invoice_id],A793,tblPayments[payment_status],"Success")</f>
        <v/>
      </c>
      <c r="E793">
        <f>D793-C793</f>
        <v/>
      </c>
      <c r="F793">
        <f>IFS(D793=0,"MISSING_PAYMENT",ABS(E793)&lt;=1,"MATCHED",E793&gt;1,"AMOUNT_MISMATCH",TRUE,"PARTIAL")</f>
        <v/>
      </c>
    </row>
    <row r="794">
      <c r="A794" t="inlineStr">
        <is>
          <t>INV0016152</t>
        </is>
      </c>
      <c r="B794" t="inlineStr">
        <is>
          <t>MER00764</t>
        </is>
      </c>
      <c r="C794">
        <f>XLOOKUP(A794,tblInvoices[invoice_id],tblInvoices[total_invoice_amount])</f>
        <v/>
      </c>
      <c r="D794">
        <f>SUMIFS(tblPayments[payment_amount],tblPayments[invoice_id],A794,tblPayments[payment_status],"Success")</f>
        <v/>
      </c>
      <c r="E794">
        <f>D794-C794</f>
        <v/>
      </c>
      <c r="F794">
        <f>IFS(D794=0,"MISSING_PAYMENT",ABS(E794)&lt;=1,"MATCHED",E794&gt;1,"AMOUNT_MISMATCH",TRUE,"PARTIAL")</f>
        <v/>
      </c>
    </row>
    <row r="795">
      <c r="A795" t="inlineStr">
        <is>
          <t>INV0016153</t>
        </is>
      </c>
      <c r="B795" t="inlineStr">
        <is>
          <t>MER00764</t>
        </is>
      </c>
      <c r="C795">
        <f>XLOOKUP(A795,tblInvoices[invoice_id],tblInvoices[total_invoice_amount])</f>
        <v/>
      </c>
      <c r="D795">
        <f>SUMIFS(tblPayments[payment_amount],tblPayments[invoice_id],A795,tblPayments[payment_status],"Success")</f>
        <v/>
      </c>
      <c r="E795">
        <f>D795-C795</f>
        <v/>
      </c>
      <c r="F795">
        <f>IFS(D795=0,"MISSING_PAYMENT",ABS(E795)&lt;=1,"MATCHED",E795&gt;1,"AMOUNT_MISMATCH",TRUE,"PARTIAL")</f>
        <v/>
      </c>
    </row>
    <row r="796">
      <c r="A796" t="inlineStr">
        <is>
          <t>INV0016154</t>
        </is>
      </c>
      <c r="B796" t="inlineStr">
        <is>
          <t>MER00764</t>
        </is>
      </c>
      <c r="C796">
        <f>XLOOKUP(A796,tblInvoices[invoice_id],tblInvoices[total_invoice_amount])</f>
        <v/>
      </c>
      <c r="D796">
        <f>SUMIFS(tblPayments[payment_amount],tblPayments[invoice_id],A796,tblPayments[payment_status],"Success")</f>
        <v/>
      </c>
      <c r="E796">
        <f>D796-C796</f>
        <v/>
      </c>
      <c r="F796">
        <f>IFS(D796=0,"MISSING_PAYMENT",ABS(E796)&lt;=1,"MATCHED",E796&gt;1,"AMOUNT_MISMATCH",TRUE,"PARTIAL")</f>
        <v/>
      </c>
    </row>
    <row r="797">
      <c r="A797" t="inlineStr">
        <is>
          <t>INV0016155</t>
        </is>
      </c>
      <c r="B797" t="inlineStr">
        <is>
          <t>MER00764</t>
        </is>
      </c>
      <c r="C797">
        <f>XLOOKUP(A797,tblInvoices[invoice_id],tblInvoices[total_invoice_amount])</f>
        <v/>
      </c>
      <c r="D797">
        <f>SUMIFS(tblPayments[payment_amount],tblPayments[invoice_id],A797,tblPayments[payment_status],"Success")</f>
        <v/>
      </c>
      <c r="E797">
        <f>D797-C797</f>
        <v/>
      </c>
      <c r="F797">
        <f>IFS(D797=0,"MISSING_PAYMENT",ABS(E797)&lt;=1,"MATCHED",E797&gt;1,"AMOUNT_MISMATCH",TRUE,"PARTIAL")</f>
        <v/>
      </c>
    </row>
    <row r="798">
      <c r="A798" t="inlineStr">
        <is>
          <t>INV0016156</t>
        </is>
      </c>
      <c r="B798" t="inlineStr">
        <is>
          <t>MER00764</t>
        </is>
      </c>
      <c r="C798">
        <f>XLOOKUP(A798,tblInvoices[invoice_id],tblInvoices[total_invoice_amount])</f>
        <v/>
      </c>
      <c r="D798">
        <f>SUMIFS(tblPayments[payment_amount],tblPayments[invoice_id],A798,tblPayments[payment_status],"Success")</f>
        <v/>
      </c>
      <c r="E798">
        <f>D798-C798</f>
        <v/>
      </c>
      <c r="F798">
        <f>IFS(D798=0,"MISSING_PAYMENT",ABS(E798)&lt;=1,"MATCHED",E798&gt;1,"AMOUNT_MISMATCH",TRUE,"PARTIAL")</f>
        <v/>
      </c>
    </row>
    <row r="799">
      <c r="A799" t="inlineStr">
        <is>
          <t>INV0016157</t>
        </is>
      </c>
      <c r="B799" t="inlineStr">
        <is>
          <t>MER00764</t>
        </is>
      </c>
      <c r="C799">
        <f>XLOOKUP(A799,tblInvoices[invoice_id],tblInvoices[total_invoice_amount])</f>
        <v/>
      </c>
      <c r="D799">
        <f>SUMIFS(tblPayments[payment_amount],tblPayments[invoice_id],A799,tblPayments[payment_status],"Success")</f>
        <v/>
      </c>
      <c r="E799">
        <f>D799-C799</f>
        <v/>
      </c>
      <c r="F799">
        <f>IFS(D799=0,"MISSING_PAYMENT",ABS(E799)&lt;=1,"MATCHED",E799&gt;1,"AMOUNT_MISMATCH",TRUE,"PARTIAL")</f>
        <v/>
      </c>
    </row>
    <row r="800">
      <c r="A800" t="inlineStr">
        <is>
          <t>INV0016158</t>
        </is>
      </c>
      <c r="B800" t="inlineStr">
        <is>
          <t>MER00764</t>
        </is>
      </c>
      <c r="C800">
        <f>XLOOKUP(A800,tblInvoices[invoice_id],tblInvoices[total_invoice_amount])</f>
        <v/>
      </c>
      <c r="D800">
        <f>SUMIFS(tblPayments[payment_amount],tblPayments[invoice_id],A800,tblPayments[payment_status],"Success")</f>
        <v/>
      </c>
      <c r="E800">
        <f>D800-C800</f>
        <v/>
      </c>
      <c r="F800">
        <f>IFS(D800=0,"MISSING_PAYMENT",ABS(E800)&lt;=1,"MATCHED",E800&gt;1,"AMOUNT_MISMATCH",TRUE,"PARTIAL")</f>
        <v/>
      </c>
    </row>
    <row r="801">
      <c r="A801" t="inlineStr">
        <is>
          <t>INV0016159</t>
        </is>
      </c>
      <c r="B801" t="inlineStr">
        <is>
          <t>MER00764</t>
        </is>
      </c>
      <c r="C801">
        <f>XLOOKUP(A801,tblInvoices[invoice_id],tblInvoices[total_invoice_amount])</f>
        <v/>
      </c>
      <c r="D801">
        <f>SUMIFS(tblPayments[payment_amount],tblPayments[invoice_id],A801,tblPayments[payment_status],"Success")</f>
        <v/>
      </c>
      <c r="E801">
        <f>D801-C801</f>
        <v/>
      </c>
      <c r="F801">
        <f>IFS(D801=0,"MISSING_PAYMENT",ABS(E801)&lt;=1,"MATCHED",E801&gt;1,"AMOUNT_MISMATCH",TRUE,"PARTIAL")</f>
        <v/>
      </c>
    </row>
    <row r="802">
      <c r="A802" t="inlineStr">
        <is>
          <t>INV0016160</t>
        </is>
      </c>
      <c r="B802" t="inlineStr">
        <is>
          <t>MER00764</t>
        </is>
      </c>
      <c r="C802">
        <f>XLOOKUP(A802,tblInvoices[invoice_id],tblInvoices[total_invoice_amount])</f>
        <v/>
      </c>
      <c r="D802">
        <f>SUMIFS(tblPayments[payment_amount],tblPayments[invoice_id],A802,tblPayments[payment_status],"Success")</f>
        <v/>
      </c>
      <c r="E802">
        <f>D802-C802</f>
        <v/>
      </c>
      <c r="F802">
        <f>IFS(D802=0,"MISSING_PAYMENT",ABS(E802)&lt;=1,"MATCHED",E802&gt;1,"AMOUNT_MISMATCH",TRUE,"PARTIAL")</f>
        <v/>
      </c>
    </row>
    <row r="803">
      <c r="A803" t="inlineStr">
        <is>
          <t>INV0016161</t>
        </is>
      </c>
      <c r="B803" t="inlineStr">
        <is>
          <t>MER00764</t>
        </is>
      </c>
      <c r="C803">
        <f>XLOOKUP(A803,tblInvoices[invoice_id],tblInvoices[total_invoice_amount])</f>
        <v/>
      </c>
      <c r="D803">
        <f>SUMIFS(tblPayments[payment_amount],tblPayments[invoice_id],A803,tblPayments[payment_status],"Success")</f>
        <v/>
      </c>
      <c r="E803">
        <f>D803-C803</f>
        <v/>
      </c>
      <c r="F803">
        <f>IFS(D803=0,"MISSING_PAYMENT",ABS(E803)&lt;=1,"MATCHED",E803&gt;1,"AMOUNT_MISMATCH",TRUE,"PARTIAL")</f>
        <v/>
      </c>
    </row>
    <row r="804">
      <c r="A804" t="inlineStr">
        <is>
          <t>INV0016162</t>
        </is>
      </c>
      <c r="B804" t="inlineStr">
        <is>
          <t>MER00764</t>
        </is>
      </c>
      <c r="C804">
        <f>XLOOKUP(A804,tblInvoices[invoice_id],tblInvoices[total_invoice_amount])</f>
        <v/>
      </c>
      <c r="D804">
        <f>SUMIFS(tblPayments[payment_amount],tblPayments[invoice_id],A804,tblPayments[payment_status],"Success")</f>
        <v/>
      </c>
      <c r="E804">
        <f>D804-C804</f>
        <v/>
      </c>
      <c r="F804">
        <f>IFS(D804=0,"MISSING_PAYMENT",ABS(E804)&lt;=1,"MATCHED",E804&gt;1,"AMOUNT_MISMATCH",TRUE,"PARTIAL")</f>
        <v/>
      </c>
    </row>
    <row r="805">
      <c r="A805" t="inlineStr">
        <is>
          <t>INV0016163</t>
        </is>
      </c>
      <c r="B805" t="inlineStr">
        <is>
          <t>MER00764</t>
        </is>
      </c>
      <c r="C805">
        <f>XLOOKUP(A805,tblInvoices[invoice_id],tblInvoices[total_invoice_amount])</f>
        <v/>
      </c>
      <c r="D805">
        <f>SUMIFS(tblPayments[payment_amount],tblPayments[invoice_id],A805,tblPayments[payment_status],"Success")</f>
        <v/>
      </c>
      <c r="E805">
        <f>D805-C805</f>
        <v/>
      </c>
      <c r="F805">
        <f>IFS(D805=0,"MISSING_PAYMENT",ABS(E805)&lt;=1,"MATCHED",E805&gt;1,"AMOUNT_MISMATCH",TRUE,"PARTIAL")</f>
        <v/>
      </c>
    </row>
    <row r="806">
      <c r="A806" t="inlineStr">
        <is>
          <t>INV0016164</t>
        </is>
      </c>
      <c r="B806" t="inlineStr">
        <is>
          <t>MER00764</t>
        </is>
      </c>
      <c r="C806">
        <f>XLOOKUP(A806,tblInvoices[invoice_id],tblInvoices[total_invoice_amount])</f>
        <v/>
      </c>
      <c r="D806">
        <f>SUMIFS(tblPayments[payment_amount],tblPayments[invoice_id],A806,tblPayments[payment_status],"Success")</f>
        <v/>
      </c>
      <c r="E806">
        <f>D806-C806</f>
        <v/>
      </c>
      <c r="F806">
        <f>IFS(D806=0,"MISSING_PAYMENT",ABS(E806)&lt;=1,"MATCHED",E806&gt;1,"AMOUNT_MISMATCH",TRUE,"PARTIAL")</f>
        <v/>
      </c>
    </row>
    <row r="807">
      <c r="A807" t="inlineStr">
        <is>
          <t>INV0016165</t>
        </is>
      </c>
      <c r="B807" t="inlineStr">
        <is>
          <t>MER00764</t>
        </is>
      </c>
      <c r="C807">
        <f>XLOOKUP(A807,tblInvoices[invoice_id],tblInvoices[total_invoice_amount])</f>
        <v/>
      </c>
      <c r="D807">
        <f>SUMIFS(tblPayments[payment_amount],tblPayments[invoice_id],A807,tblPayments[payment_status],"Success")</f>
        <v/>
      </c>
      <c r="E807">
        <f>D807-C807</f>
        <v/>
      </c>
      <c r="F807">
        <f>IFS(D807=0,"MISSING_PAYMENT",ABS(E807)&lt;=1,"MATCHED",E807&gt;1,"AMOUNT_MISMATCH",TRUE,"PARTIAL")</f>
        <v/>
      </c>
    </row>
    <row r="808">
      <c r="A808" t="inlineStr">
        <is>
          <t>INV0018120</t>
        </is>
      </c>
      <c r="B808" t="inlineStr">
        <is>
          <t>MER00856</t>
        </is>
      </c>
      <c r="C808">
        <f>XLOOKUP(A808,tblInvoices[invoice_id],tblInvoices[total_invoice_amount])</f>
        <v/>
      </c>
      <c r="D808">
        <f>SUMIFS(tblPayments[payment_amount],tblPayments[invoice_id],A808,tblPayments[payment_status],"Success")</f>
        <v/>
      </c>
      <c r="E808">
        <f>D808-C808</f>
        <v/>
      </c>
      <c r="F808">
        <f>IFS(D808=0,"MISSING_PAYMENT",ABS(E808)&lt;=1,"MATCHED",E808&gt;1,"AMOUNT_MISMATCH",TRUE,"PARTIAL")</f>
        <v/>
      </c>
    </row>
    <row r="809">
      <c r="A809" t="inlineStr">
        <is>
          <t>INV0018121</t>
        </is>
      </c>
      <c r="B809" t="inlineStr">
        <is>
          <t>MER00856</t>
        </is>
      </c>
      <c r="C809">
        <f>XLOOKUP(A809,tblInvoices[invoice_id],tblInvoices[total_invoice_amount])</f>
        <v/>
      </c>
      <c r="D809">
        <f>SUMIFS(tblPayments[payment_amount],tblPayments[invoice_id],A809,tblPayments[payment_status],"Success")</f>
        <v/>
      </c>
      <c r="E809">
        <f>D809-C809</f>
        <v/>
      </c>
      <c r="F809">
        <f>IFS(D809=0,"MISSING_PAYMENT",ABS(E809)&lt;=1,"MATCHED",E809&gt;1,"AMOUNT_MISMATCH",TRUE,"PARTIAL")</f>
        <v/>
      </c>
    </row>
    <row r="810">
      <c r="A810" t="inlineStr">
        <is>
          <t>INV0018122</t>
        </is>
      </c>
      <c r="B810" t="inlineStr">
        <is>
          <t>MER00856</t>
        </is>
      </c>
      <c r="C810">
        <f>XLOOKUP(A810,tblInvoices[invoice_id],tblInvoices[total_invoice_amount])</f>
        <v/>
      </c>
      <c r="D810">
        <f>SUMIFS(tblPayments[payment_amount],tblPayments[invoice_id],A810,tblPayments[payment_status],"Success")</f>
        <v/>
      </c>
      <c r="E810">
        <f>D810-C810</f>
        <v/>
      </c>
      <c r="F810">
        <f>IFS(D810=0,"MISSING_PAYMENT",ABS(E810)&lt;=1,"MATCHED",E810&gt;1,"AMOUNT_MISMATCH",TRUE,"PARTIAL")</f>
        <v/>
      </c>
    </row>
    <row r="811">
      <c r="A811" t="inlineStr">
        <is>
          <t>INV0018123</t>
        </is>
      </c>
      <c r="B811" t="inlineStr">
        <is>
          <t>MER00856</t>
        </is>
      </c>
      <c r="C811">
        <f>XLOOKUP(A811,tblInvoices[invoice_id],tblInvoices[total_invoice_amount])</f>
        <v/>
      </c>
      <c r="D811">
        <f>SUMIFS(tblPayments[payment_amount],tblPayments[invoice_id],A811,tblPayments[payment_status],"Success")</f>
        <v/>
      </c>
      <c r="E811">
        <f>D811-C811</f>
        <v/>
      </c>
      <c r="F811">
        <f>IFS(D811=0,"MISSING_PAYMENT",ABS(E811)&lt;=1,"MATCHED",E811&gt;1,"AMOUNT_MISMATCH",TRUE,"PARTIAL")</f>
        <v/>
      </c>
    </row>
    <row r="812">
      <c r="A812" t="inlineStr">
        <is>
          <t>INV0018124</t>
        </is>
      </c>
      <c r="B812" t="inlineStr">
        <is>
          <t>MER00856</t>
        </is>
      </c>
      <c r="C812">
        <f>XLOOKUP(A812,tblInvoices[invoice_id],tblInvoices[total_invoice_amount])</f>
        <v/>
      </c>
      <c r="D812">
        <f>SUMIFS(tblPayments[payment_amount],tblPayments[invoice_id],A812,tblPayments[payment_status],"Success")</f>
        <v/>
      </c>
      <c r="E812">
        <f>D812-C812</f>
        <v/>
      </c>
      <c r="F812">
        <f>IFS(D812=0,"MISSING_PAYMENT",ABS(E812)&lt;=1,"MATCHED",E812&gt;1,"AMOUNT_MISMATCH",TRUE,"PARTIAL")</f>
        <v/>
      </c>
    </row>
    <row r="813">
      <c r="A813" t="inlineStr">
        <is>
          <t>INV0018125</t>
        </is>
      </c>
      <c r="B813" t="inlineStr">
        <is>
          <t>MER00856</t>
        </is>
      </c>
      <c r="C813">
        <f>XLOOKUP(A813,tblInvoices[invoice_id],tblInvoices[total_invoice_amount])</f>
        <v/>
      </c>
      <c r="D813">
        <f>SUMIFS(tblPayments[payment_amount],tblPayments[invoice_id],A813,tblPayments[payment_status],"Success")</f>
        <v/>
      </c>
      <c r="E813">
        <f>D813-C813</f>
        <v/>
      </c>
      <c r="F813">
        <f>IFS(D813=0,"MISSING_PAYMENT",ABS(E813)&lt;=1,"MATCHED",E813&gt;1,"AMOUNT_MISMATCH",TRUE,"PARTIAL")</f>
        <v/>
      </c>
    </row>
    <row r="814">
      <c r="A814" t="inlineStr">
        <is>
          <t>INV0018126</t>
        </is>
      </c>
      <c r="B814" t="inlineStr">
        <is>
          <t>MER00856</t>
        </is>
      </c>
      <c r="C814">
        <f>XLOOKUP(A814,tblInvoices[invoice_id],tblInvoices[total_invoice_amount])</f>
        <v/>
      </c>
      <c r="D814">
        <f>SUMIFS(tblPayments[payment_amount],tblPayments[invoice_id],A814,tblPayments[payment_status],"Success")</f>
        <v/>
      </c>
      <c r="E814">
        <f>D814-C814</f>
        <v/>
      </c>
      <c r="F814">
        <f>IFS(D814=0,"MISSING_PAYMENT",ABS(E814)&lt;=1,"MATCHED",E814&gt;1,"AMOUNT_MISMATCH",TRUE,"PARTIAL")</f>
        <v/>
      </c>
    </row>
    <row r="815">
      <c r="A815" t="inlineStr">
        <is>
          <t>INV0018127</t>
        </is>
      </c>
      <c r="B815" t="inlineStr">
        <is>
          <t>MER00856</t>
        </is>
      </c>
      <c r="C815">
        <f>XLOOKUP(A815,tblInvoices[invoice_id],tblInvoices[total_invoice_amount])</f>
        <v/>
      </c>
      <c r="D815">
        <f>SUMIFS(tblPayments[payment_amount],tblPayments[invoice_id],A815,tblPayments[payment_status],"Success")</f>
        <v/>
      </c>
      <c r="E815">
        <f>D815-C815</f>
        <v/>
      </c>
      <c r="F815">
        <f>IFS(D815=0,"MISSING_PAYMENT",ABS(E815)&lt;=1,"MATCHED",E815&gt;1,"AMOUNT_MISMATCH",TRUE,"PARTIAL")</f>
        <v/>
      </c>
    </row>
    <row r="816">
      <c r="A816" t="inlineStr">
        <is>
          <t>INV0018128</t>
        </is>
      </c>
      <c r="B816" t="inlineStr">
        <is>
          <t>MER00856</t>
        </is>
      </c>
      <c r="C816">
        <f>XLOOKUP(A816,tblInvoices[invoice_id],tblInvoices[total_invoice_amount])</f>
        <v/>
      </c>
      <c r="D816">
        <f>SUMIFS(tblPayments[payment_amount],tblPayments[invoice_id],A816,tblPayments[payment_status],"Success")</f>
        <v/>
      </c>
      <c r="E816">
        <f>D816-C816</f>
        <v/>
      </c>
      <c r="F816">
        <f>IFS(D816=0,"MISSING_PAYMENT",ABS(E816)&lt;=1,"MATCHED",E816&gt;1,"AMOUNT_MISMATCH",TRUE,"PARTIAL")</f>
        <v/>
      </c>
    </row>
    <row r="817">
      <c r="A817" t="inlineStr">
        <is>
          <t>INV0018129</t>
        </is>
      </c>
      <c r="B817" t="inlineStr">
        <is>
          <t>MER00856</t>
        </is>
      </c>
      <c r="C817">
        <f>XLOOKUP(A817,tblInvoices[invoice_id],tblInvoices[total_invoice_amount])</f>
        <v/>
      </c>
      <c r="D817">
        <f>SUMIFS(tblPayments[payment_amount],tblPayments[invoice_id],A817,tblPayments[payment_status],"Success")</f>
        <v/>
      </c>
      <c r="E817">
        <f>D817-C817</f>
        <v/>
      </c>
      <c r="F817">
        <f>IFS(D817=0,"MISSING_PAYMENT",ABS(E817)&lt;=1,"MATCHED",E817&gt;1,"AMOUNT_MISMATCH",TRUE,"PARTIAL")</f>
        <v/>
      </c>
    </row>
    <row r="818">
      <c r="A818" t="inlineStr">
        <is>
          <t>INV0018130</t>
        </is>
      </c>
      <c r="B818" t="inlineStr">
        <is>
          <t>MER00856</t>
        </is>
      </c>
      <c r="C818">
        <f>XLOOKUP(A818,tblInvoices[invoice_id],tblInvoices[total_invoice_amount])</f>
        <v/>
      </c>
      <c r="D818">
        <f>SUMIFS(tblPayments[payment_amount],tblPayments[invoice_id],A818,tblPayments[payment_status],"Success")</f>
        <v/>
      </c>
      <c r="E818">
        <f>D818-C818</f>
        <v/>
      </c>
      <c r="F818">
        <f>IFS(D818=0,"MISSING_PAYMENT",ABS(E818)&lt;=1,"MATCHED",E818&gt;1,"AMOUNT_MISMATCH",TRUE,"PARTIAL")</f>
        <v/>
      </c>
    </row>
    <row r="819">
      <c r="A819" t="inlineStr">
        <is>
          <t>INV0018131</t>
        </is>
      </c>
      <c r="B819" t="inlineStr">
        <is>
          <t>MER00856</t>
        </is>
      </c>
      <c r="C819">
        <f>XLOOKUP(A819,tblInvoices[invoice_id],tblInvoices[total_invoice_amount])</f>
        <v/>
      </c>
      <c r="D819">
        <f>SUMIFS(tblPayments[payment_amount],tblPayments[invoice_id],A819,tblPayments[payment_status],"Success")</f>
        <v/>
      </c>
      <c r="E819">
        <f>D819-C819</f>
        <v/>
      </c>
      <c r="F819">
        <f>IFS(D819=0,"MISSING_PAYMENT",ABS(E819)&lt;=1,"MATCHED",E819&gt;1,"AMOUNT_MISMATCH",TRUE,"PARTIAL")</f>
        <v/>
      </c>
    </row>
    <row r="820">
      <c r="A820" t="inlineStr">
        <is>
          <t>INV0018132</t>
        </is>
      </c>
      <c r="B820" t="inlineStr">
        <is>
          <t>MER00856</t>
        </is>
      </c>
      <c r="C820">
        <f>XLOOKUP(A820,tblInvoices[invoice_id],tblInvoices[total_invoice_amount])</f>
        <v/>
      </c>
      <c r="D820">
        <f>SUMIFS(tblPayments[payment_amount],tblPayments[invoice_id],A820,tblPayments[payment_status],"Success")</f>
        <v/>
      </c>
      <c r="E820">
        <f>D820-C820</f>
        <v/>
      </c>
      <c r="F820">
        <f>IFS(D820=0,"MISSING_PAYMENT",ABS(E820)&lt;=1,"MATCHED",E820&gt;1,"AMOUNT_MISMATCH",TRUE,"PARTIAL")</f>
        <v/>
      </c>
    </row>
    <row r="821">
      <c r="A821" t="inlineStr">
        <is>
          <t>INV0018133</t>
        </is>
      </c>
      <c r="B821" t="inlineStr">
        <is>
          <t>MER00856</t>
        </is>
      </c>
      <c r="C821">
        <f>XLOOKUP(A821,tblInvoices[invoice_id],tblInvoices[total_invoice_amount])</f>
        <v/>
      </c>
      <c r="D821">
        <f>SUMIFS(tblPayments[payment_amount],tblPayments[invoice_id],A821,tblPayments[payment_status],"Success")</f>
        <v/>
      </c>
      <c r="E821">
        <f>D821-C821</f>
        <v/>
      </c>
      <c r="F821">
        <f>IFS(D821=0,"MISSING_PAYMENT",ABS(E821)&lt;=1,"MATCHED",E821&gt;1,"AMOUNT_MISMATCH",TRUE,"PARTIAL")</f>
        <v/>
      </c>
    </row>
    <row r="822">
      <c r="A822" t="inlineStr">
        <is>
          <t>INV0018134</t>
        </is>
      </c>
      <c r="B822" t="inlineStr">
        <is>
          <t>MER00856</t>
        </is>
      </c>
      <c r="C822">
        <f>XLOOKUP(A822,tblInvoices[invoice_id],tblInvoices[total_invoice_amount])</f>
        <v/>
      </c>
      <c r="D822">
        <f>SUMIFS(tblPayments[payment_amount],tblPayments[invoice_id],A822,tblPayments[payment_status],"Success")</f>
        <v/>
      </c>
      <c r="E822">
        <f>D822-C822</f>
        <v/>
      </c>
      <c r="F822">
        <f>IFS(D822=0,"MISSING_PAYMENT",ABS(E822)&lt;=1,"MATCHED",E822&gt;1,"AMOUNT_MISMATCH",TRUE,"PARTIAL")</f>
        <v/>
      </c>
    </row>
    <row r="823">
      <c r="A823" t="inlineStr">
        <is>
          <t>INV0018135</t>
        </is>
      </c>
      <c r="B823" t="inlineStr">
        <is>
          <t>MER00856</t>
        </is>
      </c>
      <c r="C823">
        <f>XLOOKUP(A823,tblInvoices[invoice_id],tblInvoices[total_invoice_amount])</f>
        <v/>
      </c>
      <c r="D823">
        <f>SUMIFS(tblPayments[payment_amount],tblPayments[invoice_id],A823,tblPayments[payment_status],"Success")</f>
        <v/>
      </c>
      <c r="E823">
        <f>D823-C823</f>
        <v/>
      </c>
      <c r="F823">
        <f>IFS(D823=0,"MISSING_PAYMENT",ABS(E823)&lt;=1,"MATCHED",E823&gt;1,"AMOUNT_MISMATCH",TRUE,"PARTIAL")</f>
        <v/>
      </c>
    </row>
    <row r="824">
      <c r="A824" t="inlineStr">
        <is>
          <t>INV0018136</t>
        </is>
      </c>
      <c r="B824" t="inlineStr">
        <is>
          <t>MER00856</t>
        </is>
      </c>
      <c r="C824">
        <f>XLOOKUP(A824,tblInvoices[invoice_id],tblInvoices[total_invoice_amount])</f>
        <v/>
      </c>
      <c r="D824">
        <f>SUMIFS(tblPayments[payment_amount],tblPayments[invoice_id],A824,tblPayments[payment_status],"Success")</f>
        <v/>
      </c>
      <c r="E824">
        <f>D824-C824</f>
        <v/>
      </c>
      <c r="F824">
        <f>IFS(D824=0,"MISSING_PAYMENT",ABS(E824)&lt;=1,"MATCHED",E824&gt;1,"AMOUNT_MISMATCH",TRUE,"PARTIAL")</f>
        <v/>
      </c>
    </row>
    <row r="825">
      <c r="A825" t="inlineStr">
        <is>
          <t>INV0018137</t>
        </is>
      </c>
      <c r="B825" t="inlineStr">
        <is>
          <t>MER00856</t>
        </is>
      </c>
      <c r="C825">
        <f>XLOOKUP(A825,tblInvoices[invoice_id],tblInvoices[total_invoice_amount])</f>
        <v/>
      </c>
      <c r="D825">
        <f>SUMIFS(tblPayments[payment_amount],tblPayments[invoice_id],A825,tblPayments[payment_status],"Success")</f>
        <v/>
      </c>
      <c r="E825">
        <f>D825-C825</f>
        <v/>
      </c>
      <c r="F825">
        <f>IFS(D825=0,"MISSING_PAYMENT",ABS(E825)&lt;=1,"MATCHED",E825&gt;1,"AMOUNT_MISMATCH",TRUE,"PARTIAL")</f>
        <v/>
      </c>
    </row>
    <row r="826">
      <c r="A826" t="inlineStr">
        <is>
          <t>INV0018138</t>
        </is>
      </c>
      <c r="B826" t="inlineStr">
        <is>
          <t>MER00856</t>
        </is>
      </c>
      <c r="C826">
        <f>XLOOKUP(A826,tblInvoices[invoice_id],tblInvoices[total_invoice_amount])</f>
        <v/>
      </c>
      <c r="D826">
        <f>SUMIFS(tblPayments[payment_amount],tblPayments[invoice_id],A826,tblPayments[payment_status],"Success")</f>
        <v/>
      </c>
      <c r="E826">
        <f>D826-C826</f>
        <v/>
      </c>
      <c r="F826">
        <f>IFS(D826=0,"MISSING_PAYMENT",ABS(E826)&lt;=1,"MATCHED",E826&gt;1,"AMOUNT_MISMATCH",TRUE,"PARTIAL")</f>
        <v/>
      </c>
    </row>
    <row r="827">
      <c r="A827" t="inlineStr">
        <is>
          <t>INV0018139</t>
        </is>
      </c>
      <c r="B827" t="inlineStr">
        <is>
          <t>MER00856</t>
        </is>
      </c>
      <c r="C827">
        <f>XLOOKUP(A827,tblInvoices[invoice_id],tblInvoices[total_invoice_amount])</f>
        <v/>
      </c>
      <c r="D827">
        <f>SUMIFS(tblPayments[payment_amount],tblPayments[invoice_id],A827,tblPayments[payment_status],"Success")</f>
        <v/>
      </c>
      <c r="E827">
        <f>D827-C827</f>
        <v/>
      </c>
      <c r="F827">
        <f>IFS(D827=0,"MISSING_PAYMENT",ABS(E827)&lt;=1,"MATCHED",E827&gt;1,"AMOUNT_MISMATCH",TRUE,"PARTIAL")</f>
        <v/>
      </c>
    </row>
    <row r="828">
      <c r="A828" t="inlineStr">
        <is>
          <t>INV0018140</t>
        </is>
      </c>
      <c r="B828" t="inlineStr">
        <is>
          <t>MER00856</t>
        </is>
      </c>
      <c r="C828">
        <f>XLOOKUP(A828,tblInvoices[invoice_id],tblInvoices[total_invoice_amount])</f>
        <v/>
      </c>
      <c r="D828">
        <f>SUMIFS(tblPayments[payment_amount],tblPayments[invoice_id],A828,tblPayments[payment_status],"Success")</f>
        <v/>
      </c>
      <c r="E828">
        <f>D828-C828</f>
        <v/>
      </c>
      <c r="F828">
        <f>IFS(D828=0,"MISSING_PAYMENT",ABS(E828)&lt;=1,"MATCHED",E828&gt;1,"AMOUNT_MISMATCH",TRUE,"PARTIAL")</f>
        <v/>
      </c>
    </row>
    <row r="829">
      <c r="A829" t="inlineStr">
        <is>
          <t>INV0018141</t>
        </is>
      </c>
      <c r="B829" t="inlineStr">
        <is>
          <t>MER00856</t>
        </is>
      </c>
      <c r="C829">
        <f>XLOOKUP(A829,tblInvoices[invoice_id],tblInvoices[total_invoice_amount])</f>
        <v/>
      </c>
      <c r="D829">
        <f>SUMIFS(tblPayments[payment_amount],tblPayments[invoice_id],A829,tblPayments[payment_status],"Success")</f>
        <v/>
      </c>
      <c r="E829">
        <f>D829-C829</f>
        <v/>
      </c>
      <c r="F829">
        <f>IFS(D829=0,"MISSING_PAYMENT",ABS(E829)&lt;=1,"MATCHED",E829&gt;1,"AMOUNT_MISMATCH",TRUE,"PARTIAL")</f>
        <v/>
      </c>
    </row>
    <row r="830">
      <c r="A830" t="inlineStr">
        <is>
          <t>INV0018227</t>
        </is>
      </c>
      <c r="B830" t="inlineStr">
        <is>
          <t>MER00861</t>
        </is>
      </c>
      <c r="C830">
        <f>XLOOKUP(A830,tblInvoices[invoice_id],tblInvoices[total_invoice_amount])</f>
        <v/>
      </c>
      <c r="D830">
        <f>SUMIFS(tblPayments[payment_amount],tblPayments[invoice_id],A830,tblPayments[payment_status],"Success")</f>
        <v/>
      </c>
      <c r="E830">
        <f>D830-C830</f>
        <v/>
      </c>
      <c r="F830">
        <f>IFS(D830=0,"MISSING_PAYMENT",ABS(E830)&lt;=1,"MATCHED",E830&gt;1,"AMOUNT_MISMATCH",TRUE,"PARTIAL")</f>
        <v/>
      </c>
    </row>
    <row r="831">
      <c r="A831" t="inlineStr">
        <is>
          <t>INV0018228</t>
        </is>
      </c>
      <c r="B831" t="inlineStr">
        <is>
          <t>MER00861</t>
        </is>
      </c>
      <c r="C831">
        <f>XLOOKUP(A831,tblInvoices[invoice_id],tblInvoices[total_invoice_amount])</f>
        <v/>
      </c>
      <c r="D831">
        <f>SUMIFS(tblPayments[payment_amount],tblPayments[invoice_id],A831,tblPayments[payment_status],"Success")</f>
        <v/>
      </c>
      <c r="E831">
        <f>D831-C831</f>
        <v/>
      </c>
      <c r="F831">
        <f>IFS(D831=0,"MISSING_PAYMENT",ABS(E831)&lt;=1,"MATCHED",E831&gt;1,"AMOUNT_MISMATCH",TRUE,"PARTIAL")</f>
        <v/>
      </c>
    </row>
    <row r="832">
      <c r="A832" t="inlineStr">
        <is>
          <t>INV0018229</t>
        </is>
      </c>
      <c r="B832" t="inlineStr">
        <is>
          <t>MER00861</t>
        </is>
      </c>
      <c r="C832">
        <f>XLOOKUP(A832,tblInvoices[invoice_id],tblInvoices[total_invoice_amount])</f>
        <v/>
      </c>
      <c r="D832">
        <f>SUMIFS(tblPayments[payment_amount],tblPayments[invoice_id],A832,tblPayments[payment_status],"Success")</f>
        <v/>
      </c>
      <c r="E832">
        <f>D832-C832</f>
        <v/>
      </c>
      <c r="F832">
        <f>IFS(D832=0,"MISSING_PAYMENT",ABS(E832)&lt;=1,"MATCHED",E832&gt;1,"AMOUNT_MISMATCH",TRUE,"PARTIAL")</f>
        <v/>
      </c>
    </row>
    <row r="833">
      <c r="A833" t="inlineStr">
        <is>
          <t>INV0018230</t>
        </is>
      </c>
      <c r="B833" t="inlineStr">
        <is>
          <t>MER00861</t>
        </is>
      </c>
      <c r="C833">
        <f>XLOOKUP(A833,tblInvoices[invoice_id],tblInvoices[total_invoice_amount])</f>
        <v/>
      </c>
      <c r="D833">
        <f>SUMIFS(tblPayments[payment_amount],tblPayments[invoice_id],A833,tblPayments[payment_status],"Success")</f>
        <v/>
      </c>
      <c r="E833">
        <f>D833-C833</f>
        <v/>
      </c>
      <c r="F833">
        <f>IFS(D833=0,"MISSING_PAYMENT",ABS(E833)&lt;=1,"MATCHED",E833&gt;1,"AMOUNT_MISMATCH",TRUE,"PARTIAL")</f>
        <v/>
      </c>
    </row>
    <row r="834">
      <c r="A834" t="inlineStr">
        <is>
          <t>INV0018231</t>
        </is>
      </c>
      <c r="B834" t="inlineStr">
        <is>
          <t>MER00861</t>
        </is>
      </c>
      <c r="C834">
        <f>XLOOKUP(A834,tblInvoices[invoice_id],tblInvoices[total_invoice_amount])</f>
        <v/>
      </c>
      <c r="D834">
        <f>SUMIFS(tblPayments[payment_amount],tblPayments[invoice_id],A834,tblPayments[payment_status],"Success")</f>
        <v/>
      </c>
      <c r="E834">
        <f>D834-C834</f>
        <v/>
      </c>
      <c r="F834">
        <f>IFS(D834=0,"MISSING_PAYMENT",ABS(E834)&lt;=1,"MATCHED",E834&gt;1,"AMOUNT_MISMATCH",TRUE,"PARTIAL")</f>
        <v/>
      </c>
    </row>
    <row r="835">
      <c r="A835" t="inlineStr">
        <is>
          <t>INV0018232</t>
        </is>
      </c>
      <c r="B835" t="inlineStr">
        <is>
          <t>MER00861</t>
        </is>
      </c>
      <c r="C835">
        <f>XLOOKUP(A835,tblInvoices[invoice_id],tblInvoices[total_invoice_amount])</f>
        <v/>
      </c>
      <c r="D835">
        <f>SUMIFS(tblPayments[payment_amount],tblPayments[invoice_id],A835,tblPayments[payment_status],"Success")</f>
        <v/>
      </c>
      <c r="E835">
        <f>D835-C835</f>
        <v/>
      </c>
      <c r="F835">
        <f>IFS(D835=0,"MISSING_PAYMENT",ABS(E835)&lt;=1,"MATCHED",E835&gt;1,"AMOUNT_MISMATCH",TRUE,"PARTIAL")</f>
        <v/>
      </c>
    </row>
    <row r="836">
      <c r="A836" t="inlineStr">
        <is>
          <t>INV0018233</t>
        </is>
      </c>
      <c r="B836" t="inlineStr">
        <is>
          <t>MER00861</t>
        </is>
      </c>
      <c r="C836">
        <f>XLOOKUP(A836,tblInvoices[invoice_id],tblInvoices[total_invoice_amount])</f>
        <v/>
      </c>
      <c r="D836">
        <f>SUMIFS(tblPayments[payment_amount],tblPayments[invoice_id],A836,tblPayments[payment_status],"Success")</f>
        <v/>
      </c>
      <c r="E836">
        <f>D836-C836</f>
        <v/>
      </c>
      <c r="F836">
        <f>IFS(D836=0,"MISSING_PAYMENT",ABS(E836)&lt;=1,"MATCHED",E836&gt;1,"AMOUNT_MISMATCH",TRUE,"PARTIAL")</f>
        <v/>
      </c>
    </row>
    <row r="837">
      <c r="A837" t="inlineStr">
        <is>
          <t>INV0018234</t>
        </is>
      </c>
      <c r="B837" t="inlineStr">
        <is>
          <t>MER00861</t>
        </is>
      </c>
      <c r="C837">
        <f>XLOOKUP(A837,tblInvoices[invoice_id],tblInvoices[total_invoice_amount])</f>
        <v/>
      </c>
      <c r="D837">
        <f>SUMIFS(tblPayments[payment_amount],tblPayments[invoice_id],A837,tblPayments[payment_status],"Success")</f>
        <v/>
      </c>
      <c r="E837">
        <f>D837-C837</f>
        <v/>
      </c>
      <c r="F837">
        <f>IFS(D837=0,"MISSING_PAYMENT",ABS(E837)&lt;=1,"MATCHED",E837&gt;1,"AMOUNT_MISMATCH",TRUE,"PARTIAL")</f>
        <v/>
      </c>
    </row>
    <row r="838">
      <c r="A838" t="inlineStr">
        <is>
          <t>INV0018235</t>
        </is>
      </c>
      <c r="B838" t="inlineStr">
        <is>
          <t>MER00861</t>
        </is>
      </c>
      <c r="C838">
        <f>XLOOKUP(A838,tblInvoices[invoice_id],tblInvoices[total_invoice_amount])</f>
        <v/>
      </c>
      <c r="D838">
        <f>SUMIFS(tblPayments[payment_amount],tblPayments[invoice_id],A838,tblPayments[payment_status],"Success")</f>
        <v/>
      </c>
      <c r="E838">
        <f>D838-C838</f>
        <v/>
      </c>
      <c r="F838">
        <f>IFS(D838=0,"MISSING_PAYMENT",ABS(E838)&lt;=1,"MATCHED",E838&gt;1,"AMOUNT_MISMATCH",TRUE,"PARTIAL")</f>
        <v/>
      </c>
    </row>
    <row r="839">
      <c r="A839" t="inlineStr">
        <is>
          <t>INV0018236</t>
        </is>
      </c>
      <c r="B839" t="inlineStr">
        <is>
          <t>MER00861</t>
        </is>
      </c>
      <c r="C839">
        <f>XLOOKUP(A839,tblInvoices[invoice_id],tblInvoices[total_invoice_amount])</f>
        <v/>
      </c>
      <c r="D839">
        <f>SUMIFS(tblPayments[payment_amount],tblPayments[invoice_id],A839,tblPayments[payment_status],"Success")</f>
        <v/>
      </c>
      <c r="E839">
        <f>D839-C839</f>
        <v/>
      </c>
      <c r="F839">
        <f>IFS(D839=0,"MISSING_PAYMENT",ABS(E839)&lt;=1,"MATCHED",E839&gt;1,"AMOUNT_MISMATCH",TRUE,"PARTIAL")</f>
        <v/>
      </c>
    </row>
    <row r="840">
      <c r="A840" t="inlineStr">
        <is>
          <t>INV0018237</t>
        </is>
      </c>
      <c r="B840" t="inlineStr">
        <is>
          <t>MER00861</t>
        </is>
      </c>
      <c r="C840">
        <f>XLOOKUP(A840,tblInvoices[invoice_id],tblInvoices[total_invoice_amount])</f>
        <v/>
      </c>
      <c r="D840">
        <f>SUMIFS(tblPayments[payment_amount],tblPayments[invoice_id],A840,tblPayments[payment_status],"Success")</f>
        <v/>
      </c>
      <c r="E840">
        <f>D840-C840</f>
        <v/>
      </c>
      <c r="F840">
        <f>IFS(D840=0,"MISSING_PAYMENT",ABS(E840)&lt;=1,"MATCHED",E840&gt;1,"AMOUNT_MISMATCH",TRUE,"PARTIAL")</f>
        <v/>
      </c>
    </row>
    <row r="841">
      <c r="A841" t="inlineStr">
        <is>
          <t>INV0018238</t>
        </is>
      </c>
      <c r="B841" t="inlineStr">
        <is>
          <t>MER00861</t>
        </is>
      </c>
      <c r="C841">
        <f>XLOOKUP(A841,tblInvoices[invoice_id],tblInvoices[total_invoice_amount])</f>
        <v/>
      </c>
      <c r="D841">
        <f>SUMIFS(tblPayments[payment_amount],tblPayments[invoice_id],A841,tblPayments[payment_status],"Success")</f>
        <v/>
      </c>
      <c r="E841">
        <f>D841-C841</f>
        <v/>
      </c>
      <c r="F841">
        <f>IFS(D841=0,"MISSING_PAYMENT",ABS(E841)&lt;=1,"MATCHED",E841&gt;1,"AMOUNT_MISMATCH",TRUE,"PARTIAL")</f>
        <v/>
      </c>
    </row>
    <row r="842">
      <c r="A842" t="inlineStr">
        <is>
          <t>INV0018239</t>
        </is>
      </c>
      <c r="B842" t="inlineStr">
        <is>
          <t>MER00861</t>
        </is>
      </c>
      <c r="C842">
        <f>XLOOKUP(A842,tblInvoices[invoice_id],tblInvoices[total_invoice_amount])</f>
        <v/>
      </c>
      <c r="D842">
        <f>SUMIFS(tblPayments[payment_amount],tblPayments[invoice_id],A842,tblPayments[payment_status],"Success")</f>
        <v/>
      </c>
      <c r="E842">
        <f>D842-C842</f>
        <v/>
      </c>
      <c r="F842">
        <f>IFS(D842=0,"MISSING_PAYMENT",ABS(E842)&lt;=1,"MATCHED",E842&gt;1,"AMOUNT_MISMATCH",TRUE,"PARTIAL")</f>
        <v/>
      </c>
    </row>
    <row r="843">
      <c r="A843" t="inlineStr">
        <is>
          <t>INV0018240</t>
        </is>
      </c>
      <c r="B843" t="inlineStr">
        <is>
          <t>MER00861</t>
        </is>
      </c>
      <c r="C843">
        <f>XLOOKUP(A843,tblInvoices[invoice_id],tblInvoices[total_invoice_amount])</f>
        <v/>
      </c>
      <c r="D843">
        <f>SUMIFS(tblPayments[payment_amount],tblPayments[invoice_id],A843,tblPayments[payment_status],"Success")</f>
        <v/>
      </c>
      <c r="E843">
        <f>D843-C843</f>
        <v/>
      </c>
      <c r="F843">
        <f>IFS(D843=0,"MISSING_PAYMENT",ABS(E843)&lt;=1,"MATCHED",E843&gt;1,"AMOUNT_MISMATCH",TRUE,"PARTIAL")</f>
        <v/>
      </c>
    </row>
    <row r="844">
      <c r="A844" t="inlineStr">
        <is>
          <t>INV0018241</t>
        </is>
      </c>
      <c r="B844" t="inlineStr">
        <is>
          <t>MER00861</t>
        </is>
      </c>
      <c r="C844">
        <f>XLOOKUP(A844,tblInvoices[invoice_id],tblInvoices[total_invoice_amount])</f>
        <v/>
      </c>
      <c r="D844">
        <f>SUMIFS(tblPayments[payment_amount],tblPayments[invoice_id],A844,tblPayments[payment_status],"Success")</f>
        <v/>
      </c>
      <c r="E844">
        <f>D844-C844</f>
        <v/>
      </c>
      <c r="F844">
        <f>IFS(D844=0,"MISSING_PAYMENT",ABS(E844)&lt;=1,"MATCHED",E844&gt;1,"AMOUNT_MISMATCH",TRUE,"PARTIAL")</f>
        <v/>
      </c>
    </row>
    <row r="845">
      <c r="A845" t="inlineStr">
        <is>
          <t>INV0018242</t>
        </is>
      </c>
      <c r="B845" t="inlineStr">
        <is>
          <t>MER00861</t>
        </is>
      </c>
      <c r="C845">
        <f>XLOOKUP(A845,tblInvoices[invoice_id],tblInvoices[total_invoice_amount])</f>
        <v/>
      </c>
      <c r="D845">
        <f>SUMIFS(tblPayments[payment_amount],tblPayments[invoice_id],A845,tblPayments[payment_status],"Success")</f>
        <v/>
      </c>
      <c r="E845">
        <f>D845-C845</f>
        <v/>
      </c>
      <c r="F845">
        <f>IFS(D845=0,"MISSING_PAYMENT",ABS(E845)&lt;=1,"MATCHED",E845&gt;1,"AMOUNT_MISMATCH",TRUE,"PARTIAL")</f>
        <v/>
      </c>
    </row>
    <row r="846">
      <c r="A846" t="inlineStr">
        <is>
          <t>INV0018243</t>
        </is>
      </c>
      <c r="B846" t="inlineStr">
        <is>
          <t>MER00861</t>
        </is>
      </c>
      <c r="C846">
        <f>XLOOKUP(A846,tblInvoices[invoice_id],tblInvoices[total_invoice_amount])</f>
        <v/>
      </c>
      <c r="D846">
        <f>SUMIFS(tblPayments[payment_amount],tblPayments[invoice_id],A846,tblPayments[payment_status],"Success")</f>
        <v/>
      </c>
      <c r="E846">
        <f>D846-C846</f>
        <v/>
      </c>
      <c r="F846">
        <f>IFS(D846=0,"MISSING_PAYMENT",ABS(E846)&lt;=1,"MATCHED",E846&gt;1,"AMOUNT_MISMATCH",TRUE,"PARTIAL")</f>
        <v/>
      </c>
    </row>
    <row r="847">
      <c r="A847" t="inlineStr">
        <is>
          <t>INV0018244</t>
        </is>
      </c>
      <c r="B847" t="inlineStr">
        <is>
          <t>MER00861</t>
        </is>
      </c>
      <c r="C847">
        <f>XLOOKUP(A847,tblInvoices[invoice_id],tblInvoices[total_invoice_amount])</f>
        <v/>
      </c>
      <c r="D847">
        <f>SUMIFS(tblPayments[payment_amount],tblPayments[invoice_id],A847,tblPayments[payment_status],"Success")</f>
        <v/>
      </c>
      <c r="E847">
        <f>D847-C847</f>
        <v/>
      </c>
      <c r="F847">
        <f>IFS(D847=0,"MISSING_PAYMENT",ABS(E847)&lt;=1,"MATCHED",E847&gt;1,"AMOUNT_MISMATCH",TRUE,"PARTIAL")</f>
        <v/>
      </c>
    </row>
    <row r="848">
      <c r="A848" t="inlineStr">
        <is>
          <t>INV0018245</t>
        </is>
      </c>
      <c r="B848" t="inlineStr">
        <is>
          <t>MER00861</t>
        </is>
      </c>
      <c r="C848">
        <f>XLOOKUP(A848,tblInvoices[invoice_id],tblInvoices[total_invoice_amount])</f>
        <v/>
      </c>
      <c r="D848">
        <f>SUMIFS(tblPayments[payment_amount],tblPayments[invoice_id],A848,tblPayments[payment_status],"Success")</f>
        <v/>
      </c>
      <c r="E848">
        <f>D848-C848</f>
        <v/>
      </c>
      <c r="F848">
        <f>IFS(D848=0,"MISSING_PAYMENT",ABS(E848)&lt;=1,"MATCHED",E848&gt;1,"AMOUNT_MISMATCH",TRUE,"PARTIAL")</f>
        <v/>
      </c>
    </row>
    <row r="849">
      <c r="A849" t="inlineStr">
        <is>
          <t>INV0018246</t>
        </is>
      </c>
      <c r="B849" t="inlineStr">
        <is>
          <t>MER00861</t>
        </is>
      </c>
      <c r="C849">
        <f>XLOOKUP(A849,tblInvoices[invoice_id],tblInvoices[total_invoice_amount])</f>
        <v/>
      </c>
      <c r="D849">
        <f>SUMIFS(tblPayments[payment_amount],tblPayments[invoice_id],A849,tblPayments[payment_status],"Success")</f>
        <v/>
      </c>
      <c r="E849">
        <f>D849-C849</f>
        <v/>
      </c>
      <c r="F849">
        <f>IFS(D849=0,"MISSING_PAYMENT",ABS(E849)&lt;=1,"MATCHED",E849&gt;1,"AMOUNT_MISMATCH",TRUE,"PARTIAL")</f>
        <v/>
      </c>
    </row>
    <row r="850">
      <c r="A850" t="inlineStr">
        <is>
          <t>INV0018247</t>
        </is>
      </c>
      <c r="B850" t="inlineStr">
        <is>
          <t>MER00861</t>
        </is>
      </c>
      <c r="C850">
        <f>XLOOKUP(A850,tblInvoices[invoice_id],tblInvoices[total_invoice_amount])</f>
        <v/>
      </c>
      <c r="D850">
        <f>SUMIFS(tblPayments[payment_amount],tblPayments[invoice_id],A850,tblPayments[payment_status],"Success")</f>
        <v/>
      </c>
      <c r="E850">
        <f>D850-C850</f>
        <v/>
      </c>
      <c r="F850">
        <f>IFS(D850=0,"MISSING_PAYMENT",ABS(E850)&lt;=1,"MATCHED",E850&gt;1,"AMOUNT_MISMATCH",TRUE,"PARTIAL")</f>
        <v/>
      </c>
    </row>
    <row r="851">
      <c r="A851" t="inlineStr">
        <is>
          <t>INV0018248</t>
        </is>
      </c>
      <c r="B851" t="inlineStr">
        <is>
          <t>MER00861</t>
        </is>
      </c>
      <c r="C851">
        <f>XLOOKUP(A851,tblInvoices[invoice_id],tblInvoices[total_invoice_amount])</f>
        <v/>
      </c>
      <c r="D851">
        <f>SUMIFS(tblPayments[payment_amount],tblPayments[invoice_id],A851,tblPayments[payment_status],"Success")</f>
        <v/>
      </c>
      <c r="E851">
        <f>D851-C851</f>
        <v/>
      </c>
      <c r="F851">
        <f>IFS(D851=0,"MISSING_PAYMENT",ABS(E851)&lt;=1,"MATCHED",E851&gt;1,"AMOUNT_MISMATCH",TRUE,"PARTIAL")</f>
        <v/>
      </c>
    </row>
    <row r="852">
      <c r="A852" t="inlineStr">
        <is>
          <t>INV0018249</t>
        </is>
      </c>
      <c r="B852" t="inlineStr">
        <is>
          <t>MER00861</t>
        </is>
      </c>
      <c r="C852">
        <f>XLOOKUP(A852,tblInvoices[invoice_id],tblInvoices[total_invoice_amount])</f>
        <v/>
      </c>
      <c r="D852">
        <f>SUMIFS(tblPayments[payment_amount],tblPayments[invoice_id],A852,tblPayments[payment_status],"Success")</f>
        <v/>
      </c>
      <c r="E852">
        <f>D852-C852</f>
        <v/>
      </c>
      <c r="F852">
        <f>IFS(D852=0,"MISSING_PAYMENT",ABS(E852)&lt;=1,"MATCHED",E852&gt;1,"AMOUNT_MISMATCH",TRUE,"PARTIAL")</f>
        <v/>
      </c>
    </row>
    <row r="853">
      <c r="A853" t="inlineStr">
        <is>
          <t>INV0018250</t>
        </is>
      </c>
      <c r="B853" t="inlineStr">
        <is>
          <t>MER00861</t>
        </is>
      </c>
      <c r="C853">
        <f>XLOOKUP(A853,tblInvoices[invoice_id],tblInvoices[total_invoice_amount])</f>
        <v/>
      </c>
      <c r="D853">
        <f>SUMIFS(tblPayments[payment_amount],tblPayments[invoice_id],A853,tblPayments[payment_status],"Success")</f>
        <v/>
      </c>
      <c r="E853">
        <f>D853-C853</f>
        <v/>
      </c>
      <c r="F853">
        <f>IFS(D853=0,"MISSING_PAYMENT",ABS(E853)&lt;=1,"MATCHED",E853&gt;1,"AMOUNT_MISMATCH",TRUE,"PARTIAL")</f>
        <v/>
      </c>
    </row>
    <row r="854">
      <c r="A854" t="inlineStr">
        <is>
          <t>INV0018395</t>
        </is>
      </c>
      <c r="B854" t="inlineStr">
        <is>
          <t>MER00870</t>
        </is>
      </c>
      <c r="C854">
        <f>XLOOKUP(A854,tblInvoices[invoice_id],tblInvoices[total_invoice_amount])</f>
        <v/>
      </c>
      <c r="D854">
        <f>SUMIFS(tblPayments[payment_amount],tblPayments[invoice_id],A854,tblPayments[payment_status],"Success")</f>
        <v/>
      </c>
      <c r="E854">
        <f>D854-C854</f>
        <v/>
      </c>
      <c r="F854">
        <f>IFS(D854=0,"MISSING_PAYMENT",ABS(E854)&lt;=1,"MATCHED",E854&gt;1,"AMOUNT_MISMATCH",TRUE,"PARTIAL")</f>
        <v/>
      </c>
    </row>
    <row r="855">
      <c r="A855" t="inlineStr">
        <is>
          <t>INV0018396</t>
        </is>
      </c>
      <c r="B855" t="inlineStr">
        <is>
          <t>MER00870</t>
        </is>
      </c>
      <c r="C855">
        <f>XLOOKUP(A855,tblInvoices[invoice_id],tblInvoices[total_invoice_amount])</f>
        <v/>
      </c>
      <c r="D855">
        <f>SUMIFS(tblPayments[payment_amount],tblPayments[invoice_id],A855,tblPayments[payment_status],"Success")</f>
        <v/>
      </c>
      <c r="E855">
        <f>D855-C855</f>
        <v/>
      </c>
      <c r="F855">
        <f>IFS(D855=0,"MISSING_PAYMENT",ABS(E855)&lt;=1,"MATCHED",E855&gt;1,"AMOUNT_MISMATCH",TRUE,"PARTIAL")</f>
        <v/>
      </c>
    </row>
    <row r="856">
      <c r="A856" t="inlineStr">
        <is>
          <t>INV0018397</t>
        </is>
      </c>
      <c r="B856" t="inlineStr">
        <is>
          <t>MER00870</t>
        </is>
      </c>
      <c r="C856">
        <f>XLOOKUP(A856,tblInvoices[invoice_id],tblInvoices[total_invoice_amount])</f>
        <v/>
      </c>
      <c r="D856">
        <f>SUMIFS(tblPayments[payment_amount],tblPayments[invoice_id],A856,tblPayments[payment_status],"Success")</f>
        <v/>
      </c>
      <c r="E856">
        <f>D856-C856</f>
        <v/>
      </c>
      <c r="F856">
        <f>IFS(D856=0,"MISSING_PAYMENT",ABS(E856)&lt;=1,"MATCHED",E856&gt;1,"AMOUNT_MISMATCH",TRUE,"PARTIAL")</f>
        <v/>
      </c>
    </row>
    <row r="857">
      <c r="A857" t="inlineStr">
        <is>
          <t>INV0018398</t>
        </is>
      </c>
      <c r="B857" t="inlineStr">
        <is>
          <t>MER00870</t>
        </is>
      </c>
      <c r="C857">
        <f>XLOOKUP(A857,tblInvoices[invoice_id],tblInvoices[total_invoice_amount])</f>
        <v/>
      </c>
      <c r="D857">
        <f>SUMIFS(tblPayments[payment_amount],tblPayments[invoice_id],A857,tblPayments[payment_status],"Success")</f>
        <v/>
      </c>
      <c r="E857">
        <f>D857-C857</f>
        <v/>
      </c>
      <c r="F857">
        <f>IFS(D857=0,"MISSING_PAYMENT",ABS(E857)&lt;=1,"MATCHED",E857&gt;1,"AMOUNT_MISMATCH",TRUE,"PARTIAL")</f>
        <v/>
      </c>
    </row>
    <row r="858">
      <c r="A858" t="inlineStr">
        <is>
          <t>INV0018399</t>
        </is>
      </c>
      <c r="B858" t="inlineStr">
        <is>
          <t>MER00870</t>
        </is>
      </c>
      <c r="C858">
        <f>XLOOKUP(A858,tblInvoices[invoice_id],tblInvoices[total_invoice_amount])</f>
        <v/>
      </c>
      <c r="D858">
        <f>SUMIFS(tblPayments[payment_amount],tblPayments[invoice_id],A858,tblPayments[payment_status],"Success")</f>
        <v/>
      </c>
      <c r="E858">
        <f>D858-C858</f>
        <v/>
      </c>
      <c r="F858">
        <f>IFS(D858=0,"MISSING_PAYMENT",ABS(E858)&lt;=1,"MATCHED",E858&gt;1,"AMOUNT_MISMATCH",TRUE,"PARTIAL")</f>
        <v/>
      </c>
    </row>
    <row r="859">
      <c r="A859" t="inlineStr">
        <is>
          <t>INV0018400</t>
        </is>
      </c>
      <c r="B859" t="inlineStr">
        <is>
          <t>MER00870</t>
        </is>
      </c>
      <c r="C859">
        <f>XLOOKUP(A859,tblInvoices[invoice_id],tblInvoices[total_invoice_amount])</f>
        <v/>
      </c>
      <c r="D859">
        <f>SUMIFS(tblPayments[payment_amount],tblPayments[invoice_id],A859,tblPayments[payment_status],"Success")</f>
        <v/>
      </c>
      <c r="E859">
        <f>D859-C859</f>
        <v/>
      </c>
      <c r="F859">
        <f>IFS(D859=0,"MISSING_PAYMENT",ABS(E859)&lt;=1,"MATCHED",E859&gt;1,"AMOUNT_MISMATCH",TRUE,"PARTIAL")</f>
        <v/>
      </c>
    </row>
    <row r="860">
      <c r="A860" t="inlineStr">
        <is>
          <t>INV0018401</t>
        </is>
      </c>
      <c r="B860" t="inlineStr">
        <is>
          <t>MER00870</t>
        </is>
      </c>
      <c r="C860">
        <f>XLOOKUP(A860,tblInvoices[invoice_id],tblInvoices[total_invoice_amount])</f>
        <v/>
      </c>
      <c r="D860">
        <f>SUMIFS(tblPayments[payment_amount],tblPayments[invoice_id],A860,tblPayments[payment_status],"Success")</f>
        <v/>
      </c>
      <c r="E860">
        <f>D860-C860</f>
        <v/>
      </c>
      <c r="F860">
        <f>IFS(D860=0,"MISSING_PAYMENT",ABS(E860)&lt;=1,"MATCHED",E860&gt;1,"AMOUNT_MISMATCH",TRUE,"PARTIAL")</f>
        <v/>
      </c>
    </row>
    <row r="861">
      <c r="A861" t="inlineStr">
        <is>
          <t>INV0018402</t>
        </is>
      </c>
      <c r="B861" t="inlineStr">
        <is>
          <t>MER00870</t>
        </is>
      </c>
      <c r="C861">
        <f>XLOOKUP(A861,tblInvoices[invoice_id],tblInvoices[total_invoice_amount])</f>
        <v/>
      </c>
      <c r="D861">
        <f>SUMIFS(tblPayments[payment_amount],tblPayments[invoice_id],A861,tblPayments[payment_status],"Success")</f>
        <v/>
      </c>
      <c r="E861">
        <f>D861-C861</f>
        <v/>
      </c>
      <c r="F861">
        <f>IFS(D861=0,"MISSING_PAYMENT",ABS(E861)&lt;=1,"MATCHED",E861&gt;1,"AMOUNT_MISMATCH",TRUE,"PARTIAL")</f>
        <v/>
      </c>
    </row>
    <row r="862">
      <c r="A862" t="inlineStr">
        <is>
          <t>INV0018403</t>
        </is>
      </c>
      <c r="B862" t="inlineStr">
        <is>
          <t>MER00870</t>
        </is>
      </c>
      <c r="C862">
        <f>XLOOKUP(A862,tblInvoices[invoice_id],tblInvoices[total_invoice_amount])</f>
        <v/>
      </c>
      <c r="D862">
        <f>SUMIFS(tblPayments[payment_amount],tblPayments[invoice_id],A862,tblPayments[payment_status],"Success")</f>
        <v/>
      </c>
      <c r="E862">
        <f>D862-C862</f>
        <v/>
      </c>
      <c r="F862">
        <f>IFS(D862=0,"MISSING_PAYMENT",ABS(E862)&lt;=1,"MATCHED",E862&gt;1,"AMOUNT_MISMATCH",TRUE,"PARTIAL")</f>
        <v/>
      </c>
    </row>
    <row r="863">
      <c r="A863" t="inlineStr">
        <is>
          <t>INV0018404</t>
        </is>
      </c>
      <c r="B863" t="inlineStr">
        <is>
          <t>MER00870</t>
        </is>
      </c>
      <c r="C863">
        <f>XLOOKUP(A863,tblInvoices[invoice_id],tblInvoices[total_invoice_amount])</f>
        <v/>
      </c>
      <c r="D863">
        <f>SUMIFS(tblPayments[payment_amount],tblPayments[invoice_id],A863,tblPayments[payment_status],"Success")</f>
        <v/>
      </c>
      <c r="E863">
        <f>D863-C863</f>
        <v/>
      </c>
      <c r="F863">
        <f>IFS(D863=0,"MISSING_PAYMENT",ABS(E863)&lt;=1,"MATCHED",E863&gt;1,"AMOUNT_MISMATCH",TRUE,"PARTIAL")</f>
        <v/>
      </c>
    </row>
    <row r="864">
      <c r="A864" t="inlineStr">
        <is>
          <t>INV0018405</t>
        </is>
      </c>
      <c r="B864" t="inlineStr">
        <is>
          <t>MER00870</t>
        </is>
      </c>
      <c r="C864">
        <f>XLOOKUP(A864,tblInvoices[invoice_id],tblInvoices[total_invoice_amount])</f>
        <v/>
      </c>
      <c r="D864">
        <f>SUMIFS(tblPayments[payment_amount],tblPayments[invoice_id],A864,tblPayments[payment_status],"Success")</f>
        <v/>
      </c>
      <c r="E864">
        <f>D864-C864</f>
        <v/>
      </c>
      <c r="F864">
        <f>IFS(D864=0,"MISSING_PAYMENT",ABS(E864)&lt;=1,"MATCHED",E864&gt;1,"AMOUNT_MISMATCH",TRUE,"PARTIAL")</f>
        <v/>
      </c>
    </row>
    <row r="865">
      <c r="A865" t="inlineStr">
        <is>
          <t>INV0018406</t>
        </is>
      </c>
      <c r="B865" t="inlineStr">
        <is>
          <t>MER00870</t>
        </is>
      </c>
      <c r="C865">
        <f>XLOOKUP(A865,tblInvoices[invoice_id],tblInvoices[total_invoice_amount])</f>
        <v/>
      </c>
      <c r="D865">
        <f>SUMIFS(tblPayments[payment_amount],tblPayments[invoice_id],A865,tblPayments[payment_status],"Success")</f>
        <v/>
      </c>
      <c r="E865">
        <f>D865-C865</f>
        <v/>
      </c>
      <c r="F865">
        <f>IFS(D865=0,"MISSING_PAYMENT",ABS(E865)&lt;=1,"MATCHED",E865&gt;1,"AMOUNT_MISMATCH",TRUE,"PARTIAL")</f>
        <v/>
      </c>
    </row>
    <row r="866">
      <c r="A866" t="inlineStr">
        <is>
          <t>INV0018407</t>
        </is>
      </c>
      <c r="B866" t="inlineStr">
        <is>
          <t>MER00870</t>
        </is>
      </c>
      <c r="C866">
        <f>XLOOKUP(A866,tblInvoices[invoice_id],tblInvoices[total_invoice_amount])</f>
        <v/>
      </c>
      <c r="D866">
        <f>SUMIFS(tblPayments[payment_amount],tblPayments[invoice_id],A866,tblPayments[payment_status],"Success")</f>
        <v/>
      </c>
      <c r="E866">
        <f>D866-C866</f>
        <v/>
      </c>
      <c r="F866">
        <f>IFS(D866=0,"MISSING_PAYMENT",ABS(E866)&lt;=1,"MATCHED",E866&gt;1,"AMOUNT_MISMATCH",TRUE,"PARTIAL")</f>
        <v/>
      </c>
    </row>
    <row r="867">
      <c r="A867" t="inlineStr">
        <is>
          <t>INV0018408</t>
        </is>
      </c>
      <c r="B867" t="inlineStr">
        <is>
          <t>MER00870</t>
        </is>
      </c>
      <c r="C867">
        <f>XLOOKUP(A867,tblInvoices[invoice_id],tblInvoices[total_invoice_amount])</f>
        <v/>
      </c>
      <c r="D867">
        <f>SUMIFS(tblPayments[payment_amount],tblPayments[invoice_id],A867,tblPayments[payment_status],"Success")</f>
        <v/>
      </c>
      <c r="E867">
        <f>D867-C867</f>
        <v/>
      </c>
      <c r="F867">
        <f>IFS(D867=0,"MISSING_PAYMENT",ABS(E867)&lt;=1,"MATCHED",E867&gt;1,"AMOUNT_MISMATCH",TRUE,"PARTIAL")</f>
        <v/>
      </c>
    </row>
    <row r="868">
      <c r="A868" t="inlineStr">
        <is>
          <t>INV0018409</t>
        </is>
      </c>
      <c r="B868" t="inlineStr">
        <is>
          <t>MER00870</t>
        </is>
      </c>
      <c r="C868">
        <f>XLOOKUP(A868,tblInvoices[invoice_id],tblInvoices[total_invoice_amount])</f>
        <v/>
      </c>
      <c r="D868">
        <f>SUMIFS(tblPayments[payment_amount],tblPayments[invoice_id],A868,tblPayments[payment_status],"Success")</f>
        <v/>
      </c>
      <c r="E868">
        <f>D868-C868</f>
        <v/>
      </c>
      <c r="F868">
        <f>IFS(D868=0,"MISSING_PAYMENT",ABS(E868)&lt;=1,"MATCHED",E868&gt;1,"AMOUNT_MISMATCH",TRUE,"PARTIAL")</f>
        <v/>
      </c>
    </row>
    <row r="869">
      <c r="A869" t="inlineStr">
        <is>
          <t>INV0018410</t>
        </is>
      </c>
      <c r="B869" t="inlineStr">
        <is>
          <t>MER00870</t>
        </is>
      </c>
      <c r="C869">
        <f>XLOOKUP(A869,tblInvoices[invoice_id],tblInvoices[total_invoice_amount])</f>
        <v/>
      </c>
      <c r="D869">
        <f>SUMIFS(tblPayments[payment_amount],tblPayments[invoice_id],A869,tblPayments[payment_status],"Success")</f>
        <v/>
      </c>
      <c r="E869">
        <f>D869-C869</f>
        <v/>
      </c>
      <c r="F869">
        <f>IFS(D869=0,"MISSING_PAYMENT",ABS(E869)&lt;=1,"MATCHED",E869&gt;1,"AMOUNT_MISMATCH",TRUE,"PARTIAL")</f>
        <v/>
      </c>
    </row>
    <row r="870">
      <c r="A870" t="inlineStr">
        <is>
          <t>INV0018411</t>
        </is>
      </c>
      <c r="B870" t="inlineStr">
        <is>
          <t>MER00870</t>
        </is>
      </c>
      <c r="C870">
        <f>XLOOKUP(A870,tblInvoices[invoice_id],tblInvoices[total_invoice_amount])</f>
        <v/>
      </c>
      <c r="D870">
        <f>SUMIFS(tblPayments[payment_amount],tblPayments[invoice_id],A870,tblPayments[payment_status],"Success")</f>
        <v/>
      </c>
      <c r="E870">
        <f>D870-C870</f>
        <v/>
      </c>
      <c r="F870">
        <f>IFS(D870=0,"MISSING_PAYMENT",ABS(E870)&lt;=1,"MATCHED",E870&gt;1,"AMOUNT_MISMATCH",TRUE,"PARTIAL")</f>
        <v/>
      </c>
    </row>
    <row r="871">
      <c r="A871" t="inlineStr">
        <is>
          <t>INV0018412</t>
        </is>
      </c>
      <c r="B871" t="inlineStr">
        <is>
          <t>MER00870</t>
        </is>
      </c>
      <c r="C871">
        <f>XLOOKUP(A871,tblInvoices[invoice_id],tblInvoices[total_invoice_amount])</f>
        <v/>
      </c>
      <c r="D871">
        <f>SUMIFS(tblPayments[payment_amount],tblPayments[invoice_id],A871,tblPayments[payment_status],"Success")</f>
        <v/>
      </c>
      <c r="E871">
        <f>D871-C871</f>
        <v/>
      </c>
      <c r="F871">
        <f>IFS(D871=0,"MISSING_PAYMENT",ABS(E871)&lt;=1,"MATCHED",E871&gt;1,"AMOUNT_MISMATCH",TRUE,"PARTIAL")</f>
        <v/>
      </c>
    </row>
    <row r="872">
      <c r="A872" t="inlineStr">
        <is>
          <t>INV0018413</t>
        </is>
      </c>
      <c r="B872" t="inlineStr">
        <is>
          <t>MER00870</t>
        </is>
      </c>
      <c r="C872">
        <f>XLOOKUP(A872,tblInvoices[invoice_id],tblInvoices[total_invoice_amount])</f>
        <v/>
      </c>
      <c r="D872">
        <f>SUMIFS(tblPayments[payment_amount],tblPayments[invoice_id],A872,tblPayments[payment_status],"Success")</f>
        <v/>
      </c>
      <c r="E872">
        <f>D872-C872</f>
        <v/>
      </c>
      <c r="F872">
        <f>IFS(D872=0,"MISSING_PAYMENT",ABS(E872)&lt;=1,"MATCHED",E872&gt;1,"AMOUNT_MISMATCH",TRUE,"PARTIAL")</f>
        <v/>
      </c>
    </row>
    <row r="873">
      <c r="A873" t="inlineStr">
        <is>
          <t>INV0018414</t>
        </is>
      </c>
      <c r="B873" t="inlineStr">
        <is>
          <t>MER00870</t>
        </is>
      </c>
      <c r="C873">
        <f>XLOOKUP(A873,tblInvoices[invoice_id],tblInvoices[total_invoice_amount])</f>
        <v/>
      </c>
      <c r="D873">
        <f>SUMIFS(tblPayments[payment_amount],tblPayments[invoice_id],A873,tblPayments[payment_status],"Success")</f>
        <v/>
      </c>
      <c r="E873">
        <f>D873-C873</f>
        <v/>
      </c>
      <c r="F873">
        <f>IFS(D873=0,"MISSING_PAYMENT",ABS(E873)&lt;=1,"MATCHED",E873&gt;1,"AMOUNT_MISMATCH",TRUE,"PARTIAL")</f>
        <v/>
      </c>
    </row>
    <row r="874">
      <c r="A874" t="inlineStr">
        <is>
          <t>INV0018415</t>
        </is>
      </c>
      <c r="B874" t="inlineStr">
        <is>
          <t>MER00870</t>
        </is>
      </c>
      <c r="C874">
        <f>XLOOKUP(A874,tblInvoices[invoice_id],tblInvoices[total_invoice_amount])</f>
        <v/>
      </c>
      <c r="D874">
        <f>SUMIFS(tblPayments[payment_amount],tblPayments[invoice_id],A874,tblPayments[payment_status],"Success")</f>
        <v/>
      </c>
      <c r="E874">
        <f>D874-C874</f>
        <v/>
      </c>
      <c r="F874">
        <f>IFS(D874=0,"MISSING_PAYMENT",ABS(E874)&lt;=1,"MATCHED",E874&gt;1,"AMOUNT_MISMATCH",TRUE,"PARTIAL")</f>
        <v/>
      </c>
    </row>
    <row r="875">
      <c r="A875" t="inlineStr">
        <is>
          <t>INV0019117</t>
        </is>
      </c>
      <c r="B875" t="inlineStr">
        <is>
          <t>MER00902</t>
        </is>
      </c>
      <c r="C875">
        <f>XLOOKUP(A875,tblInvoices[invoice_id],tblInvoices[total_invoice_amount])</f>
        <v/>
      </c>
      <c r="D875">
        <f>SUMIFS(tblPayments[payment_amount],tblPayments[invoice_id],A875,tblPayments[payment_status],"Success")</f>
        <v/>
      </c>
      <c r="E875">
        <f>D875-C875</f>
        <v/>
      </c>
      <c r="F875">
        <f>IFS(D875=0,"MISSING_PAYMENT",ABS(E875)&lt;=1,"MATCHED",E875&gt;1,"AMOUNT_MISMATCH",TRUE,"PARTIAL")</f>
        <v/>
      </c>
    </row>
    <row r="876">
      <c r="A876" t="inlineStr">
        <is>
          <t>INV0019118</t>
        </is>
      </c>
      <c r="B876" t="inlineStr">
        <is>
          <t>MER00902</t>
        </is>
      </c>
      <c r="C876">
        <f>XLOOKUP(A876,tblInvoices[invoice_id],tblInvoices[total_invoice_amount])</f>
        <v/>
      </c>
      <c r="D876">
        <f>SUMIFS(tblPayments[payment_amount],tblPayments[invoice_id],A876,tblPayments[payment_status],"Success")</f>
        <v/>
      </c>
      <c r="E876">
        <f>D876-C876</f>
        <v/>
      </c>
      <c r="F876">
        <f>IFS(D876=0,"MISSING_PAYMENT",ABS(E876)&lt;=1,"MATCHED",E876&gt;1,"AMOUNT_MISMATCH",TRUE,"PARTIAL")</f>
        <v/>
      </c>
    </row>
    <row r="877">
      <c r="A877" t="inlineStr">
        <is>
          <t>INV0019119</t>
        </is>
      </c>
      <c r="B877" t="inlineStr">
        <is>
          <t>MER00902</t>
        </is>
      </c>
      <c r="C877">
        <f>XLOOKUP(A877,tblInvoices[invoice_id],tblInvoices[total_invoice_amount])</f>
        <v/>
      </c>
      <c r="D877">
        <f>SUMIFS(tblPayments[payment_amount],tblPayments[invoice_id],A877,tblPayments[payment_status],"Success")</f>
        <v/>
      </c>
      <c r="E877">
        <f>D877-C877</f>
        <v/>
      </c>
      <c r="F877">
        <f>IFS(D877=0,"MISSING_PAYMENT",ABS(E877)&lt;=1,"MATCHED",E877&gt;1,"AMOUNT_MISMATCH",TRUE,"PARTIAL")</f>
        <v/>
      </c>
    </row>
    <row r="878">
      <c r="A878" t="inlineStr">
        <is>
          <t>INV0019120</t>
        </is>
      </c>
      <c r="B878" t="inlineStr">
        <is>
          <t>MER00902</t>
        </is>
      </c>
      <c r="C878">
        <f>XLOOKUP(A878,tblInvoices[invoice_id],tblInvoices[total_invoice_amount])</f>
        <v/>
      </c>
      <c r="D878">
        <f>SUMIFS(tblPayments[payment_amount],tblPayments[invoice_id],A878,tblPayments[payment_status],"Success")</f>
        <v/>
      </c>
      <c r="E878">
        <f>D878-C878</f>
        <v/>
      </c>
      <c r="F878">
        <f>IFS(D878=0,"MISSING_PAYMENT",ABS(E878)&lt;=1,"MATCHED",E878&gt;1,"AMOUNT_MISMATCH",TRUE,"PARTIAL")</f>
        <v/>
      </c>
    </row>
    <row r="879">
      <c r="A879" t="inlineStr">
        <is>
          <t>INV0019121</t>
        </is>
      </c>
      <c r="B879" t="inlineStr">
        <is>
          <t>MER00902</t>
        </is>
      </c>
      <c r="C879">
        <f>XLOOKUP(A879,tblInvoices[invoice_id],tblInvoices[total_invoice_amount])</f>
        <v/>
      </c>
      <c r="D879">
        <f>SUMIFS(tblPayments[payment_amount],tblPayments[invoice_id],A879,tblPayments[payment_status],"Success")</f>
        <v/>
      </c>
      <c r="E879">
        <f>D879-C879</f>
        <v/>
      </c>
      <c r="F879">
        <f>IFS(D879=0,"MISSING_PAYMENT",ABS(E879)&lt;=1,"MATCHED",E879&gt;1,"AMOUNT_MISMATCH",TRUE,"PARTIAL")</f>
        <v/>
      </c>
    </row>
    <row r="880">
      <c r="A880" t="inlineStr">
        <is>
          <t>INV0019122</t>
        </is>
      </c>
      <c r="B880" t="inlineStr">
        <is>
          <t>MER00902</t>
        </is>
      </c>
      <c r="C880">
        <f>XLOOKUP(A880,tblInvoices[invoice_id],tblInvoices[total_invoice_amount])</f>
        <v/>
      </c>
      <c r="D880">
        <f>SUMIFS(tblPayments[payment_amount],tblPayments[invoice_id],A880,tblPayments[payment_status],"Success")</f>
        <v/>
      </c>
      <c r="E880">
        <f>D880-C880</f>
        <v/>
      </c>
      <c r="F880">
        <f>IFS(D880=0,"MISSING_PAYMENT",ABS(E880)&lt;=1,"MATCHED",E880&gt;1,"AMOUNT_MISMATCH",TRUE,"PARTIAL")</f>
        <v/>
      </c>
    </row>
    <row r="881">
      <c r="A881" t="inlineStr">
        <is>
          <t>INV0019123</t>
        </is>
      </c>
      <c r="B881" t="inlineStr">
        <is>
          <t>MER00902</t>
        </is>
      </c>
      <c r="C881">
        <f>XLOOKUP(A881,tblInvoices[invoice_id],tblInvoices[total_invoice_amount])</f>
        <v/>
      </c>
      <c r="D881">
        <f>SUMIFS(tblPayments[payment_amount],tblPayments[invoice_id],A881,tblPayments[payment_status],"Success")</f>
        <v/>
      </c>
      <c r="E881">
        <f>D881-C881</f>
        <v/>
      </c>
      <c r="F881">
        <f>IFS(D881=0,"MISSING_PAYMENT",ABS(E881)&lt;=1,"MATCHED",E881&gt;1,"AMOUNT_MISMATCH",TRUE,"PARTIAL")</f>
        <v/>
      </c>
    </row>
    <row r="882">
      <c r="A882" t="inlineStr">
        <is>
          <t>INV0019124</t>
        </is>
      </c>
      <c r="B882" t="inlineStr">
        <is>
          <t>MER00902</t>
        </is>
      </c>
      <c r="C882">
        <f>XLOOKUP(A882,tblInvoices[invoice_id],tblInvoices[total_invoice_amount])</f>
        <v/>
      </c>
      <c r="D882">
        <f>SUMIFS(tblPayments[payment_amount],tblPayments[invoice_id],A882,tblPayments[payment_status],"Success")</f>
        <v/>
      </c>
      <c r="E882">
        <f>D882-C882</f>
        <v/>
      </c>
      <c r="F882">
        <f>IFS(D882=0,"MISSING_PAYMENT",ABS(E882)&lt;=1,"MATCHED",E882&gt;1,"AMOUNT_MISMATCH",TRUE,"PARTIAL")</f>
        <v/>
      </c>
    </row>
    <row r="883">
      <c r="A883" t="inlineStr">
        <is>
          <t>INV0019125</t>
        </is>
      </c>
      <c r="B883" t="inlineStr">
        <is>
          <t>MER00902</t>
        </is>
      </c>
      <c r="C883">
        <f>XLOOKUP(A883,tblInvoices[invoice_id],tblInvoices[total_invoice_amount])</f>
        <v/>
      </c>
      <c r="D883">
        <f>SUMIFS(tblPayments[payment_amount],tblPayments[invoice_id],A883,tblPayments[payment_status],"Success")</f>
        <v/>
      </c>
      <c r="E883">
        <f>D883-C883</f>
        <v/>
      </c>
      <c r="F883">
        <f>IFS(D883=0,"MISSING_PAYMENT",ABS(E883)&lt;=1,"MATCHED",E883&gt;1,"AMOUNT_MISMATCH",TRUE,"PARTIAL")</f>
        <v/>
      </c>
    </row>
    <row r="884">
      <c r="A884" t="inlineStr">
        <is>
          <t>INV0019126</t>
        </is>
      </c>
      <c r="B884" t="inlineStr">
        <is>
          <t>MER00902</t>
        </is>
      </c>
      <c r="C884">
        <f>XLOOKUP(A884,tblInvoices[invoice_id],tblInvoices[total_invoice_amount])</f>
        <v/>
      </c>
      <c r="D884">
        <f>SUMIFS(tblPayments[payment_amount],tblPayments[invoice_id],A884,tblPayments[payment_status],"Success")</f>
        <v/>
      </c>
      <c r="E884">
        <f>D884-C884</f>
        <v/>
      </c>
      <c r="F884">
        <f>IFS(D884=0,"MISSING_PAYMENT",ABS(E884)&lt;=1,"MATCHED",E884&gt;1,"AMOUNT_MISMATCH",TRUE,"PARTIAL")</f>
        <v/>
      </c>
    </row>
    <row r="885">
      <c r="A885" t="inlineStr">
        <is>
          <t>INV0019127</t>
        </is>
      </c>
      <c r="B885" t="inlineStr">
        <is>
          <t>MER00902</t>
        </is>
      </c>
      <c r="C885">
        <f>XLOOKUP(A885,tblInvoices[invoice_id],tblInvoices[total_invoice_amount])</f>
        <v/>
      </c>
      <c r="D885">
        <f>SUMIFS(tblPayments[payment_amount],tblPayments[invoice_id],A885,tblPayments[payment_status],"Success")</f>
        <v/>
      </c>
      <c r="E885">
        <f>D885-C885</f>
        <v/>
      </c>
      <c r="F885">
        <f>IFS(D885=0,"MISSING_PAYMENT",ABS(E885)&lt;=1,"MATCHED",E885&gt;1,"AMOUNT_MISMATCH",TRUE,"PARTIAL")</f>
        <v/>
      </c>
    </row>
    <row r="886">
      <c r="A886" t="inlineStr">
        <is>
          <t>INV0019128</t>
        </is>
      </c>
      <c r="B886" t="inlineStr">
        <is>
          <t>MER00902</t>
        </is>
      </c>
      <c r="C886">
        <f>XLOOKUP(A886,tblInvoices[invoice_id],tblInvoices[total_invoice_amount])</f>
        <v/>
      </c>
      <c r="D886">
        <f>SUMIFS(tblPayments[payment_amount],tblPayments[invoice_id],A886,tblPayments[payment_status],"Success")</f>
        <v/>
      </c>
      <c r="E886">
        <f>D886-C886</f>
        <v/>
      </c>
      <c r="F886">
        <f>IFS(D886=0,"MISSING_PAYMENT",ABS(E886)&lt;=1,"MATCHED",E886&gt;1,"AMOUNT_MISMATCH",TRUE,"PARTIAL")</f>
        <v/>
      </c>
    </row>
    <row r="887">
      <c r="A887" t="inlineStr">
        <is>
          <t>INV0019129</t>
        </is>
      </c>
      <c r="B887" t="inlineStr">
        <is>
          <t>MER00902</t>
        </is>
      </c>
      <c r="C887">
        <f>XLOOKUP(A887,tblInvoices[invoice_id],tblInvoices[total_invoice_amount])</f>
        <v/>
      </c>
      <c r="D887">
        <f>SUMIFS(tblPayments[payment_amount],tblPayments[invoice_id],A887,tblPayments[payment_status],"Success")</f>
        <v/>
      </c>
      <c r="E887">
        <f>D887-C887</f>
        <v/>
      </c>
      <c r="F887">
        <f>IFS(D887=0,"MISSING_PAYMENT",ABS(E887)&lt;=1,"MATCHED",E887&gt;1,"AMOUNT_MISMATCH",TRUE,"PARTIAL")</f>
        <v/>
      </c>
    </row>
    <row r="888">
      <c r="A888" t="inlineStr">
        <is>
          <t>INV0019130</t>
        </is>
      </c>
      <c r="B888" t="inlineStr">
        <is>
          <t>MER00902</t>
        </is>
      </c>
      <c r="C888">
        <f>XLOOKUP(A888,tblInvoices[invoice_id],tblInvoices[total_invoice_amount])</f>
        <v/>
      </c>
      <c r="D888">
        <f>SUMIFS(tblPayments[payment_amount],tblPayments[invoice_id],A888,tblPayments[payment_status],"Success")</f>
        <v/>
      </c>
      <c r="E888">
        <f>D888-C888</f>
        <v/>
      </c>
      <c r="F888">
        <f>IFS(D888=0,"MISSING_PAYMENT",ABS(E888)&lt;=1,"MATCHED",E888&gt;1,"AMOUNT_MISMATCH",TRUE,"PARTIAL")</f>
        <v/>
      </c>
    </row>
    <row r="889">
      <c r="A889" t="inlineStr">
        <is>
          <t>INV0019131</t>
        </is>
      </c>
      <c r="B889" t="inlineStr">
        <is>
          <t>MER00902</t>
        </is>
      </c>
      <c r="C889">
        <f>XLOOKUP(A889,tblInvoices[invoice_id],tblInvoices[total_invoice_amount])</f>
        <v/>
      </c>
      <c r="D889">
        <f>SUMIFS(tblPayments[payment_amount],tblPayments[invoice_id],A889,tblPayments[payment_status],"Success")</f>
        <v/>
      </c>
      <c r="E889">
        <f>D889-C889</f>
        <v/>
      </c>
      <c r="F889">
        <f>IFS(D889=0,"MISSING_PAYMENT",ABS(E889)&lt;=1,"MATCHED",E889&gt;1,"AMOUNT_MISMATCH",TRUE,"PARTIAL")</f>
        <v/>
      </c>
    </row>
    <row r="890">
      <c r="A890" t="inlineStr">
        <is>
          <t>INV0019132</t>
        </is>
      </c>
      <c r="B890" t="inlineStr">
        <is>
          <t>MER00902</t>
        </is>
      </c>
      <c r="C890">
        <f>XLOOKUP(A890,tblInvoices[invoice_id],tblInvoices[total_invoice_amount])</f>
        <v/>
      </c>
      <c r="D890">
        <f>SUMIFS(tblPayments[payment_amount],tblPayments[invoice_id],A890,tblPayments[payment_status],"Success")</f>
        <v/>
      </c>
      <c r="E890">
        <f>D890-C890</f>
        <v/>
      </c>
      <c r="F890">
        <f>IFS(D890=0,"MISSING_PAYMENT",ABS(E890)&lt;=1,"MATCHED",E890&gt;1,"AMOUNT_MISMATCH",TRUE,"PARTIAL")</f>
        <v/>
      </c>
    </row>
    <row r="891">
      <c r="A891" t="inlineStr">
        <is>
          <t>INV0019133</t>
        </is>
      </c>
      <c r="B891" t="inlineStr">
        <is>
          <t>MER00902</t>
        </is>
      </c>
      <c r="C891">
        <f>XLOOKUP(A891,tblInvoices[invoice_id],tblInvoices[total_invoice_amount])</f>
        <v/>
      </c>
      <c r="D891">
        <f>SUMIFS(tblPayments[payment_amount],tblPayments[invoice_id],A891,tblPayments[payment_status],"Success")</f>
        <v/>
      </c>
      <c r="E891">
        <f>D891-C891</f>
        <v/>
      </c>
      <c r="F891">
        <f>IFS(D891=0,"MISSING_PAYMENT",ABS(E891)&lt;=1,"MATCHED",E891&gt;1,"AMOUNT_MISMATCH",TRUE,"PARTIAL")</f>
        <v/>
      </c>
    </row>
    <row r="892">
      <c r="A892" t="inlineStr">
        <is>
          <t>INV0019134</t>
        </is>
      </c>
      <c r="B892" t="inlineStr">
        <is>
          <t>MER00902</t>
        </is>
      </c>
      <c r="C892">
        <f>XLOOKUP(A892,tblInvoices[invoice_id],tblInvoices[total_invoice_amount])</f>
        <v/>
      </c>
      <c r="D892">
        <f>SUMIFS(tblPayments[payment_amount],tblPayments[invoice_id],A892,tblPayments[payment_status],"Success")</f>
        <v/>
      </c>
      <c r="E892">
        <f>D892-C892</f>
        <v/>
      </c>
      <c r="F892">
        <f>IFS(D892=0,"MISSING_PAYMENT",ABS(E892)&lt;=1,"MATCHED",E892&gt;1,"AMOUNT_MISMATCH",TRUE,"PARTIAL")</f>
        <v/>
      </c>
    </row>
    <row r="893">
      <c r="A893" t="inlineStr">
        <is>
          <t>INV0019135</t>
        </is>
      </c>
      <c r="B893" t="inlineStr">
        <is>
          <t>MER00902</t>
        </is>
      </c>
      <c r="C893">
        <f>XLOOKUP(A893,tblInvoices[invoice_id],tblInvoices[total_invoice_amount])</f>
        <v/>
      </c>
      <c r="D893">
        <f>SUMIFS(tblPayments[payment_amount],tblPayments[invoice_id],A893,tblPayments[payment_status],"Success")</f>
        <v/>
      </c>
      <c r="E893">
        <f>D893-C893</f>
        <v/>
      </c>
      <c r="F893">
        <f>IFS(D893=0,"MISSING_PAYMENT",ABS(E893)&lt;=1,"MATCHED",E893&gt;1,"AMOUNT_MISMATCH",TRUE,"PARTIAL")</f>
        <v/>
      </c>
    </row>
    <row r="894">
      <c r="A894" t="inlineStr">
        <is>
          <t>INV0019136</t>
        </is>
      </c>
      <c r="B894" t="inlineStr">
        <is>
          <t>MER00902</t>
        </is>
      </c>
      <c r="C894">
        <f>XLOOKUP(A894,tblInvoices[invoice_id],tblInvoices[total_invoice_amount])</f>
        <v/>
      </c>
      <c r="D894">
        <f>SUMIFS(tblPayments[payment_amount],tblPayments[invoice_id],A894,tblPayments[payment_status],"Success")</f>
        <v/>
      </c>
      <c r="E894">
        <f>D894-C894</f>
        <v/>
      </c>
      <c r="F894">
        <f>IFS(D894=0,"MISSING_PAYMENT",ABS(E894)&lt;=1,"MATCHED",E894&gt;1,"AMOUNT_MISMATCH",TRUE,"PARTIAL")</f>
        <v/>
      </c>
    </row>
    <row r="895">
      <c r="A895" t="inlineStr">
        <is>
          <t>INV0019137</t>
        </is>
      </c>
      <c r="B895" t="inlineStr">
        <is>
          <t>MER00902</t>
        </is>
      </c>
      <c r="C895">
        <f>XLOOKUP(A895,tblInvoices[invoice_id],tblInvoices[total_invoice_amount])</f>
        <v/>
      </c>
      <c r="D895">
        <f>SUMIFS(tblPayments[payment_amount],tblPayments[invoice_id],A895,tblPayments[payment_status],"Success")</f>
        <v/>
      </c>
      <c r="E895">
        <f>D895-C895</f>
        <v/>
      </c>
      <c r="F895">
        <f>IFS(D895=0,"MISSING_PAYMENT",ABS(E895)&lt;=1,"MATCHED",E895&gt;1,"AMOUNT_MISMATCH",TRUE,"PARTIAL")</f>
        <v/>
      </c>
    </row>
    <row r="896">
      <c r="A896" t="inlineStr">
        <is>
          <t>INV0019138</t>
        </is>
      </c>
      <c r="B896" t="inlineStr">
        <is>
          <t>MER00902</t>
        </is>
      </c>
      <c r="C896">
        <f>XLOOKUP(A896,tblInvoices[invoice_id],tblInvoices[total_invoice_amount])</f>
        <v/>
      </c>
      <c r="D896">
        <f>SUMIFS(tblPayments[payment_amount],tblPayments[invoice_id],A896,tblPayments[payment_status],"Success")</f>
        <v/>
      </c>
      <c r="E896">
        <f>D896-C896</f>
        <v/>
      </c>
      <c r="F896">
        <f>IFS(D896=0,"MISSING_PAYMENT",ABS(E896)&lt;=1,"MATCHED",E896&gt;1,"AMOUNT_MISMATCH",TRUE,"PARTIAL")</f>
        <v/>
      </c>
    </row>
    <row r="897">
      <c r="A897" t="inlineStr">
        <is>
          <t>INV0019139</t>
        </is>
      </c>
      <c r="B897" t="inlineStr">
        <is>
          <t>MER00902</t>
        </is>
      </c>
      <c r="C897">
        <f>XLOOKUP(A897,tblInvoices[invoice_id],tblInvoices[total_invoice_amount])</f>
        <v/>
      </c>
      <c r="D897">
        <f>SUMIFS(tblPayments[payment_amount],tblPayments[invoice_id],A897,tblPayments[payment_status],"Success")</f>
        <v/>
      </c>
      <c r="E897">
        <f>D897-C897</f>
        <v/>
      </c>
      <c r="F897">
        <f>IFS(D897=0,"MISSING_PAYMENT",ABS(E897)&lt;=1,"MATCHED",E897&gt;1,"AMOUNT_MISMATCH",TRUE,"PARTIAL")</f>
        <v/>
      </c>
    </row>
    <row r="898">
      <c r="A898" t="inlineStr">
        <is>
          <t>INV0019140</t>
        </is>
      </c>
      <c r="B898" t="inlineStr">
        <is>
          <t>MER00902</t>
        </is>
      </c>
      <c r="C898">
        <f>XLOOKUP(A898,tblInvoices[invoice_id],tblInvoices[total_invoice_amount])</f>
        <v/>
      </c>
      <c r="D898">
        <f>SUMIFS(tblPayments[payment_amount],tblPayments[invoice_id],A898,tblPayments[payment_status],"Success")</f>
        <v/>
      </c>
      <c r="E898">
        <f>D898-C898</f>
        <v/>
      </c>
      <c r="F898">
        <f>IFS(D898=0,"MISSING_PAYMENT",ABS(E898)&lt;=1,"MATCHED",E898&gt;1,"AMOUNT_MISMATCH",TRUE,"PARTIAL")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Monthly MIS - billed revenue and invoice counts via SUMIFS/COUNTIFS on Invoices</t>
        </is>
      </c>
    </row>
    <row r="3">
      <c r="A3" s="7" t="inlineStr">
        <is>
          <t>billing_period_start_month</t>
        </is>
      </c>
      <c r="B3" s="7" t="inlineStr">
        <is>
          <t>invoice_count</t>
        </is>
      </c>
      <c r="C3" s="7" t="inlineStr">
        <is>
          <t>expected_revenue</t>
        </is>
      </c>
      <c r="D3" s="7" t="inlineStr">
        <is>
          <t>billed_revenue</t>
        </is>
      </c>
      <c r="E3" s="7" t="inlineStr">
        <is>
          <t>revenue_variance</t>
        </is>
      </c>
      <c r="F3" s="7" t="inlineStr">
        <is>
          <t>period_start (helper)</t>
        </is>
      </c>
      <c r="G3" s="7" t="inlineStr">
        <is>
          <t>period_end (helper)</t>
        </is>
      </c>
    </row>
    <row r="4">
      <c r="A4" t="inlineStr">
        <is>
          <t>2024-08</t>
        </is>
      </c>
      <c r="B4">
        <f>COUNTIFS(tblInvoices[billing_period_start],"&gt;="&amp;F4,tblInvoices[billing_period_start],"&lt;"&amp;G4)</f>
        <v/>
      </c>
      <c r="C4">
        <f>SUMIFS(tblInvoices[expected_fee],tblInvoices[billing_period_start],"&gt;="&amp;F4,tblInvoices[billing_period_start],"&lt;"&amp;G4)</f>
        <v/>
      </c>
      <c r="D4">
        <f>SUMIFS(tblInvoices[billed_fee],tblInvoices[billing_period_start],"&gt;="&amp;F4,tblInvoices[billing_period_start],"&lt;"&amp;G4)</f>
        <v/>
      </c>
      <c r="E4">
        <f>D4-C4</f>
        <v/>
      </c>
      <c r="F4" s="8">
        <f>DATE(VALUE(LEFT(A4,4)),VALUE(MID(A4,6,2)),1)</f>
        <v/>
      </c>
      <c r="G4" s="8">
        <f>EDATE(F4,1)</f>
        <v/>
      </c>
    </row>
    <row r="5">
      <c r="A5" t="inlineStr">
        <is>
          <t>2024-09</t>
        </is>
      </c>
      <c r="B5">
        <f>COUNTIFS(tblInvoices[billing_period_start],"&gt;="&amp;F5,tblInvoices[billing_period_start],"&lt;"&amp;G5)</f>
        <v/>
      </c>
      <c r="C5">
        <f>SUMIFS(tblInvoices[expected_fee],tblInvoices[billing_period_start],"&gt;="&amp;F5,tblInvoices[billing_period_start],"&lt;"&amp;G5)</f>
        <v/>
      </c>
      <c r="D5">
        <f>SUMIFS(tblInvoices[billed_fee],tblInvoices[billing_period_start],"&gt;="&amp;F5,tblInvoices[billing_period_start],"&lt;"&amp;G5)</f>
        <v/>
      </c>
      <c r="E5">
        <f>D5-C5</f>
        <v/>
      </c>
      <c r="F5" s="8">
        <f>DATE(VALUE(LEFT(A5,4)),VALUE(MID(A5,6,2)),1)</f>
        <v/>
      </c>
      <c r="G5" s="8">
        <f>EDATE(F5,1)</f>
        <v/>
      </c>
    </row>
    <row r="6">
      <c r="A6" t="inlineStr">
        <is>
          <t>2024-10</t>
        </is>
      </c>
      <c r="B6">
        <f>COUNTIFS(tblInvoices[billing_period_start],"&gt;="&amp;F6,tblInvoices[billing_period_start],"&lt;"&amp;G6)</f>
        <v/>
      </c>
      <c r="C6">
        <f>SUMIFS(tblInvoices[expected_fee],tblInvoices[billing_period_start],"&gt;="&amp;F6,tblInvoices[billing_period_start],"&lt;"&amp;G6)</f>
        <v/>
      </c>
      <c r="D6">
        <f>SUMIFS(tblInvoices[billed_fee],tblInvoices[billing_period_start],"&gt;="&amp;F6,tblInvoices[billing_period_start],"&lt;"&amp;G6)</f>
        <v/>
      </c>
      <c r="E6">
        <f>D6-C6</f>
        <v/>
      </c>
      <c r="F6" s="8">
        <f>DATE(VALUE(LEFT(A6,4)),VALUE(MID(A6,6,2)),1)</f>
        <v/>
      </c>
      <c r="G6" s="8">
        <f>EDATE(F6,1)</f>
        <v/>
      </c>
    </row>
    <row r="7">
      <c r="A7" t="inlineStr">
        <is>
          <t>2024-11</t>
        </is>
      </c>
      <c r="B7">
        <f>COUNTIFS(tblInvoices[billing_period_start],"&gt;="&amp;F7,tblInvoices[billing_period_start],"&lt;"&amp;G7)</f>
        <v/>
      </c>
      <c r="C7">
        <f>SUMIFS(tblInvoices[expected_fee],tblInvoices[billing_period_start],"&gt;="&amp;F7,tblInvoices[billing_period_start],"&lt;"&amp;G7)</f>
        <v/>
      </c>
      <c r="D7">
        <f>SUMIFS(tblInvoices[billed_fee],tblInvoices[billing_period_start],"&gt;="&amp;F7,tblInvoices[billing_period_start],"&lt;"&amp;G7)</f>
        <v/>
      </c>
      <c r="E7">
        <f>D7-C7</f>
        <v/>
      </c>
      <c r="F7" s="8">
        <f>DATE(VALUE(LEFT(A7,4)),VALUE(MID(A7,6,2)),1)</f>
        <v/>
      </c>
      <c r="G7" s="8">
        <f>EDATE(F7,1)</f>
        <v/>
      </c>
    </row>
    <row r="8">
      <c r="A8" t="inlineStr">
        <is>
          <t>2024-12</t>
        </is>
      </c>
      <c r="B8">
        <f>COUNTIFS(tblInvoices[billing_period_start],"&gt;="&amp;F8,tblInvoices[billing_period_start],"&lt;"&amp;G8)</f>
        <v/>
      </c>
      <c r="C8">
        <f>SUMIFS(tblInvoices[expected_fee],tblInvoices[billing_period_start],"&gt;="&amp;F8,tblInvoices[billing_period_start],"&lt;"&amp;G8)</f>
        <v/>
      </c>
      <c r="D8">
        <f>SUMIFS(tblInvoices[billed_fee],tblInvoices[billing_period_start],"&gt;="&amp;F8,tblInvoices[billing_period_start],"&lt;"&amp;G8)</f>
        <v/>
      </c>
      <c r="E8">
        <f>D8-C8</f>
        <v/>
      </c>
      <c r="F8" s="8">
        <f>DATE(VALUE(LEFT(A8,4)),VALUE(MID(A8,6,2)),1)</f>
        <v/>
      </c>
      <c r="G8" s="8">
        <f>EDATE(F8,1)</f>
        <v/>
      </c>
    </row>
    <row r="9">
      <c r="A9" t="inlineStr">
        <is>
          <t>2025-01</t>
        </is>
      </c>
      <c r="B9">
        <f>COUNTIFS(tblInvoices[billing_period_start],"&gt;="&amp;F9,tblInvoices[billing_period_start],"&lt;"&amp;G9)</f>
        <v/>
      </c>
      <c r="C9">
        <f>SUMIFS(tblInvoices[expected_fee],tblInvoices[billing_period_start],"&gt;="&amp;F9,tblInvoices[billing_period_start],"&lt;"&amp;G9)</f>
        <v/>
      </c>
      <c r="D9">
        <f>SUMIFS(tblInvoices[billed_fee],tblInvoices[billing_period_start],"&gt;="&amp;F9,tblInvoices[billing_period_start],"&lt;"&amp;G9)</f>
        <v/>
      </c>
      <c r="E9">
        <f>D9-C9</f>
        <v/>
      </c>
      <c r="F9" s="8">
        <f>DATE(VALUE(LEFT(A9,4)),VALUE(MID(A9,6,2)),1)</f>
        <v/>
      </c>
      <c r="G9" s="8">
        <f>EDATE(F9,1)</f>
        <v/>
      </c>
    </row>
    <row r="10">
      <c r="A10" t="inlineStr">
        <is>
          <t>2025-02</t>
        </is>
      </c>
      <c r="B10">
        <f>COUNTIFS(tblInvoices[billing_period_start],"&gt;="&amp;F10,tblInvoices[billing_period_start],"&lt;"&amp;G10)</f>
        <v/>
      </c>
      <c r="C10">
        <f>SUMIFS(tblInvoices[expected_fee],tblInvoices[billing_period_start],"&gt;="&amp;F10,tblInvoices[billing_period_start],"&lt;"&amp;G10)</f>
        <v/>
      </c>
      <c r="D10">
        <f>SUMIFS(tblInvoices[billed_fee],tblInvoices[billing_period_start],"&gt;="&amp;F10,tblInvoices[billing_period_start],"&lt;"&amp;G10)</f>
        <v/>
      </c>
      <c r="E10">
        <f>D10-C10</f>
        <v/>
      </c>
      <c r="F10" s="8">
        <f>DATE(VALUE(LEFT(A10,4)),VALUE(MID(A10,6,2)),1)</f>
        <v/>
      </c>
      <c r="G10" s="8">
        <f>EDATE(F10,1)</f>
        <v/>
      </c>
    </row>
    <row r="11">
      <c r="A11" t="inlineStr">
        <is>
          <t>2025-03</t>
        </is>
      </c>
      <c r="B11">
        <f>COUNTIFS(tblInvoices[billing_period_start],"&gt;="&amp;F11,tblInvoices[billing_period_start],"&lt;"&amp;G11)</f>
        <v/>
      </c>
      <c r="C11">
        <f>SUMIFS(tblInvoices[expected_fee],tblInvoices[billing_period_start],"&gt;="&amp;F11,tblInvoices[billing_period_start],"&lt;"&amp;G11)</f>
        <v/>
      </c>
      <c r="D11">
        <f>SUMIFS(tblInvoices[billed_fee],tblInvoices[billing_period_start],"&gt;="&amp;F11,tblInvoices[billing_period_start],"&lt;"&amp;G11)</f>
        <v/>
      </c>
      <c r="E11">
        <f>D11-C11</f>
        <v/>
      </c>
      <c r="F11" s="8">
        <f>DATE(VALUE(LEFT(A11,4)),VALUE(MID(A11,6,2)),1)</f>
        <v/>
      </c>
      <c r="G11" s="8">
        <f>EDATE(F11,1)</f>
        <v/>
      </c>
    </row>
    <row r="12">
      <c r="A12" t="inlineStr">
        <is>
          <t>2025-04</t>
        </is>
      </c>
      <c r="B12">
        <f>COUNTIFS(tblInvoices[billing_period_start],"&gt;="&amp;F12,tblInvoices[billing_period_start],"&lt;"&amp;G12)</f>
        <v/>
      </c>
      <c r="C12">
        <f>SUMIFS(tblInvoices[expected_fee],tblInvoices[billing_period_start],"&gt;="&amp;F12,tblInvoices[billing_period_start],"&lt;"&amp;G12)</f>
        <v/>
      </c>
      <c r="D12">
        <f>SUMIFS(tblInvoices[billed_fee],tblInvoices[billing_period_start],"&gt;="&amp;F12,tblInvoices[billing_period_start],"&lt;"&amp;G12)</f>
        <v/>
      </c>
      <c r="E12">
        <f>D12-C12</f>
        <v/>
      </c>
      <c r="F12" s="8">
        <f>DATE(VALUE(LEFT(A12,4)),VALUE(MID(A12,6,2)),1)</f>
        <v/>
      </c>
      <c r="G12" s="8">
        <f>EDATE(F12,1)</f>
        <v/>
      </c>
    </row>
    <row r="13">
      <c r="A13" t="inlineStr">
        <is>
          <t>2025-05</t>
        </is>
      </c>
      <c r="B13">
        <f>COUNTIFS(tblInvoices[billing_period_start],"&gt;="&amp;F13,tblInvoices[billing_period_start],"&lt;"&amp;G13)</f>
        <v/>
      </c>
      <c r="C13">
        <f>SUMIFS(tblInvoices[expected_fee],tblInvoices[billing_period_start],"&gt;="&amp;F13,tblInvoices[billing_period_start],"&lt;"&amp;G13)</f>
        <v/>
      </c>
      <c r="D13">
        <f>SUMIFS(tblInvoices[billed_fee],tblInvoices[billing_period_start],"&gt;="&amp;F13,tblInvoices[billing_period_start],"&lt;"&amp;G13)</f>
        <v/>
      </c>
      <c r="E13">
        <f>D13-C13</f>
        <v/>
      </c>
      <c r="F13" s="8">
        <f>DATE(VALUE(LEFT(A13,4)),VALUE(MID(A13,6,2)),1)</f>
        <v/>
      </c>
      <c r="G13" s="8">
        <f>EDATE(F13,1)</f>
        <v/>
      </c>
    </row>
    <row r="14">
      <c r="A14" t="inlineStr">
        <is>
          <t>2025-06</t>
        </is>
      </c>
      <c r="B14">
        <f>COUNTIFS(tblInvoices[billing_period_start],"&gt;="&amp;F14,tblInvoices[billing_period_start],"&lt;"&amp;G14)</f>
        <v/>
      </c>
      <c r="C14">
        <f>SUMIFS(tblInvoices[expected_fee],tblInvoices[billing_period_start],"&gt;="&amp;F14,tblInvoices[billing_period_start],"&lt;"&amp;G14)</f>
        <v/>
      </c>
      <c r="D14">
        <f>SUMIFS(tblInvoices[billed_fee],tblInvoices[billing_period_start],"&gt;="&amp;F14,tblInvoices[billing_period_start],"&lt;"&amp;G14)</f>
        <v/>
      </c>
      <c r="E14">
        <f>D14-C14</f>
        <v/>
      </c>
      <c r="F14" s="8">
        <f>DATE(VALUE(LEFT(A14,4)),VALUE(MID(A14,6,2)),1)</f>
        <v/>
      </c>
      <c r="G14" s="8">
        <f>EDATE(F14,1)</f>
        <v/>
      </c>
    </row>
    <row r="15">
      <c r="A15" t="inlineStr">
        <is>
          <t>2025-07</t>
        </is>
      </c>
      <c r="B15">
        <f>COUNTIFS(tblInvoices[billing_period_start],"&gt;="&amp;F15,tblInvoices[billing_period_start],"&lt;"&amp;G15)</f>
        <v/>
      </c>
      <c r="C15">
        <f>SUMIFS(tblInvoices[expected_fee],tblInvoices[billing_period_start],"&gt;="&amp;F15,tblInvoices[billing_period_start],"&lt;"&amp;G15)</f>
        <v/>
      </c>
      <c r="D15">
        <f>SUMIFS(tblInvoices[billed_fee],tblInvoices[billing_period_start],"&gt;="&amp;F15,tblInvoices[billing_period_start],"&lt;"&amp;G15)</f>
        <v/>
      </c>
      <c r="E15">
        <f>D15-C15</f>
        <v/>
      </c>
      <c r="F15" s="8">
        <f>DATE(VALUE(LEFT(A15,4)),VALUE(MID(A15,6,2)),1)</f>
        <v/>
      </c>
      <c r="G15" s="8">
        <f>EDATE(F15,1)</f>
        <v/>
      </c>
    </row>
    <row r="16">
      <c r="A16" t="inlineStr">
        <is>
          <t>2025-08</t>
        </is>
      </c>
      <c r="B16">
        <f>COUNTIFS(tblInvoices[billing_period_start],"&gt;="&amp;F16,tblInvoices[billing_period_start],"&lt;"&amp;G16)</f>
        <v/>
      </c>
      <c r="C16">
        <f>SUMIFS(tblInvoices[expected_fee],tblInvoices[billing_period_start],"&gt;="&amp;F16,tblInvoices[billing_period_start],"&lt;"&amp;G16)</f>
        <v/>
      </c>
      <c r="D16">
        <f>SUMIFS(tblInvoices[billed_fee],tblInvoices[billing_period_start],"&gt;="&amp;F16,tblInvoices[billing_period_start],"&lt;"&amp;G16)</f>
        <v/>
      </c>
      <c r="E16">
        <f>D16-C16</f>
        <v/>
      </c>
      <c r="F16" s="8">
        <f>DATE(VALUE(LEFT(A16,4)),VALUE(MID(A16,6,2)),1)</f>
        <v/>
      </c>
      <c r="G16" s="8">
        <f>EDATE(F16,1)</f>
        <v/>
      </c>
    </row>
    <row r="17">
      <c r="A17" t="inlineStr">
        <is>
          <t>2025-09</t>
        </is>
      </c>
      <c r="B17">
        <f>COUNTIFS(tblInvoices[billing_period_start],"&gt;="&amp;F17,tblInvoices[billing_period_start],"&lt;"&amp;G17)</f>
        <v/>
      </c>
      <c r="C17">
        <f>SUMIFS(tblInvoices[expected_fee],tblInvoices[billing_period_start],"&gt;="&amp;F17,tblInvoices[billing_period_start],"&lt;"&amp;G17)</f>
        <v/>
      </c>
      <c r="D17">
        <f>SUMIFS(tblInvoices[billed_fee],tblInvoices[billing_period_start],"&gt;="&amp;F17,tblInvoices[billing_period_start],"&lt;"&amp;G17)</f>
        <v/>
      </c>
      <c r="E17">
        <f>D17-C17</f>
        <v/>
      </c>
      <c r="F17" s="8">
        <f>DATE(VALUE(LEFT(A17,4)),VALUE(MID(A17,6,2)),1)</f>
        <v/>
      </c>
      <c r="G17" s="8">
        <f>EDATE(F17,1)</f>
        <v/>
      </c>
    </row>
    <row r="18">
      <c r="A18" t="inlineStr">
        <is>
          <t>2025-10</t>
        </is>
      </c>
      <c r="B18">
        <f>COUNTIFS(tblInvoices[billing_period_start],"&gt;="&amp;F18,tblInvoices[billing_period_start],"&lt;"&amp;G18)</f>
        <v/>
      </c>
      <c r="C18">
        <f>SUMIFS(tblInvoices[expected_fee],tblInvoices[billing_period_start],"&gt;="&amp;F18,tblInvoices[billing_period_start],"&lt;"&amp;G18)</f>
        <v/>
      </c>
      <c r="D18">
        <f>SUMIFS(tblInvoices[billed_fee],tblInvoices[billing_period_start],"&gt;="&amp;F18,tblInvoices[billing_period_start],"&lt;"&amp;G18)</f>
        <v/>
      </c>
      <c r="E18">
        <f>D18-C18</f>
        <v/>
      </c>
      <c r="F18" s="8">
        <f>DATE(VALUE(LEFT(A18,4)),VALUE(MID(A18,6,2)),1)</f>
        <v/>
      </c>
      <c r="G18" s="8">
        <f>EDATE(F18,1)</f>
        <v/>
      </c>
    </row>
    <row r="19">
      <c r="A19" t="inlineStr">
        <is>
          <t>2025-11</t>
        </is>
      </c>
      <c r="B19">
        <f>COUNTIFS(tblInvoices[billing_period_start],"&gt;="&amp;F19,tblInvoices[billing_period_start],"&lt;"&amp;G19)</f>
        <v/>
      </c>
      <c r="C19">
        <f>SUMIFS(tblInvoices[expected_fee],tblInvoices[billing_period_start],"&gt;="&amp;F19,tblInvoices[billing_period_start],"&lt;"&amp;G19)</f>
        <v/>
      </c>
      <c r="D19">
        <f>SUMIFS(tblInvoices[billed_fee],tblInvoices[billing_period_start],"&gt;="&amp;F19,tblInvoices[billing_period_start],"&lt;"&amp;G19)</f>
        <v/>
      </c>
      <c r="E19">
        <f>D19-C19</f>
        <v/>
      </c>
      <c r="F19" s="8">
        <f>DATE(VALUE(LEFT(A19,4)),VALUE(MID(A19,6,2)),1)</f>
        <v/>
      </c>
      <c r="G19" s="8">
        <f>EDATE(F19,1)</f>
        <v/>
      </c>
    </row>
    <row r="20">
      <c r="A20" t="inlineStr">
        <is>
          <t>2025-12</t>
        </is>
      </c>
      <c r="B20">
        <f>COUNTIFS(tblInvoices[billing_period_start],"&gt;="&amp;F20,tblInvoices[billing_period_start],"&lt;"&amp;G20)</f>
        <v/>
      </c>
      <c r="C20">
        <f>SUMIFS(tblInvoices[expected_fee],tblInvoices[billing_period_start],"&gt;="&amp;F20,tblInvoices[billing_period_start],"&lt;"&amp;G20)</f>
        <v/>
      </c>
      <c r="D20">
        <f>SUMIFS(tblInvoices[billed_fee],tblInvoices[billing_period_start],"&gt;="&amp;F20,tblInvoices[billing_period_start],"&lt;"&amp;G20)</f>
        <v/>
      </c>
      <c r="E20">
        <f>D20-C20</f>
        <v/>
      </c>
      <c r="F20" s="8">
        <f>DATE(VALUE(LEFT(A20,4)),VALUE(MID(A20,6,2)),1)</f>
        <v/>
      </c>
      <c r="G20" s="8">
        <f>EDATE(F20,1)</f>
        <v/>
      </c>
    </row>
    <row r="21">
      <c r="A21" t="inlineStr">
        <is>
          <t>2026-01</t>
        </is>
      </c>
      <c r="B21">
        <f>COUNTIFS(tblInvoices[billing_period_start],"&gt;="&amp;F21,tblInvoices[billing_period_start],"&lt;"&amp;G21)</f>
        <v/>
      </c>
      <c r="C21">
        <f>SUMIFS(tblInvoices[expected_fee],tblInvoices[billing_period_start],"&gt;="&amp;F21,tblInvoices[billing_period_start],"&lt;"&amp;G21)</f>
        <v/>
      </c>
      <c r="D21">
        <f>SUMIFS(tblInvoices[billed_fee],tblInvoices[billing_period_start],"&gt;="&amp;F21,tblInvoices[billing_period_start],"&lt;"&amp;G21)</f>
        <v/>
      </c>
      <c r="E21">
        <f>D21-C21</f>
        <v/>
      </c>
      <c r="F21" s="8">
        <f>DATE(VALUE(LEFT(A21,4)),VALUE(MID(A21,6,2)),1)</f>
        <v/>
      </c>
      <c r="G21" s="8">
        <f>EDATE(F21,1)</f>
        <v/>
      </c>
    </row>
    <row r="22">
      <c r="A22" t="inlineStr">
        <is>
          <t>2026-02</t>
        </is>
      </c>
      <c r="B22">
        <f>COUNTIFS(tblInvoices[billing_period_start],"&gt;="&amp;F22,tblInvoices[billing_period_start],"&lt;"&amp;G22)</f>
        <v/>
      </c>
      <c r="C22">
        <f>SUMIFS(tblInvoices[expected_fee],tblInvoices[billing_period_start],"&gt;="&amp;F22,tblInvoices[billing_period_start],"&lt;"&amp;G22)</f>
        <v/>
      </c>
      <c r="D22">
        <f>SUMIFS(tblInvoices[billed_fee],tblInvoices[billing_period_start],"&gt;="&amp;F22,tblInvoices[billing_period_start],"&lt;"&amp;G22)</f>
        <v/>
      </c>
      <c r="E22">
        <f>D22-C22</f>
        <v/>
      </c>
      <c r="F22" s="8">
        <f>DATE(VALUE(LEFT(A22,4)),VALUE(MID(A22,6,2)),1)</f>
        <v/>
      </c>
      <c r="G22" s="8">
        <f>EDATE(F22,1)</f>
        <v/>
      </c>
    </row>
    <row r="23">
      <c r="A23" t="inlineStr">
        <is>
          <t>2026-03</t>
        </is>
      </c>
      <c r="B23">
        <f>COUNTIFS(tblInvoices[billing_period_start],"&gt;="&amp;F23,tblInvoices[billing_period_start],"&lt;"&amp;G23)</f>
        <v/>
      </c>
      <c r="C23">
        <f>SUMIFS(tblInvoices[expected_fee],tblInvoices[billing_period_start],"&gt;="&amp;F23,tblInvoices[billing_period_start],"&lt;"&amp;G23)</f>
        <v/>
      </c>
      <c r="D23">
        <f>SUMIFS(tblInvoices[billed_fee],tblInvoices[billing_period_start],"&gt;="&amp;F23,tblInvoices[billing_period_start],"&lt;"&amp;G23)</f>
        <v/>
      </c>
      <c r="E23">
        <f>D23-C23</f>
        <v/>
      </c>
      <c r="F23" s="8">
        <f>DATE(VALUE(LEFT(A23,4)),VALUE(MID(A23,6,2)),1)</f>
        <v/>
      </c>
      <c r="G23" s="8">
        <f>EDATE(F23,1)</f>
        <v/>
      </c>
    </row>
    <row r="24">
      <c r="A24" t="inlineStr">
        <is>
          <t>2026-04</t>
        </is>
      </c>
      <c r="B24">
        <f>COUNTIFS(tblInvoices[billing_period_start],"&gt;="&amp;F24,tblInvoices[billing_period_start],"&lt;"&amp;G24)</f>
        <v/>
      </c>
      <c r="C24">
        <f>SUMIFS(tblInvoices[expected_fee],tblInvoices[billing_period_start],"&gt;="&amp;F24,tblInvoices[billing_period_start],"&lt;"&amp;G24)</f>
        <v/>
      </c>
      <c r="D24">
        <f>SUMIFS(tblInvoices[billed_fee],tblInvoices[billing_period_start],"&gt;="&amp;F24,tblInvoices[billing_period_start],"&lt;"&amp;G24)</f>
        <v/>
      </c>
      <c r="E24">
        <f>D24-C24</f>
        <v/>
      </c>
      <c r="F24" s="8">
        <f>DATE(VALUE(LEFT(A24,4)),VALUE(MID(A24,6,2)),1)</f>
        <v/>
      </c>
      <c r="G24" s="8">
        <f>EDATE(F24,1)</f>
        <v/>
      </c>
    </row>
    <row r="25">
      <c r="A25" t="inlineStr">
        <is>
          <t>2026-05</t>
        </is>
      </c>
      <c r="B25">
        <f>COUNTIFS(tblInvoices[billing_period_start],"&gt;="&amp;F25,tblInvoices[billing_period_start],"&lt;"&amp;G25)</f>
        <v/>
      </c>
      <c r="C25">
        <f>SUMIFS(tblInvoices[expected_fee],tblInvoices[billing_period_start],"&gt;="&amp;F25,tblInvoices[billing_period_start],"&lt;"&amp;G25)</f>
        <v/>
      </c>
      <c r="D25">
        <f>SUMIFS(tblInvoices[billed_fee],tblInvoices[billing_period_start],"&gt;="&amp;F25,tblInvoices[billing_period_start],"&lt;"&amp;G25)</f>
        <v/>
      </c>
      <c r="E25">
        <f>D25-C25</f>
        <v/>
      </c>
      <c r="F25" s="8">
        <f>DATE(VALUE(LEFT(A25,4)),VALUE(MID(A25,6,2)),1)</f>
        <v/>
      </c>
      <c r="G25" s="8">
        <f>EDATE(F25,1)</f>
        <v/>
      </c>
    </row>
    <row r="26">
      <c r="A26" t="inlineStr">
        <is>
          <t>2026-06</t>
        </is>
      </c>
      <c r="B26">
        <f>COUNTIFS(tblInvoices[billing_period_start],"&gt;="&amp;F26,tblInvoices[billing_period_start],"&lt;"&amp;G26)</f>
        <v/>
      </c>
      <c r="C26">
        <f>SUMIFS(tblInvoices[expected_fee],tblInvoices[billing_period_start],"&gt;="&amp;F26,tblInvoices[billing_period_start],"&lt;"&amp;G26)</f>
        <v/>
      </c>
      <c r="D26">
        <f>SUMIFS(tblInvoices[billed_fee],tblInvoices[billing_period_start],"&gt;="&amp;F26,tblInvoices[billing_period_start],"&lt;"&amp;G26)</f>
        <v/>
      </c>
      <c r="E26">
        <f>D26-C26</f>
        <v/>
      </c>
      <c r="F26" s="8">
        <f>DATE(VALUE(LEFT(A26,4)),VALUE(MID(A26,6,2)),1)</f>
        <v/>
      </c>
      <c r="G26" s="8">
        <f>EDATE(F26,1)</f>
        <v/>
      </c>
    </row>
    <row r="27">
      <c r="A27" t="inlineStr">
        <is>
          <t>2026-07</t>
        </is>
      </c>
      <c r="B27">
        <f>COUNTIFS(tblInvoices[billing_period_start],"&gt;="&amp;F27,tblInvoices[billing_period_start],"&lt;"&amp;G27)</f>
        <v/>
      </c>
      <c r="C27">
        <f>SUMIFS(tblInvoices[expected_fee],tblInvoices[billing_period_start],"&gt;="&amp;F27,tblInvoices[billing_period_start],"&lt;"&amp;G27)</f>
        <v/>
      </c>
      <c r="D27">
        <f>SUMIFS(tblInvoices[billed_fee],tblInvoices[billing_period_start],"&gt;="&amp;F27,tblInvoices[billing_period_start],"&lt;"&amp;G27)</f>
        <v/>
      </c>
      <c r="E27">
        <f>D27-C27</f>
        <v/>
      </c>
      <c r="F27" s="8">
        <f>DATE(VALUE(LEFT(A27,4)),VALUE(MID(A27,6,2)),1)</f>
        <v/>
      </c>
      <c r="G27" s="8">
        <f>EDATE(F27,1)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2026-08-13T16:54:58Z</dcterms:created>
  <dcterms:modified xmlns:dcterms="http://purl.org/dc/terms/" xmlns:xsi="http://www.w3.org/2001/XMLSchema-instance" xsi:type="dcterms:W3CDTF">2026-08-13T16:54:58Z</dcterms:modified>
</cp:coreProperties>
</file>